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Ввод" sheetId="2" state="visible" r:id="rId2"/>
    <sheet xmlns:r="http://schemas.openxmlformats.org/officeDocument/2006/relationships" name="Оплаты" sheetId="3" state="visible" r:id="rId3"/>
    <sheet xmlns:r="http://schemas.openxmlformats.org/officeDocument/2006/relationships" name="Расчёт" sheetId="4" state="visible" r:id="rId4"/>
    <sheet xmlns:r="http://schemas.openxmlformats.org/officeDocument/2006/relationships" name="Проверки" sheetId="5" state="visible" r:id="rId5"/>
    <sheet xmlns:r="http://schemas.openxmlformats.org/officeDocument/2006/relationships" name="По дням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3">
    <font>
      <name val="Calibri"/>
      <family val="2"/>
      <color theme="1"/>
      <sz val="11"/>
      <scheme val="minor"/>
    </font>
    <font>
      <b val="1"/>
    </font>
    <font>
      <color rgb="001F4E79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" fontId="2" fillId="2" borderId="1" pivotButton="0" quotePrefix="0" xfId="0"/>
    <xf numFmtId="164" fontId="2" fillId="2" borderId="1" pivotButton="0" quotePrefix="0" xfId="0"/>
    <xf numFmtId="0" fontId="1" fillId="0" borderId="0" pivotButton="0" quotePrefix="0" xfId="0"/>
    <xf numFmtId="0" fontId="1" fillId="3" borderId="1" applyAlignment="1" pivotButton="0" quotePrefix="0" xfId="0">
      <alignment vertical="top" wrapText="1"/>
    </xf>
    <xf numFmtId="0" fontId="1" fillId="3" borderId="1" pivotButton="0" quotePrefix="0" xfId="0"/>
    <xf numFmtId="0" fontId="2" fillId="2" borderId="1" pivotButton="0" quotePrefix="0" xfId="0"/>
    <xf numFmtId="0" fontId="0" fillId="0" borderId="1" applyAlignment="1" pivotButton="0" quotePrefix="0" xfId="0">
      <alignment vertical="top" wrapText="1"/>
    </xf>
    <xf numFmtId="4" fontId="0" fillId="0" borderId="0" pivotButton="0" quotePrefix="0" xfId="0"/>
    <xf numFmtId="4" fontId="1" fillId="0" borderId="0" pivotButton="0" quotePrefix="0" xfId="0"/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Расчёт процентов по ст. 395 ГК РФ</t>
        </is>
      </c>
    </row>
    <row r="2">
      <c r="A2" s="2" t="inlineStr">
        <is>
          <t>1. Лист «Ввод»: сумма основного долга на первый день просрочки, первый день просрочки, последний день расчёта.</t>
        </is>
      </c>
    </row>
    <row r="3">
      <c r="A3" s="2" t="inlineStr">
        <is>
          <t>2. Лист «Ввод»: ключевая ставка Банка России (cbr.ru, раздел «Ключевая ставка Банка России»): ставка, действовавшая в первый день просрочки, и все её изменения до конца расчёта — по возрастанию дат, без пропусков строк. Ставка вводится в процентах годовых: 21 означает 21 %. Долю (0,21) книга не принимает.</t>
        </is>
      </c>
    </row>
    <row r="4">
      <c r="A4" s="2" t="inlineStr">
        <is>
          <t>3. Лист «Ввод»: периоды, за которые проценты не начисляются (например, мораторий), если они применимы к вашему должнику. Применимость проверьте у специалиста.</t>
        </is>
      </c>
    </row>
    <row r="5">
      <c r="A5" s="2" t="inlineStr">
        <is>
          <t>4. Лист «Оплаты»: каждая оплата после начала просрочки — дата и сумма. Оплата, поступившая в день D, уменьшает долг со следующего дня. Оплаты внутри любого периода учитываются автоматически: книга сама делит расчёт на периоды по датам оплат и смены ставки.</t>
        </is>
      </c>
    </row>
    <row r="6">
      <c r="A6" s="2" t="inlineStr">
        <is>
          <t>5. Лист «Проверки»: все строки должны быть «ок». Любая строка «БЛОК» останавливает итог: книга не выдаёт сумму, которая может быть завышена или занижена.</t>
        </is>
      </c>
    </row>
    <row r="7">
      <c r="A7" s="2" t="inlineStr">
        <is>
          <t>6. Лист «Расчёт»: таблица периодов для приложения к претензии и иску и итоговая сумма.</t>
        </is>
      </c>
    </row>
    <row r="8">
      <c r="A8" s="2" t="inlineStr">
        <is>
          <t>Ограничения: до 500 оплат, 60 изменений ставки, 20 исключаемых периодов, 3661 день расчёта, 600 периодов. Данные за пределами таблиц не отбрасываются молча, а блокируют итог.</t>
        </is>
      </c>
    </row>
    <row r="9">
      <c r="A9" s="2" t="inlineStr">
        <is>
          <t>Оплаты уменьшают основной долг. Если договор устанавливает неустойку за просрочку оплаты, проценты по ст. 395 ГК РФ по общему правилу не взыскиваются (п. 4 ст. 395 ГК РФ) — выбор к специалисту.</t>
        </is>
      </c>
    </row>
    <row r="10">
      <c r="A10" s="2" t="inlineStr">
        <is>
          <t>Число дней в году — фактическое (365 или 366) для каждого дня. Проценты за период округляются до копейки; итог — сумма периодов.</t>
        </is>
      </c>
    </row>
    <row r="11">
      <c r="A11" s="2" t="inlineStr">
        <is>
          <t>Редакция-кандидат. Правовые ссылки этой редакции не прошли юридическую приёмку; перед применением сверьте их с действующей редакцией закона.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71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48" customWidth="1" min="3" max="3"/>
    <col width="4" customWidth="1" min="4" max="4"/>
    <col width="4" customWidth="1" min="5" max="5"/>
    <col width="16" customWidth="1" min="6" max="6"/>
    <col width="16" customWidth="1" min="7" max="7"/>
    <col width="40" customWidth="1" min="8" max="8"/>
  </cols>
  <sheetData>
    <row r="1">
      <c r="A1" s="1" t="inlineStr">
        <is>
          <t>Исходные данные</t>
        </is>
      </c>
    </row>
    <row r="4">
      <c r="A4" t="inlineStr">
        <is>
          <t>Сумма основного долга на первый день просрочки, руб.</t>
        </is>
      </c>
      <c r="B4" s="3" t="n"/>
      <c r="C4" s="2" t="inlineStr">
        <is>
          <t>Из реестра взаиморасчётов (файл 08): бесспорный долг без спорных сумм.</t>
        </is>
      </c>
    </row>
    <row r="5">
      <c r="A5" t="inlineStr">
        <is>
          <t>Первый день просрочки</t>
        </is>
      </c>
      <c r="B5" s="4" t="n"/>
      <c r="C5" s="2" t="inlineStr">
        <is>
          <t>Из файла 02, лист «Маршрут».</t>
        </is>
      </c>
    </row>
    <row r="6">
      <c r="A6" t="inlineStr">
        <is>
          <t>Последний день расчёта (включительно)</t>
        </is>
      </c>
      <c r="B6" s="4" t="n"/>
      <c r="C6" s="2" t="inlineStr">
        <is>
          <t>Дата претензии или иска.</t>
        </is>
      </c>
    </row>
    <row r="8">
      <c r="A8" s="1" t="inlineStr">
        <is>
          <t>Ставка — в процентах годовых: 21 означает 21 %. Не вводите долю (0,21).</t>
        </is>
      </c>
    </row>
    <row r="10">
      <c r="F10" s="5" t="inlineStr">
        <is>
          <t>Периоды без начисления (если применимо)</t>
        </is>
      </c>
    </row>
    <row r="11">
      <c r="A11" s="6" t="inlineStr">
        <is>
          <t>Ставка действует с</t>
        </is>
      </c>
      <c r="B11" s="6" t="inlineStr">
        <is>
          <t>Ставка, % годовых</t>
        </is>
      </c>
      <c r="C11" s="6" t="inlineStr">
        <is>
          <t>Проверка</t>
        </is>
      </c>
      <c r="D11" t="inlineStr">
        <is>
          <t>служ.</t>
        </is>
      </c>
      <c r="F11" s="7" t="inlineStr">
        <is>
          <t>С</t>
        </is>
      </c>
      <c r="G11" s="7" t="inlineStr">
        <is>
          <t>По (включительно)</t>
        </is>
      </c>
      <c r="H11" s="7" t="inlineStr">
        <is>
          <t>Проверка</t>
        </is>
      </c>
    </row>
    <row r="12">
      <c r="A12" s="4" t="n"/>
      <c r="B12" s="8" t="n"/>
      <c r="C12" s="9">
        <f>IF(AND(A12="",B12=""),"",IF(OR(A12="",B12=""),"БЛОК: нужны и дата, и ставка",IF(OR(B12&lt;=0,B12&gt;100),"БЛОК: ставка вне 0–100",IF(B12&lt;1,"БЛОК: похоже на долю — введите проценты","ок"))))</f>
        <v/>
      </c>
      <c r="D12">
        <f>IF(A12="",2958465,A12)</f>
        <v/>
      </c>
      <c r="F12" s="4" t="n"/>
      <c r="G12" s="4" t="n"/>
      <c r="H12" s="9">
        <f>IF(AND(F12="",G12=""),"",IF(OR(F12="",G12=""),"БЛОК: нужны обе даты",IF(G12&lt;F12,"БЛОК: конец раньше начала","ок")))</f>
        <v/>
      </c>
    </row>
    <row r="13">
      <c r="A13" s="4" t="n"/>
      <c r="B13" s="8" t="n"/>
      <c r="C13" s="9">
        <f>IF(AND(A13="",B13=""),"",IF(OR(A13="",B13=""),"БЛОК: нужны и дата, и ставка",IF(OR(B13&lt;=0,B13&gt;100),"БЛОК: ставка вне 0–100",IF(B13&lt;1,"БЛОК: похоже на долю — введите проценты",IF(OR(A12="",A13&lt;=A12),"БЛОК: даты по возрастанию, без пустых строк","ок")))))</f>
        <v/>
      </c>
      <c r="D13">
        <f>IF(A13="",2958465,A13)</f>
        <v/>
      </c>
      <c r="F13" s="4" t="n"/>
      <c r="G13" s="4" t="n"/>
      <c r="H13" s="9">
        <f>IF(AND(F13="",G13=""),"",IF(OR(F13="",G13=""),"БЛОК: нужны обе даты",IF(G13&lt;F13,"БЛОК: конец раньше начала","ок")))</f>
        <v/>
      </c>
    </row>
    <row r="14">
      <c r="A14" s="4" t="n"/>
      <c r="B14" s="8" t="n"/>
      <c r="C14" s="9">
        <f>IF(AND(A14="",B14=""),"",IF(OR(A14="",B14=""),"БЛОК: нужны и дата, и ставка",IF(OR(B14&lt;=0,B14&gt;100),"БЛОК: ставка вне 0–100",IF(B14&lt;1,"БЛОК: похоже на долю — введите проценты",IF(OR(A13="",A14&lt;=A13),"БЛОК: даты по возрастанию, без пустых строк","ок")))))</f>
        <v/>
      </c>
      <c r="D14">
        <f>IF(A14="",2958465,A14)</f>
        <v/>
      </c>
      <c r="F14" s="4" t="n"/>
      <c r="G14" s="4" t="n"/>
      <c r="H14" s="9">
        <f>IF(AND(F14="",G14=""),"",IF(OR(F14="",G14=""),"БЛОК: нужны обе даты",IF(G14&lt;F14,"БЛОК: конец раньше начала","ок")))</f>
        <v/>
      </c>
    </row>
    <row r="15">
      <c r="A15" s="4" t="n"/>
      <c r="B15" s="8" t="n"/>
      <c r="C15" s="9">
        <f>IF(AND(A15="",B15=""),"",IF(OR(A15="",B15=""),"БЛОК: нужны и дата, и ставка",IF(OR(B15&lt;=0,B15&gt;100),"БЛОК: ставка вне 0–100",IF(B15&lt;1,"БЛОК: похоже на долю — введите проценты",IF(OR(A14="",A15&lt;=A14),"БЛОК: даты по возрастанию, без пустых строк","ок")))))</f>
        <v/>
      </c>
      <c r="D15">
        <f>IF(A15="",2958465,A15)</f>
        <v/>
      </c>
      <c r="F15" s="4" t="n"/>
      <c r="G15" s="4" t="n"/>
      <c r="H15" s="9">
        <f>IF(AND(F15="",G15=""),"",IF(OR(F15="",G15=""),"БЛОК: нужны обе даты",IF(G15&lt;F15,"БЛОК: конец раньше начала","ок")))</f>
        <v/>
      </c>
    </row>
    <row r="16">
      <c r="A16" s="4" t="n"/>
      <c r="B16" s="8" t="n"/>
      <c r="C16" s="9">
        <f>IF(AND(A16="",B16=""),"",IF(OR(A16="",B16=""),"БЛОК: нужны и дата, и ставка",IF(OR(B16&lt;=0,B16&gt;100),"БЛОК: ставка вне 0–100",IF(B16&lt;1,"БЛОК: похоже на долю — введите проценты",IF(OR(A15="",A16&lt;=A15),"БЛОК: даты по возрастанию, без пустых строк","ок")))))</f>
        <v/>
      </c>
      <c r="D16">
        <f>IF(A16="",2958465,A16)</f>
        <v/>
      </c>
      <c r="F16" s="4" t="n"/>
      <c r="G16" s="4" t="n"/>
      <c r="H16" s="9">
        <f>IF(AND(F16="",G16=""),"",IF(OR(F16="",G16=""),"БЛОК: нужны обе даты",IF(G16&lt;F16,"БЛОК: конец раньше начала","ок")))</f>
        <v/>
      </c>
    </row>
    <row r="17">
      <c r="A17" s="4" t="n"/>
      <c r="B17" s="8" t="n"/>
      <c r="C17" s="9">
        <f>IF(AND(A17="",B17=""),"",IF(OR(A17="",B17=""),"БЛОК: нужны и дата, и ставка",IF(OR(B17&lt;=0,B17&gt;100),"БЛОК: ставка вне 0–100",IF(B17&lt;1,"БЛОК: похоже на долю — введите проценты",IF(OR(A16="",A17&lt;=A16),"БЛОК: даты по возрастанию, без пустых строк","ок")))))</f>
        <v/>
      </c>
      <c r="D17">
        <f>IF(A17="",2958465,A17)</f>
        <v/>
      </c>
      <c r="F17" s="4" t="n"/>
      <c r="G17" s="4" t="n"/>
      <c r="H17" s="9">
        <f>IF(AND(F17="",G17=""),"",IF(OR(F17="",G17=""),"БЛОК: нужны обе даты",IF(G17&lt;F17,"БЛОК: конец раньше начала","ок")))</f>
        <v/>
      </c>
    </row>
    <row r="18">
      <c r="A18" s="4" t="n"/>
      <c r="B18" s="8" t="n"/>
      <c r="C18" s="9">
        <f>IF(AND(A18="",B18=""),"",IF(OR(A18="",B18=""),"БЛОК: нужны и дата, и ставка",IF(OR(B18&lt;=0,B18&gt;100),"БЛОК: ставка вне 0–100",IF(B18&lt;1,"БЛОК: похоже на долю — введите проценты",IF(OR(A17="",A18&lt;=A17),"БЛОК: даты по возрастанию, без пустых строк","ок")))))</f>
        <v/>
      </c>
      <c r="D18">
        <f>IF(A18="",2958465,A18)</f>
        <v/>
      </c>
      <c r="F18" s="4" t="n"/>
      <c r="G18" s="4" t="n"/>
      <c r="H18" s="9">
        <f>IF(AND(F18="",G18=""),"",IF(OR(F18="",G18=""),"БЛОК: нужны обе даты",IF(G18&lt;F18,"БЛОК: конец раньше начала","ок")))</f>
        <v/>
      </c>
    </row>
    <row r="19">
      <c r="A19" s="4" t="n"/>
      <c r="B19" s="8" t="n"/>
      <c r="C19" s="9">
        <f>IF(AND(A19="",B19=""),"",IF(OR(A19="",B19=""),"БЛОК: нужны и дата, и ставка",IF(OR(B19&lt;=0,B19&gt;100),"БЛОК: ставка вне 0–100",IF(B19&lt;1,"БЛОК: похоже на долю — введите проценты",IF(OR(A18="",A19&lt;=A18),"БЛОК: даты по возрастанию, без пустых строк","ок")))))</f>
        <v/>
      </c>
      <c r="D19">
        <f>IF(A19="",2958465,A19)</f>
        <v/>
      </c>
      <c r="F19" s="4" t="n"/>
      <c r="G19" s="4" t="n"/>
      <c r="H19" s="9">
        <f>IF(AND(F19="",G19=""),"",IF(OR(F19="",G19=""),"БЛОК: нужны обе даты",IF(G19&lt;F19,"БЛОК: конец раньше начала","ок")))</f>
        <v/>
      </c>
    </row>
    <row r="20">
      <c r="A20" s="4" t="n"/>
      <c r="B20" s="8" t="n"/>
      <c r="C20" s="9">
        <f>IF(AND(A20="",B20=""),"",IF(OR(A20="",B20=""),"БЛОК: нужны и дата, и ставка",IF(OR(B20&lt;=0,B20&gt;100),"БЛОК: ставка вне 0–100",IF(B20&lt;1,"БЛОК: похоже на долю — введите проценты",IF(OR(A19="",A20&lt;=A19),"БЛОК: даты по возрастанию, без пустых строк","ок")))))</f>
        <v/>
      </c>
      <c r="D20">
        <f>IF(A20="",2958465,A20)</f>
        <v/>
      </c>
      <c r="F20" s="4" t="n"/>
      <c r="G20" s="4" t="n"/>
      <c r="H20" s="9">
        <f>IF(AND(F20="",G20=""),"",IF(OR(F20="",G20=""),"БЛОК: нужны обе даты",IF(G20&lt;F20,"БЛОК: конец раньше начала","ок")))</f>
        <v/>
      </c>
    </row>
    <row r="21">
      <c r="A21" s="4" t="n"/>
      <c r="B21" s="8" t="n"/>
      <c r="C21" s="9">
        <f>IF(AND(A21="",B21=""),"",IF(OR(A21="",B21=""),"БЛОК: нужны и дата, и ставка",IF(OR(B21&lt;=0,B21&gt;100),"БЛОК: ставка вне 0–100",IF(B21&lt;1,"БЛОК: похоже на долю — введите проценты",IF(OR(A20="",A21&lt;=A20),"БЛОК: даты по возрастанию, без пустых строк","ок")))))</f>
        <v/>
      </c>
      <c r="D21">
        <f>IF(A21="",2958465,A21)</f>
        <v/>
      </c>
      <c r="F21" s="4" t="n"/>
      <c r="G21" s="4" t="n"/>
      <c r="H21" s="9">
        <f>IF(AND(F21="",G21=""),"",IF(OR(F21="",G21=""),"БЛОК: нужны обе даты",IF(G21&lt;F21,"БЛОК: конец раньше начала","ок")))</f>
        <v/>
      </c>
    </row>
    <row r="22">
      <c r="A22" s="4" t="n"/>
      <c r="B22" s="8" t="n"/>
      <c r="C22" s="9">
        <f>IF(AND(A22="",B22=""),"",IF(OR(A22="",B22=""),"БЛОК: нужны и дата, и ставка",IF(OR(B22&lt;=0,B22&gt;100),"БЛОК: ставка вне 0–100",IF(B22&lt;1,"БЛОК: похоже на долю — введите проценты",IF(OR(A21="",A22&lt;=A21),"БЛОК: даты по возрастанию, без пустых строк","ок")))))</f>
        <v/>
      </c>
      <c r="D22">
        <f>IF(A22="",2958465,A22)</f>
        <v/>
      </c>
      <c r="F22" s="4" t="n"/>
      <c r="G22" s="4" t="n"/>
      <c r="H22" s="9">
        <f>IF(AND(F22="",G22=""),"",IF(OR(F22="",G22=""),"БЛОК: нужны обе даты",IF(G22&lt;F22,"БЛОК: конец раньше начала","ок")))</f>
        <v/>
      </c>
    </row>
    <row r="23">
      <c r="A23" s="4" t="n"/>
      <c r="B23" s="8" t="n"/>
      <c r="C23" s="9">
        <f>IF(AND(A23="",B23=""),"",IF(OR(A23="",B23=""),"БЛОК: нужны и дата, и ставка",IF(OR(B23&lt;=0,B23&gt;100),"БЛОК: ставка вне 0–100",IF(B23&lt;1,"БЛОК: похоже на долю — введите проценты",IF(OR(A22="",A23&lt;=A22),"БЛОК: даты по возрастанию, без пустых строк","ок")))))</f>
        <v/>
      </c>
      <c r="D23">
        <f>IF(A23="",2958465,A23)</f>
        <v/>
      </c>
      <c r="F23" s="4" t="n"/>
      <c r="G23" s="4" t="n"/>
      <c r="H23" s="9">
        <f>IF(AND(F23="",G23=""),"",IF(OR(F23="",G23=""),"БЛОК: нужны обе даты",IF(G23&lt;F23,"БЛОК: конец раньше начала","ок")))</f>
        <v/>
      </c>
    </row>
    <row r="24">
      <c r="A24" s="4" t="n"/>
      <c r="B24" s="8" t="n"/>
      <c r="C24" s="9">
        <f>IF(AND(A24="",B24=""),"",IF(OR(A24="",B24=""),"БЛОК: нужны и дата, и ставка",IF(OR(B24&lt;=0,B24&gt;100),"БЛОК: ставка вне 0–100",IF(B24&lt;1,"БЛОК: похоже на долю — введите проценты",IF(OR(A23="",A24&lt;=A23),"БЛОК: даты по возрастанию, без пустых строк","ок")))))</f>
        <v/>
      </c>
      <c r="D24">
        <f>IF(A24="",2958465,A24)</f>
        <v/>
      </c>
      <c r="F24" s="4" t="n"/>
      <c r="G24" s="4" t="n"/>
      <c r="H24" s="9">
        <f>IF(AND(F24="",G24=""),"",IF(OR(F24="",G24=""),"БЛОК: нужны обе даты",IF(G24&lt;F24,"БЛОК: конец раньше начала","ок")))</f>
        <v/>
      </c>
    </row>
    <row r="25">
      <c r="A25" s="4" t="n"/>
      <c r="B25" s="8" t="n"/>
      <c r="C25" s="9">
        <f>IF(AND(A25="",B25=""),"",IF(OR(A25="",B25=""),"БЛОК: нужны и дата, и ставка",IF(OR(B25&lt;=0,B25&gt;100),"БЛОК: ставка вне 0–100",IF(B25&lt;1,"БЛОК: похоже на долю — введите проценты",IF(OR(A24="",A25&lt;=A24),"БЛОК: даты по возрастанию, без пустых строк","ок")))))</f>
        <v/>
      </c>
      <c r="D25">
        <f>IF(A25="",2958465,A25)</f>
        <v/>
      </c>
      <c r="F25" s="4" t="n"/>
      <c r="G25" s="4" t="n"/>
      <c r="H25" s="9">
        <f>IF(AND(F25="",G25=""),"",IF(OR(F25="",G25=""),"БЛОК: нужны обе даты",IF(G25&lt;F25,"БЛОК: конец раньше начала","ок")))</f>
        <v/>
      </c>
    </row>
    <row r="26">
      <c r="A26" s="4" t="n"/>
      <c r="B26" s="8" t="n"/>
      <c r="C26" s="9">
        <f>IF(AND(A26="",B26=""),"",IF(OR(A26="",B26=""),"БЛОК: нужны и дата, и ставка",IF(OR(B26&lt;=0,B26&gt;100),"БЛОК: ставка вне 0–100",IF(B26&lt;1,"БЛОК: похоже на долю — введите проценты",IF(OR(A25="",A26&lt;=A25),"БЛОК: даты по возрастанию, без пустых строк","ок")))))</f>
        <v/>
      </c>
      <c r="D26">
        <f>IF(A26="",2958465,A26)</f>
        <v/>
      </c>
      <c r="F26" s="4" t="n"/>
      <c r="G26" s="4" t="n"/>
      <c r="H26" s="9">
        <f>IF(AND(F26="",G26=""),"",IF(OR(F26="",G26=""),"БЛОК: нужны обе даты",IF(G26&lt;F26,"БЛОК: конец раньше начала","ок")))</f>
        <v/>
      </c>
    </row>
    <row r="27">
      <c r="A27" s="4" t="n"/>
      <c r="B27" s="8" t="n"/>
      <c r="C27" s="9">
        <f>IF(AND(A27="",B27=""),"",IF(OR(A27="",B27=""),"БЛОК: нужны и дата, и ставка",IF(OR(B27&lt;=0,B27&gt;100),"БЛОК: ставка вне 0–100",IF(B27&lt;1,"БЛОК: похоже на долю — введите проценты",IF(OR(A26="",A27&lt;=A26),"БЛОК: даты по возрастанию, без пустых строк","ок")))))</f>
        <v/>
      </c>
      <c r="D27">
        <f>IF(A27="",2958465,A27)</f>
        <v/>
      </c>
      <c r="F27" s="4" t="n"/>
      <c r="G27" s="4" t="n"/>
      <c r="H27" s="9">
        <f>IF(AND(F27="",G27=""),"",IF(OR(F27="",G27=""),"БЛОК: нужны обе даты",IF(G27&lt;F27,"БЛОК: конец раньше начала","ок")))</f>
        <v/>
      </c>
    </row>
    <row r="28">
      <c r="A28" s="4" t="n"/>
      <c r="B28" s="8" t="n"/>
      <c r="C28" s="9">
        <f>IF(AND(A28="",B28=""),"",IF(OR(A28="",B28=""),"БЛОК: нужны и дата, и ставка",IF(OR(B28&lt;=0,B28&gt;100),"БЛОК: ставка вне 0–100",IF(B28&lt;1,"БЛОК: похоже на долю — введите проценты",IF(OR(A27="",A28&lt;=A27),"БЛОК: даты по возрастанию, без пустых строк","ок")))))</f>
        <v/>
      </c>
      <c r="D28">
        <f>IF(A28="",2958465,A28)</f>
        <v/>
      </c>
      <c r="F28" s="4" t="n"/>
      <c r="G28" s="4" t="n"/>
      <c r="H28" s="9">
        <f>IF(AND(F28="",G28=""),"",IF(OR(F28="",G28=""),"БЛОК: нужны обе даты",IF(G28&lt;F28,"БЛОК: конец раньше начала","ок")))</f>
        <v/>
      </c>
    </row>
    <row r="29">
      <c r="A29" s="4" t="n"/>
      <c r="B29" s="8" t="n"/>
      <c r="C29" s="9">
        <f>IF(AND(A29="",B29=""),"",IF(OR(A29="",B29=""),"БЛОК: нужны и дата, и ставка",IF(OR(B29&lt;=0,B29&gt;100),"БЛОК: ставка вне 0–100",IF(B29&lt;1,"БЛОК: похоже на долю — введите проценты",IF(OR(A28="",A29&lt;=A28),"БЛОК: даты по возрастанию, без пустых строк","ок")))))</f>
        <v/>
      </c>
      <c r="D29">
        <f>IF(A29="",2958465,A29)</f>
        <v/>
      </c>
      <c r="F29" s="4" t="n"/>
      <c r="G29" s="4" t="n"/>
      <c r="H29" s="9">
        <f>IF(AND(F29="",G29=""),"",IF(OR(F29="",G29=""),"БЛОК: нужны обе даты",IF(G29&lt;F29,"БЛОК: конец раньше начала","ок")))</f>
        <v/>
      </c>
    </row>
    <row r="30">
      <c r="A30" s="4" t="n"/>
      <c r="B30" s="8" t="n"/>
      <c r="C30" s="9">
        <f>IF(AND(A30="",B30=""),"",IF(OR(A30="",B30=""),"БЛОК: нужны и дата, и ставка",IF(OR(B30&lt;=0,B30&gt;100),"БЛОК: ставка вне 0–100",IF(B30&lt;1,"БЛОК: похоже на долю — введите проценты",IF(OR(A29="",A30&lt;=A29),"БЛОК: даты по возрастанию, без пустых строк","ок")))))</f>
        <v/>
      </c>
      <c r="D30">
        <f>IF(A30="",2958465,A30)</f>
        <v/>
      </c>
      <c r="F30" s="4" t="n"/>
      <c r="G30" s="4" t="n"/>
      <c r="H30" s="9">
        <f>IF(AND(F30="",G30=""),"",IF(OR(F30="",G30=""),"БЛОК: нужны обе даты",IF(G30&lt;F30,"БЛОК: конец раньше начала","ок")))</f>
        <v/>
      </c>
    </row>
    <row r="31">
      <c r="A31" s="4" t="n"/>
      <c r="B31" s="8" t="n"/>
      <c r="C31" s="9">
        <f>IF(AND(A31="",B31=""),"",IF(OR(A31="",B31=""),"БЛОК: нужны и дата, и ставка",IF(OR(B31&lt;=0,B31&gt;100),"БЛОК: ставка вне 0–100",IF(B31&lt;1,"БЛОК: похоже на долю — введите проценты",IF(OR(A30="",A31&lt;=A30),"БЛОК: даты по возрастанию, без пустых строк","ок")))))</f>
        <v/>
      </c>
      <c r="D31">
        <f>IF(A31="",2958465,A31)</f>
        <v/>
      </c>
      <c r="F31" s="4" t="n"/>
      <c r="G31" s="4" t="n"/>
      <c r="H31" s="9">
        <f>IF(AND(F31="",G31=""),"",IF(OR(F31="",G31=""),"БЛОК: нужны обе даты",IF(G31&lt;F31,"БЛОК: конец раньше начала","ок")))</f>
        <v/>
      </c>
    </row>
    <row r="32">
      <c r="A32" s="4" t="n"/>
      <c r="B32" s="8" t="n"/>
      <c r="C32" s="9">
        <f>IF(AND(A32="",B32=""),"",IF(OR(A32="",B32=""),"БЛОК: нужны и дата, и ставка",IF(OR(B32&lt;=0,B32&gt;100),"БЛОК: ставка вне 0–100",IF(B32&lt;1,"БЛОК: похоже на долю — введите проценты",IF(OR(A31="",A32&lt;=A31),"БЛОК: даты по возрастанию, без пустых строк","ок")))))</f>
        <v/>
      </c>
      <c r="D32">
        <f>IF(A32="",2958465,A32)</f>
        <v/>
      </c>
    </row>
    <row r="33">
      <c r="A33" s="4" t="n"/>
      <c r="B33" s="8" t="n"/>
      <c r="C33" s="9">
        <f>IF(AND(A33="",B33=""),"",IF(OR(A33="",B33=""),"БЛОК: нужны и дата, и ставка",IF(OR(B33&lt;=0,B33&gt;100),"БЛОК: ставка вне 0–100",IF(B33&lt;1,"БЛОК: похоже на долю — введите проценты",IF(OR(A32="",A33&lt;=A32),"БЛОК: даты по возрастанию, без пустых строк","ок")))))</f>
        <v/>
      </c>
      <c r="D33">
        <f>IF(A33="",2958465,A33)</f>
        <v/>
      </c>
    </row>
    <row r="34">
      <c r="A34" s="4" t="n"/>
      <c r="B34" s="8" t="n"/>
      <c r="C34" s="9">
        <f>IF(AND(A34="",B34=""),"",IF(OR(A34="",B34=""),"БЛОК: нужны и дата, и ставка",IF(OR(B34&lt;=0,B34&gt;100),"БЛОК: ставка вне 0–100",IF(B34&lt;1,"БЛОК: похоже на долю — введите проценты",IF(OR(A33="",A34&lt;=A33),"БЛОК: даты по возрастанию, без пустых строк","ок")))))</f>
        <v/>
      </c>
      <c r="D34">
        <f>IF(A34="",2958465,A34)</f>
        <v/>
      </c>
    </row>
    <row r="35">
      <c r="A35" s="4" t="n"/>
      <c r="B35" s="8" t="n"/>
      <c r="C35" s="9">
        <f>IF(AND(A35="",B35=""),"",IF(OR(A35="",B35=""),"БЛОК: нужны и дата, и ставка",IF(OR(B35&lt;=0,B35&gt;100),"БЛОК: ставка вне 0–100",IF(B35&lt;1,"БЛОК: похоже на долю — введите проценты",IF(OR(A34="",A35&lt;=A34),"БЛОК: даты по возрастанию, без пустых строк","ок")))))</f>
        <v/>
      </c>
      <c r="D35">
        <f>IF(A35="",2958465,A35)</f>
        <v/>
      </c>
    </row>
    <row r="36">
      <c r="A36" s="4" t="n"/>
      <c r="B36" s="8" t="n"/>
      <c r="C36" s="9">
        <f>IF(AND(A36="",B36=""),"",IF(OR(A36="",B36=""),"БЛОК: нужны и дата, и ставка",IF(OR(B36&lt;=0,B36&gt;100),"БЛОК: ставка вне 0–100",IF(B36&lt;1,"БЛОК: похоже на долю — введите проценты",IF(OR(A35="",A36&lt;=A35),"БЛОК: даты по возрастанию, без пустых строк","ок")))))</f>
        <v/>
      </c>
      <c r="D36">
        <f>IF(A36="",2958465,A36)</f>
        <v/>
      </c>
    </row>
    <row r="37">
      <c r="A37" s="4" t="n"/>
      <c r="B37" s="8" t="n"/>
      <c r="C37" s="9">
        <f>IF(AND(A37="",B37=""),"",IF(OR(A37="",B37=""),"БЛОК: нужны и дата, и ставка",IF(OR(B37&lt;=0,B37&gt;100),"БЛОК: ставка вне 0–100",IF(B37&lt;1,"БЛОК: похоже на долю — введите проценты",IF(OR(A36="",A37&lt;=A36),"БЛОК: даты по возрастанию, без пустых строк","ок")))))</f>
        <v/>
      </c>
      <c r="D37">
        <f>IF(A37="",2958465,A37)</f>
        <v/>
      </c>
    </row>
    <row r="38">
      <c r="A38" s="4" t="n"/>
      <c r="B38" s="8" t="n"/>
      <c r="C38" s="9">
        <f>IF(AND(A38="",B38=""),"",IF(OR(A38="",B38=""),"БЛОК: нужны и дата, и ставка",IF(OR(B38&lt;=0,B38&gt;100),"БЛОК: ставка вне 0–100",IF(B38&lt;1,"БЛОК: похоже на долю — введите проценты",IF(OR(A37="",A38&lt;=A37),"БЛОК: даты по возрастанию, без пустых строк","ок")))))</f>
        <v/>
      </c>
      <c r="D38">
        <f>IF(A38="",2958465,A38)</f>
        <v/>
      </c>
    </row>
    <row r="39">
      <c r="A39" s="4" t="n"/>
      <c r="B39" s="8" t="n"/>
      <c r="C39" s="9">
        <f>IF(AND(A39="",B39=""),"",IF(OR(A39="",B39=""),"БЛОК: нужны и дата, и ставка",IF(OR(B39&lt;=0,B39&gt;100),"БЛОК: ставка вне 0–100",IF(B39&lt;1,"БЛОК: похоже на долю — введите проценты",IF(OR(A38="",A39&lt;=A38),"БЛОК: даты по возрастанию, без пустых строк","ок")))))</f>
        <v/>
      </c>
      <c r="D39">
        <f>IF(A39="",2958465,A39)</f>
        <v/>
      </c>
    </row>
    <row r="40">
      <c r="A40" s="4" t="n"/>
      <c r="B40" s="8" t="n"/>
      <c r="C40" s="9">
        <f>IF(AND(A40="",B40=""),"",IF(OR(A40="",B40=""),"БЛОК: нужны и дата, и ставка",IF(OR(B40&lt;=0,B40&gt;100),"БЛОК: ставка вне 0–100",IF(B40&lt;1,"БЛОК: похоже на долю — введите проценты",IF(OR(A39="",A40&lt;=A39),"БЛОК: даты по возрастанию, без пустых строк","ок")))))</f>
        <v/>
      </c>
      <c r="D40">
        <f>IF(A40="",2958465,A40)</f>
        <v/>
      </c>
    </row>
    <row r="41">
      <c r="A41" s="4" t="n"/>
      <c r="B41" s="8" t="n"/>
      <c r="C41" s="9">
        <f>IF(AND(A41="",B41=""),"",IF(OR(A41="",B41=""),"БЛОК: нужны и дата, и ставка",IF(OR(B41&lt;=0,B41&gt;100),"БЛОК: ставка вне 0–100",IF(B41&lt;1,"БЛОК: похоже на долю — введите проценты",IF(OR(A40="",A41&lt;=A40),"БЛОК: даты по возрастанию, без пустых строк","ок")))))</f>
        <v/>
      </c>
      <c r="D41">
        <f>IF(A41="",2958465,A41)</f>
        <v/>
      </c>
    </row>
    <row r="42">
      <c r="A42" s="4" t="n"/>
      <c r="B42" s="8" t="n"/>
      <c r="C42" s="9">
        <f>IF(AND(A42="",B42=""),"",IF(OR(A42="",B42=""),"БЛОК: нужны и дата, и ставка",IF(OR(B42&lt;=0,B42&gt;100),"БЛОК: ставка вне 0–100",IF(B42&lt;1,"БЛОК: похоже на долю — введите проценты",IF(OR(A41="",A42&lt;=A41),"БЛОК: даты по возрастанию, без пустых строк","ок")))))</f>
        <v/>
      </c>
      <c r="D42">
        <f>IF(A42="",2958465,A42)</f>
        <v/>
      </c>
    </row>
    <row r="43">
      <c r="A43" s="4" t="n"/>
      <c r="B43" s="8" t="n"/>
      <c r="C43" s="9">
        <f>IF(AND(A43="",B43=""),"",IF(OR(A43="",B43=""),"БЛОК: нужны и дата, и ставка",IF(OR(B43&lt;=0,B43&gt;100),"БЛОК: ставка вне 0–100",IF(B43&lt;1,"БЛОК: похоже на долю — введите проценты",IF(OR(A42="",A43&lt;=A42),"БЛОК: даты по возрастанию, без пустых строк","ок")))))</f>
        <v/>
      </c>
      <c r="D43">
        <f>IF(A43="",2958465,A43)</f>
        <v/>
      </c>
    </row>
    <row r="44">
      <c r="A44" s="4" t="n"/>
      <c r="B44" s="8" t="n"/>
      <c r="C44" s="9">
        <f>IF(AND(A44="",B44=""),"",IF(OR(A44="",B44=""),"БЛОК: нужны и дата, и ставка",IF(OR(B44&lt;=0,B44&gt;100),"БЛОК: ставка вне 0–100",IF(B44&lt;1,"БЛОК: похоже на долю — введите проценты",IF(OR(A43="",A44&lt;=A43),"БЛОК: даты по возрастанию, без пустых строк","ок")))))</f>
        <v/>
      </c>
      <c r="D44">
        <f>IF(A44="",2958465,A44)</f>
        <v/>
      </c>
    </row>
    <row r="45">
      <c r="A45" s="4" t="n"/>
      <c r="B45" s="8" t="n"/>
      <c r="C45" s="9">
        <f>IF(AND(A45="",B45=""),"",IF(OR(A45="",B45=""),"БЛОК: нужны и дата, и ставка",IF(OR(B45&lt;=0,B45&gt;100),"БЛОК: ставка вне 0–100",IF(B45&lt;1,"БЛОК: похоже на долю — введите проценты",IF(OR(A44="",A45&lt;=A44),"БЛОК: даты по возрастанию, без пустых строк","ок")))))</f>
        <v/>
      </c>
      <c r="D45">
        <f>IF(A45="",2958465,A45)</f>
        <v/>
      </c>
    </row>
    <row r="46">
      <c r="A46" s="4" t="n"/>
      <c r="B46" s="8" t="n"/>
      <c r="C46" s="9">
        <f>IF(AND(A46="",B46=""),"",IF(OR(A46="",B46=""),"БЛОК: нужны и дата, и ставка",IF(OR(B46&lt;=0,B46&gt;100),"БЛОК: ставка вне 0–100",IF(B46&lt;1,"БЛОК: похоже на долю — введите проценты",IF(OR(A45="",A46&lt;=A45),"БЛОК: даты по возрастанию, без пустых строк","ок")))))</f>
        <v/>
      </c>
      <c r="D46">
        <f>IF(A46="",2958465,A46)</f>
        <v/>
      </c>
    </row>
    <row r="47">
      <c r="A47" s="4" t="n"/>
      <c r="B47" s="8" t="n"/>
      <c r="C47" s="9">
        <f>IF(AND(A47="",B47=""),"",IF(OR(A47="",B47=""),"БЛОК: нужны и дата, и ставка",IF(OR(B47&lt;=0,B47&gt;100),"БЛОК: ставка вне 0–100",IF(B47&lt;1,"БЛОК: похоже на долю — введите проценты",IF(OR(A46="",A47&lt;=A46),"БЛОК: даты по возрастанию, без пустых строк","ок")))))</f>
        <v/>
      </c>
      <c r="D47">
        <f>IF(A47="",2958465,A47)</f>
        <v/>
      </c>
    </row>
    <row r="48">
      <c r="A48" s="4" t="n"/>
      <c r="B48" s="8" t="n"/>
      <c r="C48" s="9">
        <f>IF(AND(A48="",B48=""),"",IF(OR(A48="",B48=""),"БЛОК: нужны и дата, и ставка",IF(OR(B48&lt;=0,B48&gt;100),"БЛОК: ставка вне 0–100",IF(B48&lt;1,"БЛОК: похоже на долю — введите проценты",IF(OR(A47="",A48&lt;=A47),"БЛОК: даты по возрастанию, без пустых строк","ок")))))</f>
        <v/>
      </c>
      <c r="D48">
        <f>IF(A48="",2958465,A48)</f>
        <v/>
      </c>
    </row>
    <row r="49">
      <c r="A49" s="4" t="n"/>
      <c r="B49" s="8" t="n"/>
      <c r="C49" s="9">
        <f>IF(AND(A49="",B49=""),"",IF(OR(A49="",B49=""),"БЛОК: нужны и дата, и ставка",IF(OR(B49&lt;=0,B49&gt;100),"БЛОК: ставка вне 0–100",IF(B49&lt;1,"БЛОК: похоже на долю — введите проценты",IF(OR(A48="",A49&lt;=A48),"БЛОК: даты по возрастанию, без пустых строк","ок")))))</f>
        <v/>
      </c>
      <c r="D49">
        <f>IF(A49="",2958465,A49)</f>
        <v/>
      </c>
    </row>
    <row r="50">
      <c r="A50" s="4" t="n"/>
      <c r="B50" s="8" t="n"/>
      <c r="C50" s="9">
        <f>IF(AND(A50="",B50=""),"",IF(OR(A50="",B50=""),"БЛОК: нужны и дата, и ставка",IF(OR(B50&lt;=0,B50&gt;100),"БЛОК: ставка вне 0–100",IF(B50&lt;1,"БЛОК: похоже на долю — введите проценты",IF(OR(A49="",A50&lt;=A49),"БЛОК: даты по возрастанию, без пустых строк","ок")))))</f>
        <v/>
      </c>
      <c r="D50">
        <f>IF(A50="",2958465,A50)</f>
        <v/>
      </c>
    </row>
    <row r="51">
      <c r="A51" s="4" t="n"/>
      <c r="B51" s="8" t="n"/>
      <c r="C51" s="9">
        <f>IF(AND(A51="",B51=""),"",IF(OR(A51="",B51=""),"БЛОК: нужны и дата, и ставка",IF(OR(B51&lt;=0,B51&gt;100),"БЛОК: ставка вне 0–100",IF(B51&lt;1,"БЛОК: похоже на долю — введите проценты",IF(OR(A50="",A51&lt;=A50),"БЛОК: даты по возрастанию, без пустых строк","ок")))))</f>
        <v/>
      </c>
      <c r="D51">
        <f>IF(A51="",2958465,A51)</f>
        <v/>
      </c>
    </row>
    <row r="52">
      <c r="A52" s="4" t="n"/>
      <c r="B52" s="8" t="n"/>
      <c r="C52" s="9">
        <f>IF(AND(A52="",B52=""),"",IF(OR(A52="",B52=""),"БЛОК: нужны и дата, и ставка",IF(OR(B52&lt;=0,B52&gt;100),"БЛОК: ставка вне 0–100",IF(B52&lt;1,"БЛОК: похоже на долю — введите проценты",IF(OR(A51="",A52&lt;=A51),"БЛОК: даты по возрастанию, без пустых строк","ок")))))</f>
        <v/>
      </c>
      <c r="D52">
        <f>IF(A52="",2958465,A52)</f>
        <v/>
      </c>
    </row>
    <row r="53">
      <c r="A53" s="4" t="n"/>
      <c r="B53" s="8" t="n"/>
      <c r="C53" s="9">
        <f>IF(AND(A53="",B53=""),"",IF(OR(A53="",B53=""),"БЛОК: нужны и дата, и ставка",IF(OR(B53&lt;=0,B53&gt;100),"БЛОК: ставка вне 0–100",IF(B53&lt;1,"БЛОК: похоже на долю — введите проценты",IF(OR(A52="",A53&lt;=A52),"БЛОК: даты по возрастанию, без пустых строк","ок")))))</f>
        <v/>
      </c>
      <c r="D53">
        <f>IF(A53="",2958465,A53)</f>
        <v/>
      </c>
    </row>
    <row r="54">
      <c r="A54" s="4" t="n"/>
      <c r="B54" s="8" t="n"/>
      <c r="C54" s="9">
        <f>IF(AND(A54="",B54=""),"",IF(OR(A54="",B54=""),"БЛОК: нужны и дата, и ставка",IF(OR(B54&lt;=0,B54&gt;100),"БЛОК: ставка вне 0–100",IF(B54&lt;1,"БЛОК: похоже на долю — введите проценты",IF(OR(A53="",A54&lt;=A53),"БЛОК: даты по возрастанию, без пустых строк","ок")))))</f>
        <v/>
      </c>
      <c r="D54">
        <f>IF(A54="",2958465,A54)</f>
        <v/>
      </c>
    </row>
    <row r="55">
      <c r="A55" s="4" t="n"/>
      <c r="B55" s="8" t="n"/>
      <c r="C55" s="9">
        <f>IF(AND(A55="",B55=""),"",IF(OR(A55="",B55=""),"БЛОК: нужны и дата, и ставка",IF(OR(B55&lt;=0,B55&gt;100),"БЛОК: ставка вне 0–100",IF(B55&lt;1,"БЛОК: похоже на долю — введите проценты",IF(OR(A54="",A55&lt;=A54),"БЛОК: даты по возрастанию, без пустых строк","ок")))))</f>
        <v/>
      </c>
      <c r="D55">
        <f>IF(A55="",2958465,A55)</f>
        <v/>
      </c>
    </row>
    <row r="56">
      <c r="A56" s="4" t="n"/>
      <c r="B56" s="8" t="n"/>
      <c r="C56" s="9">
        <f>IF(AND(A56="",B56=""),"",IF(OR(A56="",B56=""),"БЛОК: нужны и дата, и ставка",IF(OR(B56&lt;=0,B56&gt;100),"БЛОК: ставка вне 0–100",IF(B56&lt;1,"БЛОК: похоже на долю — введите проценты",IF(OR(A55="",A56&lt;=A55),"БЛОК: даты по возрастанию, без пустых строк","ок")))))</f>
        <v/>
      </c>
      <c r="D56">
        <f>IF(A56="",2958465,A56)</f>
        <v/>
      </c>
    </row>
    <row r="57">
      <c r="A57" s="4" t="n"/>
      <c r="B57" s="8" t="n"/>
      <c r="C57" s="9">
        <f>IF(AND(A57="",B57=""),"",IF(OR(A57="",B57=""),"БЛОК: нужны и дата, и ставка",IF(OR(B57&lt;=0,B57&gt;100),"БЛОК: ставка вне 0–100",IF(B57&lt;1,"БЛОК: похоже на долю — введите проценты",IF(OR(A56="",A57&lt;=A56),"БЛОК: даты по возрастанию, без пустых строк","ок")))))</f>
        <v/>
      </c>
      <c r="D57">
        <f>IF(A57="",2958465,A57)</f>
        <v/>
      </c>
    </row>
    <row r="58">
      <c r="A58" s="4" t="n"/>
      <c r="B58" s="8" t="n"/>
      <c r="C58" s="9">
        <f>IF(AND(A58="",B58=""),"",IF(OR(A58="",B58=""),"БЛОК: нужны и дата, и ставка",IF(OR(B58&lt;=0,B58&gt;100),"БЛОК: ставка вне 0–100",IF(B58&lt;1,"БЛОК: похоже на долю — введите проценты",IF(OR(A57="",A58&lt;=A57),"БЛОК: даты по возрастанию, без пустых строк","ок")))))</f>
        <v/>
      </c>
      <c r="D58">
        <f>IF(A58="",2958465,A58)</f>
        <v/>
      </c>
    </row>
    <row r="59">
      <c r="A59" s="4" t="n"/>
      <c r="B59" s="8" t="n"/>
      <c r="C59" s="9">
        <f>IF(AND(A59="",B59=""),"",IF(OR(A59="",B59=""),"БЛОК: нужны и дата, и ставка",IF(OR(B59&lt;=0,B59&gt;100),"БЛОК: ставка вне 0–100",IF(B59&lt;1,"БЛОК: похоже на долю — введите проценты",IF(OR(A58="",A59&lt;=A58),"БЛОК: даты по возрастанию, без пустых строк","ок")))))</f>
        <v/>
      </c>
      <c r="D59">
        <f>IF(A59="",2958465,A59)</f>
        <v/>
      </c>
    </row>
    <row r="60">
      <c r="A60" s="4" t="n"/>
      <c r="B60" s="8" t="n"/>
      <c r="C60" s="9">
        <f>IF(AND(A60="",B60=""),"",IF(OR(A60="",B60=""),"БЛОК: нужны и дата, и ставка",IF(OR(B60&lt;=0,B60&gt;100),"БЛОК: ставка вне 0–100",IF(B60&lt;1,"БЛОК: похоже на долю — введите проценты",IF(OR(A59="",A60&lt;=A59),"БЛОК: даты по возрастанию, без пустых строк","ок")))))</f>
        <v/>
      </c>
      <c r="D60">
        <f>IF(A60="",2958465,A60)</f>
        <v/>
      </c>
    </row>
    <row r="61">
      <c r="A61" s="4" t="n"/>
      <c r="B61" s="8" t="n"/>
      <c r="C61" s="9">
        <f>IF(AND(A61="",B61=""),"",IF(OR(A61="",B61=""),"БЛОК: нужны и дата, и ставка",IF(OR(B61&lt;=0,B61&gt;100),"БЛОК: ставка вне 0–100",IF(B61&lt;1,"БЛОК: похоже на долю — введите проценты",IF(OR(A60="",A61&lt;=A60),"БЛОК: даты по возрастанию, без пустых строк","ок")))))</f>
        <v/>
      </c>
      <c r="D61">
        <f>IF(A61="",2958465,A61)</f>
        <v/>
      </c>
    </row>
    <row r="62">
      <c r="A62" s="4" t="n"/>
      <c r="B62" s="8" t="n"/>
      <c r="C62" s="9">
        <f>IF(AND(A62="",B62=""),"",IF(OR(A62="",B62=""),"БЛОК: нужны и дата, и ставка",IF(OR(B62&lt;=0,B62&gt;100),"БЛОК: ставка вне 0–100",IF(B62&lt;1,"БЛОК: похоже на долю — введите проценты",IF(OR(A61="",A62&lt;=A61),"БЛОК: даты по возрастанию, без пустых строк","ок")))))</f>
        <v/>
      </c>
      <c r="D62">
        <f>IF(A62="",2958465,A62)</f>
        <v/>
      </c>
    </row>
    <row r="63">
      <c r="A63" s="4" t="n"/>
      <c r="B63" s="8" t="n"/>
      <c r="C63" s="9">
        <f>IF(AND(A63="",B63=""),"",IF(OR(A63="",B63=""),"БЛОК: нужны и дата, и ставка",IF(OR(B63&lt;=0,B63&gt;100),"БЛОК: ставка вне 0–100",IF(B63&lt;1,"БЛОК: похоже на долю — введите проценты",IF(OR(A62="",A63&lt;=A62),"БЛОК: даты по возрастанию, без пустых строк","ок")))))</f>
        <v/>
      </c>
      <c r="D63">
        <f>IF(A63="",2958465,A63)</f>
        <v/>
      </c>
    </row>
    <row r="64">
      <c r="A64" s="4" t="n"/>
      <c r="B64" s="8" t="n"/>
      <c r="C64" s="9">
        <f>IF(AND(A64="",B64=""),"",IF(OR(A64="",B64=""),"БЛОК: нужны и дата, и ставка",IF(OR(B64&lt;=0,B64&gt;100),"БЛОК: ставка вне 0–100",IF(B64&lt;1,"БЛОК: похоже на долю — введите проценты",IF(OR(A63="",A64&lt;=A63),"БЛОК: даты по возрастанию, без пустых строк","ок")))))</f>
        <v/>
      </c>
      <c r="D64">
        <f>IF(A64="",2958465,A64)</f>
        <v/>
      </c>
    </row>
    <row r="65">
      <c r="A65" s="4" t="n"/>
      <c r="B65" s="8" t="n"/>
      <c r="C65" s="9">
        <f>IF(AND(A65="",B65=""),"",IF(OR(A65="",B65=""),"БЛОК: нужны и дата, и ставка",IF(OR(B65&lt;=0,B65&gt;100),"БЛОК: ставка вне 0–100",IF(B65&lt;1,"БЛОК: похоже на долю — введите проценты",IF(OR(A64="",A65&lt;=A64),"БЛОК: даты по возрастанию, без пустых строк","ок")))))</f>
        <v/>
      </c>
      <c r="D65">
        <f>IF(A65="",2958465,A65)</f>
        <v/>
      </c>
    </row>
    <row r="66">
      <c r="A66" s="4" t="n"/>
      <c r="B66" s="8" t="n"/>
      <c r="C66" s="9">
        <f>IF(AND(A66="",B66=""),"",IF(OR(A66="",B66=""),"БЛОК: нужны и дата, и ставка",IF(OR(B66&lt;=0,B66&gt;100),"БЛОК: ставка вне 0–100",IF(B66&lt;1,"БЛОК: похоже на долю — введите проценты",IF(OR(A65="",A66&lt;=A65),"БЛОК: даты по возрастанию, без пустых строк","ок")))))</f>
        <v/>
      </c>
      <c r="D66">
        <f>IF(A66="",2958465,A66)</f>
        <v/>
      </c>
    </row>
    <row r="67">
      <c r="A67" s="4" t="n"/>
      <c r="B67" s="8" t="n"/>
      <c r="C67" s="9">
        <f>IF(AND(A67="",B67=""),"",IF(OR(A67="",B67=""),"БЛОК: нужны и дата, и ставка",IF(OR(B67&lt;=0,B67&gt;100),"БЛОК: ставка вне 0–100",IF(B67&lt;1,"БЛОК: похоже на долю — введите проценты",IF(OR(A66="",A67&lt;=A66),"БЛОК: даты по возрастанию, без пустых строк","ок")))))</f>
        <v/>
      </c>
      <c r="D67">
        <f>IF(A67="",2958465,A67)</f>
        <v/>
      </c>
    </row>
    <row r="68">
      <c r="A68" s="4" t="n"/>
      <c r="B68" s="8" t="n"/>
      <c r="C68" s="9">
        <f>IF(AND(A68="",B68=""),"",IF(OR(A68="",B68=""),"БЛОК: нужны и дата, и ставка",IF(OR(B68&lt;=0,B68&gt;100),"БЛОК: ставка вне 0–100",IF(B68&lt;1,"БЛОК: похоже на долю — введите проценты",IF(OR(A67="",A68&lt;=A67),"БЛОК: даты по возрастанию, без пустых строк","ок")))))</f>
        <v/>
      </c>
      <c r="D68">
        <f>IF(A68="",2958465,A68)</f>
        <v/>
      </c>
    </row>
    <row r="69">
      <c r="A69" s="4" t="n"/>
      <c r="B69" s="8" t="n"/>
      <c r="C69" s="9">
        <f>IF(AND(A69="",B69=""),"",IF(OR(A69="",B69=""),"БЛОК: нужны и дата, и ставка",IF(OR(B69&lt;=0,B69&gt;100),"БЛОК: ставка вне 0–100",IF(B69&lt;1,"БЛОК: похоже на долю — введите проценты",IF(OR(A68="",A69&lt;=A68),"БЛОК: даты по возрастанию, без пустых строк","ок")))))</f>
        <v/>
      </c>
      <c r="D69">
        <f>IF(A69="",2958465,A69)</f>
        <v/>
      </c>
    </row>
    <row r="70">
      <c r="A70" s="4" t="n"/>
      <c r="B70" s="8" t="n"/>
      <c r="C70" s="9">
        <f>IF(AND(A70="",B70=""),"",IF(OR(A70="",B70=""),"БЛОК: нужны и дата, и ставка",IF(OR(B70&lt;=0,B70&gt;100),"БЛОК: ставка вне 0–100",IF(B70&lt;1,"БЛОК: похоже на долю — введите проценты",IF(OR(A69="",A70&lt;=A69),"БЛОК: даты по возрастанию, без пустых строк","ок")))))</f>
        <v/>
      </c>
      <c r="D70">
        <f>IF(A70="",2958465,A70)</f>
        <v/>
      </c>
    </row>
    <row r="71">
      <c r="A71" s="4" t="n"/>
      <c r="B71" s="8" t="n"/>
      <c r="C71" s="9">
        <f>IF(AND(A71="",B71=""),"",IF(OR(A71="",B71=""),"БЛОК: нужны и дата, и ставка",IF(OR(B71&lt;=0,B71&gt;100),"БЛОК: ставка вне 0–100",IF(B71&lt;1,"БЛОК: похоже на долю — введите проценты",IF(OR(A70="",A71&lt;=A70),"БЛОК: даты по возрастанию, без пустых строк","ок")))))</f>
        <v/>
      </c>
      <c r="D71">
        <f>IF(A71="",2958465,A71)</f>
        <v/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0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70" customWidth="1" min="4" max="4"/>
  </cols>
  <sheetData>
    <row r="1">
      <c r="A1" s="1" t="inlineStr">
        <is>
          <t>Частичные оплаты после начала просрочки</t>
        </is>
      </c>
    </row>
    <row r="2">
      <c r="A2" s="2" t="inlineStr">
        <is>
          <t>Оплата, поступившая в день D, уменьшает долг со следующего дня. Порядок строк любой. Вместимость — 500 оплат; строка ниже таблицы блокирует итог.</t>
        </is>
      </c>
    </row>
    <row r="3">
      <c r="A3" t="inlineStr">
        <is>
          <t>Сумма оплат</t>
        </is>
      </c>
      <c r="B3" s="10">
        <f>SUM(B6:B505)</f>
        <v/>
      </c>
    </row>
    <row r="5">
      <c r="A5" s="6" t="inlineStr">
        <is>
          <t>Дата оплаты</t>
        </is>
      </c>
      <c r="B5" s="6" t="inlineStr">
        <is>
          <t>Сумма, руб.</t>
        </is>
      </c>
      <c r="C5" s="6" t="inlineStr">
        <is>
          <t>Документ (п/п №, дата)</t>
        </is>
      </c>
      <c r="D5" s="6" t="inlineStr">
        <is>
          <t>Проверка</t>
        </is>
      </c>
    </row>
    <row r="6">
      <c r="A6" s="4" t="n"/>
      <c r="B6" s="3" t="n"/>
      <c r="C6" s="8" t="n"/>
      <c r="D6" s="9">
        <f>IF(AND(A6="",B6=""),"",IF(OR(A6="",B6=""),"БЛОК: нужны и дата, и сумма",IF(B6&lt;=0,"БЛОК: сумма должна быть больше нуля",IF(A6&lt;Ввод!$B$5,"БЛОК: оплата до начала просрочки — уменьшите сумму долга на листе «Ввод»",IF(A6&gt;Ввод!$B$6,"БЛОК: оплата после последнего дня расчёта — продлите расчёт или уберите строку","ок")))))</f>
        <v/>
      </c>
    </row>
    <row r="7">
      <c r="A7" s="4" t="n"/>
      <c r="B7" s="3" t="n"/>
      <c r="C7" s="8" t="n"/>
      <c r="D7" s="9">
        <f>IF(AND(A7="",B7=""),"",IF(OR(A7="",B7=""),"БЛОК: нужны и дата, и сумма",IF(B7&lt;=0,"БЛОК: сумма должна быть больше нуля",IF(A7&lt;Ввод!$B$5,"БЛОК: оплата до начала просрочки — уменьшите сумму долга на листе «Ввод»",IF(A7&gt;Ввод!$B$6,"БЛОК: оплата после последнего дня расчёта — продлите расчёт или уберите строку","ок")))))</f>
        <v/>
      </c>
    </row>
    <row r="8">
      <c r="A8" s="4" t="n"/>
      <c r="B8" s="3" t="n"/>
      <c r="C8" s="8" t="n"/>
      <c r="D8" s="9">
        <f>IF(AND(A8="",B8=""),"",IF(OR(A8="",B8=""),"БЛОК: нужны и дата, и сумма",IF(B8&lt;=0,"БЛОК: сумма должна быть больше нуля",IF(A8&lt;Ввод!$B$5,"БЛОК: оплата до начала просрочки — уменьшите сумму долга на листе «Ввод»",IF(A8&gt;Ввод!$B$6,"БЛОК: оплата после последнего дня расчёта — продлите расчёт или уберите строку","ок")))))</f>
        <v/>
      </c>
    </row>
    <row r="9">
      <c r="A9" s="4" t="n"/>
      <c r="B9" s="3" t="n"/>
      <c r="C9" s="8" t="n"/>
      <c r="D9" s="9">
        <f>IF(AND(A9="",B9=""),"",IF(OR(A9="",B9=""),"БЛОК: нужны и дата, и сумма",IF(B9&lt;=0,"БЛОК: сумма должна быть больше нуля",IF(A9&lt;Ввод!$B$5,"БЛОК: оплата до начала просрочки — уменьшите сумму долга на листе «Ввод»",IF(A9&gt;Ввод!$B$6,"БЛОК: оплата после последнего дня расчёта — продлите расчёт или уберите строку","ок")))))</f>
        <v/>
      </c>
    </row>
    <row r="10">
      <c r="A10" s="4" t="n"/>
      <c r="B10" s="3" t="n"/>
      <c r="C10" s="8" t="n"/>
      <c r="D10" s="9">
        <f>IF(AND(A10="",B10=""),"",IF(OR(A10="",B10=""),"БЛОК: нужны и дата, и сумма",IF(B10&lt;=0,"БЛОК: сумма должна быть больше нуля",IF(A10&lt;Ввод!$B$5,"БЛОК: оплата до начала просрочки — уменьшите сумму долга на листе «Ввод»",IF(A10&gt;Ввод!$B$6,"БЛОК: оплата после последнего дня расчёта — продлите расчёт или уберите строку","ок")))))</f>
        <v/>
      </c>
    </row>
    <row r="11">
      <c r="A11" s="4" t="n"/>
      <c r="B11" s="3" t="n"/>
      <c r="C11" s="8" t="n"/>
      <c r="D11" s="9">
        <f>IF(AND(A11="",B11=""),"",IF(OR(A11="",B11=""),"БЛОК: нужны и дата, и сумма",IF(B11&lt;=0,"БЛОК: сумма должна быть больше нуля",IF(A11&lt;Ввод!$B$5,"БЛОК: оплата до начала просрочки — уменьшите сумму долга на листе «Ввод»",IF(A11&gt;Ввод!$B$6,"БЛОК: оплата после последнего дня расчёта — продлите расчёт или уберите строку","ок")))))</f>
        <v/>
      </c>
    </row>
    <row r="12">
      <c r="A12" s="4" t="n"/>
      <c r="B12" s="3" t="n"/>
      <c r="C12" s="8" t="n"/>
      <c r="D12" s="9">
        <f>IF(AND(A12="",B12=""),"",IF(OR(A12="",B12=""),"БЛОК: нужны и дата, и сумма",IF(B12&lt;=0,"БЛОК: сумма должна быть больше нуля",IF(A12&lt;Ввод!$B$5,"БЛОК: оплата до начала просрочки — уменьшите сумму долга на листе «Ввод»",IF(A12&gt;Ввод!$B$6,"БЛОК: оплата после последнего дня расчёта — продлите расчёт или уберите строку","ок")))))</f>
        <v/>
      </c>
    </row>
    <row r="13">
      <c r="A13" s="4" t="n"/>
      <c r="B13" s="3" t="n"/>
      <c r="C13" s="8" t="n"/>
      <c r="D13" s="9">
        <f>IF(AND(A13="",B13=""),"",IF(OR(A13="",B13=""),"БЛОК: нужны и дата, и сумма",IF(B13&lt;=0,"БЛОК: сумма должна быть больше нуля",IF(A13&lt;Ввод!$B$5,"БЛОК: оплата до начала просрочки — уменьшите сумму долга на листе «Ввод»",IF(A13&gt;Ввод!$B$6,"БЛОК: оплата после последнего дня расчёта — продлите расчёт или уберите строку","ок")))))</f>
        <v/>
      </c>
    </row>
    <row r="14">
      <c r="A14" s="4" t="n"/>
      <c r="B14" s="3" t="n"/>
      <c r="C14" s="8" t="n"/>
      <c r="D14" s="9">
        <f>IF(AND(A14="",B14=""),"",IF(OR(A14="",B14=""),"БЛОК: нужны и дата, и сумма",IF(B14&lt;=0,"БЛОК: сумма должна быть больше нуля",IF(A14&lt;Ввод!$B$5,"БЛОК: оплата до начала просрочки — уменьшите сумму долга на листе «Ввод»",IF(A14&gt;Ввод!$B$6,"БЛОК: оплата после последнего дня расчёта — продлите расчёт или уберите строку","ок")))))</f>
        <v/>
      </c>
    </row>
    <row r="15">
      <c r="A15" s="4" t="n"/>
      <c r="B15" s="3" t="n"/>
      <c r="C15" s="8" t="n"/>
      <c r="D15" s="9">
        <f>IF(AND(A15="",B15=""),"",IF(OR(A15="",B15=""),"БЛОК: нужны и дата, и сумма",IF(B15&lt;=0,"БЛОК: сумма должна быть больше нуля",IF(A15&lt;Ввод!$B$5,"БЛОК: оплата до начала просрочки — уменьшите сумму долга на листе «Ввод»",IF(A15&gt;Ввод!$B$6,"БЛОК: оплата после последнего дня расчёта — продлите расчёт или уберите строку","ок")))))</f>
        <v/>
      </c>
    </row>
    <row r="16">
      <c r="A16" s="4" t="n"/>
      <c r="B16" s="3" t="n"/>
      <c r="C16" s="8" t="n"/>
      <c r="D16" s="9">
        <f>IF(AND(A16="",B16=""),"",IF(OR(A16="",B16=""),"БЛОК: нужны и дата, и сумма",IF(B16&lt;=0,"БЛОК: сумма должна быть больше нуля",IF(A16&lt;Ввод!$B$5,"БЛОК: оплата до начала просрочки — уменьшите сумму долга на листе «Ввод»",IF(A16&gt;Ввод!$B$6,"БЛОК: оплата после последнего дня расчёта — продлите расчёт или уберите строку","ок")))))</f>
        <v/>
      </c>
    </row>
    <row r="17">
      <c r="A17" s="4" t="n"/>
      <c r="B17" s="3" t="n"/>
      <c r="C17" s="8" t="n"/>
      <c r="D17" s="9">
        <f>IF(AND(A17="",B17=""),"",IF(OR(A17="",B17=""),"БЛОК: нужны и дата, и сумма",IF(B17&lt;=0,"БЛОК: сумма должна быть больше нуля",IF(A17&lt;Ввод!$B$5,"БЛОК: оплата до начала просрочки — уменьшите сумму долга на листе «Ввод»",IF(A17&gt;Ввод!$B$6,"БЛОК: оплата после последнего дня расчёта — продлите расчёт или уберите строку","ок")))))</f>
        <v/>
      </c>
    </row>
    <row r="18">
      <c r="A18" s="4" t="n"/>
      <c r="B18" s="3" t="n"/>
      <c r="C18" s="8" t="n"/>
      <c r="D18" s="9">
        <f>IF(AND(A18="",B18=""),"",IF(OR(A18="",B18=""),"БЛОК: нужны и дата, и сумма",IF(B18&lt;=0,"БЛОК: сумма должна быть больше нуля",IF(A18&lt;Ввод!$B$5,"БЛОК: оплата до начала просрочки — уменьшите сумму долга на листе «Ввод»",IF(A18&gt;Ввод!$B$6,"БЛОК: оплата после последнего дня расчёта — продлите расчёт или уберите строку","ок")))))</f>
        <v/>
      </c>
    </row>
    <row r="19">
      <c r="A19" s="4" t="n"/>
      <c r="B19" s="3" t="n"/>
      <c r="C19" s="8" t="n"/>
      <c r="D19" s="9">
        <f>IF(AND(A19="",B19=""),"",IF(OR(A19="",B19=""),"БЛОК: нужны и дата, и сумма",IF(B19&lt;=0,"БЛОК: сумма должна быть больше нуля",IF(A19&lt;Ввод!$B$5,"БЛОК: оплата до начала просрочки — уменьшите сумму долга на листе «Ввод»",IF(A19&gt;Ввод!$B$6,"БЛОК: оплата после последнего дня расчёта — продлите расчёт или уберите строку","ок")))))</f>
        <v/>
      </c>
    </row>
    <row r="20">
      <c r="A20" s="4" t="n"/>
      <c r="B20" s="3" t="n"/>
      <c r="C20" s="8" t="n"/>
      <c r="D20" s="9">
        <f>IF(AND(A20="",B20=""),"",IF(OR(A20="",B20=""),"БЛОК: нужны и дата, и сумма",IF(B20&lt;=0,"БЛОК: сумма должна быть больше нуля",IF(A20&lt;Ввод!$B$5,"БЛОК: оплата до начала просрочки — уменьшите сумму долга на листе «Ввод»",IF(A20&gt;Ввод!$B$6,"БЛОК: оплата после последнего дня расчёта — продлите расчёт или уберите строку","ок")))))</f>
        <v/>
      </c>
    </row>
    <row r="21">
      <c r="A21" s="4" t="n"/>
      <c r="B21" s="3" t="n"/>
      <c r="C21" s="8" t="n"/>
      <c r="D21" s="9">
        <f>IF(AND(A21="",B21=""),"",IF(OR(A21="",B21=""),"БЛОК: нужны и дата, и сумма",IF(B21&lt;=0,"БЛОК: сумма должна быть больше нуля",IF(A21&lt;Ввод!$B$5,"БЛОК: оплата до начала просрочки — уменьшите сумму долга на листе «Ввод»",IF(A21&gt;Ввод!$B$6,"БЛОК: оплата после последнего дня расчёта — продлите расчёт или уберите строку","ок")))))</f>
        <v/>
      </c>
    </row>
    <row r="22">
      <c r="A22" s="4" t="n"/>
      <c r="B22" s="3" t="n"/>
      <c r="C22" s="8" t="n"/>
      <c r="D22" s="9">
        <f>IF(AND(A22="",B22=""),"",IF(OR(A22="",B22=""),"БЛОК: нужны и дата, и сумма",IF(B22&lt;=0,"БЛОК: сумма должна быть больше нуля",IF(A22&lt;Ввод!$B$5,"БЛОК: оплата до начала просрочки — уменьшите сумму долга на листе «Ввод»",IF(A22&gt;Ввод!$B$6,"БЛОК: оплата после последнего дня расчёта — продлите расчёт или уберите строку","ок")))))</f>
        <v/>
      </c>
    </row>
    <row r="23">
      <c r="A23" s="4" t="n"/>
      <c r="B23" s="3" t="n"/>
      <c r="C23" s="8" t="n"/>
      <c r="D23" s="9">
        <f>IF(AND(A23="",B23=""),"",IF(OR(A23="",B23=""),"БЛОК: нужны и дата, и сумма",IF(B23&lt;=0,"БЛОК: сумма должна быть больше нуля",IF(A23&lt;Ввод!$B$5,"БЛОК: оплата до начала просрочки — уменьшите сумму долга на листе «Ввод»",IF(A23&gt;Ввод!$B$6,"БЛОК: оплата после последнего дня расчёта — продлите расчёт или уберите строку","ок")))))</f>
        <v/>
      </c>
    </row>
    <row r="24">
      <c r="A24" s="4" t="n"/>
      <c r="B24" s="3" t="n"/>
      <c r="C24" s="8" t="n"/>
      <c r="D24" s="9">
        <f>IF(AND(A24="",B24=""),"",IF(OR(A24="",B24=""),"БЛОК: нужны и дата, и сумма",IF(B24&lt;=0,"БЛОК: сумма должна быть больше нуля",IF(A24&lt;Ввод!$B$5,"БЛОК: оплата до начала просрочки — уменьшите сумму долга на листе «Ввод»",IF(A24&gt;Ввод!$B$6,"БЛОК: оплата после последнего дня расчёта — продлите расчёт или уберите строку","ок")))))</f>
        <v/>
      </c>
    </row>
    <row r="25">
      <c r="A25" s="4" t="n"/>
      <c r="B25" s="3" t="n"/>
      <c r="C25" s="8" t="n"/>
      <c r="D25" s="9">
        <f>IF(AND(A25="",B25=""),"",IF(OR(A25="",B25=""),"БЛОК: нужны и дата, и сумма",IF(B25&lt;=0,"БЛОК: сумма должна быть больше нуля",IF(A25&lt;Ввод!$B$5,"БЛОК: оплата до начала просрочки — уменьшите сумму долга на листе «Ввод»",IF(A25&gt;Ввод!$B$6,"БЛОК: оплата после последнего дня расчёта — продлите расчёт или уберите строку","ок")))))</f>
        <v/>
      </c>
    </row>
    <row r="26">
      <c r="A26" s="4" t="n"/>
      <c r="B26" s="3" t="n"/>
      <c r="C26" s="8" t="n"/>
      <c r="D26" s="9">
        <f>IF(AND(A26="",B26=""),"",IF(OR(A26="",B26=""),"БЛОК: нужны и дата, и сумма",IF(B26&lt;=0,"БЛОК: сумма должна быть больше нуля",IF(A26&lt;Ввод!$B$5,"БЛОК: оплата до начала просрочки — уменьшите сумму долга на листе «Ввод»",IF(A26&gt;Ввод!$B$6,"БЛОК: оплата после последнего дня расчёта — продлите расчёт или уберите строку","ок")))))</f>
        <v/>
      </c>
    </row>
    <row r="27">
      <c r="A27" s="4" t="n"/>
      <c r="B27" s="3" t="n"/>
      <c r="C27" s="8" t="n"/>
      <c r="D27" s="9">
        <f>IF(AND(A27="",B27=""),"",IF(OR(A27="",B27=""),"БЛОК: нужны и дата, и сумма",IF(B27&lt;=0,"БЛОК: сумма должна быть больше нуля",IF(A27&lt;Ввод!$B$5,"БЛОК: оплата до начала просрочки — уменьшите сумму долга на листе «Ввод»",IF(A27&gt;Ввод!$B$6,"БЛОК: оплата после последнего дня расчёта — продлите расчёт или уберите строку","ок")))))</f>
        <v/>
      </c>
    </row>
    <row r="28">
      <c r="A28" s="4" t="n"/>
      <c r="B28" s="3" t="n"/>
      <c r="C28" s="8" t="n"/>
      <c r="D28" s="9">
        <f>IF(AND(A28="",B28=""),"",IF(OR(A28="",B28=""),"БЛОК: нужны и дата, и сумма",IF(B28&lt;=0,"БЛОК: сумма должна быть больше нуля",IF(A28&lt;Ввод!$B$5,"БЛОК: оплата до начала просрочки — уменьшите сумму долга на листе «Ввод»",IF(A28&gt;Ввод!$B$6,"БЛОК: оплата после последнего дня расчёта — продлите расчёт или уберите строку","ок")))))</f>
        <v/>
      </c>
    </row>
    <row r="29">
      <c r="A29" s="4" t="n"/>
      <c r="B29" s="3" t="n"/>
      <c r="C29" s="8" t="n"/>
      <c r="D29" s="9">
        <f>IF(AND(A29="",B29=""),"",IF(OR(A29="",B29=""),"БЛОК: нужны и дата, и сумма",IF(B29&lt;=0,"БЛОК: сумма должна быть больше нуля",IF(A29&lt;Ввод!$B$5,"БЛОК: оплата до начала просрочки — уменьшите сумму долга на листе «Ввод»",IF(A29&gt;Ввод!$B$6,"БЛОК: оплата после последнего дня расчёта — продлите расчёт или уберите строку","ок")))))</f>
        <v/>
      </c>
    </row>
    <row r="30">
      <c r="A30" s="4" t="n"/>
      <c r="B30" s="3" t="n"/>
      <c r="C30" s="8" t="n"/>
      <c r="D30" s="9">
        <f>IF(AND(A30="",B30=""),"",IF(OR(A30="",B30=""),"БЛОК: нужны и дата, и сумма",IF(B30&lt;=0,"БЛОК: сумма должна быть больше нуля",IF(A30&lt;Ввод!$B$5,"БЛОК: оплата до начала просрочки — уменьшите сумму долга на листе «Ввод»",IF(A30&gt;Ввод!$B$6,"БЛОК: оплата после последнего дня расчёта — продлите расчёт или уберите строку","ок")))))</f>
        <v/>
      </c>
    </row>
    <row r="31">
      <c r="A31" s="4" t="n"/>
      <c r="B31" s="3" t="n"/>
      <c r="C31" s="8" t="n"/>
      <c r="D31" s="9">
        <f>IF(AND(A31="",B31=""),"",IF(OR(A31="",B31=""),"БЛОК: нужны и дата, и сумма",IF(B31&lt;=0,"БЛОК: сумма должна быть больше нуля",IF(A31&lt;Ввод!$B$5,"БЛОК: оплата до начала просрочки — уменьшите сумму долга на листе «Ввод»",IF(A31&gt;Ввод!$B$6,"БЛОК: оплата после последнего дня расчёта — продлите расчёт или уберите строку","ок")))))</f>
        <v/>
      </c>
    </row>
    <row r="32">
      <c r="A32" s="4" t="n"/>
      <c r="B32" s="3" t="n"/>
      <c r="C32" s="8" t="n"/>
      <c r="D32" s="9">
        <f>IF(AND(A32="",B32=""),"",IF(OR(A32="",B32=""),"БЛОК: нужны и дата, и сумма",IF(B32&lt;=0,"БЛОК: сумма должна быть больше нуля",IF(A32&lt;Ввод!$B$5,"БЛОК: оплата до начала просрочки — уменьшите сумму долга на листе «Ввод»",IF(A32&gt;Ввод!$B$6,"БЛОК: оплата после последнего дня расчёта — продлите расчёт или уберите строку","ок")))))</f>
        <v/>
      </c>
    </row>
    <row r="33">
      <c r="A33" s="4" t="n"/>
      <c r="B33" s="3" t="n"/>
      <c r="C33" s="8" t="n"/>
      <c r="D33" s="9">
        <f>IF(AND(A33="",B33=""),"",IF(OR(A33="",B33=""),"БЛОК: нужны и дата, и сумма",IF(B33&lt;=0,"БЛОК: сумма должна быть больше нуля",IF(A33&lt;Ввод!$B$5,"БЛОК: оплата до начала просрочки — уменьшите сумму долга на листе «Ввод»",IF(A33&gt;Ввод!$B$6,"БЛОК: оплата после последнего дня расчёта — продлите расчёт или уберите строку","ок")))))</f>
        <v/>
      </c>
    </row>
    <row r="34">
      <c r="A34" s="4" t="n"/>
      <c r="B34" s="3" t="n"/>
      <c r="C34" s="8" t="n"/>
      <c r="D34" s="9">
        <f>IF(AND(A34="",B34=""),"",IF(OR(A34="",B34=""),"БЛОК: нужны и дата, и сумма",IF(B34&lt;=0,"БЛОК: сумма должна быть больше нуля",IF(A34&lt;Ввод!$B$5,"БЛОК: оплата до начала просрочки — уменьшите сумму долга на листе «Ввод»",IF(A34&gt;Ввод!$B$6,"БЛОК: оплата после последнего дня расчёта — продлите расчёт или уберите строку","ок")))))</f>
        <v/>
      </c>
    </row>
    <row r="35">
      <c r="A35" s="4" t="n"/>
      <c r="B35" s="3" t="n"/>
      <c r="C35" s="8" t="n"/>
      <c r="D35" s="9">
        <f>IF(AND(A35="",B35=""),"",IF(OR(A35="",B35=""),"БЛОК: нужны и дата, и сумма",IF(B35&lt;=0,"БЛОК: сумма должна быть больше нуля",IF(A35&lt;Ввод!$B$5,"БЛОК: оплата до начала просрочки — уменьшите сумму долга на листе «Ввод»",IF(A35&gt;Ввод!$B$6,"БЛОК: оплата после последнего дня расчёта — продлите расчёт или уберите строку","ок")))))</f>
        <v/>
      </c>
    </row>
    <row r="36">
      <c r="A36" s="4" t="n"/>
      <c r="B36" s="3" t="n"/>
      <c r="C36" s="8" t="n"/>
      <c r="D36" s="9">
        <f>IF(AND(A36="",B36=""),"",IF(OR(A36="",B36=""),"БЛОК: нужны и дата, и сумма",IF(B36&lt;=0,"БЛОК: сумма должна быть больше нуля",IF(A36&lt;Ввод!$B$5,"БЛОК: оплата до начала просрочки — уменьшите сумму долга на листе «Ввод»",IF(A36&gt;Ввод!$B$6,"БЛОК: оплата после последнего дня расчёта — продлите расчёт или уберите строку","ок")))))</f>
        <v/>
      </c>
    </row>
    <row r="37">
      <c r="A37" s="4" t="n"/>
      <c r="B37" s="3" t="n"/>
      <c r="C37" s="8" t="n"/>
      <c r="D37" s="9">
        <f>IF(AND(A37="",B37=""),"",IF(OR(A37="",B37=""),"БЛОК: нужны и дата, и сумма",IF(B37&lt;=0,"БЛОК: сумма должна быть больше нуля",IF(A37&lt;Ввод!$B$5,"БЛОК: оплата до начала просрочки — уменьшите сумму долга на листе «Ввод»",IF(A37&gt;Ввод!$B$6,"БЛОК: оплата после последнего дня расчёта — продлите расчёт или уберите строку","ок")))))</f>
        <v/>
      </c>
    </row>
    <row r="38">
      <c r="A38" s="4" t="n"/>
      <c r="B38" s="3" t="n"/>
      <c r="C38" s="8" t="n"/>
      <c r="D38" s="9">
        <f>IF(AND(A38="",B38=""),"",IF(OR(A38="",B38=""),"БЛОК: нужны и дата, и сумма",IF(B38&lt;=0,"БЛОК: сумма должна быть больше нуля",IF(A38&lt;Ввод!$B$5,"БЛОК: оплата до начала просрочки — уменьшите сумму долга на листе «Ввод»",IF(A38&gt;Ввод!$B$6,"БЛОК: оплата после последнего дня расчёта — продлите расчёт или уберите строку","ок")))))</f>
        <v/>
      </c>
    </row>
    <row r="39">
      <c r="A39" s="4" t="n"/>
      <c r="B39" s="3" t="n"/>
      <c r="C39" s="8" t="n"/>
      <c r="D39" s="9">
        <f>IF(AND(A39="",B39=""),"",IF(OR(A39="",B39=""),"БЛОК: нужны и дата, и сумма",IF(B39&lt;=0,"БЛОК: сумма должна быть больше нуля",IF(A39&lt;Ввод!$B$5,"БЛОК: оплата до начала просрочки — уменьшите сумму долга на листе «Ввод»",IF(A39&gt;Ввод!$B$6,"БЛОК: оплата после последнего дня расчёта — продлите расчёт или уберите строку","ок")))))</f>
        <v/>
      </c>
    </row>
    <row r="40">
      <c r="A40" s="4" t="n"/>
      <c r="B40" s="3" t="n"/>
      <c r="C40" s="8" t="n"/>
      <c r="D40" s="9">
        <f>IF(AND(A40="",B40=""),"",IF(OR(A40="",B40=""),"БЛОК: нужны и дата, и сумма",IF(B40&lt;=0,"БЛОК: сумма должна быть больше нуля",IF(A40&lt;Ввод!$B$5,"БЛОК: оплата до начала просрочки — уменьшите сумму долга на листе «Ввод»",IF(A40&gt;Ввод!$B$6,"БЛОК: оплата после последнего дня расчёта — продлите расчёт или уберите строку","ок")))))</f>
        <v/>
      </c>
    </row>
    <row r="41">
      <c r="A41" s="4" t="n"/>
      <c r="B41" s="3" t="n"/>
      <c r="C41" s="8" t="n"/>
      <c r="D41" s="9">
        <f>IF(AND(A41="",B41=""),"",IF(OR(A41="",B41=""),"БЛОК: нужны и дата, и сумма",IF(B41&lt;=0,"БЛОК: сумма должна быть больше нуля",IF(A41&lt;Ввод!$B$5,"БЛОК: оплата до начала просрочки — уменьшите сумму долга на листе «Ввод»",IF(A41&gt;Ввод!$B$6,"БЛОК: оплата после последнего дня расчёта — продлите расчёт или уберите строку","ок")))))</f>
        <v/>
      </c>
    </row>
    <row r="42">
      <c r="A42" s="4" t="n"/>
      <c r="B42" s="3" t="n"/>
      <c r="C42" s="8" t="n"/>
      <c r="D42" s="9">
        <f>IF(AND(A42="",B42=""),"",IF(OR(A42="",B42=""),"БЛОК: нужны и дата, и сумма",IF(B42&lt;=0,"БЛОК: сумма должна быть больше нуля",IF(A42&lt;Ввод!$B$5,"БЛОК: оплата до начала просрочки — уменьшите сумму долга на листе «Ввод»",IF(A42&gt;Ввод!$B$6,"БЛОК: оплата после последнего дня расчёта — продлите расчёт или уберите строку","ок")))))</f>
        <v/>
      </c>
    </row>
    <row r="43">
      <c r="A43" s="4" t="n"/>
      <c r="B43" s="3" t="n"/>
      <c r="C43" s="8" t="n"/>
      <c r="D43" s="9">
        <f>IF(AND(A43="",B43=""),"",IF(OR(A43="",B43=""),"БЛОК: нужны и дата, и сумма",IF(B43&lt;=0,"БЛОК: сумма должна быть больше нуля",IF(A43&lt;Ввод!$B$5,"БЛОК: оплата до начала просрочки — уменьшите сумму долга на листе «Ввод»",IF(A43&gt;Ввод!$B$6,"БЛОК: оплата после последнего дня расчёта — продлите расчёт или уберите строку","ок")))))</f>
        <v/>
      </c>
    </row>
    <row r="44">
      <c r="A44" s="4" t="n"/>
      <c r="B44" s="3" t="n"/>
      <c r="C44" s="8" t="n"/>
      <c r="D44" s="9">
        <f>IF(AND(A44="",B44=""),"",IF(OR(A44="",B44=""),"БЛОК: нужны и дата, и сумма",IF(B44&lt;=0,"БЛОК: сумма должна быть больше нуля",IF(A44&lt;Ввод!$B$5,"БЛОК: оплата до начала просрочки — уменьшите сумму долга на листе «Ввод»",IF(A44&gt;Ввод!$B$6,"БЛОК: оплата после последнего дня расчёта — продлите расчёт или уберите строку","ок")))))</f>
        <v/>
      </c>
    </row>
    <row r="45">
      <c r="A45" s="4" t="n"/>
      <c r="B45" s="3" t="n"/>
      <c r="C45" s="8" t="n"/>
      <c r="D45" s="9">
        <f>IF(AND(A45="",B45=""),"",IF(OR(A45="",B45=""),"БЛОК: нужны и дата, и сумма",IF(B45&lt;=0,"БЛОК: сумма должна быть больше нуля",IF(A45&lt;Ввод!$B$5,"БЛОК: оплата до начала просрочки — уменьшите сумму долга на листе «Ввод»",IF(A45&gt;Ввод!$B$6,"БЛОК: оплата после последнего дня расчёта — продлите расчёт или уберите строку","ок")))))</f>
        <v/>
      </c>
    </row>
    <row r="46">
      <c r="A46" s="4" t="n"/>
      <c r="B46" s="3" t="n"/>
      <c r="C46" s="8" t="n"/>
      <c r="D46" s="9">
        <f>IF(AND(A46="",B46=""),"",IF(OR(A46="",B46=""),"БЛОК: нужны и дата, и сумма",IF(B46&lt;=0,"БЛОК: сумма должна быть больше нуля",IF(A46&lt;Ввод!$B$5,"БЛОК: оплата до начала просрочки — уменьшите сумму долга на листе «Ввод»",IF(A46&gt;Ввод!$B$6,"БЛОК: оплата после последнего дня расчёта — продлите расчёт или уберите строку","ок")))))</f>
        <v/>
      </c>
    </row>
    <row r="47">
      <c r="A47" s="4" t="n"/>
      <c r="B47" s="3" t="n"/>
      <c r="C47" s="8" t="n"/>
      <c r="D47" s="9">
        <f>IF(AND(A47="",B47=""),"",IF(OR(A47="",B47=""),"БЛОК: нужны и дата, и сумма",IF(B47&lt;=0,"БЛОК: сумма должна быть больше нуля",IF(A47&lt;Ввод!$B$5,"БЛОК: оплата до начала просрочки — уменьшите сумму долга на листе «Ввод»",IF(A47&gt;Ввод!$B$6,"БЛОК: оплата после последнего дня расчёта — продлите расчёт или уберите строку","ок")))))</f>
        <v/>
      </c>
    </row>
    <row r="48">
      <c r="A48" s="4" t="n"/>
      <c r="B48" s="3" t="n"/>
      <c r="C48" s="8" t="n"/>
      <c r="D48" s="9">
        <f>IF(AND(A48="",B48=""),"",IF(OR(A48="",B48=""),"БЛОК: нужны и дата, и сумма",IF(B48&lt;=0,"БЛОК: сумма должна быть больше нуля",IF(A48&lt;Ввод!$B$5,"БЛОК: оплата до начала просрочки — уменьшите сумму долга на листе «Ввод»",IF(A48&gt;Ввод!$B$6,"БЛОК: оплата после последнего дня расчёта — продлите расчёт или уберите строку","ок")))))</f>
        <v/>
      </c>
    </row>
    <row r="49">
      <c r="A49" s="4" t="n"/>
      <c r="B49" s="3" t="n"/>
      <c r="C49" s="8" t="n"/>
      <c r="D49" s="9">
        <f>IF(AND(A49="",B49=""),"",IF(OR(A49="",B49=""),"БЛОК: нужны и дата, и сумма",IF(B49&lt;=0,"БЛОК: сумма должна быть больше нуля",IF(A49&lt;Ввод!$B$5,"БЛОК: оплата до начала просрочки — уменьшите сумму долга на листе «Ввод»",IF(A49&gt;Ввод!$B$6,"БЛОК: оплата после последнего дня расчёта — продлите расчёт или уберите строку","ок")))))</f>
        <v/>
      </c>
    </row>
    <row r="50">
      <c r="A50" s="4" t="n"/>
      <c r="B50" s="3" t="n"/>
      <c r="C50" s="8" t="n"/>
      <c r="D50" s="9">
        <f>IF(AND(A50="",B50=""),"",IF(OR(A50="",B50=""),"БЛОК: нужны и дата, и сумма",IF(B50&lt;=0,"БЛОК: сумма должна быть больше нуля",IF(A50&lt;Ввод!$B$5,"БЛОК: оплата до начала просрочки — уменьшите сумму долга на листе «Ввод»",IF(A50&gt;Ввод!$B$6,"БЛОК: оплата после последнего дня расчёта — продлите расчёт или уберите строку","ок")))))</f>
        <v/>
      </c>
    </row>
    <row r="51">
      <c r="A51" s="4" t="n"/>
      <c r="B51" s="3" t="n"/>
      <c r="C51" s="8" t="n"/>
      <c r="D51" s="9">
        <f>IF(AND(A51="",B51=""),"",IF(OR(A51="",B51=""),"БЛОК: нужны и дата, и сумма",IF(B51&lt;=0,"БЛОК: сумма должна быть больше нуля",IF(A51&lt;Ввод!$B$5,"БЛОК: оплата до начала просрочки — уменьшите сумму долга на листе «Ввод»",IF(A51&gt;Ввод!$B$6,"БЛОК: оплата после последнего дня расчёта — продлите расчёт или уберите строку","ок")))))</f>
        <v/>
      </c>
    </row>
    <row r="52">
      <c r="A52" s="4" t="n"/>
      <c r="B52" s="3" t="n"/>
      <c r="C52" s="8" t="n"/>
      <c r="D52" s="9">
        <f>IF(AND(A52="",B52=""),"",IF(OR(A52="",B52=""),"БЛОК: нужны и дата, и сумма",IF(B52&lt;=0,"БЛОК: сумма должна быть больше нуля",IF(A52&lt;Ввод!$B$5,"БЛОК: оплата до начала просрочки — уменьшите сумму долга на листе «Ввод»",IF(A52&gt;Ввод!$B$6,"БЛОК: оплата после последнего дня расчёта — продлите расчёт или уберите строку","ок")))))</f>
        <v/>
      </c>
    </row>
    <row r="53">
      <c r="A53" s="4" t="n"/>
      <c r="B53" s="3" t="n"/>
      <c r="C53" s="8" t="n"/>
      <c r="D53" s="9">
        <f>IF(AND(A53="",B53=""),"",IF(OR(A53="",B53=""),"БЛОК: нужны и дата, и сумма",IF(B53&lt;=0,"БЛОК: сумма должна быть больше нуля",IF(A53&lt;Ввод!$B$5,"БЛОК: оплата до начала просрочки — уменьшите сумму долга на листе «Ввод»",IF(A53&gt;Ввод!$B$6,"БЛОК: оплата после последнего дня расчёта — продлите расчёт или уберите строку","ок")))))</f>
        <v/>
      </c>
    </row>
    <row r="54">
      <c r="A54" s="4" t="n"/>
      <c r="B54" s="3" t="n"/>
      <c r="C54" s="8" t="n"/>
      <c r="D54" s="9">
        <f>IF(AND(A54="",B54=""),"",IF(OR(A54="",B54=""),"БЛОК: нужны и дата, и сумма",IF(B54&lt;=0,"БЛОК: сумма должна быть больше нуля",IF(A54&lt;Ввод!$B$5,"БЛОК: оплата до начала просрочки — уменьшите сумму долга на листе «Ввод»",IF(A54&gt;Ввод!$B$6,"БЛОК: оплата после последнего дня расчёта — продлите расчёт или уберите строку","ок")))))</f>
        <v/>
      </c>
    </row>
    <row r="55">
      <c r="A55" s="4" t="n"/>
      <c r="B55" s="3" t="n"/>
      <c r="C55" s="8" t="n"/>
      <c r="D55" s="9">
        <f>IF(AND(A55="",B55=""),"",IF(OR(A55="",B55=""),"БЛОК: нужны и дата, и сумма",IF(B55&lt;=0,"БЛОК: сумма должна быть больше нуля",IF(A55&lt;Ввод!$B$5,"БЛОК: оплата до начала просрочки — уменьшите сумму долга на листе «Ввод»",IF(A55&gt;Ввод!$B$6,"БЛОК: оплата после последнего дня расчёта — продлите расчёт или уберите строку","ок")))))</f>
        <v/>
      </c>
    </row>
    <row r="56">
      <c r="A56" s="4" t="n"/>
      <c r="B56" s="3" t="n"/>
      <c r="C56" s="8" t="n"/>
      <c r="D56" s="9">
        <f>IF(AND(A56="",B56=""),"",IF(OR(A56="",B56=""),"БЛОК: нужны и дата, и сумма",IF(B56&lt;=0,"БЛОК: сумма должна быть больше нуля",IF(A56&lt;Ввод!$B$5,"БЛОК: оплата до начала просрочки — уменьшите сумму долга на листе «Ввод»",IF(A56&gt;Ввод!$B$6,"БЛОК: оплата после последнего дня расчёта — продлите расчёт или уберите строку","ок")))))</f>
        <v/>
      </c>
    </row>
    <row r="57">
      <c r="A57" s="4" t="n"/>
      <c r="B57" s="3" t="n"/>
      <c r="C57" s="8" t="n"/>
      <c r="D57" s="9">
        <f>IF(AND(A57="",B57=""),"",IF(OR(A57="",B57=""),"БЛОК: нужны и дата, и сумма",IF(B57&lt;=0,"БЛОК: сумма должна быть больше нуля",IF(A57&lt;Ввод!$B$5,"БЛОК: оплата до начала просрочки — уменьшите сумму долга на листе «Ввод»",IF(A57&gt;Ввод!$B$6,"БЛОК: оплата после последнего дня расчёта — продлите расчёт или уберите строку","ок")))))</f>
        <v/>
      </c>
    </row>
    <row r="58">
      <c r="A58" s="4" t="n"/>
      <c r="B58" s="3" t="n"/>
      <c r="C58" s="8" t="n"/>
      <c r="D58" s="9">
        <f>IF(AND(A58="",B58=""),"",IF(OR(A58="",B58=""),"БЛОК: нужны и дата, и сумма",IF(B58&lt;=0,"БЛОК: сумма должна быть больше нуля",IF(A58&lt;Ввод!$B$5,"БЛОК: оплата до начала просрочки — уменьшите сумму долга на листе «Ввод»",IF(A58&gt;Ввод!$B$6,"БЛОК: оплата после последнего дня расчёта — продлите расчёт или уберите строку","ок")))))</f>
        <v/>
      </c>
    </row>
    <row r="59">
      <c r="A59" s="4" t="n"/>
      <c r="B59" s="3" t="n"/>
      <c r="C59" s="8" t="n"/>
      <c r="D59" s="9">
        <f>IF(AND(A59="",B59=""),"",IF(OR(A59="",B59=""),"БЛОК: нужны и дата, и сумма",IF(B59&lt;=0,"БЛОК: сумма должна быть больше нуля",IF(A59&lt;Ввод!$B$5,"БЛОК: оплата до начала просрочки — уменьшите сумму долга на листе «Ввод»",IF(A59&gt;Ввод!$B$6,"БЛОК: оплата после последнего дня расчёта — продлите расчёт или уберите строку","ок")))))</f>
        <v/>
      </c>
    </row>
    <row r="60">
      <c r="A60" s="4" t="n"/>
      <c r="B60" s="3" t="n"/>
      <c r="C60" s="8" t="n"/>
      <c r="D60" s="9">
        <f>IF(AND(A60="",B60=""),"",IF(OR(A60="",B60=""),"БЛОК: нужны и дата, и сумма",IF(B60&lt;=0,"БЛОК: сумма должна быть больше нуля",IF(A60&lt;Ввод!$B$5,"БЛОК: оплата до начала просрочки — уменьшите сумму долга на листе «Ввод»",IF(A60&gt;Ввод!$B$6,"БЛОК: оплата после последнего дня расчёта — продлите расчёт или уберите строку","ок")))))</f>
        <v/>
      </c>
    </row>
    <row r="61">
      <c r="A61" s="4" t="n"/>
      <c r="B61" s="3" t="n"/>
      <c r="C61" s="8" t="n"/>
      <c r="D61" s="9">
        <f>IF(AND(A61="",B61=""),"",IF(OR(A61="",B61=""),"БЛОК: нужны и дата, и сумма",IF(B61&lt;=0,"БЛОК: сумма должна быть больше нуля",IF(A61&lt;Ввод!$B$5,"БЛОК: оплата до начала просрочки — уменьшите сумму долга на листе «Ввод»",IF(A61&gt;Ввод!$B$6,"БЛОК: оплата после последнего дня расчёта — продлите расчёт или уберите строку","ок")))))</f>
        <v/>
      </c>
    </row>
    <row r="62">
      <c r="A62" s="4" t="n"/>
      <c r="B62" s="3" t="n"/>
      <c r="C62" s="8" t="n"/>
      <c r="D62" s="9">
        <f>IF(AND(A62="",B62=""),"",IF(OR(A62="",B62=""),"БЛОК: нужны и дата, и сумма",IF(B62&lt;=0,"БЛОК: сумма должна быть больше нуля",IF(A62&lt;Ввод!$B$5,"БЛОК: оплата до начала просрочки — уменьшите сумму долга на листе «Ввод»",IF(A62&gt;Ввод!$B$6,"БЛОК: оплата после последнего дня расчёта — продлите расчёт или уберите строку","ок")))))</f>
        <v/>
      </c>
    </row>
    <row r="63">
      <c r="A63" s="4" t="n"/>
      <c r="B63" s="3" t="n"/>
      <c r="C63" s="8" t="n"/>
      <c r="D63" s="9">
        <f>IF(AND(A63="",B63=""),"",IF(OR(A63="",B63=""),"БЛОК: нужны и дата, и сумма",IF(B63&lt;=0,"БЛОК: сумма должна быть больше нуля",IF(A63&lt;Ввод!$B$5,"БЛОК: оплата до начала просрочки — уменьшите сумму долга на листе «Ввод»",IF(A63&gt;Ввод!$B$6,"БЛОК: оплата после последнего дня расчёта — продлите расчёт или уберите строку","ок")))))</f>
        <v/>
      </c>
    </row>
    <row r="64">
      <c r="A64" s="4" t="n"/>
      <c r="B64" s="3" t="n"/>
      <c r="C64" s="8" t="n"/>
      <c r="D64" s="9">
        <f>IF(AND(A64="",B64=""),"",IF(OR(A64="",B64=""),"БЛОК: нужны и дата, и сумма",IF(B64&lt;=0,"БЛОК: сумма должна быть больше нуля",IF(A64&lt;Ввод!$B$5,"БЛОК: оплата до начала просрочки — уменьшите сумму долга на листе «Ввод»",IF(A64&gt;Ввод!$B$6,"БЛОК: оплата после последнего дня расчёта — продлите расчёт или уберите строку","ок")))))</f>
        <v/>
      </c>
    </row>
    <row r="65">
      <c r="A65" s="4" t="n"/>
      <c r="B65" s="3" t="n"/>
      <c r="C65" s="8" t="n"/>
      <c r="D65" s="9">
        <f>IF(AND(A65="",B65=""),"",IF(OR(A65="",B65=""),"БЛОК: нужны и дата, и сумма",IF(B65&lt;=0,"БЛОК: сумма должна быть больше нуля",IF(A65&lt;Ввод!$B$5,"БЛОК: оплата до начала просрочки — уменьшите сумму долга на листе «Ввод»",IF(A65&gt;Ввод!$B$6,"БЛОК: оплата после последнего дня расчёта — продлите расчёт или уберите строку","ок")))))</f>
        <v/>
      </c>
    </row>
    <row r="66">
      <c r="A66" s="4" t="n"/>
      <c r="B66" s="3" t="n"/>
      <c r="C66" s="8" t="n"/>
      <c r="D66" s="9">
        <f>IF(AND(A66="",B66=""),"",IF(OR(A66="",B66=""),"БЛОК: нужны и дата, и сумма",IF(B66&lt;=0,"БЛОК: сумма должна быть больше нуля",IF(A66&lt;Ввод!$B$5,"БЛОК: оплата до начала просрочки — уменьшите сумму долга на листе «Ввод»",IF(A66&gt;Ввод!$B$6,"БЛОК: оплата после последнего дня расчёта — продлите расчёт или уберите строку","ок")))))</f>
        <v/>
      </c>
    </row>
    <row r="67">
      <c r="A67" s="4" t="n"/>
      <c r="B67" s="3" t="n"/>
      <c r="C67" s="8" t="n"/>
      <c r="D67" s="9">
        <f>IF(AND(A67="",B67=""),"",IF(OR(A67="",B67=""),"БЛОК: нужны и дата, и сумма",IF(B67&lt;=0,"БЛОК: сумма должна быть больше нуля",IF(A67&lt;Ввод!$B$5,"БЛОК: оплата до начала просрочки — уменьшите сумму долга на листе «Ввод»",IF(A67&gt;Ввод!$B$6,"БЛОК: оплата после последнего дня расчёта — продлите расчёт или уберите строку","ок")))))</f>
        <v/>
      </c>
    </row>
    <row r="68">
      <c r="A68" s="4" t="n"/>
      <c r="B68" s="3" t="n"/>
      <c r="C68" s="8" t="n"/>
      <c r="D68" s="9">
        <f>IF(AND(A68="",B68=""),"",IF(OR(A68="",B68=""),"БЛОК: нужны и дата, и сумма",IF(B68&lt;=0,"БЛОК: сумма должна быть больше нуля",IF(A68&lt;Ввод!$B$5,"БЛОК: оплата до начала просрочки — уменьшите сумму долга на листе «Ввод»",IF(A68&gt;Ввод!$B$6,"БЛОК: оплата после последнего дня расчёта — продлите расчёт или уберите строку","ок")))))</f>
        <v/>
      </c>
    </row>
    <row r="69">
      <c r="A69" s="4" t="n"/>
      <c r="B69" s="3" t="n"/>
      <c r="C69" s="8" t="n"/>
      <c r="D69" s="9">
        <f>IF(AND(A69="",B69=""),"",IF(OR(A69="",B69=""),"БЛОК: нужны и дата, и сумма",IF(B69&lt;=0,"БЛОК: сумма должна быть больше нуля",IF(A69&lt;Ввод!$B$5,"БЛОК: оплата до начала просрочки — уменьшите сумму долга на листе «Ввод»",IF(A69&gt;Ввод!$B$6,"БЛОК: оплата после последнего дня расчёта — продлите расчёт или уберите строку","ок")))))</f>
        <v/>
      </c>
    </row>
    <row r="70">
      <c r="A70" s="4" t="n"/>
      <c r="B70" s="3" t="n"/>
      <c r="C70" s="8" t="n"/>
      <c r="D70" s="9">
        <f>IF(AND(A70="",B70=""),"",IF(OR(A70="",B70=""),"БЛОК: нужны и дата, и сумма",IF(B70&lt;=0,"БЛОК: сумма должна быть больше нуля",IF(A70&lt;Ввод!$B$5,"БЛОК: оплата до начала просрочки — уменьшите сумму долга на листе «Ввод»",IF(A70&gt;Ввод!$B$6,"БЛОК: оплата после последнего дня расчёта — продлите расчёт или уберите строку","ок")))))</f>
        <v/>
      </c>
    </row>
    <row r="71">
      <c r="A71" s="4" t="n"/>
      <c r="B71" s="3" t="n"/>
      <c r="C71" s="8" t="n"/>
      <c r="D71" s="9">
        <f>IF(AND(A71="",B71=""),"",IF(OR(A71="",B71=""),"БЛОК: нужны и дата, и сумма",IF(B71&lt;=0,"БЛОК: сумма должна быть больше нуля",IF(A71&lt;Ввод!$B$5,"БЛОК: оплата до начала просрочки — уменьшите сумму долга на листе «Ввод»",IF(A71&gt;Ввод!$B$6,"БЛОК: оплата после последнего дня расчёта — продлите расчёт или уберите строку","ок")))))</f>
        <v/>
      </c>
    </row>
    <row r="72">
      <c r="A72" s="4" t="n"/>
      <c r="B72" s="3" t="n"/>
      <c r="C72" s="8" t="n"/>
      <c r="D72" s="9">
        <f>IF(AND(A72="",B72=""),"",IF(OR(A72="",B72=""),"БЛОК: нужны и дата, и сумма",IF(B72&lt;=0,"БЛОК: сумма должна быть больше нуля",IF(A72&lt;Ввод!$B$5,"БЛОК: оплата до начала просрочки — уменьшите сумму долга на листе «Ввод»",IF(A72&gt;Ввод!$B$6,"БЛОК: оплата после последнего дня расчёта — продлите расчёт или уберите строку","ок")))))</f>
        <v/>
      </c>
    </row>
    <row r="73">
      <c r="A73" s="4" t="n"/>
      <c r="B73" s="3" t="n"/>
      <c r="C73" s="8" t="n"/>
      <c r="D73" s="9">
        <f>IF(AND(A73="",B73=""),"",IF(OR(A73="",B73=""),"БЛОК: нужны и дата, и сумма",IF(B73&lt;=0,"БЛОК: сумма должна быть больше нуля",IF(A73&lt;Ввод!$B$5,"БЛОК: оплата до начала просрочки — уменьшите сумму долга на листе «Ввод»",IF(A73&gt;Ввод!$B$6,"БЛОК: оплата после последнего дня расчёта — продлите расчёт или уберите строку","ок")))))</f>
        <v/>
      </c>
    </row>
    <row r="74">
      <c r="A74" s="4" t="n"/>
      <c r="B74" s="3" t="n"/>
      <c r="C74" s="8" t="n"/>
      <c r="D74" s="9">
        <f>IF(AND(A74="",B74=""),"",IF(OR(A74="",B74=""),"БЛОК: нужны и дата, и сумма",IF(B74&lt;=0,"БЛОК: сумма должна быть больше нуля",IF(A74&lt;Ввод!$B$5,"БЛОК: оплата до начала просрочки — уменьшите сумму долга на листе «Ввод»",IF(A74&gt;Ввод!$B$6,"БЛОК: оплата после последнего дня расчёта — продлите расчёт или уберите строку","ок")))))</f>
        <v/>
      </c>
    </row>
    <row r="75">
      <c r="A75" s="4" t="n"/>
      <c r="B75" s="3" t="n"/>
      <c r="C75" s="8" t="n"/>
      <c r="D75" s="9">
        <f>IF(AND(A75="",B75=""),"",IF(OR(A75="",B75=""),"БЛОК: нужны и дата, и сумма",IF(B75&lt;=0,"БЛОК: сумма должна быть больше нуля",IF(A75&lt;Ввод!$B$5,"БЛОК: оплата до начала просрочки — уменьшите сумму долга на листе «Ввод»",IF(A75&gt;Ввод!$B$6,"БЛОК: оплата после последнего дня расчёта — продлите расчёт или уберите строку","ок")))))</f>
        <v/>
      </c>
    </row>
    <row r="76">
      <c r="A76" s="4" t="n"/>
      <c r="B76" s="3" t="n"/>
      <c r="C76" s="8" t="n"/>
      <c r="D76" s="9">
        <f>IF(AND(A76="",B76=""),"",IF(OR(A76="",B76=""),"БЛОК: нужны и дата, и сумма",IF(B76&lt;=0,"БЛОК: сумма должна быть больше нуля",IF(A76&lt;Ввод!$B$5,"БЛОК: оплата до начала просрочки — уменьшите сумму долга на листе «Ввод»",IF(A76&gt;Ввод!$B$6,"БЛОК: оплата после последнего дня расчёта — продлите расчёт или уберите строку","ок")))))</f>
        <v/>
      </c>
    </row>
    <row r="77">
      <c r="A77" s="4" t="n"/>
      <c r="B77" s="3" t="n"/>
      <c r="C77" s="8" t="n"/>
      <c r="D77" s="9">
        <f>IF(AND(A77="",B77=""),"",IF(OR(A77="",B77=""),"БЛОК: нужны и дата, и сумма",IF(B77&lt;=0,"БЛОК: сумма должна быть больше нуля",IF(A77&lt;Ввод!$B$5,"БЛОК: оплата до начала просрочки — уменьшите сумму долга на листе «Ввод»",IF(A77&gt;Ввод!$B$6,"БЛОК: оплата после последнего дня расчёта — продлите расчёт или уберите строку","ок")))))</f>
        <v/>
      </c>
    </row>
    <row r="78">
      <c r="A78" s="4" t="n"/>
      <c r="B78" s="3" t="n"/>
      <c r="C78" s="8" t="n"/>
      <c r="D78" s="9">
        <f>IF(AND(A78="",B78=""),"",IF(OR(A78="",B78=""),"БЛОК: нужны и дата, и сумма",IF(B78&lt;=0,"БЛОК: сумма должна быть больше нуля",IF(A78&lt;Ввод!$B$5,"БЛОК: оплата до начала просрочки — уменьшите сумму долга на листе «Ввод»",IF(A78&gt;Ввод!$B$6,"БЛОК: оплата после последнего дня расчёта — продлите расчёт или уберите строку","ок")))))</f>
        <v/>
      </c>
    </row>
    <row r="79">
      <c r="A79" s="4" t="n"/>
      <c r="B79" s="3" t="n"/>
      <c r="C79" s="8" t="n"/>
      <c r="D79" s="9">
        <f>IF(AND(A79="",B79=""),"",IF(OR(A79="",B79=""),"БЛОК: нужны и дата, и сумма",IF(B79&lt;=0,"БЛОК: сумма должна быть больше нуля",IF(A79&lt;Ввод!$B$5,"БЛОК: оплата до начала просрочки — уменьшите сумму долга на листе «Ввод»",IF(A79&gt;Ввод!$B$6,"БЛОК: оплата после последнего дня расчёта — продлите расчёт или уберите строку","ок")))))</f>
        <v/>
      </c>
    </row>
    <row r="80">
      <c r="A80" s="4" t="n"/>
      <c r="B80" s="3" t="n"/>
      <c r="C80" s="8" t="n"/>
      <c r="D80" s="9">
        <f>IF(AND(A80="",B80=""),"",IF(OR(A80="",B80=""),"БЛОК: нужны и дата, и сумма",IF(B80&lt;=0,"БЛОК: сумма должна быть больше нуля",IF(A80&lt;Ввод!$B$5,"БЛОК: оплата до начала просрочки — уменьшите сумму долга на листе «Ввод»",IF(A80&gt;Ввод!$B$6,"БЛОК: оплата после последнего дня расчёта — продлите расчёт или уберите строку","ок")))))</f>
        <v/>
      </c>
    </row>
    <row r="81">
      <c r="A81" s="4" t="n"/>
      <c r="B81" s="3" t="n"/>
      <c r="C81" s="8" t="n"/>
      <c r="D81" s="9">
        <f>IF(AND(A81="",B81=""),"",IF(OR(A81="",B81=""),"БЛОК: нужны и дата, и сумма",IF(B81&lt;=0,"БЛОК: сумма должна быть больше нуля",IF(A81&lt;Ввод!$B$5,"БЛОК: оплата до начала просрочки — уменьшите сумму долга на листе «Ввод»",IF(A81&gt;Ввод!$B$6,"БЛОК: оплата после последнего дня расчёта — продлите расчёт или уберите строку","ок")))))</f>
        <v/>
      </c>
    </row>
    <row r="82">
      <c r="A82" s="4" t="n"/>
      <c r="B82" s="3" t="n"/>
      <c r="C82" s="8" t="n"/>
      <c r="D82" s="9">
        <f>IF(AND(A82="",B82=""),"",IF(OR(A82="",B82=""),"БЛОК: нужны и дата, и сумма",IF(B82&lt;=0,"БЛОК: сумма должна быть больше нуля",IF(A82&lt;Ввод!$B$5,"БЛОК: оплата до начала просрочки — уменьшите сумму долга на листе «Ввод»",IF(A82&gt;Ввод!$B$6,"БЛОК: оплата после последнего дня расчёта — продлите расчёт или уберите строку","ок")))))</f>
        <v/>
      </c>
    </row>
    <row r="83">
      <c r="A83" s="4" t="n"/>
      <c r="B83" s="3" t="n"/>
      <c r="C83" s="8" t="n"/>
      <c r="D83" s="9">
        <f>IF(AND(A83="",B83=""),"",IF(OR(A83="",B83=""),"БЛОК: нужны и дата, и сумма",IF(B83&lt;=0,"БЛОК: сумма должна быть больше нуля",IF(A83&lt;Ввод!$B$5,"БЛОК: оплата до начала просрочки — уменьшите сумму долга на листе «Ввод»",IF(A83&gt;Ввод!$B$6,"БЛОК: оплата после последнего дня расчёта — продлите расчёт или уберите строку","ок")))))</f>
        <v/>
      </c>
    </row>
    <row r="84">
      <c r="A84" s="4" t="n"/>
      <c r="B84" s="3" t="n"/>
      <c r="C84" s="8" t="n"/>
      <c r="D84" s="9">
        <f>IF(AND(A84="",B84=""),"",IF(OR(A84="",B84=""),"БЛОК: нужны и дата, и сумма",IF(B84&lt;=0,"БЛОК: сумма должна быть больше нуля",IF(A84&lt;Ввод!$B$5,"БЛОК: оплата до начала просрочки — уменьшите сумму долга на листе «Ввод»",IF(A84&gt;Ввод!$B$6,"БЛОК: оплата после последнего дня расчёта — продлите расчёт или уберите строку","ок")))))</f>
        <v/>
      </c>
    </row>
    <row r="85">
      <c r="A85" s="4" t="n"/>
      <c r="B85" s="3" t="n"/>
      <c r="C85" s="8" t="n"/>
      <c r="D85" s="9">
        <f>IF(AND(A85="",B85=""),"",IF(OR(A85="",B85=""),"БЛОК: нужны и дата, и сумма",IF(B85&lt;=0,"БЛОК: сумма должна быть больше нуля",IF(A85&lt;Ввод!$B$5,"БЛОК: оплата до начала просрочки — уменьшите сумму долга на листе «Ввод»",IF(A85&gt;Ввод!$B$6,"БЛОК: оплата после последнего дня расчёта — продлите расчёт или уберите строку","ок")))))</f>
        <v/>
      </c>
    </row>
    <row r="86">
      <c r="A86" s="4" t="n"/>
      <c r="B86" s="3" t="n"/>
      <c r="C86" s="8" t="n"/>
      <c r="D86" s="9">
        <f>IF(AND(A86="",B86=""),"",IF(OR(A86="",B86=""),"БЛОК: нужны и дата, и сумма",IF(B86&lt;=0,"БЛОК: сумма должна быть больше нуля",IF(A86&lt;Ввод!$B$5,"БЛОК: оплата до начала просрочки — уменьшите сумму долга на листе «Ввод»",IF(A86&gt;Ввод!$B$6,"БЛОК: оплата после последнего дня расчёта — продлите расчёт или уберите строку","ок")))))</f>
        <v/>
      </c>
    </row>
    <row r="87">
      <c r="A87" s="4" t="n"/>
      <c r="B87" s="3" t="n"/>
      <c r="C87" s="8" t="n"/>
      <c r="D87" s="9">
        <f>IF(AND(A87="",B87=""),"",IF(OR(A87="",B87=""),"БЛОК: нужны и дата, и сумма",IF(B87&lt;=0,"БЛОК: сумма должна быть больше нуля",IF(A87&lt;Ввод!$B$5,"БЛОК: оплата до начала просрочки — уменьшите сумму долга на листе «Ввод»",IF(A87&gt;Ввод!$B$6,"БЛОК: оплата после последнего дня расчёта — продлите расчёт или уберите строку","ок")))))</f>
        <v/>
      </c>
    </row>
    <row r="88">
      <c r="A88" s="4" t="n"/>
      <c r="B88" s="3" t="n"/>
      <c r="C88" s="8" t="n"/>
      <c r="D88" s="9">
        <f>IF(AND(A88="",B88=""),"",IF(OR(A88="",B88=""),"БЛОК: нужны и дата, и сумма",IF(B88&lt;=0,"БЛОК: сумма должна быть больше нуля",IF(A88&lt;Ввод!$B$5,"БЛОК: оплата до начала просрочки — уменьшите сумму долга на листе «Ввод»",IF(A88&gt;Ввод!$B$6,"БЛОК: оплата после последнего дня расчёта — продлите расчёт или уберите строку","ок")))))</f>
        <v/>
      </c>
    </row>
    <row r="89">
      <c r="A89" s="4" t="n"/>
      <c r="B89" s="3" t="n"/>
      <c r="C89" s="8" t="n"/>
      <c r="D89" s="9">
        <f>IF(AND(A89="",B89=""),"",IF(OR(A89="",B89=""),"БЛОК: нужны и дата, и сумма",IF(B89&lt;=0,"БЛОК: сумма должна быть больше нуля",IF(A89&lt;Ввод!$B$5,"БЛОК: оплата до начала просрочки — уменьшите сумму долга на листе «Ввод»",IF(A89&gt;Ввод!$B$6,"БЛОК: оплата после последнего дня расчёта — продлите расчёт или уберите строку","ок")))))</f>
        <v/>
      </c>
    </row>
    <row r="90">
      <c r="A90" s="4" t="n"/>
      <c r="B90" s="3" t="n"/>
      <c r="C90" s="8" t="n"/>
      <c r="D90" s="9">
        <f>IF(AND(A90="",B90=""),"",IF(OR(A90="",B90=""),"БЛОК: нужны и дата, и сумма",IF(B90&lt;=0,"БЛОК: сумма должна быть больше нуля",IF(A90&lt;Ввод!$B$5,"БЛОК: оплата до начала просрочки — уменьшите сумму долга на листе «Ввод»",IF(A90&gt;Ввод!$B$6,"БЛОК: оплата после последнего дня расчёта — продлите расчёт или уберите строку","ок")))))</f>
        <v/>
      </c>
    </row>
    <row r="91">
      <c r="A91" s="4" t="n"/>
      <c r="B91" s="3" t="n"/>
      <c r="C91" s="8" t="n"/>
      <c r="D91" s="9">
        <f>IF(AND(A91="",B91=""),"",IF(OR(A91="",B91=""),"БЛОК: нужны и дата, и сумма",IF(B91&lt;=0,"БЛОК: сумма должна быть больше нуля",IF(A91&lt;Ввод!$B$5,"БЛОК: оплата до начала просрочки — уменьшите сумму долга на листе «Ввод»",IF(A91&gt;Ввод!$B$6,"БЛОК: оплата после последнего дня расчёта — продлите расчёт или уберите строку","ок")))))</f>
        <v/>
      </c>
    </row>
    <row r="92">
      <c r="A92" s="4" t="n"/>
      <c r="B92" s="3" t="n"/>
      <c r="C92" s="8" t="n"/>
      <c r="D92" s="9">
        <f>IF(AND(A92="",B92=""),"",IF(OR(A92="",B92=""),"БЛОК: нужны и дата, и сумма",IF(B92&lt;=0,"БЛОК: сумма должна быть больше нуля",IF(A92&lt;Ввод!$B$5,"БЛОК: оплата до начала просрочки — уменьшите сумму долга на листе «Ввод»",IF(A92&gt;Ввод!$B$6,"БЛОК: оплата после последнего дня расчёта — продлите расчёт или уберите строку","ок")))))</f>
        <v/>
      </c>
    </row>
    <row r="93">
      <c r="A93" s="4" t="n"/>
      <c r="B93" s="3" t="n"/>
      <c r="C93" s="8" t="n"/>
      <c r="D93" s="9">
        <f>IF(AND(A93="",B93=""),"",IF(OR(A93="",B93=""),"БЛОК: нужны и дата, и сумма",IF(B93&lt;=0,"БЛОК: сумма должна быть больше нуля",IF(A93&lt;Ввод!$B$5,"БЛОК: оплата до начала просрочки — уменьшите сумму долга на листе «Ввод»",IF(A93&gt;Ввод!$B$6,"БЛОК: оплата после последнего дня расчёта — продлите расчёт или уберите строку","ок")))))</f>
        <v/>
      </c>
    </row>
    <row r="94">
      <c r="A94" s="4" t="n"/>
      <c r="B94" s="3" t="n"/>
      <c r="C94" s="8" t="n"/>
      <c r="D94" s="9">
        <f>IF(AND(A94="",B94=""),"",IF(OR(A94="",B94=""),"БЛОК: нужны и дата, и сумма",IF(B94&lt;=0,"БЛОК: сумма должна быть больше нуля",IF(A94&lt;Ввод!$B$5,"БЛОК: оплата до начала просрочки — уменьшите сумму долга на листе «Ввод»",IF(A94&gt;Ввод!$B$6,"БЛОК: оплата после последнего дня расчёта — продлите расчёт или уберите строку","ок")))))</f>
        <v/>
      </c>
    </row>
    <row r="95">
      <c r="A95" s="4" t="n"/>
      <c r="B95" s="3" t="n"/>
      <c r="C95" s="8" t="n"/>
      <c r="D95" s="9">
        <f>IF(AND(A95="",B95=""),"",IF(OR(A95="",B95=""),"БЛОК: нужны и дата, и сумма",IF(B95&lt;=0,"БЛОК: сумма должна быть больше нуля",IF(A95&lt;Ввод!$B$5,"БЛОК: оплата до начала просрочки — уменьшите сумму долга на листе «Ввод»",IF(A95&gt;Ввод!$B$6,"БЛОК: оплата после последнего дня расчёта — продлите расчёт или уберите строку","ок")))))</f>
        <v/>
      </c>
    </row>
    <row r="96">
      <c r="A96" s="4" t="n"/>
      <c r="B96" s="3" t="n"/>
      <c r="C96" s="8" t="n"/>
      <c r="D96" s="9">
        <f>IF(AND(A96="",B96=""),"",IF(OR(A96="",B96=""),"БЛОК: нужны и дата, и сумма",IF(B96&lt;=0,"БЛОК: сумма должна быть больше нуля",IF(A96&lt;Ввод!$B$5,"БЛОК: оплата до начала просрочки — уменьшите сумму долга на листе «Ввод»",IF(A96&gt;Ввод!$B$6,"БЛОК: оплата после последнего дня расчёта — продлите расчёт или уберите строку","ок")))))</f>
        <v/>
      </c>
    </row>
    <row r="97">
      <c r="A97" s="4" t="n"/>
      <c r="B97" s="3" t="n"/>
      <c r="C97" s="8" t="n"/>
      <c r="D97" s="9">
        <f>IF(AND(A97="",B97=""),"",IF(OR(A97="",B97=""),"БЛОК: нужны и дата, и сумма",IF(B97&lt;=0,"БЛОК: сумма должна быть больше нуля",IF(A97&lt;Ввод!$B$5,"БЛОК: оплата до начала просрочки — уменьшите сумму долга на листе «Ввод»",IF(A97&gt;Ввод!$B$6,"БЛОК: оплата после последнего дня расчёта — продлите расчёт или уберите строку","ок")))))</f>
        <v/>
      </c>
    </row>
    <row r="98">
      <c r="A98" s="4" t="n"/>
      <c r="B98" s="3" t="n"/>
      <c r="C98" s="8" t="n"/>
      <c r="D98" s="9">
        <f>IF(AND(A98="",B98=""),"",IF(OR(A98="",B98=""),"БЛОК: нужны и дата, и сумма",IF(B98&lt;=0,"БЛОК: сумма должна быть больше нуля",IF(A98&lt;Ввод!$B$5,"БЛОК: оплата до начала просрочки — уменьшите сумму долга на листе «Ввод»",IF(A98&gt;Ввод!$B$6,"БЛОК: оплата после последнего дня расчёта — продлите расчёт или уберите строку","ок")))))</f>
        <v/>
      </c>
    </row>
    <row r="99">
      <c r="A99" s="4" t="n"/>
      <c r="B99" s="3" t="n"/>
      <c r="C99" s="8" t="n"/>
      <c r="D99" s="9">
        <f>IF(AND(A99="",B99=""),"",IF(OR(A99="",B99=""),"БЛОК: нужны и дата, и сумма",IF(B99&lt;=0,"БЛОК: сумма должна быть больше нуля",IF(A99&lt;Ввод!$B$5,"БЛОК: оплата до начала просрочки — уменьшите сумму долга на листе «Ввод»",IF(A99&gt;Ввод!$B$6,"БЛОК: оплата после последнего дня расчёта — продлите расчёт или уберите строку","ок")))))</f>
        <v/>
      </c>
    </row>
    <row r="100">
      <c r="A100" s="4" t="n"/>
      <c r="B100" s="3" t="n"/>
      <c r="C100" s="8" t="n"/>
      <c r="D100" s="9">
        <f>IF(AND(A100="",B100=""),"",IF(OR(A100="",B100=""),"БЛОК: нужны и дата, и сумма",IF(B100&lt;=0,"БЛОК: сумма должна быть больше нуля",IF(A100&lt;Ввод!$B$5,"БЛОК: оплата до начала просрочки — уменьшите сумму долга на листе «Ввод»",IF(A100&gt;Ввод!$B$6,"БЛОК: оплата после последнего дня расчёта — продлите расчёт или уберите строку","ок")))))</f>
        <v/>
      </c>
    </row>
    <row r="101">
      <c r="A101" s="4" t="n"/>
      <c r="B101" s="3" t="n"/>
      <c r="C101" s="8" t="n"/>
      <c r="D101" s="9">
        <f>IF(AND(A101="",B101=""),"",IF(OR(A101="",B101=""),"БЛОК: нужны и дата, и сумма",IF(B101&lt;=0,"БЛОК: сумма должна быть больше нуля",IF(A101&lt;Ввод!$B$5,"БЛОК: оплата до начала просрочки — уменьшите сумму долга на листе «Ввод»",IF(A101&gt;Ввод!$B$6,"БЛОК: оплата после последнего дня расчёта — продлите расчёт или уберите строку","ок")))))</f>
        <v/>
      </c>
    </row>
    <row r="102">
      <c r="A102" s="4" t="n"/>
      <c r="B102" s="3" t="n"/>
      <c r="C102" s="8" t="n"/>
      <c r="D102" s="9">
        <f>IF(AND(A102="",B102=""),"",IF(OR(A102="",B102=""),"БЛОК: нужны и дата, и сумма",IF(B102&lt;=0,"БЛОК: сумма должна быть больше нуля",IF(A102&lt;Ввод!$B$5,"БЛОК: оплата до начала просрочки — уменьшите сумму долга на листе «Ввод»",IF(A102&gt;Ввод!$B$6,"БЛОК: оплата после последнего дня расчёта — продлите расчёт или уберите строку","ок")))))</f>
        <v/>
      </c>
    </row>
    <row r="103">
      <c r="A103" s="4" t="n"/>
      <c r="B103" s="3" t="n"/>
      <c r="C103" s="8" t="n"/>
      <c r="D103" s="9">
        <f>IF(AND(A103="",B103=""),"",IF(OR(A103="",B103=""),"БЛОК: нужны и дата, и сумма",IF(B103&lt;=0,"БЛОК: сумма должна быть больше нуля",IF(A103&lt;Ввод!$B$5,"БЛОК: оплата до начала просрочки — уменьшите сумму долга на листе «Ввод»",IF(A103&gt;Ввод!$B$6,"БЛОК: оплата после последнего дня расчёта — продлите расчёт или уберите строку","ок")))))</f>
        <v/>
      </c>
    </row>
    <row r="104">
      <c r="A104" s="4" t="n"/>
      <c r="B104" s="3" t="n"/>
      <c r="C104" s="8" t="n"/>
      <c r="D104" s="9">
        <f>IF(AND(A104="",B104=""),"",IF(OR(A104="",B104=""),"БЛОК: нужны и дата, и сумма",IF(B104&lt;=0,"БЛОК: сумма должна быть больше нуля",IF(A104&lt;Ввод!$B$5,"БЛОК: оплата до начала просрочки — уменьшите сумму долга на листе «Ввод»",IF(A104&gt;Ввод!$B$6,"БЛОК: оплата после последнего дня расчёта — продлите расчёт или уберите строку","ок")))))</f>
        <v/>
      </c>
    </row>
    <row r="105">
      <c r="A105" s="4" t="n"/>
      <c r="B105" s="3" t="n"/>
      <c r="C105" s="8" t="n"/>
      <c r="D105" s="9">
        <f>IF(AND(A105="",B105=""),"",IF(OR(A105="",B105=""),"БЛОК: нужны и дата, и сумма",IF(B105&lt;=0,"БЛОК: сумма должна быть больше нуля",IF(A105&lt;Ввод!$B$5,"БЛОК: оплата до начала просрочки — уменьшите сумму долга на листе «Ввод»",IF(A105&gt;Ввод!$B$6,"БЛОК: оплата после последнего дня расчёта — продлите расчёт или уберите строку","ок")))))</f>
        <v/>
      </c>
    </row>
    <row r="106">
      <c r="A106" s="4" t="n"/>
      <c r="B106" s="3" t="n"/>
      <c r="C106" s="8" t="n"/>
      <c r="D106" s="9">
        <f>IF(AND(A106="",B106=""),"",IF(OR(A106="",B106=""),"БЛОК: нужны и дата, и сумма",IF(B106&lt;=0,"БЛОК: сумма должна быть больше нуля",IF(A106&lt;Ввод!$B$5,"БЛОК: оплата до начала просрочки — уменьшите сумму долга на листе «Ввод»",IF(A106&gt;Ввод!$B$6,"БЛОК: оплата после последнего дня расчёта — продлите расчёт или уберите строку","ок")))))</f>
        <v/>
      </c>
    </row>
    <row r="107">
      <c r="A107" s="4" t="n"/>
      <c r="B107" s="3" t="n"/>
      <c r="C107" s="8" t="n"/>
      <c r="D107" s="9">
        <f>IF(AND(A107="",B107=""),"",IF(OR(A107="",B107=""),"БЛОК: нужны и дата, и сумма",IF(B107&lt;=0,"БЛОК: сумма должна быть больше нуля",IF(A107&lt;Ввод!$B$5,"БЛОК: оплата до начала просрочки — уменьшите сумму долга на листе «Ввод»",IF(A107&gt;Ввод!$B$6,"БЛОК: оплата после последнего дня расчёта — продлите расчёт или уберите строку","ок")))))</f>
        <v/>
      </c>
    </row>
    <row r="108">
      <c r="A108" s="4" t="n"/>
      <c r="B108" s="3" t="n"/>
      <c r="C108" s="8" t="n"/>
      <c r="D108" s="9">
        <f>IF(AND(A108="",B108=""),"",IF(OR(A108="",B108=""),"БЛОК: нужны и дата, и сумма",IF(B108&lt;=0,"БЛОК: сумма должна быть больше нуля",IF(A108&lt;Ввод!$B$5,"БЛОК: оплата до начала просрочки — уменьшите сумму долга на листе «Ввод»",IF(A108&gt;Ввод!$B$6,"БЛОК: оплата после последнего дня расчёта — продлите расчёт или уберите строку","ок")))))</f>
        <v/>
      </c>
    </row>
    <row r="109">
      <c r="A109" s="4" t="n"/>
      <c r="B109" s="3" t="n"/>
      <c r="C109" s="8" t="n"/>
      <c r="D109" s="9">
        <f>IF(AND(A109="",B109=""),"",IF(OR(A109="",B109=""),"БЛОК: нужны и дата, и сумма",IF(B109&lt;=0,"БЛОК: сумма должна быть больше нуля",IF(A109&lt;Ввод!$B$5,"БЛОК: оплата до начала просрочки — уменьшите сумму долга на листе «Ввод»",IF(A109&gt;Ввод!$B$6,"БЛОК: оплата после последнего дня расчёта — продлите расчёт или уберите строку","ок")))))</f>
        <v/>
      </c>
    </row>
    <row r="110">
      <c r="A110" s="4" t="n"/>
      <c r="B110" s="3" t="n"/>
      <c r="C110" s="8" t="n"/>
      <c r="D110" s="9">
        <f>IF(AND(A110="",B110=""),"",IF(OR(A110="",B110=""),"БЛОК: нужны и дата, и сумма",IF(B110&lt;=0,"БЛОК: сумма должна быть больше нуля",IF(A110&lt;Ввод!$B$5,"БЛОК: оплата до начала просрочки — уменьшите сумму долга на листе «Ввод»",IF(A110&gt;Ввод!$B$6,"БЛОК: оплата после последнего дня расчёта — продлите расчёт или уберите строку","ок")))))</f>
        <v/>
      </c>
    </row>
    <row r="111">
      <c r="A111" s="4" t="n"/>
      <c r="B111" s="3" t="n"/>
      <c r="C111" s="8" t="n"/>
      <c r="D111" s="9">
        <f>IF(AND(A111="",B111=""),"",IF(OR(A111="",B111=""),"БЛОК: нужны и дата, и сумма",IF(B111&lt;=0,"БЛОК: сумма должна быть больше нуля",IF(A111&lt;Ввод!$B$5,"БЛОК: оплата до начала просрочки — уменьшите сумму долга на листе «Ввод»",IF(A111&gt;Ввод!$B$6,"БЛОК: оплата после последнего дня расчёта — продлите расчёт или уберите строку","ок")))))</f>
        <v/>
      </c>
    </row>
    <row r="112">
      <c r="A112" s="4" t="n"/>
      <c r="B112" s="3" t="n"/>
      <c r="C112" s="8" t="n"/>
      <c r="D112" s="9">
        <f>IF(AND(A112="",B112=""),"",IF(OR(A112="",B112=""),"БЛОК: нужны и дата, и сумма",IF(B112&lt;=0,"БЛОК: сумма должна быть больше нуля",IF(A112&lt;Ввод!$B$5,"БЛОК: оплата до начала просрочки — уменьшите сумму долга на листе «Ввод»",IF(A112&gt;Ввод!$B$6,"БЛОК: оплата после последнего дня расчёта — продлите расчёт или уберите строку","ок")))))</f>
        <v/>
      </c>
    </row>
    <row r="113">
      <c r="A113" s="4" t="n"/>
      <c r="B113" s="3" t="n"/>
      <c r="C113" s="8" t="n"/>
      <c r="D113" s="9">
        <f>IF(AND(A113="",B113=""),"",IF(OR(A113="",B113=""),"БЛОК: нужны и дата, и сумма",IF(B113&lt;=0,"БЛОК: сумма должна быть больше нуля",IF(A113&lt;Ввод!$B$5,"БЛОК: оплата до начала просрочки — уменьшите сумму долга на листе «Ввод»",IF(A113&gt;Ввод!$B$6,"БЛОК: оплата после последнего дня расчёта — продлите расчёт или уберите строку","ок")))))</f>
        <v/>
      </c>
    </row>
    <row r="114">
      <c r="A114" s="4" t="n"/>
      <c r="B114" s="3" t="n"/>
      <c r="C114" s="8" t="n"/>
      <c r="D114" s="9">
        <f>IF(AND(A114="",B114=""),"",IF(OR(A114="",B114=""),"БЛОК: нужны и дата, и сумма",IF(B114&lt;=0,"БЛОК: сумма должна быть больше нуля",IF(A114&lt;Ввод!$B$5,"БЛОК: оплата до начала просрочки — уменьшите сумму долга на листе «Ввод»",IF(A114&gt;Ввод!$B$6,"БЛОК: оплата после последнего дня расчёта — продлите расчёт или уберите строку","ок")))))</f>
        <v/>
      </c>
    </row>
    <row r="115">
      <c r="A115" s="4" t="n"/>
      <c r="B115" s="3" t="n"/>
      <c r="C115" s="8" t="n"/>
      <c r="D115" s="9">
        <f>IF(AND(A115="",B115=""),"",IF(OR(A115="",B115=""),"БЛОК: нужны и дата, и сумма",IF(B115&lt;=0,"БЛОК: сумма должна быть больше нуля",IF(A115&lt;Ввод!$B$5,"БЛОК: оплата до начала просрочки — уменьшите сумму долга на листе «Ввод»",IF(A115&gt;Ввод!$B$6,"БЛОК: оплата после последнего дня расчёта — продлите расчёт или уберите строку","ок")))))</f>
        <v/>
      </c>
    </row>
    <row r="116">
      <c r="A116" s="4" t="n"/>
      <c r="B116" s="3" t="n"/>
      <c r="C116" s="8" t="n"/>
      <c r="D116" s="9">
        <f>IF(AND(A116="",B116=""),"",IF(OR(A116="",B116=""),"БЛОК: нужны и дата, и сумма",IF(B116&lt;=0,"БЛОК: сумма должна быть больше нуля",IF(A116&lt;Ввод!$B$5,"БЛОК: оплата до начала просрочки — уменьшите сумму долга на листе «Ввод»",IF(A116&gt;Ввод!$B$6,"БЛОК: оплата после последнего дня расчёта — продлите расчёт или уберите строку","ок")))))</f>
        <v/>
      </c>
    </row>
    <row r="117">
      <c r="A117" s="4" t="n"/>
      <c r="B117" s="3" t="n"/>
      <c r="C117" s="8" t="n"/>
      <c r="D117" s="9">
        <f>IF(AND(A117="",B117=""),"",IF(OR(A117="",B117=""),"БЛОК: нужны и дата, и сумма",IF(B117&lt;=0,"БЛОК: сумма должна быть больше нуля",IF(A117&lt;Ввод!$B$5,"БЛОК: оплата до начала просрочки — уменьшите сумму долга на листе «Ввод»",IF(A117&gt;Ввод!$B$6,"БЛОК: оплата после последнего дня расчёта — продлите расчёт или уберите строку","ок")))))</f>
        <v/>
      </c>
    </row>
    <row r="118">
      <c r="A118" s="4" t="n"/>
      <c r="B118" s="3" t="n"/>
      <c r="C118" s="8" t="n"/>
      <c r="D118" s="9">
        <f>IF(AND(A118="",B118=""),"",IF(OR(A118="",B118=""),"БЛОК: нужны и дата, и сумма",IF(B118&lt;=0,"БЛОК: сумма должна быть больше нуля",IF(A118&lt;Ввод!$B$5,"БЛОК: оплата до начала просрочки — уменьшите сумму долга на листе «Ввод»",IF(A118&gt;Ввод!$B$6,"БЛОК: оплата после последнего дня расчёта — продлите расчёт или уберите строку","ок")))))</f>
        <v/>
      </c>
    </row>
    <row r="119">
      <c r="A119" s="4" t="n"/>
      <c r="B119" s="3" t="n"/>
      <c r="C119" s="8" t="n"/>
      <c r="D119" s="9">
        <f>IF(AND(A119="",B119=""),"",IF(OR(A119="",B119=""),"БЛОК: нужны и дата, и сумма",IF(B119&lt;=0,"БЛОК: сумма должна быть больше нуля",IF(A119&lt;Ввод!$B$5,"БЛОК: оплата до начала просрочки — уменьшите сумму долга на листе «Ввод»",IF(A119&gt;Ввод!$B$6,"БЛОК: оплата после последнего дня расчёта — продлите расчёт или уберите строку","ок")))))</f>
        <v/>
      </c>
    </row>
    <row r="120">
      <c r="A120" s="4" t="n"/>
      <c r="B120" s="3" t="n"/>
      <c r="C120" s="8" t="n"/>
      <c r="D120" s="9">
        <f>IF(AND(A120="",B120=""),"",IF(OR(A120="",B120=""),"БЛОК: нужны и дата, и сумма",IF(B120&lt;=0,"БЛОК: сумма должна быть больше нуля",IF(A120&lt;Ввод!$B$5,"БЛОК: оплата до начала просрочки — уменьшите сумму долга на листе «Ввод»",IF(A120&gt;Ввод!$B$6,"БЛОК: оплата после последнего дня расчёта — продлите расчёт или уберите строку","ок")))))</f>
        <v/>
      </c>
    </row>
    <row r="121">
      <c r="A121" s="4" t="n"/>
      <c r="B121" s="3" t="n"/>
      <c r="C121" s="8" t="n"/>
      <c r="D121" s="9">
        <f>IF(AND(A121="",B121=""),"",IF(OR(A121="",B121=""),"БЛОК: нужны и дата, и сумма",IF(B121&lt;=0,"БЛОК: сумма должна быть больше нуля",IF(A121&lt;Ввод!$B$5,"БЛОК: оплата до начала просрочки — уменьшите сумму долга на листе «Ввод»",IF(A121&gt;Ввод!$B$6,"БЛОК: оплата после последнего дня расчёта — продлите расчёт или уберите строку","ок")))))</f>
        <v/>
      </c>
    </row>
    <row r="122">
      <c r="A122" s="4" t="n"/>
      <c r="B122" s="3" t="n"/>
      <c r="C122" s="8" t="n"/>
      <c r="D122" s="9">
        <f>IF(AND(A122="",B122=""),"",IF(OR(A122="",B122=""),"БЛОК: нужны и дата, и сумма",IF(B122&lt;=0,"БЛОК: сумма должна быть больше нуля",IF(A122&lt;Ввод!$B$5,"БЛОК: оплата до начала просрочки — уменьшите сумму долга на листе «Ввод»",IF(A122&gt;Ввод!$B$6,"БЛОК: оплата после последнего дня расчёта — продлите расчёт или уберите строку","ок")))))</f>
        <v/>
      </c>
    </row>
    <row r="123">
      <c r="A123" s="4" t="n"/>
      <c r="B123" s="3" t="n"/>
      <c r="C123" s="8" t="n"/>
      <c r="D123" s="9">
        <f>IF(AND(A123="",B123=""),"",IF(OR(A123="",B123=""),"БЛОК: нужны и дата, и сумма",IF(B123&lt;=0,"БЛОК: сумма должна быть больше нуля",IF(A123&lt;Ввод!$B$5,"БЛОК: оплата до начала просрочки — уменьшите сумму долга на листе «Ввод»",IF(A123&gt;Ввод!$B$6,"БЛОК: оплата после последнего дня расчёта — продлите расчёт или уберите строку","ок")))))</f>
        <v/>
      </c>
    </row>
    <row r="124">
      <c r="A124" s="4" t="n"/>
      <c r="B124" s="3" t="n"/>
      <c r="C124" s="8" t="n"/>
      <c r="D124" s="9">
        <f>IF(AND(A124="",B124=""),"",IF(OR(A124="",B124=""),"БЛОК: нужны и дата, и сумма",IF(B124&lt;=0,"БЛОК: сумма должна быть больше нуля",IF(A124&lt;Ввод!$B$5,"БЛОК: оплата до начала просрочки — уменьшите сумму долга на листе «Ввод»",IF(A124&gt;Ввод!$B$6,"БЛОК: оплата после последнего дня расчёта — продлите расчёт или уберите строку","ок")))))</f>
        <v/>
      </c>
    </row>
    <row r="125">
      <c r="A125" s="4" t="n"/>
      <c r="B125" s="3" t="n"/>
      <c r="C125" s="8" t="n"/>
      <c r="D125" s="9">
        <f>IF(AND(A125="",B125=""),"",IF(OR(A125="",B125=""),"БЛОК: нужны и дата, и сумма",IF(B125&lt;=0,"БЛОК: сумма должна быть больше нуля",IF(A125&lt;Ввод!$B$5,"БЛОК: оплата до начала просрочки — уменьшите сумму долга на листе «Ввод»",IF(A125&gt;Ввод!$B$6,"БЛОК: оплата после последнего дня расчёта — продлите расчёт или уберите строку","ок")))))</f>
        <v/>
      </c>
    </row>
    <row r="126">
      <c r="A126" s="4" t="n"/>
      <c r="B126" s="3" t="n"/>
      <c r="C126" s="8" t="n"/>
      <c r="D126" s="9">
        <f>IF(AND(A126="",B126=""),"",IF(OR(A126="",B126=""),"БЛОК: нужны и дата, и сумма",IF(B126&lt;=0,"БЛОК: сумма должна быть больше нуля",IF(A126&lt;Ввод!$B$5,"БЛОК: оплата до начала просрочки — уменьшите сумму долга на листе «Ввод»",IF(A126&gt;Ввод!$B$6,"БЛОК: оплата после последнего дня расчёта — продлите расчёт или уберите строку","ок")))))</f>
        <v/>
      </c>
    </row>
    <row r="127">
      <c r="A127" s="4" t="n"/>
      <c r="B127" s="3" t="n"/>
      <c r="C127" s="8" t="n"/>
      <c r="D127" s="9">
        <f>IF(AND(A127="",B127=""),"",IF(OR(A127="",B127=""),"БЛОК: нужны и дата, и сумма",IF(B127&lt;=0,"БЛОК: сумма должна быть больше нуля",IF(A127&lt;Ввод!$B$5,"БЛОК: оплата до начала просрочки — уменьшите сумму долга на листе «Ввод»",IF(A127&gt;Ввод!$B$6,"БЛОК: оплата после последнего дня расчёта — продлите расчёт или уберите строку","ок")))))</f>
        <v/>
      </c>
    </row>
    <row r="128">
      <c r="A128" s="4" t="n"/>
      <c r="B128" s="3" t="n"/>
      <c r="C128" s="8" t="n"/>
      <c r="D128" s="9">
        <f>IF(AND(A128="",B128=""),"",IF(OR(A128="",B128=""),"БЛОК: нужны и дата, и сумма",IF(B128&lt;=0,"БЛОК: сумма должна быть больше нуля",IF(A128&lt;Ввод!$B$5,"БЛОК: оплата до начала просрочки — уменьшите сумму долга на листе «Ввод»",IF(A128&gt;Ввод!$B$6,"БЛОК: оплата после последнего дня расчёта — продлите расчёт или уберите строку","ок")))))</f>
        <v/>
      </c>
    </row>
    <row r="129">
      <c r="A129" s="4" t="n"/>
      <c r="B129" s="3" t="n"/>
      <c r="C129" s="8" t="n"/>
      <c r="D129" s="9">
        <f>IF(AND(A129="",B129=""),"",IF(OR(A129="",B129=""),"БЛОК: нужны и дата, и сумма",IF(B129&lt;=0,"БЛОК: сумма должна быть больше нуля",IF(A129&lt;Ввод!$B$5,"БЛОК: оплата до начала просрочки — уменьшите сумму долга на листе «Ввод»",IF(A129&gt;Ввод!$B$6,"БЛОК: оплата после последнего дня расчёта — продлите расчёт или уберите строку","ок")))))</f>
        <v/>
      </c>
    </row>
    <row r="130">
      <c r="A130" s="4" t="n"/>
      <c r="B130" s="3" t="n"/>
      <c r="C130" s="8" t="n"/>
      <c r="D130" s="9">
        <f>IF(AND(A130="",B130=""),"",IF(OR(A130="",B130=""),"БЛОК: нужны и дата, и сумма",IF(B130&lt;=0,"БЛОК: сумма должна быть больше нуля",IF(A130&lt;Ввод!$B$5,"БЛОК: оплата до начала просрочки — уменьшите сумму долга на листе «Ввод»",IF(A130&gt;Ввод!$B$6,"БЛОК: оплата после последнего дня расчёта — продлите расчёт или уберите строку","ок")))))</f>
        <v/>
      </c>
    </row>
    <row r="131">
      <c r="A131" s="4" t="n"/>
      <c r="B131" s="3" t="n"/>
      <c r="C131" s="8" t="n"/>
      <c r="D131" s="9">
        <f>IF(AND(A131="",B131=""),"",IF(OR(A131="",B131=""),"БЛОК: нужны и дата, и сумма",IF(B131&lt;=0,"БЛОК: сумма должна быть больше нуля",IF(A131&lt;Ввод!$B$5,"БЛОК: оплата до начала просрочки — уменьшите сумму долга на листе «Ввод»",IF(A131&gt;Ввод!$B$6,"БЛОК: оплата после последнего дня расчёта — продлите расчёт или уберите строку","ок")))))</f>
        <v/>
      </c>
    </row>
    <row r="132">
      <c r="A132" s="4" t="n"/>
      <c r="B132" s="3" t="n"/>
      <c r="C132" s="8" t="n"/>
      <c r="D132" s="9">
        <f>IF(AND(A132="",B132=""),"",IF(OR(A132="",B132=""),"БЛОК: нужны и дата, и сумма",IF(B132&lt;=0,"БЛОК: сумма должна быть больше нуля",IF(A132&lt;Ввод!$B$5,"БЛОК: оплата до начала просрочки — уменьшите сумму долга на листе «Ввод»",IF(A132&gt;Ввод!$B$6,"БЛОК: оплата после последнего дня расчёта — продлите расчёт или уберите строку","ок")))))</f>
        <v/>
      </c>
    </row>
    <row r="133">
      <c r="A133" s="4" t="n"/>
      <c r="B133" s="3" t="n"/>
      <c r="C133" s="8" t="n"/>
      <c r="D133" s="9">
        <f>IF(AND(A133="",B133=""),"",IF(OR(A133="",B133=""),"БЛОК: нужны и дата, и сумма",IF(B133&lt;=0,"БЛОК: сумма должна быть больше нуля",IF(A133&lt;Ввод!$B$5,"БЛОК: оплата до начала просрочки — уменьшите сумму долга на листе «Ввод»",IF(A133&gt;Ввод!$B$6,"БЛОК: оплата после последнего дня расчёта — продлите расчёт или уберите строку","ок")))))</f>
        <v/>
      </c>
    </row>
    <row r="134">
      <c r="A134" s="4" t="n"/>
      <c r="B134" s="3" t="n"/>
      <c r="C134" s="8" t="n"/>
      <c r="D134" s="9">
        <f>IF(AND(A134="",B134=""),"",IF(OR(A134="",B134=""),"БЛОК: нужны и дата, и сумма",IF(B134&lt;=0,"БЛОК: сумма должна быть больше нуля",IF(A134&lt;Ввод!$B$5,"БЛОК: оплата до начала просрочки — уменьшите сумму долга на листе «Ввод»",IF(A134&gt;Ввод!$B$6,"БЛОК: оплата после последнего дня расчёта — продлите расчёт или уберите строку","ок")))))</f>
        <v/>
      </c>
    </row>
    <row r="135">
      <c r="A135" s="4" t="n"/>
      <c r="B135" s="3" t="n"/>
      <c r="C135" s="8" t="n"/>
      <c r="D135" s="9">
        <f>IF(AND(A135="",B135=""),"",IF(OR(A135="",B135=""),"БЛОК: нужны и дата, и сумма",IF(B135&lt;=0,"БЛОК: сумма должна быть больше нуля",IF(A135&lt;Ввод!$B$5,"БЛОК: оплата до начала просрочки — уменьшите сумму долга на листе «Ввод»",IF(A135&gt;Ввод!$B$6,"БЛОК: оплата после последнего дня расчёта — продлите расчёт или уберите строку","ок")))))</f>
        <v/>
      </c>
    </row>
    <row r="136">
      <c r="A136" s="4" t="n"/>
      <c r="B136" s="3" t="n"/>
      <c r="C136" s="8" t="n"/>
      <c r="D136" s="9">
        <f>IF(AND(A136="",B136=""),"",IF(OR(A136="",B136=""),"БЛОК: нужны и дата, и сумма",IF(B136&lt;=0,"БЛОК: сумма должна быть больше нуля",IF(A136&lt;Ввод!$B$5,"БЛОК: оплата до начала просрочки — уменьшите сумму долга на листе «Ввод»",IF(A136&gt;Ввод!$B$6,"БЛОК: оплата после последнего дня расчёта — продлите расчёт или уберите строку","ок")))))</f>
        <v/>
      </c>
    </row>
    <row r="137">
      <c r="A137" s="4" t="n"/>
      <c r="B137" s="3" t="n"/>
      <c r="C137" s="8" t="n"/>
      <c r="D137" s="9">
        <f>IF(AND(A137="",B137=""),"",IF(OR(A137="",B137=""),"БЛОК: нужны и дата, и сумма",IF(B137&lt;=0,"БЛОК: сумма должна быть больше нуля",IF(A137&lt;Ввод!$B$5,"БЛОК: оплата до начала просрочки — уменьшите сумму долга на листе «Ввод»",IF(A137&gt;Ввод!$B$6,"БЛОК: оплата после последнего дня расчёта — продлите расчёт или уберите строку","ок")))))</f>
        <v/>
      </c>
    </row>
    <row r="138">
      <c r="A138" s="4" t="n"/>
      <c r="B138" s="3" t="n"/>
      <c r="C138" s="8" t="n"/>
      <c r="D138" s="9">
        <f>IF(AND(A138="",B138=""),"",IF(OR(A138="",B138=""),"БЛОК: нужны и дата, и сумма",IF(B138&lt;=0,"БЛОК: сумма должна быть больше нуля",IF(A138&lt;Ввод!$B$5,"БЛОК: оплата до начала просрочки — уменьшите сумму долга на листе «Ввод»",IF(A138&gt;Ввод!$B$6,"БЛОК: оплата после последнего дня расчёта — продлите расчёт или уберите строку","ок")))))</f>
        <v/>
      </c>
    </row>
    <row r="139">
      <c r="A139" s="4" t="n"/>
      <c r="B139" s="3" t="n"/>
      <c r="C139" s="8" t="n"/>
      <c r="D139" s="9">
        <f>IF(AND(A139="",B139=""),"",IF(OR(A139="",B139=""),"БЛОК: нужны и дата, и сумма",IF(B139&lt;=0,"БЛОК: сумма должна быть больше нуля",IF(A139&lt;Ввод!$B$5,"БЛОК: оплата до начала просрочки — уменьшите сумму долга на листе «Ввод»",IF(A139&gt;Ввод!$B$6,"БЛОК: оплата после последнего дня расчёта — продлите расчёт или уберите строку","ок")))))</f>
        <v/>
      </c>
    </row>
    <row r="140">
      <c r="A140" s="4" t="n"/>
      <c r="B140" s="3" t="n"/>
      <c r="C140" s="8" t="n"/>
      <c r="D140" s="9">
        <f>IF(AND(A140="",B140=""),"",IF(OR(A140="",B140=""),"БЛОК: нужны и дата, и сумма",IF(B140&lt;=0,"БЛОК: сумма должна быть больше нуля",IF(A140&lt;Ввод!$B$5,"БЛОК: оплата до начала просрочки — уменьшите сумму долга на листе «Ввод»",IF(A140&gt;Ввод!$B$6,"БЛОК: оплата после последнего дня расчёта — продлите расчёт или уберите строку","ок")))))</f>
        <v/>
      </c>
    </row>
    <row r="141">
      <c r="A141" s="4" t="n"/>
      <c r="B141" s="3" t="n"/>
      <c r="C141" s="8" t="n"/>
      <c r="D141" s="9">
        <f>IF(AND(A141="",B141=""),"",IF(OR(A141="",B141=""),"БЛОК: нужны и дата, и сумма",IF(B141&lt;=0,"БЛОК: сумма должна быть больше нуля",IF(A141&lt;Ввод!$B$5,"БЛОК: оплата до начала просрочки — уменьшите сумму долга на листе «Ввод»",IF(A141&gt;Ввод!$B$6,"БЛОК: оплата после последнего дня расчёта — продлите расчёт или уберите строку","ок")))))</f>
        <v/>
      </c>
    </row>
    <row r="142">
      <c r="A142" s="4" t="n"/>
      <c r="B142" s="3" t="n"/>
      <c r="C142" s="8" t="n"/>
      <c r="D142" s="9">
        <f>IF(AND(A142="",B142=""),"",IF(OR(A142="",B142=""),"БЛОК: нужны и дата, и сумма",IF(B142&lt;=0,"БЛОК: сумма должна быть больше нуля",IF(A142&lt;Ввод!$B$5,"БЛОК: оплата до начала просрочки — уменьшите сумму долга на листе «Ввод»",IF(A142&gt;Ввод!$B$6,"БЛОК: оплата после последнего дня расчёта — продлите расчёт или уберите строку","ок")))))</f>
        <v/>
      </c>
    </row>
    <row r="143">
      <c r="A143" s="4" t="n"/>
      <c r="B143" s="3" t="n"/>
      <c r="C143" s="8" t="n"/>
      <c r="D143" s="9">
        <f>IF(AND(A143="",B143=""),"",IF(OR(A143="",B143=""),"БЛОК: нужны и дата, и сумма",IF(B143&lt;=0,"БЛОК: сумма должна быть больше нуля",IF(A143&lt;Ввод!$B$5,"БЛОК: оплата до начала просрочки — уменьшите сумму долга на листе «Ввод»",IF(A143&gt;Ввод!$B$6,"БЛОК: оплата после последнего дня расчёта — продлите расчёт или уберите строку","ок")))))</f>
        <v/>
      </c>
    </row>
    <row r="144">
      <c r="A144" s="4" t="n"/>
      <c r="B144" s="3" t="n"/>
      <c r="C144" s="8" t="n"/>
      <c r="D144" s="9">
        <f>IF(AND(A144="",B144=""),"",IF(OR(A144="",B144=""),"БЛОК: нужны и дата, и сумма",IF(B144&lt;=0,"БЛОК: сумма должна быть больше нуля",IF(A144&lt;Ввод!$B$5,"БЛОК: оплата до начала просрочки — уменьшите сумму долга на листе «Ввод»",IF(A144&gt;Ввод!$B$6,"БЛОК: оплата после последнего дня расчёта — продлите расчёт или уберите строку","ок")))))</f>
        <v/>
      </c>
    </row>
    <row r="145">
      <c r="A145" s="4" t="n"/>
      <c r="B145" s="3" t="n"/>
      <c r="C145" s="8" t="n"/>
      <c r="D145" s="9">
        <f>IF(AND(A145="",B145=""),"",IF(OR(A145="",B145=""),"БЛОК: нужны и дата, и сумма",IF(B145&lt;=0,"БЛОК: сумма должна быть больше нуля",IF(A145&lt;Ввод!$B$5,"БЛОК: оплата до начала просрочки — уменьшите сумму долга на листе «Ввод»",IF(A145&gt;Ввод!$B$6,"БЛОК: оплата после последнего дня расчёта — продлите расчёт или уберите строку","ок")))))</f>
        <v/>
      </c>
    </row>
    <row r="146">
      <c r="A146" s="4" t="n"/>
      <c r="B146" s="3" t="n"/>
      <c r="C146" s="8" t="n"/>
      <c r="D146" s="9">
        <f>IF(AND(A146="",B146=""),"",IF(OR(A146="",B146=""),"БЛОК: нужны и дата, и сумма",IF(B146&lt;=0,"БЛОК: сумма должна быть больше нуля",IF(A146&lt;Ввод!$B$5,"БЛОК: оплата до начала просрочки — уменьшите сумму долга на листе «Ввод»",IF(A146&gt;Ввод!$B$6,"БЛОК: оплата после последнего дня расчёта — продлите расчёт или уберите строку","ок")))))</f>
        <v/>
      </c>
    </row>
    <row r="147">
      <c r="A147" s="4" t="n"/>
      <c r="B147" s="3" t="n"/>
      <c r="C147" s="8" t="n"/>
      <c r="D147" s="9">
        <f>IF(AND(A147="",B147=""),"",IF(OR(A147="",B147=""),"БЛОК: нужны и дата, и сумма",IF(B147&lt;=0,"БЛОК: сумма должна быть больше нуля",IF(A147&lt;Ввод!$B$5,"БЛОК: оплата до начала просрочки — уменьшите сумму долга на листе «Ввод»",IF(A147&gt;Ввод!$B$6,"БЛОК: оплата после последнего дня расчёта — продлите расчёт или уберите строку","ок")))))</f>
        <v/>
      </c>
    </row>
    <row r="148">
      <c r="A148" s="4" t="n"/>
      <c r="B148" s="3" t="n"/>
      <c r="C148" s="8" t="n"/>
      <c r="D148" s="9">
        <f>IF(AND(A148="",B148=""),"",IF(OR(A148="",B148=""),"БЛОК: нужны и дата, и сумма",IF(B148&lt;=0,"БЛОК: сумма должна быть больше нуля",IF(A148&lt;Ввод!$B$5,"БЛОК: оплата до начала просрочки — уменьшите сумму долга на листе «Ввод»",IF(A148&gt;Ввод!$B$6,"БЛОК: оплата после последнего дня расчёта — продлите расчёт или уберите строку","ок")))))</f>
        <v/>
      </c>
    </row>
    <row r="149">
      <c r="A149" s="4" t="n"/>
      <c r="B149" s="3" t="n"/>
      <c r="C149" s="8" t="n"/>
      <c r="D149" s="9">
        <f>IF(AND(A149="",B149=""),"",IF(OR(A149="",B149=""),"БЛОК: нужны и дата, и сумма",IF(B149&lt;=0,"БЛОК: сумма должна быть больше нуля",IF(A149&lt;Ввод!$B$5,"БЛОК: оплата до начала просрочки — уменьшите сумму долга на листе «Ввод»",IF(A149&gt;Ввод!$B$6,"БЛОК: оплата после последнего дня расчёта — продлите расчёт или уберите строку","ок")))))</f>
        <v/>
      </c>
    </row>
    <row r="150">
      <c r="A150" s="4" t="n"/>
      <c r="B150" s="3" t="n"/>
      <c r="C150" s="8" t="n"/>
      <c r="D150" s="9">
        <f>IF(AND(A150="",B150=""),"",IF(OR(A150="",B150=""),"БЛОК: нужны и дата, и сумма",IF(B150&lt;=0,"БЛОК: сумма должна быть больше нуля",IF(A150&lt;Ввод!$B$5,"БЛОК: оплата до начала просрочки — уменьшите сумму долга на листе «Ввод»",IF(A150&gt;Ввод!$B$6,"БЛОК: оплата после последнего дня расчёта — продлите расчёт или уберите строку","ок")))))</f>
        <v/>
      </c>
    </row>
    <row r="151">
      <c r="A151" s="4" t="n"/>
      <c r="B151" s="3" t="n"/>
      <c r="C151" s="8" t="n"/>
      <c r="D151" s="9">
        <f>IF(AND(A151="",B151=""),"",IF(OR(A151="",B151=""),"БЛОК: нужны и дата, и сумма",IF(B151&lt;=0,"БЛОК: сумма должна быть больше нуля",IF(A151&lt;Ввод!$B$5,"БЛОК: оплата до начала просрочки — уменьшите сумму долга на листе «Ввод»",IF(A151&gt;Ввод!$B$6,"БЛОК: оплата после последнего дня расчёта — продлите расчёт или уберите строку","ок")))))</f>
        <v/>
      </c>
    </row>
    <row r="152">
      <c r="A152" s="4" t="n"/>
      <c r="B152" s="3" t="n"/>
      <c r="C152" s="8" t="n"/>
      <c r="D152" s="9">
        <f>IF(AND(A152="",B152=""),"",IF(OR(A152="",B152=""),"БЛОК: нужны и дата, и сумма",IF(B152&lt;=0,"БЛОК: сумма должна быть больше нуля",IF(A152&lt;Ввод!$B$5,"БЛОК: оплата до начала просрочки — уменьшите сумму долга на листе «Ввод»",IF(A152&gt;Ввод!$B$6,"БЛОК: оплата после последнего дня расчёта — продлите расчёт или уберите строку","ок")))))</f>
        <v/>
      </c>
    </row>
    <row r="153">
      <c r="A153" s="4" t="n"/>
      <c r="B153" s="3" t="n"/>
      <c r="C153" s="8" t="n"/>
      <c r="D153" s="9">
        <f>IF(AND(A153="",B153=""),"",IF(OR(A153="",B153=""),"БЛОК: нужны и дата, и сумма",IF(B153&lt;=0,"БЛОК: сумма должна быть больше нуля",IF(A153&lt;Ввод!$B$5,"БЛОК: оплата до начала просрочки — уменьшите сумму долга на листе «Ввод»",IF(A153&gt;Ввод!$B$6,"БЛОК: оплата после последнего дня расчёта — продлите расчёт или уберите строку","ок")))))</f>
        <v/>
      </c>
    </row>
    <row r="154">
      <c r="A154" s="4" t="n"/>
      <c r="B154" s="3" t="n"/>
      <c r="C154" s="8" t="n"/>
      <c r="D154" s="9">
        <f>IF(AND(A154="",B154=""),"",IF(OR(A154="",B154=""),"БЛОК: нужны и дата, и сумма",IF(B154&lt;=0,"БЛОК: сумма должна быть больше нуля",IF(A154&lt;Ввод!$B$5,"БЛОК: оплата до начала просрочки — уменьшите сумму долга на листе «Ввод»",IF(A154&gt;Ввод!$B$6,"БЛОК: оплата после последнего дня расчёта — продлите расчёт или уберите строку","ок")))))</f>
        <v/>
      </c>
    </row>
    <row r="155">
      <c r="A155" s="4" t="n"/>
      <c r="B155" s="3" t="n"/>
      <c r="C155" s="8" t="n"/>
      <c r="D155" s="9">
        <f>IF(AND(A155="",B155=""),"",IF(OR(A155="",B155=""),"БЛОК: нужны и дата, и сумма",IF(B155&lt;=0,"БЛОК: сумма должна быть больше нуля",IF(A155&lt;Ввод!$B$5,"БЛОК: оплата до начала просрочки — уменьшите сумму долга на листе «Ввод»",IF(A155&gt;Ввод!$B$6,"БЛОК: оплата после последнего дня расчёта — продлите расчёт или уберите строку","ок")))))</f>
        <v/>
      </c>
    </row>
    <row r="156">
      <c r="A156" s="4" t="n"/>
      <c r="B156" s="3" t="n"/>
      <c r="C156" s="8" t="n"/>
      <c r="D156" s="9">
        <f>IF(AND(A156="",B156=""),"",IF(OR(A156="",B156=""),"БЛОК: нужны и дата, и сумма",IF(B156&lt;=0,"БЛОК: сумма должна быть больше нуля",IF(A156&lt;Ввод!$B$5,"БЛОК: оплата до начала просрочки — уменьшите сумму долга на листе «Ввод»",IF(A156&gt;Ввод!$B$6,"БЛОК: оплата после последнего дня расчёта — продлите расчёт или уберите строку","ок")))))</f>
        <v/>
      </c>
    </row>
    <row r="157">
      <c r="A157" s="4" t="n"/>
      <c r="B157" s="3" t="n"/>
      <c r="C157" s="8" t="n"/>
      <c r="D157" s="9">
        <f>IF(AND(A157="",B157=""),"",IF(OR(A157="",B157=""),"БЛОК: нужны и дата, и сумма",IF(B157&lt;=0,"БЛОК: сумма должна быть больше нуля",IF(A157&lt;Ввод!$B$5,"БЛОК: оплата до начала просрочки — уменьшите сумму долга на листе «Ввод»",IF(A157&gt;Ввод!$B$6,"БЛОК: оплата после последнего дня расчёта — продлите расчёт или уберите строку","ок")))))</f>
        <v/>
      </c>
    </row>
    <row r="158">
      <c r="A158" s="4" t="n"/>
      <c r="B158" s="3" t="n"/>
      <c r="C158" s="8" t="n"/>
      <c r="D158" s="9">
        <f>IF(AND(A158="",B158=""),"",IF(OR(A158="",B158=""),"БЛОК: нужны и дата, и сумма",IF(B158&lt;=0,"БЛОК: сумма должна быть больше нуля",IF(A158&lt;Ввод!$B$5,"БЛОК: оплата до начала просрочки — уменьшите сумму долга на листе «Ввод»",IF(A158&gt;Ввод!$B$6,"БЛОК: оплата после последнего дня расчёта — продлите расчёт или уберите строку","ок")))))</f>
        <v/>
      </c>
    </row>
    <row r="159">
      <c r="A159" s="4" t="n"/>
      <c r="B159" s="3" t="n"/>
      <c r="C159" s="8" t="n"/>
      <c r="D159" s="9">
        <f>IF(AND(A159="",B159=""),"",IF(OR(A159="",B159=""),"БЛОК: нужны и дата, и сумма",IF(B159&lt;=0,"БЛОК: сумма должна быть больше нуля",IF(A159&lt;Ввод!$B$5,"БЛОК: оплата до начала просрочки — уменьшите сумму долга на листе «Ввод»",IF(A159&gt;Ввод!$B$6,"БЛОК: оплата после последнего дня расчёта — продлите расчёт или уберите строку","ок")))))</f>
        <v/>
      </c>
    </row>
    <row r="160">
      <c r="A160" s="4" t="n"/>
      <c r="B160" s="3" t="n"/>
      <c r="C160" s="8" t="n"/>
      <c r="D160" s="9">
        <f>IF(AND(A160="",B160=""),"",IF(OR(A160="",B160=""),"БЛОК: нужны и дата, и сумма",IF(B160&lt;=0,"БЛОК: сумма должна быть больше нуля",IF(A160&lt;Ввод!$B$5,"БЛОК: оплата до начала просрочки — уменьшите сумму долга на листе «Ввод»",IF(A160&gt;Ввод!$B$6,"БЛОК: оплата после последнего дня расчёта — продлите расчёт или уберите строку","ок")))))</f>
        <v/>
      </c>
    </row>
    <row r="161">
      <c r="A161" s="4" t="n"/>
      <c r="B161" s="3" t="n"/>
      <c r="C161" s="8" t="n"/>
      <c r="D161" s="9">
        <f>IF(AND(A161="",B161=""),"",IF(OR(A161="",B161=""),"БЛОК: нужны и дата, и сумма",IF(B161&lt;=0,"БЛОК: сумма должна быть больше нуля",IF(A161&lt;Ввод!$B$5,"БЛОК: оплата до начала просрочки — уменьшите сумму долга на листе «Ввод»",IF(A161&gt;Ввод!$B$6,"БЛОК: оплата после последнего дня расчёта — продлите расчёт или уберите строку","ок")))))</f>
        <v/>
      </c>
    </row>
    <row r="162">
      <c r="A162" s="4" t="n"/>
      <c r="B162" s="3" t="n"/>
      <c r="C162" s="8" t="n"/>
      <c r="D162" s="9">
        <f>IF(AND(A162="",B162=""),"",IF(OR(A162="",B162=""),"БЛОК: нужны и дата, и сумма",IF(B162&lt;=0,"БЛОК: сумма должна быть больше нуля",IF(A162&lt;Ввод!$B$5,"БЛОК: оплата до начала просрочки — уменьшите сумму долга на листе «Ввод»",IF(A162&gt;Ввод!$B$6,"БЛОК: оплата после последнего дня расчёта — продлите расчёт или уберите строку","ок")))))</f>
        <v/>
      </c>
    </row>
    <row r="163">
      <c r="A163" s="4" t="n"/>
      <c r="B163" s="3" t="n"/>
      <c r="C163" s="8" t="n"/>
      <c r="D163" s="9">
        <f>IF(AND(A163="",B163=""),"",IF(OR(A163="",B163=""),"БЛОК: нужны и дата, и сумма",IF(B163&lt;=0,"БЛОК: сумма должна быть больше нуля",IF(A163&lt;Ввод!$B$5,"БЛОК: оплата до начала просрочки — уменьшите сумму долга на листе «Ввод»",IF(A163&gt;Ввод!$B$6,"БЛОК: оплата после последнего дня расчёта — продлите расчёт или уберите строку","ок")))))</f>
        <v/>
      </c>
    </row>
    <row r="164">
      <c r="A164" s="4" t="n"/>
      <c r="B164" s="3" t="n"/>
      <c r="C164" s="8" t="n"/>
      <c r="D164" s="9">
        <f>IF(AND(A164="",B164=""),"",IF(OR(A164="",B164=""),"БЛОК: нужны и дата, и сумма",IF(B164&lt;=0,"БЛОК: сумма должна быть больше нуля",IF(A164&lt;Ввод!$B$5,"БЛОК: оплата до начала просрочки — уменьшите сумму долга на листе «Ввод»",IF(A164&gt;Ввод!$B$6,"БЛОК: оплата после последнего дня расчёта — продлите расчёт или уберите строку","ок")))))</f>
        <v/>
      </c>
    </row>
    <row r="165">
      <c r="A165" s="4" t="n"/>
      <c r="B165" s="3" t="n"/>
      <c r="C165" s="8" t="n"/>
      <c r="D165" s="9">
        <f>IF(AND(A165="",B165=""),"",IF(OR(A165="",B165=""),"БЛОК: нужны и дата, и сумма",IF(B165&lt;=0,"БЛОК: сумма должна быть больше нуля",IF(A165&lt;Ввод!$B$5,"БЛОК: оплата до начала просрочки — уменьшите сумму долга на листе «Ввод»",IF(A165&gt;Ввод!$B$6,"БЛОК: оплата после последнего дня расчёта — продлите расчёт или уберите строку","ок")))))</f>
        <v/>
      </c>
    </row>
    <row r="166">
      <c r="A166" s="4" t="n"/>
      <c r="B166" s="3" t="n"/>
      <c r="C166" s="8" t="n"/>
      <c r="D166" s="9">
        <f>IF(AND(A166="",B166=""),"",IF(OR(A166="",B166=""),"БЛОК: нужны и дата, и сумма",IF(B166&lt;=0,"БЛОК: сумма должна быть больше нуля",IF(A166&lt;Ввод!$B$5,"БЛОК: оплата до начала просрочки — уменьшите сумму долга на листе «Ввод»",IF(A166&gt;Ввод!$B$6,"БЛОК: оплата после последнего дня расчёта — продлите расчёт или уберите строку","ок")))))</f>
        <v/>
      </c>
    </row>
    <row r="167">
      <c r="A167" s="4" t="n"/>
      <c r="B167" s="3" t="n"/>
      <c r="C167" s="8" t="n"/>
      <c r="D167" s="9">
        <f>IF(AND(A167="",B167=""),"",IF(OR(A167="",B167=""),"БЛОК: нужны и дата, и сумма",IF(B167&lt;=0,"БЛОК: сумма должна быть больше нуля",IF(A167&lt;Ввод!$B$5,"БЛОК: оплата до начала просрочки — уменьшите сумму долга на листе «Ввод»",IF(A167&gt;Ввод!$B$6,"БЛОК: оплата после последнего дня расчёта — продлите расчёт или уберите строку","ок")))))</f>
        <v/>
      </c>
    </row>
    <row r="168">
      <c r="A168" s="4" t="n"/>
      <c r="B168" s="3" t="n"/>
      <c r="C168" s="8" t="n"/>
      <c r="D168" s="9">
        <f>IF(AND(A168="",B168=""),"",IF(OR(A168="",B168=""),"БЛОК: нужны и дата, и сумма",IF(B168&lt;=0,"БЛОК: сумма должна быть больше нуля",IF(A168&lt;Ввод!$B$5,"БЛОК: оплата до начала просрочки — уменьшите сумму долга на листе «Ввод»",IF(A168&gt;Ввод!$B$6,"БЛОК: оплата после последнего дня расчёта — продлите расчёт или уберите строку","ок")))))</f>
        <v/>
      </c>
    </row>
    <row r="169">
      <c r="A169" s="4" t="n"/>
      <c r="B169" s="3" t="n"/>
      <c r="C169" s="8" t="n"/>
      <c r="D169" s="9">
        <f>IF(AND(A169="",B169=""),"",IF(OR(A169="",B169=""),"БЛОК: нужны и дата, и сумма",IF(B169&lt;=0,"БЛОК: сумма должна быть больше нуля",IF(A169&lt;Ввод!$B$5,"БЛОК: оплата до начала просрочки — уменьшите сумму долга на листе «Ввод»",IF(A169&gt;Ввод!$B$6,"БЛОК: оплата после последнего дня расчёта — продлите расчёт или уберите строку","ок")))))</f>
        <v/>
      </c>
    </row>
    <row r="170">
      <c r="A170" s="4" t="n"/>
      <c r="B170" s="3" t="n"/>
      <c r="C170" s="8" t="n"/>
      <c r="D170" s="9">
        <f>IF(AND(A170="",B170=""),"",IF(OR(A170="",B170=""),"БЛОК: нужны и дата, и сумма",IF(B170&lt;=0,"БЛОК: сумма должна быть больше нуля",IF(A170&lt;Ввод!$B$5,"БЛОК: оплата до начала просрочки — уменьшите сумму долга на листе «Ввод»",IF(A170&gt;Ввод!$B$6,"БЛОК: оплата после последнего дня расчёта — продлите расчёт или уберите строку","ок")))))</f>
        <v/>
      </c>
    </row>
    <row r="171">
      <c r="A171" s="4" t="n"/>
      <c r="B171" s="3" t="n"/>
      <c r="C171" s="8" t="n"/>
      <c r="D171" s="9">
        <f>IF(AND(A171="",B171=""),"",IF(OR(A171="",B171=""),"БЛОК: нужны и дата, и сумма",IF(B171&lt;=0,"БЛОК: сумма должна быть больше нуля",IF(A171&lt;Ввод!$B$5,"БЛОК: оплата до начала просрочки — уменьшите сумму долга на листе «Ввод»",IF(A171&gt;Ввод!$B$6,"БЛОК: оплата после последнего дня расчёта — продлите расчёт или уберите строку","ок")))))</f>
        <v/>
      </c>
    </row>
    <row r="172">
      <c r="A172" s="4" t="n"/>
      <c r="B172" s="3" t="n"/>
      <c r="C172" s="8" t="n"/>
      <c r="D172" s="9">
        <f>IF(AND(A172="",B172=""),"",IF(OR(A172="",B172=""),"БЛОК: нужны и дата, и сумма",IF(B172&lt;=0,"БЛОК: сумма должна быть больше нуля",IF(A172&lt;Ввод!$B$5,"БЛОК: оплата до начала просрочки — уменьшите сумму долга на листе «Ввод»",IF(A172&gt;Ввод!$B$6,"БЛОК: оплата после последнего дня расчёта — продлите расчёт или уберите строку","ок")))))</f>
        <v/>
      </c>
    </row>
    <row r="173">
      <c r="A173" s="4" t="n"/>
      <c r="B173" s="3" t="n"/>
      <c r="C173" s="8" t="n"/>
      <c r="D173" s="9">
        <f>IF(AND(A173="",B173=""),"",IF(OR(A173="",B173=""),"БЛОК: нужны и дата, и сумма",IF(B173&lt;=0,"БЛОК: сумма должна быть больше нуля",IF(A173&lt;Ввод!$B$5,"БЛОК: оплата до начала просрочки — уменьшите сумму долга на листе «Ввод»",IF(A173&gt;Ввод!$B$6,"БЛОК: оплата после последнего дня расчёта — продлите расчёт или уберите строку","ок")))))</f>
        <v/>
      </c>
    </row>
    <row r="174">
      <c r="A174" s="4" t="n"/>
      <c r="B174" s="3" t="n"/>
      <c r="C174" s="8" t="n"/>
      <c r="D174" s="9">
        <f>IF(AND(A174="",B174=""),"",IF(OR(A174="",B174=""),"БЛОК: нужны и дата, и сумма",IF(B174&lt;=0,"БЛОК: сумма должна быть больше нуля",IF(A174&lt;Ввод!$B$5,"БЛОК: оплата до начала просрочки — уменьшите сумму долга на листе «Ввод»",IF(A174&gt;Ввод!$B$6,"БЛОК: оплата после последнего дня расчёта — продлите расчёт или уберите строку","ок")))))</f>
        <v/>
      </c>
    </row>
    <row r="175">
      <c r="A175" s="4" t="n"/>
      <c r="B175" s="3" t="n"/>
      <c r="C175" s="8" t="n"/>
      <c r="D175" s="9">
        <f>IF(AND(A175="",B175=""),"",IF(OR(A175="",B175=""),"БЛОК: нужны и дата, и сумма",IF(B175&lt;=0,"БЛОК: сумма должна быть больше нуля",IF(A175&lt;Ввод!$B$5,"БЛОК: оплата до начала просрочки — уменьшите сумму долга на листе «Ввод»",IF(A175&gt;Ввод!$B$6,"БЛОК: оплата после последнего дня расчёта — продлите расчёт или уберите строку","ок")))))</f>
        <v/>
      </c>
    </row>
    <row r="176">
      <c r="A176" s="4" t="n"/>
      <c r="B176" s="3" t="n"/>
      <c r="C176" s="8" t="n"/>
      <c r="D176" s="9">
        <f>IF(AND(A176="",B176=""),"",IF(OR(A176="",B176=""),"БЛОК: нужны и дата, и сумма",IF(B176&lt;=0,"БЛОК: сумма должна быть больше нуля",IF(A176&lt;Ввод!$B$5,"БЛОК: оплата до начала просрочки — уменьшите сумму долга на листе «Ввод»",IF(A176&gt;Ввод!$B$6,"БЛОК: оплата после последнего дня расчёта — продлите расчёт или уберите строку","ок")))))</f>
        <v/>
      </c>
    </row>
    <row r="177">
      <c r="A177" s="4" t="n"/>
      <c r="B177" s="3" t="n"/>
      <c r="C177" s="8" t="n"/>
      <c r="D177" s="9">
        <f>IF(AND(A177="",B177=""),"",IF(OR(A177="",B177=""),"БЛОК: нужны и дата, и сумма",IF(B177&lt;=0,"БЛОК: сумма должна быть больше нуля",IF(A177&lt;Ввод!$B$5,"БЛОК: оплата до начала просрочки — уменьшите сумму долга на листе «Ввод»",IF(A177&gt;Ввод!$B$6,"БЛОК: оплата после последнего дня расчёта — продлите расчёт или уберите строку","ок")))))</f>
        <v/>
      </c>
    </row>
    <row r="178">
      <c r="A178" s="4" t="n"/>
      <c r="B178" s="3" t="n"/>
      <c r="C178" s="8" t="n"/>
      <c r="D178" s="9">
        <f>IF(AND(A178="",B178=""),"",IF(OR(A178="",B178=""),"БЛОК: нужны и дата, и сумма",IF(B178&lt;=0,"БЛОК: сумма должна быть больше нуля",IF(A178&lt;Ввод!$B$5,"БЛОК: оплата до начала просрочки — уменьшите сумму долга на листе «Ввод»",IF(A178&gt;Ввод!$B$6,"БЛОК: оплата после последнего дня расчёта — продлите расчёт или уберите строку","ок")))))</f>
        <v/>
      </c>
    </row>
    <row r="179">
      <c r="A179" s="4" t="n"/>
      <c r="B179" s="3" t="n"/>
      <c r="C179" s="8" t="n"/>
      <c r="D179" s="9">
        <f>IF(AND(A179="",B179=""),"",IF(OR(A179="",B179=""),"БЛОК: нужны и дата, и сумма",IF(B179&lt;=0,"БЛОК: сумма должна быть больше нуля",IF(A179&lt;Ввод!$B$5,"БЛОК: оплата до начала просрочки — уменьшите сумму долга на листе «Ввод»",IF(A179&gt;Ввод!$B$6,"БЛОК: оплата после последнего дня расчёта — продлите расчёт или уберите строку","ок")))))</f>
        <v/>
      </c>
    </row>
    <row r="180">
      <c r="A180" s="4" t="n"/>
      <c r="B180" s="3" t="n"/>
      <c r="C180" s="8" t="n"/>
      <c r="D180" s="9">
        <f>IF(AND(A180="",B180=""),"",IF(OR(A180="",B180=""),"БЛОК: нужны и дата, и сумма",IF(B180&lt;=0,"БЛОК: сумма должна быть больше нуля",IF(A180&lt;Ввод!$B$5,"БЛОК: оплата до начала просрочки — уменьшите сумму долга на листе «Ввод»",IF(A180&gt;Ввод!$B$6,"БЛОК: оплата после последнего дня расчёта — продлите расчёт или уберите строку","ок")))))</f>
        <v/>
      </c>
    </row>
    <row r="181">
      <c r="A181" s="4" t="n"/>
      <c r="B181" s="3" t="n"/>
      <c r="C181" s="8" t="n"/>
      <c r="D181" s="9">
        <f>IF(AND(A181="",B181=""),"",IF(OR(A181="",B181=""),"БЛОК: нужны и дата, и сумма",IF(B181&lt;=0,"БЛОК: сумма должна быть больше нуля",IF(A181&lt;Ввод!$B$5,"БЛОК: оплата до начала просрочки — уменьшите сумму долга на листе «Ввод»",IF(A181&gt;Ввод!$B$6,"БЛОК: оплата после последнего дня расчёта — продлите расчёт или уберите строку","ок")))))</f>
        <v/>
      </c>
    </row>
    <row r="182">
      <c r="A182" s="4" t="n"/>
      <c r="B182" s="3" t="n"/>
      <c r="C182" s="8" t="n"/>
      <c r="D182" s="9">
        <f>IF(AND(A182="",B182=""),"",IF(OR(A182="",B182=""),"БЛОК: нужны и дата, и сумма",IF(B182&lt;=0,"БЛОК: сумма должна быть больше нуля",IF(A182&lt;Ввод!$B$5,"БЛОК: оплата до начала просрочки — уменьшите сумму долга на листе «Ввод»",IF(A182&gt;Ввод!$B$6,"БЛОК: оплата после последнего дня расчёта — продлите расчёт или уберите строку","ок")))))</f>
        <v/>
      </c>
    </row>
    <row r="183">
      <c r="A183" s="4" t="n"/>
      <c r="B183" s="3" t="n"/>
      <c r="C183" s="8" t="n"/>
      <c r="D183" s="9">
        <f>IF(AND(A183="",B183=""),"",IF(OR(A183="",B183=""),"БЛОК: нужны и дата, и сумма",IF(B183&lt;=0,"БЛОК: сумма должна быть больше нуля",IF(A183&lt;Ввод!$B$5,"БЛОК: оплата до начала просрочки — уменьшите сумму долга на листе «Ввод»",IF(A183&gt;Ввод!$B$6,"БЛОК: оплата после последнего дня расчёта — продлите расчёт или уберите строку","ок")))))</f>
        <v/>
      </c>
    </row>
    <row r="184">
      <c r="A184" s="4" t="n"/>
      <c r="B184" s="3" t="n"/>
      <c r="C184" s="8" t="n"/>
      <c r="D184" s="9">
        <f>IF(AND(A184="",B184=""),"",IF(OR(A184="",B184=""),"БЛОК: нужны и дата, и сумма",IF(B184&lt;=0,"БЛОК: сумма должна быть больше нуля",IF(A184&lt;Ввод!$B$5,"БЛОК: оплата до начала просрочки — уменьшите сумму долга на листе «Ввод»",IF(A184&gt;Ввод!$B$6,"БЛОК: оплата после последнего дня расчёта — продлите расчёт или уберите строку","ок")))))</f>
        <v/>
      </c>
    </row>
    <row r="185">
      <c r="A185" s="4" t="n"/>
      <c r="B185" s="3" t="n"/>
      <c r="C185" s="8" t="n"/>
      <c r="D185" s="9">
        <f>IF(AND(A185="",B185=""),"",IF(OR(A185="",B185=""),"БЛОК: нужны и дата, и сумма",IF(B185&lt;=0,"БЛОК: сумма должна быть больше нуля",IF(A185&lt;Ввод!$B$5,"БЛОК: оплата до начала просрочки — уменьшите сумму долга на листе «Ввод»",IF(A185&gt;Ввод!$B$6,"БЛОК: оплата после последнего дня расчёта — продлите расчёт или уберите строку","ок")))))</f>
        <v/>
      </c>
    </row>
    <row r="186">
      <c r="A186" s="4" t="n"/>
      <c r="B186" s="3" t="n"/>
      <c r="C186" s="8" t="n"/>
      <c r="D186" s="9">
        <f>IF(AND(A186="",B186=""),"",IF(OR(A186="",B186=""),"БЛОК: нужны и дата, и сумма",IF(B186&lt;=0,"БЛОК: сумма должна быть больше нуля",IF(A186&lt;Ввод!$B$5,"БЛОК: оплата до начала просрочки — уменьшите сумму долга на листе «Ввод»",IF(A186&gt;Ввод!$B$6,"БЛОК: оплата после последнего дня расчёта — продлите расчёт или уберите строку","ок")))))</f>
        <v/>
      </c>
    </row>
    <row r="187">
      <c r="A187" s="4" t="n"/>
      <c r="B187" s="3" t="n"/>
      <c r="C187" s="8" t="n"/>
      <c r="D187" s="9">
        <f>IF(AND(A187="",B187=""),"",IF(OR(A187="",B187=""),"БЛОК: нужны и дата, и сумма",IF(B187&lt;=0,"БЛОК: сумма должна быть больше нуля",IF(A187&lt;Ввод!$B$5,"БЛОК: оплата до начала просрочки — уменьшите сумму долга на листе «Ввод»",IF(A187&gt;Ввод!$B$6,"БЛОК: оплата после последнего дня расчёта — продлите расчёт или уберите строку","ок")))))</f>
        <v/>
      </c>
    </row>
    <row r="188">
      <c r="A188" s="4" t="n"/>
      <c r="B188" s="3" t="n"/>
      <c r="C188" s="8" t="n"/>
      <c r="D188" s="9">
        <f>IF(AND(A188="",B188=""),"",IF(OR(A188="",B188=""),"БЛОК: нужны и дата, и сумма",IF(B188&lt;=0,"БЛОК: сумма должна быть больше нуля",IF(A188&lt;Ввод!$B$5,"БЛОК: оплата до начала просрочки — уменьшите сумму долга на листе «Ввод»",IF(A188&gt;Ввод!$B$6,"БЛОК: оплата после последнего дня расчёта — продлите расчёт или уберите строку","ок")))))</f>
        <v/>
      </c>
    </row>
    <row r="189">
      <c r="A189" s="4" t="n"/>
      <c r="B189" s="3" t="n"/>
      <c r="C189" s="8" t="n"/>
      <c r="D189" s="9">
        <f>IF(AND(A189="",B189=""),"",IF(OR(A189="",B189=""),"БЛОК: нужны и дата, и сумма",IF(B189&lt;=0,"БЛОК: сумма должна быть больше нуля",IF(A189&lt;Ввод!$B$5,"БЛОК: оплата до начала просрочки — уменьшите сумму долга на листе «Ввод»",IF(A189&gt;Ввод!$B$6,"БЛОК: оплата после последнего дня расчёта — продлите расчёт или уберите строку","ок")))))</f>
        <v/>
      </c>
    </row>
    <row r="190">
      <c r="A190" s="4" t="n"/>
      <c r="B190" s="3" t="n"/>
      <c r="C190" s="8" t="n"/>
      <c r="D190" s="9">
        <f>IF(AND(A190="",B190=""),"",IF(OR(A190="",B190=""),"БЛОК: нужны и дата, и сумма",IF(B190&lt;=0,"БЛОК: сумма должна быть больше нуля",IF(A190&lt;Ввод!$B$5,"БЛОК: оплата до начала просрочки — уменьшите сумму долга на листе «Ввод»",IF(A190&gt;Ввод!$B$6,"БЛОК: оплата после последнего дня расчёта — продлите расчёт или уберите строку","ок")))))</f>
        <v/>
      </c>
    </row>
    <row r="191">
      <c r="A191" s="4" t="n"/>
      <c r="B191" s="3" t="n"/>
      <c r="C191" s="8" t="n"/>
      <c r="D191" s="9">
        <f>IF(AND(A191="",B191=""),"",IF(OR(A191="",B191=""),"БЛОК: нужны и дата, и сумма",IF(B191&lt;=0,"БЛОК: сумма должна быть больше нуля",IF(A191&lt;Ввод!$B$5,"БЛОК: оплата до начала просрочки — уменьшите сумму долга на листе «Ввод»",IF(A191&gt;Ввод!$B$6,"БЛОК: оплата после последнего дня расчёта — продлите расчёт или уберите строку","ок")))))</f>
        <v/>
      </c>
    </row>
    <row r="192">
      <c r="A192" s="4" t="n"/>
      <c r="B192" s="3" t="n"/>
      <c r="C192" s="8" t="n"/>
      <c r="D192" s="9">
        <f>IF(AND(A192="",B192=""),"",IF(OR(A192="",B192=""),"БЛОК: нужны и дата, и сумма",IF(B192&lt;=0,"БЛОК: сумма должна быть больше нуля",IF(A192&lt;Ввод!$B$5,"БЛОК: оплата до начала просрочки — уменьшите сумму долга на листе «Ввод»",IF(A192&gt;Ввод!$B$6,"БЛОК: оплата после последнего дня расчёта — продлите расчёт или уберите строку","ок")))))</f>
        <v/>
      </c>
    </row>
    <row r="193">
      <c r="A193" s="4" t="n"/>
      <c r="B193" s="3" t="n"/>
      <c r="C193" s="8" t="n"/>
      <c r="D193" s="9">
        <f>IF(AND(A193="",B193=""),"",IF(OR(A193="",B193=""),"БЛОК: нужны и дата, и сумма",IF(B193&lt;=0,"БЛОК: сумма должна быть больше нуля",IF(A193&lt;Ввод!$B$5,"БЛОК: оплата до начала просрочки — уменьшите сумму долга на листе «Ввод»",IF(A193&gt;Ввод!$B$6,"БЛОК: оплата после последнего дня расчёта — продлите расчёт или уберите строку","ок")))))</f>
        <v/>
      </c>
    </row>
    <row r="194">
      <c r="A194" s="4" t="n"/>
      <c r="B194" s="3" t="n"/>
      <c r="C194" s="8" t="n"/>
      <c r="D194" s="9">
        <f>IF(AND(A194="",B194=""),"",IF(OR(A194="",B194=""),"БЛОК: нужны и дата, и сумма",IF(B194&lt;=0,"БЛОК: сумма должна быть больше нуля",IF(A194&lt;Ввод!$B$5,"БЛОК: оплата до начала просрочки — уменьшите сумму долга на листе «Ввод»",IF(A194&gt;Ввод!$B$6,"БЛОК: оплата после последнего дня расчёта — продлите расчёт или уберите строку","ок")))))</f>
        <v/>
      </c>
    </row>
    <row r="195">
      <c r="A195" s="4" t="n"/>
      <c r="B195" s="3" t="n"/>
      <c r="C195" s="8" t="n"/>
      <c r="D195" s="9">
        <f>IF(AND(A195="",B195=""),"",IF(OR(A195="",B195=""),"БЛОК: нужны и дата, и сумма",IF(B195&lt;=0,"БЛОК: сумма должна быть больше нуля",IF(A195&lt;Ввод!$B$5,"БЛОК: оплата до начала просрочки — уменьшите сумму долга на листе «Ввод»",IF(A195&gt;Ввод!$B$6,"БЛОК: оплата после последнего дня расчёта — продлите расчёт или уберите строку","ок")))))</f>
        <v/>
      </c>
    </row>
    <row r="196">
      <c r="A196" s="4" t="n"/>
      <c r="B196" s="3" t="n"/>
      <c r="C196" s="8" t="n"/>
      <c r="D196" s="9">
        <f>IF(AND(A196="",B196=""),"",IF(OR(A196="",B196=""),"БЛОК: нужны и дата, и сумма",IF(B196&lt;=0,"БЛОК: сумма должна быть больше нуля",IF(A196&lt;Ввод!$B$5,"БЛОК: оплата до начала просрочки — уменьшите сумму долга на листе «Ввод»",IF(A196&gt;Ввод!$B$6,"БЛОК: оплата после последнего дня расчёта — продлите расчёт или уберите строку","ок")))))</f>
        <v/>
      </c>
    </row>
    <row r="197">
      <c r="A197" s="4" t="n"/>
      <c r="B197" s="3" t="n"/>
      <c r="C197" s="8" t="n"/>
      <c r="D197" s="9">
        <f>IF(AND(A197="",B197=""),"",IF(OR(A197="",B197=""),"БЛОК: нужны и дата, и сумма",IF(B197&lt;=0,"БЛОК: сумма должна быть больше нуля",IF(A197&lt;Ввод!$B$5,"БЛОК: оплата до начала просрочки — уменьшите сумму долга на листе «Ввод»",IF(A197&gt;Ввод!$B$6,"БЛОК: оплата после последнего дня расчёта — продлите расчёт или уберите строку","ок")))))</f>
        <v/>
      </c>
    </row>
    <row r="198">
      <c r="A198" s="4" t="n"/>
      <c r="B198" s="3" t="n"/>
      <c r="C198" s="8" t="n"/>
      <c r="D198" s="9">
        <f>IF(AND(A198="",B198=""),"",IF(OR(A198="",B198=""),"БЛОК: нужны и дата, и сумма",IF(B198&lt;=0,"БЛОК: сумма должна быть больше нуля",IF(A198&lt;Ввод!$B$5,"БЛОК: оплата до начала просрочки — уменьшите сумму долга на листе «Ввод»",IF(A198&gt;Ввод!$B$6,"БЛОК: оплата после последнего дня расчёта — продлите расчёт или уберите строку","ок")))))</f>
        <v/>
      </c>
    </row>
    <row r="199">
      <c r="A199" s="4" t="n"/>
      <c r="B199" s="3" t="n"/>
      <c r="C199" s="8" t="n"/>
      <c r="D199" s="9">
        <f>IF(AND(A199="",B199=""),"",IF(OR(A199="",B199=""),"БЛОК: нужны и дата, и сумма",IF(B199&lt;=0,"БЛОК: сумма должна быть больше нуля",IF(A199&lt;Ввод!$B$5,"БЛОК: оплата до начала просрочки — уменьшите сумму долга на листе «Ввод»",IF(A199&gt;Ввод!$B$6,"БЛОК: оплата после последнего дня расчёта — продлите расчёт или уберите строку","ок")))))</f>
        <v/>
      </c>
    </row>
    <row r="200">
      <c r="A200" s="4" t="n"/>
      <c r="B200" s="3" t="n"/>
      <c r="C200" s="8" t="n"/>
      <c r="D200" s="9">
        <f>IF(AND(A200="",B200=""),"",IF(OR(A200="",B200=""),"БЛОК: нужны и дата, и сумма",IF(B200&lt;=0,"БЛОК: сумма должна быть больше нуля",IF(A200&lt;Ввод!$B$5,"БЛОК: оплата до начала просрочки — уменьшите сумму долга на листе «Ввод»",IF(A200&gt;Ввод!$B$6,"БЛОК: оплата после последнего дня расчёта — продлите расчёт или уберите строку","ок")))))</f>
        <v/>
      </c>
    </row>
    <row r="201">
      <c r="A201" s="4" t="n"/>
      <c r="B201" s="3" t="n"/>
      <c r="C201" s="8" t="n"/>
      <c r="D201" s="9">
        <f>IF(AND(A201="",B201=""),"",IF(OR(A201="",B201=""),"БЛОК: нужны и дата, и сумма",IF(B201&lt;=0,"БЛОК: сумма должна быть больше нуля",IF(A201&lt;Ввод!$B$5,"БЛОК: оплата до начала просрочки — уменьшите сумму долга на листе «Ввод»",IF(A201&gt;Ввод!$B$6,"БЛОК: оплата после последнего дня расчёта — продлите расчёт или уберите строку","ок")))))</f>
        <v/>
      </c>
    </row>
    <row r="202">
      <c r="A202" s="4" t="n"/>
      <c r="B202" s="3" t="n"/>
      <c r="C202" s="8" t="n"/>
      <c r="D202" s="9">
        <f>IF(AND(A202="",B202=""),"",IF(OR(A202="",B202=""),"БЛОК: нужны и дата, и сумма",IF(B202&lt;=0,"БЛОК: сумма должна быть больше нуля",IF(A202&lt;Ввод!$B$5,"БЛОК: оплата до начала просрочки — уменьшите сумму долга на листе «Ввод»",IF(A202&gt;Ввод!$B$6,"БЛОК: оплата после последнего дня расчёта — продлите расчёт или уберите строку","ок")))))</f>
        <v/>
      </c>
    </row>
    <row r="203">
      <c r="A203" s="4" t="n"/>
      <c r="B203" s="3" t="n"/>
      <c r="C203" s="8" t="n"/>
      <c r="D203" s="9">
        <f>IF(AND(A203="",B203=""),"",IF(OR(A203="",B203=""),"БЛОК: нужны и дата, и сумма",IF(B203&lt;=0,"БЛОК: сумма должна быть больше нуля",IF(A203&lt;Ввод!$B$5,"БЛОК: оплата до начала просрочки — уменьшите сумму долга на листе «Ввод»",IF(A203&gt;Ввод!$B$6,"БЛОК: оплата после последнего дня расчёта — продлите расчёт или уберите строку","ок")))))</f>
        <v/>
      </c>
    </row>
    <row r="204">
      <c r="A204" s="4" t="n"/>
      <c r="B204" s="3" t="n"/>
      <c r="C204" s="8" t="n"/>
      <c r="D204" s="9">
        <f>IF(AND(A204="",B204=""),"",IF(OR(A204="",B204=""),"БЛОК: нужны и дата, и сумма",IF(B204&lt;=0,"БЛОК: сумма должна быть больше нуля",IF(A204&lt;Ввод!$B$5,"БЛОК: оплата до начала просрочки — уменьшите сумму долга на листе «Ввод»",IF(A204&gt;Ввод!$B$6,"БЛОК: оплата после последнего дня расчёта — продлите расчёт или уберите строку","ок")))))</f>
        <v/>
      </c>
    </row>
    <row r="205">
      <c r="A205" s="4" t="n"/>
      <c r="B205" s="3" t="n"/>
      <c r="C205" s="8" t="n"/>
      <c r="D205" s="9">
        <f>IF(AND(A205="",B205=""),"",IF(OR(A205="",B205=""),"БЛОК: нужны и дата, и сумма",IF(B205&lt;=0,"БЛОК: сумма должна быть больше нуля",IF(A205&lt;Ввод!$B$5,"БЛОК: оплата до начала просрочки — уменьшите сумму долга на листе «Ввод»",IF(A205&gt;Ввод!$B$6,"БЛОК: оплата после последнего дня расчёта — продлите расчёт или уберите строку","ок")))))</f>
        <v/>
      </c>
    </row>
    <row r="206">
      <c r="A206" s="4" t="n"/>
      <c r="B206" s="3" t="n"/>
      <c r="C206" s="8" t="n"/>
      <c r="D206" s="9">
        <f>IF(AND(A206="",B206=""),"",IF(OR(A206="",B206=""),"БЛОК: нужны и дата, и сумма",IF(B206&lt;=0,"БЛОК: сумма должна быть больше нуля",IF(A206&lt;Ввод!$B$5,"БЛОК: оплата до начала просрочки — уменьшите сумму долга на листе «Ввод»",IF(A206&gt;Ввод!$B$6,"БЛОК: оплата после последнего дня расчёта — продлите расчёт или уберите строку","ок")))))</f>
        <v/>
      </c>
    </row>
    <row r="207">
      <c r="A207" s="4" t="n"/>
      <c r="B207" s="3" t="n"/>
      <c r="C207" s="8" t="n"/>
      <c r="D207" s="9">
        <f>IF(AND(A207="",B207=""),"",IF(OR(A207="",B207=""),"БЛОК: нужны и дата, и сумма",IF(B207&lt;=0,"БЛОК: сумма должна быть больше нуля",IF(A207&lt;Ввод!$B$5,"БЛОК: оплата до начала просрочки — уменьшите сумму долга на листе «Ввод»",IF(A207&gt;Ввод!$B$6,"БЛОК: оплата после последнего дня расчёта — продлите расчёт или уберите строку","ок")))))</f>
        <v/>
      </c>
    </row>
    <row r="208">
      <c r="A208" s="4" t="n"/>
      <c r="B208" s="3" t="n"/>
      <c r="C208" s="8" t="n"/>
      <c r="D208" s="9">
        <f>IF(AND(A208="",B208=""),"",IF(OR(A208="",B208=""),"БЛОК: нужны и дата, и сумма",IF(B208&lt;=0,"БЛОК: сумма должна быть больше нуля",IF(A208&lt;Ввод!$B$5,"БЛОК: оплата до начала просрочки — уменьшите сумму долга на листе «Ввод»",IF(A208&gt;Ввод!$B$6,"БЛОК: оплата после последнего дня расчёта — продлите расчёт или уберите строку","ок")))))</f>
        <v/>
      </c>
    </row>
    <row r="209">
      <c r="A209" s="4" t="n"/>
      <c r="B209" s="3" t="n"/>
      <c r="C209" s="8" t="n"/>
      <c r="D209" s="9">
        <f>IF(AND(A209="",B209=""),"",IF(OR(A209="",B209=""),"БЛОК: нужны и дата, и сумма",IF(B209&lt;=0,"БЛОК: сумма должна быть больше нуля",IF(A209&lt;Ввод!$B$5,"БЛОК: оплата до начала просрочки — уменьшите сумму долга на листе «Ввод»",IF(A209&gt;Ввод!$B$6,"БЛОК: оплата после последнего дня расчёта — продлите расчёт или уберите строку","ок")))))</f>
        <v/>
      </c>
    </row>
    <row r="210">
      <c r="A210" s="4" t="n"/>
      <c r="B210" s="3" t="n"/>
      <c r="C210" s="8" t="n"/>
      <c r="D210" s="9">
        <f>IF(AND(A210="",B210=""),"",IF(OR(A210="",B210=""),"БЛОК: нужны и дата, и сумма",IF(B210&lt;=0,"БЛОК: сумма должна быть больше нуля",IF(A210&lt;Ввод!$B$5,"БЛОК: оплата до начала просрочки — уменьшите сумму долга на листе «Ввод»",IF(A210&gt;Ввод!$B$6,"БЛОК: оплата после последнего дня расчёта — продлите расчёт или уберите строку","ок")))))</f>
        <v/>
      </c>
    </row>
    <row r="211">
      <c r="A211" s="4" t="n"/>
      <c r="B211" s="3" t="n"/>
      <c r="C211" s="8" t="n"/>
      <c r="D211" s="9">
        <f>IF(AND(A211="",B211=""),"",IF(OR(A211="",B211=""),"БЛОК: нужны и дата, и сумма",IF(B211&lt;=0,"БЛОК: сумма должна быть больше нуля",IF(A211&lt;Ввод!$B$5,"БЛОК: оплата до начала просрочки — уменьшите сумму долга на листе «Ввод»",IF(A211&gt;Ввод!$B$6,"БЛОК: оплата после последнего дня расчёта — продлите расчёт или уберите строку","ок")))))</f>
        <v/>
      </c>
    </row>
    <row r="212">
      <c r="A212" s="4" t="n"/>
      <c r="B212" s="3" t="n"/>
      <c r="C212" s="8" t="n"/>
      <c r="D212" s="9">
        <f>IF(AND(A212="",B212=""),"",IF(OR(A212="",B212=""),"БЛОК: нужны и дата, и сумма",IF(B212&lt;=0,"БЛОК: сумма должна быть больше нуля",IF(A212&lt;Ввод!$B$5,"БЛОК: оплата до начала просрочки — уменьшите сумму долга на листе «Ввод»",IF(A212&gt;Ввод!$B$6,"БЛОК: оплата после последнего дня расчёта — продлите расчёт или уберите строку","ок")))))</f>
        <v/>
      </c>
    </row>
    <row r="213">
      <c r="A213" s="4" t="n"/>
      <c r="B213" s="3" t="n"/>
      <c r="C213" s="8" t="n"/>
      <c r="D213" s="9">
        <f>IF(AND(A213="",B213=""),"",IF(OR(A213="",B213=""),"БЛОК: нужны и дата, и сумма",IF(B213&lt;=0,"БЛОК: сумма должна быть больше нуля",IF(A213&lt;Ввод!$B$5,"БЛОК: оплата до начала просрочки — уменьшите сумму долга на листе «Ввод»",IF(A213&gt;Ввод!$B$6,"БЛОК: оплата после последнего дня расчёта — продлите расчёт или уберите строку","ок")))))</f>
        <v/>
      </c>
    </row>
    <row r="214">
      <c r="A214" s="4" t="n"/>
      <c r="B214" s="3" t="n"/>
      <c r="C214" s="8" t="n"/>
      <c r="D214" s="9">
        <f>IF(AND(A214="",B214=""),"",IF(OR(A214="",B214=""),"БЛОК: нужны и дата, и сумма",IF(B214&lt;=0,"БЛОК: сумма должна быть больше нуля",IF(A214&lt;Ввод!$B$5,"БЛОК: оплата до начала просрочки — уменьшите сумму долга на листе «Ввод»",IF(A214&gt;Ввод!$B$6,"БЛОК: оплата после последнего дня расчёта — продлите расчёт или уберите строку","ок")))))</f>
        <v/>
      </c>
    </row>
    <row r="215">
      <c r="A215" s="4" t="n"/>
      <c r="B215" s="3" t="n"/>
      <c r="C215" s="8" t="n"/>
      <c r="D215" s="9">
        <f>IF(AND(A215="",B215=""),"",IF(OR(A215="",B215=""),"БЛОК: нужны и дата, и сумма",IF(B215&lt;=0,"БЛОК: сумма должна быть больше нуля",IF(A215&lt;Ввод!$B$5,"БЛОК: оплата до начала просрочки — уменьшите сумму долга на листе «Ввод»",IF(A215&gt;Ввод!$B$6,"БЛОК: оплата после последнего дня расчёта — продлите расчёт или уберите строку","ок")))))</f>
        <v/>
      </c>
    </row>
    <row r="216">
      <c r="A216" s="4" t="n"/>
      <c r="B216" s="3" t="n"/>
      <c r="C216" s="8" t="n"/>
      <c r="D216" s="9">
        <f>IF(AND(A216="",B216=""),"",IF(OR(A216="",B216=""),"БЛОК: нужны и дата, и сумма",IF(B216&lt;=0,"БЛОК: сумма должна быть больше нуля",IF(A216&lt;Ввод!$B$5,"БЛОК: оплата до начала просрочки — уменьшите сумму долга на листе «Ввод»",IF(A216&gt;Ввод!$B$6,"БЛОК: оплата после последнего дня расчёта — продлите расчёт или уберите строку","ок")))))</f>
        <v/>
      </c>
    </row>
    <row r="217">
      <c r="A217" s="4" t="n"/>
      <c r="B217" s="3" t="n"/>
      <c r="C217" s="8" t="n"/>
      <c r="D217" s="9">
        <f>IF(AND(A217="",B217=""),"",IF(OR(A217="",B217=""),"БЛОК: нужны и дата, и сумма",IF(B217&lt;=0,"БЛОК: сумма должна быть больше нуля",IF(A217&lt;Ввод!$B$5,"БЛОК: оплата до начала просрочки — уменьшите сумму долга на листе «Ввод»",IF(A217&gt;Ввод!$B$6,"БЛОК: оплата после последнего дня расчёта — продлите расчёт или уберите строку","ок")))))</f>
        <v/>
      </c>
    </row>
    <row r="218">
      <c r="A218" s="4" t="n"/>
      <c r="B218" s="3" t="n"/>
      <c r="C218" s="8" t="n"/>
      <c r="D218" s="9">
        <f>IF(AND(A218="",B218=""),"",IF(OR(A218="",B218=""),"БЛОК: нужны и дата, и сумма",IF(B218&lt;=0,"БЛОК: сумма должна быть больше нуля",IF(A218&lt;Ввод!$B$5,"БЛОК: оплата до начала просрочки — уменьшите сумму долга на листе «Ввод»",IF(A218&gt;Ввод!$B$6,"БЛОК: оплата после последнего дня расчёта — продлите расчёт или уберите строку","ок")))))</f>
        <v/>
      </c>
    </row>
    <row r="219">
      <c r="A219" s="4" t="n"/>
      <c r="B219" s="3" t="n"/>
      <c r="C219" s="8" t="n"/>
      <c r="D219" s="9">
        <f>IF(AND(A219="",B219=""),"",IF(OR(A219="",B219=""),"БЛОК: нужны и дата, и сумма",IF(B219&lt;=0,"БЛОК: сумма должна быть больше нуля",IF(A219&lt;Ввод!$B$5,"БЛОК: оплата до начала просрочки — уменьшите сумму долга на листе «Ввод»",IF(A219&gt;Ввод!$B$6,"БЛОК: оплата после последнего дня расчёта — продлите расчёт или уберите строку","ок")))))</f>
        <v/>
      </c>
    </row>
    <row r="220">
      <c r="A220" s="4" t="n"/>
      <c r="B220" s="3" t="n"/>
      <c r="C220" s="8" t="n"/>
      <c r="D220" s="9">
        <f>IF(AND(A220="",B220=""),"",IF(OR(A220="",B220=""),"БЛОК: нужны и дата, и сумма",IF(B220&lt;=0,"БЛОК: сумма должна быть больше нуля",IF(A220&lt;Ввод!$B$5,"БЛОК: оплата до начала просрочки — уменьшите сумму долга на листе «Ввод»",IF(A220&gt;Ввод!$B$6,"БЛОК: оплата после последнего дня расчёта — продлите расчёт или уберите строку","ок")))))</f>
        <v/>
      </c>
    </row>
    <row r="221">
      <c r="A221" s="4" t="n"/>
      <c r="B221" s="3" t="n"/>
      <c r="C221" s="8" t="n"/>
      <c r="D221" s="9">
        <f>IF(AND(A221="",B221=""),"",IF(OR(A221="",B221=""),"БЛОК: нужны и дата, и сумма",IF(B221&lt;=0,"БЛОК: сумма должна быть больше нуля",IF(A221&lt;Ввод!$B$5,"БЛОК: оплата до начала просрочки — уменьшите сумму долга на листе «Ввод»",IF(A221&gt;Ввод!$B$6,"БЛОК: оплата после последнего дня расчёта — продлите расчёт или уберите строку","ок")))))</f>
        <v/>
      </c>
    </row>
    <row r="222">
      <c r="A222" s="4" t="n"/>
      <c r="B222" s="3" t="n"/>
      <c r="C222" s="8" t="n"/>
      <c r="D222" s="9">
        <f>IF(AND(A222="",B222=""),"",IF(OR(A222="",B222=""),"БЛОК: нужны и дата, и сумма",IF(B222&lt;=0,"БЛОК: сумма должна быть больше нуля",IF(A222&lt;Ввод!$B$5,"БЛОК: оплата до начала просрочки — уменьшите сумму долга на листе «Ввод»",IF(A222&gt;Ввод!$B$6,"БЛОК: оплата после последнего дня расчёта — продлите расчёт или уберите строку","ок")))))</f>
        <v/>
      </c>
    </row>
    <row r="223">
      <c r="A223" s="4" t="n"/>
      <c r="B223" s="3" t="n"/>
      <c r="C223" s="8" t="n"/>
      <c r="D223" s="9">
        <f>IF(AND(A223="",B223=""),"",IF(OR(A223="",B223=""),"БЛОК: нужны и дата, и сумма",IF(B223&lt;=0,"БЛОК: сумма должна быть больше нуля",IF(A223&lt;Ввод!$B$5,"БЛОК: оплата до начала просрочки — уменьшите сумму долга на листе «Ввод»",IF(A223&gt;Ввод!$B$6,"БЛОК: оплата после последнего дня расчёта — продлите расчёт или уберите строку","ок")))))</f>
        <v/>
      </c>
    </row>
    <row r="224">
      <c r="A224" s="4" t="n"/>
      <c r="B224" s="3" t="n"/>
      <c r="C224" s="8" t="n"/>
      <c r="D224" s="9">
        <f>IF(AND(A224="",B224=""),"",IF(OR(A224="",B224=""),"БЛОК: нужны и дата, и сумма",IF(B224&lt;=0,"БЛОК: сумма должна быть больше нуля",IF(A224&lt;Ввод!$B$5,"БЛОК: оплата до начала просрочки — уменьшите сумму долга на листе «Ввод»",IF(A224&gt;Ввод!$B$6,"БЛОК: оплата после последнего дня расчёта — продлите расчёт или уберите строку","ок")))))</f>
        <v/>
      </c>
    </row>
    <row r="225">
      <c r="A225" s="4" t="n"/>
      <c r="B225" s="3" t="n"/>
      <c r="C225" s="8" t="n"/>
      <c r="D225" s="9">
        <f>IF(AND(A225="",B225=""),"",IF(OR(A225="",B225=""),"БЛОК: нужны и дата, и сумма",IF(B225&lt;=0,"БЛОК: сумма должна быть больше нуля",IF(A225&lt;Ввод!$B$5,"БЛОК: оплата до начала просрочки — уменьшите сумму долга на листе «Ввод»",IF(A225&gt;Ввод!$B$6,"БЛОК: оплата после последнего дня расчёта — продлите расчёт или уберите строку","ок")))))</f>
        <v/>
      </c>
    </row>
    <row r="226">
      <c r="A226" s="4" t="n"/>
      <c r="B226" s="3" t="n"/>
      <c r="C226" s="8" t="n"/>
      <c r="D226" s="9">
        <f>IF(AND(A226="",B226=""),"",IF(OR(A226="",B226=""),"БЛОК: нужны и дата, и сумма",IF(B226&lt;=0,"БЛОК: сумма должна быть больше нуля",IF(A226&lt;Ввод!$B$5,"БЛОК: оплата до начала просрочки — уменьшите сумму долга на листе «Ввод»",IF(A226&gt;Ввод!$B$6,"БЛОК: оплата после последнего дня расчёта — продлите расчёт или уберите строку","ок")))))</f>
        <v/>
      </c>
    </row>
    <row r="227">
      <c r="A227" s="4" t="n"/>
      <c r="B227" s="3" t="n"/>
      <c r="C227" s="8" t="n"/>
      <c r="D227" s="9">
        <f>IF(AND(A227="",B227=""),"",IF(OR(A227="",B227=""),"БЛОК: нужны и дата, и сумма",IF(B227&lt;=0,"БЛОК: сумма должна быть больше нуля",IF(A227&lt;Ввод!$B$5,"БЛОК: оплата до начала просрочки — уменьшите сумму долга на листе «Ввод»",IF(A227&gt;Ввод!$B$6,"БЛОК: оплата после последнего дня расчёта — продлите расчёт или уберите строку","ок")))))</f>
        <v/>
      </c>
    </row>
    <row r="228">
      <c r="A228" s="4" t="n"/>
      <c r="B228" s="3" t="n"/>
      <c r="C228" s="8" t="n"/>
      <c r="D228" s="9">
        <f>IF(AND(A228="",B228=""),"",IF(OR(A228="",B228=""),"БЛОК: нужны и дата, и сумма",IF(B228&lt;=0,"БЛОК: сумма должна быть больше нуля",IF(A228&lt;Ввод!$B$5,"БЛОК: оплата до начала просрочки — уменьшите сумму долга на листе «Ввод»",IF(A228&gt;Ввод!$B$6,"БЛОК: оплата после последнего дня расчёта — продлите расчёт или уберите строку","ок")))))</f>
        <v/>
      </c>
    </row>
    <row r="229">
      <c r="A229" s="4" t="n"/>
      <c r="B229" s="3" t="n"/>
      <c r="C229" s="8" t="n"/>
      <c r="D229" s="9">
        <f>IF(AND(A229="",B229=""),"",IF(OR(A229="",B229=""),"БЛОК: нужны и дата, и сумма",IF(B229&lt;=0,"БЛОК: сумма должна быть больше нуля",IF(A229&lt;Ввод!$B$5,"БЛОК: оплата до начала просрочки — уменьшите сумму долга на листе «Ввод»",IF(A229&gt;Ввод!$B$6,"БЛОК: оплата после последнего дня расчёта — продлите расчёт или уберите строку","ок")))))</f>
        <v/>
      </c>
    </row>
    <row r="230">
      <c r="A230" s="4" t="n"/>
      <c r="B230" s="3" t="n"/>
      <c r="C230" s="8" t="n"/>
      <c r="D230" s="9">
        <f>IF(AND(A230="",B230=""),"",IF(OR(A230="",B230=""),"БЛОК: нужны и дата, и сумма",IF(B230&lt;=0,"БЛОК: сумма должна быть больше нуля",IF(A230&lt;Ввод!$B$5,"БЛОК: оплата до начала просрочки — уменьшите сумму долга на листе «Ввод»",IF(A230&gt;Ввод!$B$6,"БЛОК: оплата после последнего дня расчёта — продлите расчёт или уберите строку","ок")))))</f>
        <v/>
      </c>
    </row>
    <row r="231">
      <c r="A231" s="4" t="n"/>
      <c r="B231" s="3" t="n"/>
      <c r="C231" s="8" t="n"/>
      <c r="D231" s="9">
        <f>IF(AND(A231="",B231=""),"",IF(OR(A231="",B231=""),"БЛОК: нужны и дата, и сумма",IF(B231&lt;=0,"БЛОК: сумма должна быть больше нуля",IF(A231&lt;Ввод!$B$5,"БЛОК: оплата до начала просрочки — уменьшите сумму долга на листе «Ввод»",IF(A231&gt;Ввод!$B$6,"БЛОК: оплата после последнего дня расчёта — продлите расчёт или уберите строку","ок")))))</f>
        <v/>
      </c>
    </row>
    <row r="232">
      <c r="A232" s="4" t="n"/>
      <c r="B232" s="3" t="n"/>
      <c r="C232" s="8" t="n"/>
      <c r="D232" s="9">
        <f>IF(AND(A232="",B232=""),"",IF(OR(A232="",B232=""),"БЛОК: нужны и дата, и сумма",IF(B232&lt;=0,"БЛОК: сумма должна быть больше нуля",IF(A232&lt;Ввод!$B$5,"БЛОК: оплата до начала просрочки — уменьшите сумму долга на листе «Ввод»",IF(A232&gt;Ввод!$B$6,"БЛОК: оплата после последнего дня расчёта — продлите расчёт или уберите строку","ок")))))</f>
        <v/>
      </c>
    </row>
    <row r="233">
      <c r="A233" s="4" t="n"/>
      <c r="B233" s="3" t="n"/>
      <c r="C233" s="8" t="n"/>
      <c r="D233" s="9">
        <f>IF(AND(A233="",B233=""),"",IF(OR(A233="",B233=""),"БЛОК: нужны и дата, и сумма",IF(B233&lt;=0,"БЛОК: сумма должна быть больше нуля",IF(A233&lt;Ввод!$B$5,"БЛОК: оплата до начала просрочки — уменьшите сумму долга на листе «Ввод»",IF(A233&gt;Ввод!$B$6,"БЛОК: оплата после последнего дня расчёта — продлите расчёт или уберите строку","ок")))))</f>
        <v/>
      </c>
    </row>
    <row r="234">
      <c r="A234" s="4" t="n"/>
      <c r="B234" s="3" t="n"/>
      <c r="C234" s="8" t="n"/>
      <c r="D234" s="9">
        <f>IF(AND(A234="",B234=""),"",IF(OR(A234="",B234=""),"БЛОК: нужны и дата, и сумма",IF(B234&lt;=0,"БЛОК: сумма должна быть больше нуля",IF(A234&lt;Ввод!$B$5,"БЛОК: оплата до начала просрочки — уменьшите сумму долга на листе «Ввод»",IF(A234&gt;Ввод!$B$6,"БЛОК: оплата после последнего дня расчёта — продлите расчёт или уберите строку","ок")))))</f>
        <v/>
      </c>
    </row>
    <row r="235">
      <c r="A235" s="4" t="n"/>
      <c r="B235" s="3" t="n"/>
      <c r="C235" s="8" t="n"/>
      <c r="D235" s="9">
        <f>IF(AND(A235="",B235=""),"",IF(OR(A235="",B235=""),"БЛОК: нужны и дата, и сумма",IF(B235&lt;=0,"БЛОК: сумма должна быть больше нуля",IF(A235&lt;Ввод!$B$5,"БЛОК: оплата до начала просрочки — уменьшите сумму долга на листе «Ввод»",IF(A235&gt;Ввод!$B$6,"БЛОК: оплата после последнего дня расчёта — продлите расчёт или уберите строку","ок")))))</f>
        <v/>
      </c>
    </row>
    <row r="236">
      <c r="A236" s="4" t="n"/>
      <c r="B236" s="3" t="n"/>
      <c r="C236" s="8" t="n"/>
      <c r="D236" s="9">
        <f>IF(AND(A236="",B236=""),"",IF(OR(A236="",B236=""),"БЛОК: нужны и дата, и сумма",IF(B236&lt;=0,"БЛОК: сумма должна быть больше нуля",IF(A236&lt;Ввод!$B$5,"БЛОК: оплата до начала просрочки — уменьшите сумму долга на листе «Ввод»",IF(A236&gt;Ввод!$B$6,"БЛОК: оплата после последнего дня расчёта — продлите расчёт или уберите строку","ок")))))</f>
        <v/>
      </c>
    </row>
    <row r="237">
      <c r="A237" s="4" t="n"/>
      <c r="B237" s="3" t="n"/>
      <c r="C237" s="8" t="n"/>
      <c r="D237" s="9">
        <f>IF(AND(A237="",B237=""),"",IF(OR(A237="",B237=""),"БЛОК: нужны и дата, и сумма",IF(B237&lt;=0,"БЛОК: сумма должна быть больше нуля",IF(A237&lt;Ввод!$B$5,"БЛОК: оплата до начала просрочки — уменьшите сумму долга на листе «Ввод»",IF(A237&gt;Ввод!$B$6,"БЛОК: оплата после последнего дня расчёта — продлите расчёт или уберите строку","ок")))))</f>
        <v/>
      </c>
    </row>
    <row r="238">
      <c r="A238" s="4" t="n"/>
      <c r="B238" s="3" t="n"/>
      <c r="C238" s="8" t="n"/>
      <c r="D238" s="9">
        <f>IF(AND(A238="",B238=""),"",IF(OR(A238="",B238=""),"БЛОК: нужны и дата, и сумма",IF(B238&lt;=0,"БЛОК: сумма должна быть больше нуля",IF(A238&lt;Ввод!$B$5,"БЛОК: оплата до начала просрочки — уменьшите сумму долга на листе «Ввод»",IF(A238&gt;Ввод!$B$6,"БЛОК: оплата после последнего дня расчёта — продлите расчёт или уберите строку","ок")))))</f>
        <v/>
      </c>
    </row>
    <row r="239">
      <c r="A239" s="4" t="n"/>
      <c r="B239" s="3" t="n"/>
      <c r="C239" s="8" t="n"/>
      <c r="D239" s="9">
        <f>IF(AND(A239="",B239=""),"",IF(OR(A239="",B239=""),"БЛОК: нужны и дата, и сумма",IF(B239&lt;=0,"БЛОК: сумма должна быть больше нуля",IF(A239&lt;Ввод!$B$5,"БЛОК: оплата до начала просрочки — уменьшите сумму долга на листе «Ввод»",IF(A239&gt;Ввод!$B$6,"БЛОК: оплата после последнего дня расчёта — продлите расчёт или уберите строку","ок")))))</f>
        <v/>
      </c>
    </row>
    <row r="240">
      <c r="A240" s="4" t="n"/>
      <c r="B240" s="3" t="n"/>
      <c r="C240" s="8" t="n"/>
      <c r="D240" s="9">
        <f>IF(AND(A240="",B240=""),"",IF(OR(A240="",B240=""),"БЛОК: нужны и дата, и сумма",IF(B240&lt;=0,"БЛОК: сумма должна быть больше нуля",IF(A240&lt;Ввод!$B$5,"БЛОК: оплата до начала просрочки — уменьшите сумму долга на листе «Ввод»",IF(A240&gt;Ввод!$B$6,"БЛОК: оплата после последнего дня расчёта — продлите расчёт или уберите строку","ок")))))</f>
        <v/>
      </c>
    </row>
    <row r="241">
      <c r="A241" s="4" t="n"/>
      <c r="B241" s="3" t="n"/>
      <c r="C241" s="8" t="n"/>
      <c r="D241" s="9">
        <f>IF(AND(A241="",B241=""),"",IF(OR(A241="",B241=""),"БЛОК: нужны и дата, и сумма",IF(B241&lt;=0,"БЛОК: сумма должна быть больше нуля",IF(A241&lt;Ввод!$B$5,"БЛОК: оплата до начала просрочки — уменьшите сумму долга на листе «Ввод»",IF(A241&gt;Ввод!$B$6,"БЛОК: оплата после последнего дня расчёта — продлите расчёт или уберите строку","ок")))))</f>
        <v/>
      </c>
    </row>
    <row r="242">
      <c r="A242" s="4" t="n"/>
      <c r="B242" s="3" t="n"/>
      <c r="C242" s="8" t="n"/>
      <c r="D242" s="9">
        <f>IF(AND(A242="",B242=""),"",IF(OR(A242="",B242=""),"БЛОК: нужны и дата, и сумма",IF(B242&lt;=0,"БЛОК: сумма должна быть больше нуля",IF(A242&lt;Ввод!$B$5,"БЛОК: оплата до начала просрочки — уменьшите сумму долга на листе «Ввод»",IF(A242&gt;Ввод!$B$6,"БЛОК: оплата после последнего дня расчёта — продлите расчёт или уберите строку","ок")))))</f>
        <v/>
      </c>
    </row>
    <row r="243">
      <c r="A243" s="4" t="n"/>
      <c r="B243" s="3" t="n"/>
      <c r="C243" s="8" t="n"/>
      <c r="D243" s="9">
        <f>IF(AND(A243="",B243=""),"",IF(OR(A243="",B243=""),"БЛОК: нужны и дата, и сумма",IF(B243&lt;=0,"БЛОК: сумма должна быть больше нуля",IF(A243&lt;Ввод!$B$5,"БЛОК: оплата до начала просрочки — уменьшите сумму долга на листе «Ввод»",IF(A243&gt;Ввод!$B$6,"БЛОК: оплата после последнего дня расчёта — продлите расчёт или уберите строку","ок")))))</f>
        <v/>
      </c>
    </row>
    <row r="244">
      <c r="A244" s="4" t="n"/>
      <c r="B244" s="3" t="n"/>
      <c r="C244" s="8" t="n"/>
      <c r="D244" s="9">
        <f>IF(AND(A244="",B244=""),"",IF(OR(A244="",B244=""),"БЛОК: нужны и дата, и сумма",IF(B244&lt;=0,"БЛОК: сумма должна быть больше нуля",IF(A244&lt;Ввод!$B$5,"БЛОК: оплата до начала просрочки — уменьшите сумму долга на листе «Ввод»",IF(A244&gt;Ввод!$B$6,"БЛОК: оплата после последнего дня расчёта — продлите расчёт или уберите строку","ок")))))</f>
        <v/>
      </c>
    </row>
    <row r="245">
      <c r="A245" s="4" t="n"/>
      <c r="B245" s="3" t="n"/>
      <c r="C245" s="8" t="n"/>
      <c r="D245" s="9">
        <f>IF(AND(A245="",B245=""),"",IF(OR(A245="",B245=""),"БЛОК: нужны и дата, и сумма",IF(B245&lt;=0,"БЛОК: сумма должна быть больше нуля",IF(A245&lt;Ввод!$B$5,"БЛОК: оплата до начала просрочки — уменьшите сумму долга на листе «Ввод»",IF(A245&gt;Ввод!$B$6,"БЛОК: оплата после последнего дня расчёта — продлите расчёт или уберите строку","ок")))))</f>
        <v/>
      </c>
    </row>
    <row r="246">
      <c r="A246" s="4" t="n"/>
      <c r="B246" s="3" t="n"/>
      <c r="C246" s="8" t="n"/>
      <c r="D246" s="9">
        <f>IF(AND(A246="",B246=""),"",IF(OR(A246="",B246=""),"БЛОК: нужны и дата, и сумма",IF(B246&lt;=0,"БЛОК: сумма должна быть больше нуля",IF(A246&lt;Ввод!$B$5,"БЛОК: оплата до начала просрочки — уменьшите сумму долга на листе «Ввод»",IF(A246&gt;Ввод!$B$6,"БЛОК: оплата после последнего дня расчёта — продлите расчёт или уберите строку","ок")))))</f>
        <v/>
      </c>
    </row>
    <row r="247">
      <c r="A247" s="4" t="n"/>
      <c r="B247" s="3" t="n"/>
      <c r="C247" s="8" t="n"/>
      <c r="D247" s="9">
        <f>IF(AND(A247="",B247=""),"",IF(OR(A247="",B247=""),"БЛОК: нужны и дата, и сумма",IF(B247&lt;=0,"БЛОК: сумма должна быть больше нуля",IF(A247&lt;Ввод!$B$5,"БЛОК: оплата до начала просрочки — уменьшите сумму долга на листе «Ввод»",IF(A247&gt;Ввод!$B$6,"БЛОК: оплата после последнего дня расчёта — продлите расчёт или уберите строку","ок")))))</f>
        <v/>
      </c>
    </row>
    <row r="248">
      <c r="A248" s="4" t="n"/>
      <c r="B248" s="3" t="n"/>
      <c r="C248" s="8" t="n"/>
      <c r="D248" s="9">
        <f>IF(AND(A248="",B248=""),"",IF(OR(A248="",B248=""),"БЛОК: нужны и дата, и сумма",IF(B248&lt;=0,"БЛОК: сумма должна быть больше нуля",IF(A248&lt;Ввод!$B$5,"БЛОК: оплата до начала просрочки — уменьшите сумму долга на листе «Ввод»",IF(A248&gt;Ввод!$B$6,"БЛОК: оплата после последнего дня расчёта — продлите расчёт или уберите строку","ок")))))</f>
        <v/>
      </c>
    </row>
    <row r="249">
      <c r="A249" s="4" t="n"/>
      <c r="B249" s="3" t="n"/>
      <c r="C249" s="8" t="n"/>
      <c r="D249" s="9">
        <f>IF(AND(A249="",B249=""),"",IF(OR(A249="",B249=""),"БЛОК: нужны и дата, и сумма",IF(B249&lt;=0,"БЛОК: сумма должна быть больше нуля",IF(A249&lt;Ввод!$B$5,"БЛОК: оплата до начала просрочки — уменьшите сумму долга на листе «Ввод»",IF(A249&gt;Ввод!$B$6,"БЛОК: оплата после последнего дня расчёта — продлите расчёт или уберите строку","ок")))))</f>
        <v/>
      </c>
    </row>
    <row r="250">
      <c r="A250" s="4" t="n"/>
      <c r="B250" s="3" t="n"/>
      <c r="C250" s="8" t="n"/>
      <c r="D250" s="9">
        <f>IF(AND(A250="",B250=""),"",IF(OR(A250="",B250=""),"БЛОК: нужны и дата, и сумма",IF(B250&lt;=0,"БЛОК: сумма должна быть больше нуля",IF(A250&lt;Ввод!$B$5,"БЛОК: оплата до начала просрочки — уменьшите сумму долга на листе «Ввод»",IF(A250&gt;Ввод!$B$6,"БЛОК: оплата после последнего дня расчёта — продлите расчёт или уберите строку","ок")))))</f>
        <v/>
      </c>
    </row>
    <row r="251">
      <c r="A251" s="4" t="n"/>
      <c r="B251" s="3" t="n"/>
      <c r="C251" s="8" t="n"/>
      <c r="D251" s="9">
        <f>IF(AND(A251="",B251=""),"",IF(OR(A251="",B251=""),"БЛОК: нужны и дата, и сумма",IF(B251&lt;=0,"БЛОК: сумма должна быть больше нуля",IF(A251&lt;Ввод!$B$5,"БЛОК: оплата до начала просрочки — уменьшите сумму долга на листе «Ввод»",IF(A251&gt;Ввод!$B$6,"БЛОК: оплата после последнего дня расчёта — продлите расчёт или уберите строку","ок")))))</f>
        <v/>
      </c>
    </row>
    <row r="252">
      <c r="A252" s="4" t="n"/>
      <c r="B252" s="3" t="n"/>
      <c r="C252" s="8" t="n"/>
      <c r="D252" s="9">
        <f>IF(AND(A252="",B252=""),"",IF(OR(A252="",B252=""),"БЛОК: нужны и дата, и сумма",IF(B252&lt;=0,"БЛОК: сумма должна быть больше нуля",IF(A252&lt;Ввод!$B$5,"БЛОК: оплата до начала просрочки — уменьшите сумму долга на листе «Ввод»",IF(A252&gt;Ввод!$B$6,"БЛОК: оплата после последнего дня расчёта — продлите расчёт или уберите строку","ок")))))</f>
        <v/>
      </c>
    </row>
    <row r="253">
      <c r="A253" s="4" t="n"/>
      <c r="B253" s="3" t="n"/>
      <c r="C253" s="8" t="n"/>
      <c r="D253" s="9">
        <f>IF(AND(A253="",B253=""),"",IF(OR(A253="",B253=""),"БЛОК: нужны и дата, и сумма",IF(B253&lt;=0,"БЛОК: сумма должна быть больше нуля",IF(A253&lt;Ввод!$B$5,"БЛОК: оплата до начала просрочки — уменьшите сумму долга на листе «Ввод»",IF(A253&gt;Ввод!$B$6,"БЛОК: оплата после последнего дня расчёта — продлите расчёт или уберите строку","ок")))))</f>
        <v/>
      </c>
    </row>
    <row r="254">
      <c r="A254" s="4" t="n"/>
      <c r="B254" s="3" t="n"/>
      <c r="C254" s="8" t="n"/>
      <c r="D254" s="9">
        <f>IF(AND(A254="",B254=""),"",IF(OR(A254="",B254=""),"БЛОК: нужны и дата, и сумма",IF(B254&lt;=0,"БЛОК: сумма должна быть больше нуля",IF(A254&lt;Ввод!$B$5,"БЛОК: оплата до начала просрочки — уменьшите сумму долга на листе «Ввод»",IF(A254&gt;Ввод!$B$6,"БЛОК: оплата после последнего дня расчёта — продлите расчёт или уберите строку","ок")))))</f>
        <v/>
      </c>
    </row>
    <row r="255">
      <c r="A255" s="4" t="n"/>
      <c r="B255" s="3" t="n"/>
      <c r="C255" s="8" t="n"/>
      <c r="D255" s="9">
        <f>IF(AND(A255="",B255=""),"",IF(OR(A255="",B255=""),"БЛОК: нужны и дата, и сумма",IF(B255&lt;=0,"БЛОК: сумма должна быть больше нуля",IF(A255&lt;Ввод!$B$5,"БЛОК: оплата до начала просрочки — уменьшите сумму долга на листе «Ввод»",IF(A255&gt;Ввод!$B$6,"БЛОК: оплата после последнего дня расчёта — продлите расчёт или уберите строку","ок")))))</f>
        <v/>
      </c>
    </row>
    <row r="256">
      <c r="A256" s="4" t="n"/>
      <c r="B256" s="3" t="n"/>
      <c r="C256" s="8" t="n"/>
      <c r="D256" s="9">
        <f>IF(AND(A256="",B256=""),"",IF(OR(A256="",B256=""),"БЛОК: нужны и дата, и сумма",IF(B256&lt;=0,"БЛОК: сумма должна быть больше нуля",IF(A256&lt;Ввод!$B$5,"БЛОК: оплата до начала просрочки — уменьшите сумму долга на листе «Ввод»",IF(A256&gt;Ввод!$B$6,"БЛОК: оплата после последнего дня расчёта — продлите расчёт или уберите строку","ок")))))</f>
        <v/>
      </c>
    </row>
    <row r="257">
      <c r="A257" s="4" t="n"/>
      <c r="B257" s="3" t="n"/>
      <c r="C257" s="8" t="n"/>
      <c r="D257" s="9">
        <f>IF(AND(A257="",B257=""),"",IF(OR(A257="",B257=""),"БЛОК: нужны и дата, и сумма",IF(B257&lt;=0,"БЛОК: сумма должна быть больше нуля",IF(A257&lt;Ввод!$B$5,"БЛОК: оплата до начала просрочки — уменьшите сумму долга на листе «Ввод»",IF(A257&gt;Ввод!$B$6,"БЛОК: оплата после последнего дня расчёта — продлите расчёт или уберите строку","ок")))))</f>
        <v/>
      </c>
    </row>
    <row r="258">
      <c r="A258" s="4" t="n"/>
      <c r="B258" s="3" t="n"/>
      <c r="C258" s="8" t="n"/>
      <c r="D258" s="9">
        <f>IF(AND(A258="",B258=""),"",IF(OR(A258="",B258=""),"БЛОК: нужны и дата, и сумма",IF(B258&lt;=0,"БЛОК: сумма должна быть больше нуля",IF(A258&lt;Ввод!$B$5,"БЛОК: оплата до начала просрочки — уменьшите сумму долга на листе «Ввод»",IF(A258&gt;Ввод!$B$6,"БЛОК: оплата после последнего дня расчёта — продлите расчёт или уберите строку","ок")))))</f>
        <v/>
      </c>
    </row>
    <row r="259">
      <c r="A259" s="4" t="n"/>
      <c r="B259" s="3" t="n"/>
      <c r="C259" s="8" t="n"/>
      <c r="D259" s="9">
        <f>IF(AND(A259="",B259=""),"",IF(OR(A259="",B259=""),"БЛОК: нужны и дата, и сумма",IF(B259&lt;=0,"БЛОК: сумма должна быть больше нуля",IF(A259&lt;Ввод!$B$5,"БЛОК: оплата до начала просрочки — уменьшите сумму долга на листе «Ввод»",IF(A259&gt;Ввод!$B$6,"БЛОК: оплата после последнего дня расчёта — продлите расчёт или уберите строку","ок")))))</f>
        <v/>
      </c>
    </row>
    <row r="260">
      <c r="A260" s="4" t="n"/>
      <c r="B260" s="3" t="n"/>
      <c r="C260" s="8" t="n"/>
      <c r="D260" s="9">
        <f>IF(AND(A260="",B260=""),"",IF(OR(A260="",B260=""),"БЛОК: нужны и дата, и сумма",IF(B260&lt;=0,"БЛОК: сумма должна быть больше нуля",IF(A260&lt;Ввод!$B$5,"БЛОК: оплата до начала просрочки — уменьшите сумму долга на листе «Ввод»",IF(A260&gt;Ввод!$B$6,"БЛОК: оплата после последнего дня расчёта — продлите расчёт или уберите строку","ок")))))</f>
        <v/>
      </c>
    </row>
    <row r="261">
      <c r="A261" s="4" t="n"/>
      <c r="B261" s="3" t="n"/>
      <c r="C261" s="8" t="n"/>
      <c r="D261" s="9">
        <f>IF(AND(A261="",B261=""),"",IF(OR(A261="",B261=""),"БЛОК: нужны и дата, и сумма",IF(B261&lt;=0,"БЛОК: сумма должна быть больше нуля",IF(A261&lt;Ввод!$B$5,"БЛОК: оплата до начала просрочки — уменьшите сумму долга на листе «Ввод»",IF(A261&gt;Ввод!$B$6,"БЛОК: оплата после последнего дня расчёта — продлите расчёт или уберите строку","ок")))))</f>
        <v/>
      </c>
    </row>
    <row r="262">
      <c r="A262" s="4" t="n"/>
      <c r="B262" s="3" t="n"/>
      <c r="C262" s="8" t="n"/>
      <c r="D262" s="9">
        <f>IF(AND(A262="",B262=""),"",IF(OR(A262="",B262=""),"БЛОК: нужны и дата, и сумма",IF(B262&lt;=0,"БЛОК: сумма должна быть больше нуля",IF(A262&lt;Ввод!$B$5,"БЛОК: оплата до начала просрочки — уменьшите сумму долга на листе «Ввод»",IF(A262&gt;Ввод!$B$6,"БЛОК: оплата после последнего дня расчёта — продлите расчёт или уберите строку","ок")))))</f>
        <v/>
      </c>
    </row>
    <row r="263">
      <c r="A263" s="4" t="n"/>
      <c r="B263" s="3" t="n"/>
      <c r="C263" s="8" t="n"/>
      <c r="D263" s="9">
        <f>IF(AND(A263="",B263=""),"",IF(OR(A263="",B263=""),"БЛОК: нужны и дата, и сумма",IF(B263&lt;=0,"БЛОК: сумма должна быть больше нуля",IF(A263&lt;Ввод!$B$5,"БЛОК: оплата до начала просрочки — уменьшите сумму долга на листе «Ввод»",IF(A263&gt;Ввод!$B$6,"БЛОК: оплата после последнего дня расчёта — продлите расчёт или уберите строку","ок")))))</f>
        <v/>
      </c>
    </row>
    <row r="264">
      <c r="A264" s="4" t="n"/>
      <c r="B264" s="3" t="n"/>
      <c r="C264" s="8" t="n"/>
      <c r="D264" s="9">
        <f>IF(AND(A264="",B264=""),"",IF(OR(A264="",B264=""),"БЛОК: нужны и дата, и сумма",IF(B264&lt;=0,"БЛОК: сумма должна быть больше нуля",IF(A264&lt;Ввод!$B$5,"БЛОК: оплата до начала просрочки — уменьшите сумму долга на листе «Ввод»",IF(A264&gt;Ввод!$B$6,"БЛОК: оплата после последнего дня расчёта — продлите расчёт или уберите строку","ок")))))</f>
        <v/>
      </c>
    </row>
    <row r="265">
      <c r="A265" s="4" t="n"/>
      <c r="B265" s="3" t="n"/>
      <c r="C265" s="8" t="n"/>
      <c r="D265" s="9">
        <f>IF(AND(A265="",B265=""),"",IF(OR(A265="",B265=""),"БЛОК: нужны и дата, и сумма",IF(B265&lt;=0,"БЛОК: сумма должна быть больше нуля",IF(A265&lt;Ввод!$B$5,"БЛОК: оплата до начала просрочки — уменьшите сумму долга на листе «Ввод»",IF(A265&gt;Ввод!$B$6,"БЛОК: оплата после последнего дня расчёта — продлите расчёт или уберите строку","ок")))))</f>
        <v/>
      </c>
    </row>
    <row r="266">
      <c r="A266" s="4" t="n"/>
      <c r="B266" s="3" t="n"/>
      <c r="C266" s="8" t="n"/>
      <c r="D266" s="9">
        <f>IF(AND(A266="",B266=""),"",IF(OR(A266="",B266=""),"БЛОК: нужны и дата, и сумма",IF(B266&lt;=0,"БЛОК: сумма должна быть больше нуля",IF(A266&lt;Ввод!$B$5,"БЛОК: оплата до начала просрочки — уменьшите сумму долга на листе «Ввод»",IF(A266&gt;Ввод!$B$6,"БЛОК: оплата после последнего дня расчёта — продлите расчёт или уберите строку","ок")))))</f>
        <v/>
      </c>
    </row>
    <row r="267">
      <c r="A267" s="4" t="n"/>
      <c r="B267" s="3" t="n"/>
      <c r="C267" s="8" t="n"/>
      <c r="D267" s="9">
        <f>IF(AND(A267="",B267=""),"",IF(OR(A267="",B267=""),"БЛОК: нужны и дата, и сумма",IF(B267&lt;=0,"БЛОК: сумма должна быть больше нуля",IF(A267&lt;Ввод!$B$5,"БЛОК: оплата до начала просрочки — уменьшите сумму долга на листе «Ввод»",IF(A267&gt;Ввод!$B$6,"БЛОК: оплата после последнего дня расчёта — продлите расчёт или уберите строку","ок")))))</f>
        <v/>
      </c>
    </row>
    <row r="268">
      <c r="A268" s="4" t="n"/>
      <c r="B268" s="3" t="n"/>
      <c r="C268" s="8" t="n"/>
      <c r="D268" s="9">
        <f>IF(AND(A268="",B268=""),"",IF(OR(A268="",B268=""),"БЛОК: нужны и дата, и сумма",IF(B268&lt;=0,"БЛОК: сумма должна быть больше нуля",IF(A268&lt;Ввод!$B$5,"БЛОК: оплата до начала просрочки — уменьшите сумму долга на листе «Ввод»",IF(A268&gt;Ввод!$B$6,"БЛОК: оплата после последнего дня расчёта — продлите расчёт или уберите строку","ок")))))</f>
        <v/>
      </c>
    </row>
    <row r="269">
      <c r="A269" s="4" t="n"/>
      <c r="B269" s="3" t="n"/>
      <c r="C269" s="8" t="n"/>
      <c r="D269" s="9">
        <f>IF(AND(A269="",B269=""),"",IF(OR(A269="",B269=""),"БЛОК: нужны и дата, и сумма",IF(B269&lt;=0,"БЛОК: сумма должна быть больше нуля",IF(A269&lt;Ввод!$B$5,"БЛОК: оплата до начала просрочки — уменьшите сумму долга на листе «Ввод»",IF(A269&gt;Ввод!$B$6,"БЛОК: оплата после последнего дня расчёта — продлите расчёт или уберите строку","ок")))))</f>
        <v/>
      </c>
    </row>
    <row r="270">
      <c r="A270" s="4" t="n"/>
      <c r="B270" s="3" t="n"/>
      <c r="C270" s="8" t="n"/>
      <c r="D270" s="9">
        <f>IF(AND(A270="",B270=""),"",IF(OR(A270="",B270=""),"БЛОК: нужны и дата, и сумма",IF(B270&lt;=0,"БЛОК: сумма должна быть больше нуля",IF(A270&lt;Ввод!$B$5,"БЛОК: оплата до начала просрочки — уменьшите сумму долга на листе «Ввод»",IF(A270&gt;Ввод!$B$6,"БЛОК: оплата после последнего дня расчёта — продлите расчёт или уберите строку","ок")))))</f>
        <v/>
      </c>
    </row>
    <row r="271">
      <c r="A271" s="4" t="n"/>
      <c r="B271" s="3" t="n"/>
      <c r="C271" s="8" t="n"/>
      <c r="D271" s="9">
        <f>IF(AND(A271="",B271=""),"",IF(OR(A271="",B271=""),"БЛОК: нужны и дата, и сумма",IF(B271&lt;=0,"БЛОК: сумма должна быть больше нуля",IF(A271&lt;Ввод!$B$5,"БЛОК: оплата до начала просрочки — уменьшите сумму долга на листе «Ввод»",IF(A271&gt;Ввод!$B$6,"БЛОК: оплата после последнего дня расчёта — продлите расчёт или уберите строку","ок")))))</f>
        <v/>
      </c>
    </row>
    <row r="272">
      <c r="A272" s="4" t="n"/>
      <c r="B272" s="3" t="n"/>
      <c r="C272" s="8" t="n"/>
      <c r="D272" s="9">
        <f>IF(AND(A272="",B272=""),"",IF(OR(A272="",B272=""),"БЛОК: нужны и дата, и сумма",IF(B272&lt;=0,"БЛОК: сумма должна быть больше нуля",IF(A272&lt;Ввод!$B$5,"БЛОК: оплата до начала просрочки — уменьшите сумму долга на листе «Ввод»",IF(A272&gt;Ввод!$B$6,"БЛОК: оплата после последнего дня расчёта — продлите расчёт или уберите строку","ок")))))</f>
        <v/>
      </c>
    </row>
    <row r="273">
      <c r="A273" s="4" t="n"/>
      <c r="B273" s="3" t="n"/>
      <c r="C273" s="8" t="n"/>
      <c r="D273" s="9">
        <f>IF(AND(A273="",B273=""),"",IF(OR(A273="",B273=""),"БЛОК: нужны и дата, и сумма",IF(B273&lt;=0,"БЛОК: сумма должна быть больше нуля",IF(A273&lt;Ввод!$B$5,"БЛОК: оплата до начала просрочки — уменьшите сумму долга на листе «Ввод»",IF(A273&gt;Ввод!$B$6,"БЛОК: оплата после последнего дня расчёта — продлите расчёт или уберите строку","ок")))))</f>
        <v/>
      </c>
    </row>
    <row r="274">
      <c r="A274" s="4" t="n"/>
      <c r="B274" s="3" t="n"/>
      <c r="C274" s="8" t="n"/>
      <c r="D274" s="9">
        <f>IF(AND(A274="",B274=""),"",IF(OR(A274="",B274=""),"БЛОК: нужны и дата, и сумма",IF(B274&lt;=0,"БЛОК: сумма должна быть больше нуля",IF(A274&lt;Ввод!$B$5,"БЛОК: оплата до начала просрочки — уменьшите сумму долга на листе «Ввод»",IF(A274&gt;Ввод!$B$6,"БЛОК: оплата после последнего дня расчёта — продлите расчёт или уберите строку","ок")))))</f>
        <v/>
      </c>
    </row>
    <row r="275">
      <c r="A275" s="4" t="n"/>
      <c r="B275" s="3" t="n"/>
      <c r="C275" s="8" t="n"/>
      <c r="D275" s="9">
        <f>IF(AND(A275="",B275=""),"",IF(OR(A275="",B275=""),"БЛОК: нужны и дата, и сумма",IF(B275&lt;=0,"БЛОК: сумма должна быть больше нуля",IF(A275&lt;Ввод!$B$5,"БЛОК: оплата до начала просрочки — уменьшите сумму долга на листе «Ввод»",IF(A275&gt;Ввод!$B$6,"БЛОК: оплата после последнего дня расчёта — продлите расчёт или уберите строку","ок")))))</f>
        <v/>
      </c>
    </row>
    <row r="276">
      <c r="A276" s="4" t="n"/>
      <c r="B276" s="3" t="n"/>
      <c r="C276" s="8" t="n"/>
      <c r="D276" s="9">
        <f>IF(AND(A276="",B276=""),"",IF(OR(A276="",B276=""),"БЛОК: нужны и дата, и сумма",IF(B276&lt;=0,"БЛОК: сумма должна быть больше нуля",IF(A276&lt;Ввод!$B$5,"БЛОК: оплата до начала просрочки — уменьшите сумму долга на листе «Ввод»",IF(A276&gt;Ввод!$B$6,"БЛОК: оплата после последнего дня расчёта — продлите расчёт или уберите строку","ок")))))</f>
        <v/>
      </c>
    </row>
    <row r="277">
      <c r="A277" s="4" t="n"/>
      <c r="B277" s="3" t="n"/>
      <c r="C277" s="8" t="n"/>
      <c r="D277" s="9">
        <f>IF(AND(A277="",B277=""),"",IF(OR(A277="",B277=""),"БЛОК: нужны и дата, и сумма",IF(B277&lt;=0,"БЛОК: сумма должна быть больше нуля",IF(A277&lt;Ввод!$B$5,"БЛОК: оплата до начала просрочки — уменьшите сумму долга на листе «Ввод»",IF(A277&gt;Ввод!$B$6,"БЛОК: оплата после последнего дня расчёта — продлите расчёт или уберите строку","ок")))))</f>
        <v/>
      </c>
    </row>
    <row r="278">
      <c r="A278" s="4" t="n"/>
      <c r="B278" s="3" t="n"/>
      <c r="C278" s="8" t="n"/>
      <c r="D278" s="9">
        <f>IF(AND(A278="",B278=""),"",IF(OR(A278="",B278=""),"БЛОК: нужны и дата, и сумма",IF(B278&lt;=0,"БЛОК: сумма должна быть больше нуля",IF(A278&lt;Ввод!$B$5,"БЛОК: оплата до начала просрочки — уменьшите сумму долга на листе «Ввод»",IF(A278&gt;Ввод!$B$6,"БЛОК: оплата после последнего дня расчёта — продлите расчёт или уберите строку","ок")))))</f>
        <v/>
      </c>
    </row>
    <row r="279">
      <c r="A279" s="4" t="n"/>
      <c r="B279" s="3" t="n"/>
      <c r="C279" s="8" t="n"/>
      <c r="D279" s="9">
        <f>IF(AND(A279="",B279=""),"",IF(OR(A279="",B279=""),"БЛОК: нужны и дата, и сумма",IF(B279&lt;=0,"БЛОК: сумма должна быть больше нуля",IF(A279&lt;Ввод!$B$5,"БЛОК: оплата до начала просрочки — уменьшите сумму долга на листе «Ввод»",IF(A279&gt;Ввод!$B$6,"БЛОК: оплата после последнего дня расчёта — продлите расчёт или уберите строку","ок")))))</f>
        <v/>
      </c>
    </row>
    <row r="280">
      <c r="A280" s="4" t="n"/>
      <c r="B280" s="3" t="n"/>
      <c r="C280" s="8" t="n"/>
      <c r="D280" s="9">
        <f>IF(AND(A280="",B280=""),"",IF(OR(A280="",B280=""),"БЛОК: нужны и дата, и сумма",IF(B280&lt;=0,"БЛОК: сумма должна быть больше нуля",IF(A280&lt;Ввод!$B$5,"БЛОК: оплата до начала просрочки — уменьшите сумму долга на листе «Ввод»",IF(A280&gt;Ввод!$B$6,"БЛОК: оплата после последнего дня расчёта — продлите расчёт или уберите строку","ок")))))</f>
        <v/>
      </c>
    </row>
    <row r="281">
      <c r="A281" s="4" t="n"/>
      <c r="B281" s="3" t="n"/>
      <c r="C281" s="8" t="n"/>
      <c r="D281" s="9">
        <f>IF(AND(A281="",B281=""),"",IF(OR(A281="",B281=""),"БЛОК: нужны и дата, и сумма",IF(B281&lt;=0,"БЛОК: сумма должна быть больше нуля",IF(A281&lt;Ввод!$B$5,"БЛОК: оплата до начала просрочки — уменьшите сумму долга на листе «Ввод»",IF(A281&gt;Ввод!$B$6,"БЛОК: оплата после последнего дня расчёта — продлите расчёт или уберите строку","ок")))))</f>
        <v/>
      </c>
    </row>
    <row r="282">
      <c r="A282" s="4" t="n"/>
      <c r="B282" s="3" t="n"/>
      <c r="C282" s="8" t="n"/>
      <c r="D282" s="9">
        <f>IF(AND(A282="",B282=""),"",IF(OR(A282="",B282=""),"БЛОК: нужны и дата, и сумма",IF(B282&lt;=0,"БЛОК: сумма должна быть больше нуля",IF(A282&lt;Ввод!$B$5,"БЛОК: оплата до начала просрочки — уменьшите сумму долга на листе «Ввод»",IF(A282&gt;Ввод!$B$6,"БЛОК: оплата после последнего дня расчёта — продлите расчёт или уберите строку","ок")))))</f>
        <v/>
      </c>
    </row>
    <row r="283">
      <c r="A283" s="4" t="n"/>
      <c r="B283" s="3" t="n"/>
      <c r="C283" s="8" t="n"/>
      <c r="D283" s="9">
        <f>IF(AND(A283="",B283=""),"",IF(OR(A283="",B283=""),"БЛОК: нужны и дата, и сумма",IF(B283&lt;=0,"БЛОК: сумма должна быть больше нуля",IF(A283&lt;Ввод!$B$5,"БЛОК: оплата до начала просрочки — уменьшите сумму долга на листе «Ввод»",IF(A283&gt;Ввод!$B$6,"БЛОК: оплата после последнего дня расчёта — продлите расчёт или уберите строку","ок")))))</f>
        <v/>
      </c>
    </row>
    <row r="284">
      <c r="A284" s="4" t="n"/>
      <c r="B284" s="3" t="n"/>
      <c r="C284" s="8" t="n"/>
      <c r="D284" s="9">
        <f>IF(AND(A284="",B284=""),"",IF(OR(A284="",B284=""),"БЛОК: нужны и дата, и сумма",IF(B284&lt;=0,"БЛОК: сумма должна быть больше нуля",IF(A284&lt;Ввод!$B$5,"БЛОК: оплата до начала просрочки — уменьшите сумму долга на листе «Ввод»",IF(A284&gt;Ввод!$B$6,"БЛОК: оплата после последнего дня расчёта — продлите расчёт или уберите строку","ок")))))</f>
        <v/>
      </c>
    </row>
    <row r="285">
      <c r="A285" s="4" t="n"/>
      <c r="B285" s="3" t="n"/>
      <c r="C285" s="8" t="n"/>
      <c r="D285" s="9">
        <f>IF(AND(A285="",B285=""),"",IF(OR(A285="",B285=""),"БЛОК: нужны и дата, и сумма",IF(B285&lt;=0,"БЛОК: сумма должна быть больше нуля",IF(A285&lt;Ввод!$B$5,"БЛОК: оплата до начала просрочки — уменьшите сумму долга на листе «Ввод»",IF(A285&gt;Ввод!$B$6,"БЛОК: оплата после последнего дня расчёта — продлите расчёт или уберите строку","ок")))))</f>
        <v/>
      </c>
    </row>
    <row r="286">
      <c r="A286" s="4" t="n"/>
      <c r="B286" s="3" t="n"/>
      <c r="C286" s="8" t="n"/>
      <c r="D286" s="9">
        <f>IF(AND(A286="",B286=""),"",IF(OR(A286="",B286=""),"БЛОК: нужны и дата, и сумма",IF(B286&lt;=0,"БЛОК: сумма должна быть больше нуля",IF(A286&lt;Ввод!$B$5,"БЛОК: оплата до начала просрочки — уменьшите сумму долга на листе «Ввод»",IF(A286&gt;Ввод!$B$6,"БЛОК: оплата после последнего дня расчёта — продлите расчёт или уберите строку","ок")))))</f>
        <v/>
      </c>
    </row>
    <row r="287">
      <c r="A287" s="4" t="n"/>
      <c r="B287" s="3" t="n"/>
      <c r="C287" s="8" t="n"/>
      <c r="D287" s="9">
        <f>IF(AND(A287="",B287=""),"",IF(OR(A287="",B287=""),"БЛОК: нужны и дата, и сумма",IF(B287&lt;=0,"БЛОК: сумма должна быть больше нуля",IF(A287&lt;Ввод!$B$5,"БЛОК: оплата до начала просрочки — уменьшите сумму долга на листе «Ввод»",IF(A287&gt;Ввод!$B$6,"БЛОК: оплата после последнего дня расчёта — продлите расчёт или уберите строку","ок")))))</f>
        <v/>
      </c>
    </row>
    <row r="288">
      <c r="A288" s="4" t="n"/>
      <c r="B288" s="3" t="n"/>
      <c r="C288" s="8" t="n"/>
      <c r="D288" s="9">
        <f>IF(AND(A288="",B288=""),"",IF(OR(A288="",B288=""),"БЛОК: нужны и дата, и сумма",IF(B288&lt;=0,"БЛОК: сумма должна быть больше нуля",IF(A288&lt;Ввод!$B$5,"БЛОК: оплата до начала просрочки — уменьшите сумму долга на листе «Ввод»",IF(A288&gt;Ввод!$B$6,"БЛОК: оплата после последнего дня расчёта — продлите расчёт или уберите строку","ок")))))</f>
        <v/>
      </c>
    </row>
    <row r="289">
      <c r="A289" s="4" t="n"/>
      <c r="B289" s="3" t="n"/>
      <c r="C289" s="8" t="n"/>
      <c r="D289" s="9">
        <f>IF(AND(A289="",B289=""),"",IF(OR(A289="",B289=""),"БЛОК: нужны и дата, и сумма",IF(B289&lt;=0,"БЛОК: сумма должна быть больше нуля",IF(A289&lt;Ввод!$B$5,"БЛОК: оплата до начала просрочки — уменьшите сумму долга на листе «Ввод»",IF(A289&gt;Ввод!$B$6,"БЛОК: оплата после последнего дня расчёта — продлите расчёт или уберите строку","ок")))))</f>
        <v/>
      </c>
    </row>
    <row r="290">
      <c r="A290" s="4" t="n"/>
      <c r="B290" s="3" t="n"/>
      <c r="C290" s="8" t="n"/>
      <c r="D290" s="9">
        <f>IF(AND(A290="",B290=""),"",IF(OR(A290="",B290=""),"БЛОК: нужны и дата, и сумма",IF(B290&lt;=0,"БЛОК: сумма должна быть больше нуля",IF(A290&lt;Ввод!$B$5,"БЛОК: оплата до начала просрочки — уменьшите сумму долга на листе «Ввод»",IF(A290&gt;Ввод!$B$6,"БЛОК: оплата после последнего дня расчёта — продлите расчёт или уберите строку","ок")))))</f>
        <v/>
      </c>
    </row>
    <row r="291">
      <c r="A291" s="4" t="n"/>
      <c r="B291" s="3" t="n"/>
      <c r="C291" s="8" t="n"/>
      <c r="D291" s="9">
        <f>IF(AND(A291="",B291=""),"",IF(OR(A291="",B291=""),"БЛОК: нужны и дата, и сумма",IF(B291&lt;=0,"БЛОК: сумма должна быть больше нуля",IF(A291&lt;Ввод!$B$5,"БЛОК: оплата до начала просрочки — уменьшите сумму долга на листе «Ввод»",IF(A291&gt;Ввод!$B$6,"БЛОК: оплата после последнего дня расчёта — продлите расчёт или уберите строку","ок")))))</f>
        <v/>
      </c>
    </row>
    <row r="292">
      <c r="A292" s="4" t="n"/>
      <c r="B292" s="3" t="n"/>
      <c r="C292" s="8" t="n"/>
      <c r="D292" s="9">
        <f>IF(AND(A292="",B292=""),"",IF(OR(A292="",B292=""),"БЛОК: нужны и дата, и сумма",IF(B292&lt;=0,"БЛОК: сумма должна быть больше нуля",IF(A292&lt;Ввод!$B$5,"БЛОК: оплата до начала просрочки — уменьшите сумму долга на листе «Ввод»",IF(A292&gt;Ввод!$B$6,"БЛОК: оплата после последнего дня расчёта — продлите расчёт или уберите строку","ок")))))</f>
        <v/>
      </c>
    </row>
    <row r="293">
      <c r="A293" s="4" t="n"/>
      <c r="B293" s="3" t="n"/>
      <c r="C293" s="8" t="n"/>
      <c r="D293" s="9">
        <f>IF(AND(A293="",B293=""),"",IF(OR(A293="",B293=""),"БЛОК: нужны и дата, и сумма",IF(B293&lt;=0,"БЛОК: сумма должна быть больше нуля",IF(A293&lt;Ввод!$B$5,"БЛОК: оплата до начала просрочки — уменьшите сумму долга на листе «Ввод»",IF(A293&gt;Ввод!$B$6,"БЛОК: оплата после последнего дня расчёта — продлите расчёт или уберите строку","ок")))))</f>
        <v/>
      </c>
    </row>
    <row r="294">
      <c r="A294" s="4" t="n"/>
      <c r="B294" s="3" t="n"/>
      <c r="C294" s="8" t="n"/>
      <c r="D294" s="9">
        <f>IF(AND(A294="",B294=""),"",IF(OR(A294="",B294=""),"БЛОК: нужны и дата, и сумма",IF(B294&lt;=0,"БЛОК: сумма должна быть больше нуля",IF(A294&lt;Ввод!$B$5,"БЛОК: оплата до начала просрочки — уменьшите сумму долга на листе «Ввод»",IF(A294&gt;Ввод!$B$6,"БЛОК: оплата после последнего дня расчёта — продлите расчёт или уберите строку","ок")))))</f>
        <v/>
      </c>
    </row>
    <row r="295">
      <c r="A295" s="4" t="n"/>
      <c r="B295" s="3" t="n"/>
      <c r="C295" s="8" t="n"/>
      <c r="D295" s="9">
        <f>IF(AND(A295="",B295=""),"",IF(OR(A295="",B295=""),"БЛОК: нужны и дата, и сумма",IF(B295&lt;=0,"БЛОК: сумма должна быть больше нуля",IF(A295&lt;Ввод!$B$5,"БЛОК: оплата до начала просрочки — уменьшите сумму долга на листе «Ввод»",IF(A295&gt;Ввод!$B$6,"БЛОК: оплата после последнего дня расчёта — продлите расчёт или уберите строку","ок")))))</f>
        <v/>
      </c>
    </row>
    <row r="296">
      <c r="A296" s="4" t="n"/>
      <c r="B296" s="3" t="n"/>
      <c r="C296" s="8" t="n"/>
      <c r="D296" s="9">
        <f>IF(AND(A296="",B296=""),"",IF(OR(A296="",B296=""),"БЛОК: нужны и дата, и сумма",IF(B296&lt;=0,"БЛОК: сумма должна быть больше нуля",IF(A296&lt;Ввод!$B$5,"БЛОК: оплата до начала просрочки — уменьшите сумму долга на листе «Ввод»",IF(A296&gt;Ввод!$B$6,"БЛОК: оплата после последнего дня расчёта — продлите расчёт или уберите строку","ок")))))</f>
        <v/>
      </c>
    </row>
    <row r="297">
      <c r="A297" s="4" t="n"/>
      <c r="B297" s="3" t="n"/>
      <c r="C297" s="8" t="n"/>
      <c r="D297" s="9">
        <f>IF(AND(A297="",B297=""),"",IF(OR(A297="",B297=""),"БЛОК: нужны и дата, и сумма",IF(B297&lt;=0,"БЛОК: сумма должна быть больше нуля",IF(A297&lt;Ввод!$B$5,"БЛОК: оплата до начала просрочки — уменьшите сумму долга на листе «Ввод»",IF(A297&gt;Ввод!$B$6,"БЛОК: оплата после последнего дня расчёта — продлите расчёт или уберите строку","ок")))))</f>
        <v/>
      </c>
    </row>
    <row r="298">
      <c r="A298" s="4" t="n"/>
      <c r="B298" s="3" t="n"/>
      <c r="C298" s="8" t="n"/>
      <c r="D298" s="9">
        <f>IF(AND(A298="",B298=""),"",IF(OR(A298="",B298=""),"БЛОК: нужны и дата, и сумма",IF(B298&lt;=0,"БЛОК: сумма должна быть больше нуля",IF(A298&lt;Ввод!$B$5,"БЛОК: оплата до начала просрочки — уменьшите сумму долга на листе «Ввод»",IF(A298&gt;Ввод!$B$6,"БЛОК: оплата после последнего дня расчёта — продлите расчёт или уберите строку","ок")))))</f>
        <v/>
      </c>
    </row>
    <row r="299">
      <c r="A299" s="4" t="n"/>
      <c r="B299" s="3" t="n"/>
      <c r="C299" s="8" t="n"/>
      <c r="D299" s="9">
        <f>IF(AND(A299="",B299=""),"",IF(OR(A299="",B299=""),"БЛОК: нужны и дата, и сумма",IF(B299&lt;=0,"БЛОК: сумма должна быть больше нуля",IF(A299&lt;Ввод!$B$5,"БЛОК: оплата до начала просрочки — уменьшите сумму долга на листе «Ввод»",IF(A299&gt;Ввод!$B$6,"БЛОК: оплата после последнего дня расчёта — продлите расчёт или уберите строку","ок")))))</f>
        <v/>
      </c>
    </row>
    <row r="300">
      <c r="A300" s="4" t="n"/>
      <c r="B300" s="3" t="n"/>
      <c r="C300" s="8" t="n"/>
      <c r="D300" s="9">
        <f>IF(AND(A300="",B300=""),"",IF(OR(A300="",B300=""),"БЛОК: нужны и дата, и сумма",IF(B300&lt;=0,"БЛОК: сумма должна быть больше нуля",IF(A300&lt;Ввод!$B$5,"БЛОК: оплата до начала просрочки — уменьшите сумму долга на листе «Ввод»",IF(A300&gt;Ввод!$B$6,"БЛОК: оплата после последнего дня расчёта — продлите расчёт или уберите строку","ок")))))</f>
        <v/>
      </c>
    </row>
    <row r="301">
      <c r="A301" s="4" t="n"/>
      <c r="B301" s="3" t="n"/>
      <c r="C301" s="8" t="n"/>
      <c r="D301" s="9">
        <f>IF(AND(A301="",B301=""),"",IF(OR(A301="",B301=""),"БЛОК: нужны и дата, и сумма",IF(B301&lt;=0,"БЛОК: сумма должна быть больше нуля",IF(A301&lt;Ввод!$B$5,"БЛОК: оплата до начала просрочки — уменьшите сумму долга на листе «Ввод»",IF(A301&gt;Ввод!$B$6,"БЛОК: оплата после последнего дня расчёта — продлите расчёт или уберите строку","ок")))))</f>
        <v/>
      </c>
    </row>
    <row r="302">
      <c r="A302" s="4" t="n"/>
      <c r="B302" s="3" t="n"/>
      <c r="C302" s="8" t="n"/>
      <c r="D302" s="9">
        <f>IF(AND(A302="",B302=""),"",IF(OR(A302="",B302=""),"БЛОК: нужны и дата, и сумма",IF(B302&lt;=0,"БЛОК: сумма должна быть больше нуля",IF(A302&lt;Ввод!$B$5,"БЛОК: оплата до начала просрочки — уменьшите сумму долга на листе «Ввод»",IF(A302&gt;Ввод!$B$6,"БЛОК: оплата после последнего дня расчёта — продлите расчёт или уберите строку","ок")))))</f>
        <v/>
      </c>
    </row>
    <row r="303">
      <c r="A303" s="4" t="n"/>
      <c r="B303" s="3" t="n"/>
      <c r="C303" s="8" t="n"/>
      <c r="D303" s="9">
        <f>IF(AND(A303="",B303=""),"",IF(OR(A303="",B303=""),"БЛОК: нужны и дата, и сумма",IF(B303&lt;=0,"БЛОК: сумма должна быть больше нуля",IF(A303&lt;Ввод!$B$5,"БЛОК: оплата до начала просрочки — уменьшите сумму долга на листе «Ввод»",IF(A303&gt;Ввод!$B$6,"БЛОК: оплата после последнего дня расчёта — продлите расчёт или уберите строку","ок")))))</f>
        <v/>
      </c>
    </row>
    <row r="304">
      <c r="A304" s="4" t="n"/>
      <c r="B304" s="3" t="n"/>
      <c r="C304" s="8" t="n"/>
      <c r="D304" s="9">
        <f>IF(AND(A304="",B304=""),"",IF(OR(A304="",B304=""),"БЛОК: нужны и дата, и сумма",IF(B304&lt;=0,"БЛОК: сумма должна быть больше нуля",IF(A304&lt;Ввод!$B$5,"БЛОК: оплата до начала просрочки — уменьшите сумму долга на листе «Ввод»",IF(A304&gt;Ввод!$B$6,"БЛОК: оплата после последнего дня расчёта — продлите расчёт или уберите строку","ок")))))</f>
        <v/>
      </c>
    </row>
    <row r="305">
      <c r="A305" s="4" t="n"/>
      <c r="B305" s="3" t="n"/>
      <c r="C305" s="8" t="n"/>
      <c r="D305" s="9">
        <f>IF(AND(A305="",B305=""),"",IF(OR(A305="",B305=""),"БЛОК: нужны и дата, и сумма",IF(B305&lt;=0,"БЛОК: сумма должна быть больше нуля",IF(A305&lt;Ввод!$B$5,"БЛОК: оплата до начала просрочки — уменьшите сумму долга на листе «Ввод»",IF(A305&gt;Ввод!$B$6,"БЛОК: оплата после последнего дня расчёта — продлите расчёт или уберите строку","ок")))))</f>
        <v/>
      </c>
    </row>
    <row r="306">
      <c r="A306" s="4" t="n"/>
      <c r="B306" s="3" t="n"/>
      <c r="C306" s="8" t="n"/>
      <c r="D306" s="9">
        <f>IF(AND(A306="",B306=""),"",IF(OR(A306="",B306=""),"БЛОК: нужны и дата, и сумма",IF(B306&lt;=0,"БЛОК: сумма должна быть больше нуля",IF(A306&lt;Ввод!$B$5,"БЛОК: оплата до начала просрочки — уменьшите сумму долга на листе «Ввод»",IF(A306&gt;Ввод!$B$6,"БЛОК: оплата после последнего дня расчёта — продлите расчёт или уберите строку","ок")))))</f>
        <v/>
      </c>
    </row>
    <row r="307">
      <c r="A307" s="4" t="n"/>
      <c r="B307" s="3" t="n"/>
      <c r="C307" s="8" t="n"/>
      <c r="D307" s="9">
        <f>IF(AND(A307="",B307=""),"",IF(OR(A307="",B307=""),"БЛОК: нужны и дата, и сумма",IF(B307&lt;=0,"БЛОК: сумма должна быть больше нуля",IF(A307&lt;Ввод!$B$5,"БЛОК: оплата до начала просрочки — уменьшите сумму долга на листе «Ввод»",IF(A307&gt;Ввод!$B$6,"БЛОК: оплата после последнего дня расчёта — продлите расчёт или уберите строку","ок")))))</f>
        <v/>
      </c>
    </row>
    <row r="308">
      <c r="A308" s="4" t="n"/>
      <c r="B308" s="3" t="n"/>
      <c r="C308" s="8" t="n"/>
      <c r="D308" s="9">
        <f>IF(AND(A308="",B308=""),"",IF(OR(A308="",B308=""),"БЛОК: нужны и дата, и сумма",IF(B308&lt;=0,"БЛОК: сумма должна быть больше нуля",IF(A308&lt;Ввод!$B$5,"БЛОК: оплата до начала просрочки — уменьшите сумму долга на листе «Ввод»",IF(A308&gt;Ввод!$B$6,"БЛОК: оплата после последнего дня расчёта — продлите расчёт или уберите строку","ок")))))</f>
        <v/>
      </c>
    </row>
    <row r="309">
      <c r="A309" s="4" t="n"/>
      <c r="B309" s="3" t="n"/>
      <c r="C309" s="8" t="n"/>
      <c r="D309" s="9">
        <f>IF(AND(A309="",B309=""),"",IF(OR(A309="",B309=""),"БЛОК: нужны и дата, и сумма",IF(B309&lt;=0,"БЛОК: сумма должна быть больше нуля",IF(A309&lt;Ввод!$B$5,"БЛОК: оплата до начала просрочки — уменьшите сумму долга на листе «Ввод»",IF(A309&gt;Ввод!$B$6,"БЛОК: оплата после последнего дня расчёта — продлите расчёт или уберите строку","ок")))))</f>
        <v/>
      </c>
    </row>
    <row r="310">
      <c r="A310" s="4" t="n"/>
      <c r="B310" s="3" t="n"/>
      <c r="C310" s="8" t="n"/>
      <c r="D310" s="9">
        <f>IF(AND(A310="",B310=""),"",IF(OR(A310="",B310=""),"БЛОК: нужны и дата, и сумма",IF(B310&lt;=0,"БЛОК: сумма должна быть больше нуля",IF(A310&lt;Ввод!$B$5,"БЛОК: оплата до начала просрочки — уменьшите сумму долга на листе «Ввод»",IF(A310&gt;Ввод!$B$6,"БЛОК: оплата после последнего дня расчёта — продлите расчёт или уберите строку","ок")))))</f>
        <v/>
      </c>
    </row>
    <row r="311">
      <c r="A311" s="4" t="n"/>
      <c r="B311" s="3" t="n"/>
      <c r="C311" s="8" t="n"/>
      <c r="D311" s="9">
        <f>IF(AND(A311="",B311=""),"",IF(OR(A311="",B311=""),"БЛОК: нужны и дата, и сумма",IF(B311&lt;=0,"БЛОК: сумма должна быть больше нуля",IF(A311&lt;Ввод!$B$5,"БЛОК: оплата до начала просрочки — уменьшите сумму долга на листе «Ввод»",IF(A311&gt;Ввод!$B$6,"БЛОК: оплата после последнего дня расчёта — продлите расчёт или уберите строку","ок")))))</f>
        <v/>
      </c>
    </row>
    <row r="312">
      <c r="A312" s="4" t="n"/>
      <c r="B312" s="3" t="n"/>
      <c r="C312" s="8" t="n"/>
      <c r="D312" s="9">
        <f>IF(AND(A312="",B312=""),"",IF(OR(A312="",B312=""),"БЛОК: нужны и дата, и сумма",IF(B312&lt;=0,"БЛОК: сумма должна быть больше нуля",IF(A312&lt;Ввод!$B$5,"БЛОК: оплата до начала просрочки — уменьшите сумму долга на листе «Ввод»",IF(A312&gt;Ввод!$B$6,"БЛОК: оплата после последнего дня расчёта — продлите расчёт или уберите строку","ок")))))</f>
        <v/>
      </c>
    </row>
    <row r="313">
      <c r="A313" s="4" t="n"/>
      <c r="B313" s="3" t="n"/>
      <c r="C313" s="8" t="n"/>
      <c r="D313" s="9">
        <f>IF(AND(A313="",B313=""),"",IF(OR(A313="",B313=""),"БЛОК: нужны и дата, и сумма",IF(B313&lt;=0,"БЛОК: сумма должна быть больше нуля",IF(A313&lt;Ввод!$B$5,"БЛОК: оплата до начала просрочки — уменьшите сумму долга на листе «Ввод»",IF(A313&gt;Ввод!$B$6,"БЛОК: оплата после последнего дня расчёта — продлите расчёт или уберите строку","ок")))))</f>
        <v/>
      </c>
    </row>
    <row r="314">
      <c r="A314" s="4" t="n"/>
      <c r="B314" s="3" t="n"/>
      <c r="C314" s="8" t="n"/>
      <c r="D314" s="9">
        <f>IF(AND(A314="",B314=""),"",IF(OR(A314="",B314=""),"БЛОК: нужны и дата, и сумма",IF(B314&lt;=0,"БЛОК: сумма должна быть больше нуля",IF(A314&lt;Ввод!$B$5,"БЛОК: оплата до начала просрочки — уменьшите сумму долга на листе «Ввод»",IF(A314&gt;Ввод!$B$6,"БЛОК: оплата после последнего дня расчёта — продлите расчёт или уберите строку","ок")))))</f>
        <v/>
      </c>
    </row>
    <row r="315">
      <c r="A315" s="4" t="n"/>
      <c r="B315" s="3" t="n"/>
      <c r="C315" s="8" t="n"/>
      <c r="D315" s="9">
        <f>IF(AND(A315="",B315=""),"",IF(OR(A315="",B315=""),"БЛОК: нужны и дата, и сумма",IF(B315&lt;=0,"БЛОК: сумма должна быть больше нуля",IF(A315&lt;Ввод!$B$5,"БЛОК: оплата до начала просрочки — уменьшите сумму долга на листе «Ввод»",IF(A315&gt;Ввод!$B$6,"БЛОК: оплата после последнего дня расчёта — продлите расчёт или уберите строку","ок")))))</f>
        <v/>
      </c>
    </row>
    <row r="316">
      <c r="A316" s="4" t="n"/>
      <c r="B316" s="3" t="n"/>
      <c r="C316" s="8" t="n"/>
      <c r="D316" s="9">
        <f>IF(AND(A316="",B316=""),"",IF(OR(A316="",B316=""),"БЛОК: нужны и дата, и сумма",IF(B316&lt;=0,"БЛОК: сумма должна быть больше нуля",IF(A316&lt;Ввод!$B$5,"БЛОК: оплата до начала просрочки — уменьшите сумму долга на листе «Ввод»",IF(A316&gt;Ввод!$B$6,"БЛОК: оплата после последнего дня расчёта — продлите расчёт или уберите строку","ок")))))</f>
        <v/>
      </c>
    </row>
    <row r="317">
      <c r="A317" s="4" t="n"/>
      <c r="B317" s="3" t="n"/>
      <c r="C317" s="8" t="n"/>
      <c r="D317" s="9">
        <f>IF(AND(A317="",B317=""),"",IF(OR(A317="",B317=""),"БЛОК: нужны и дата, и сумма",IF(B317&lt;=0,"БЛОК: сумма должна быть больше нуля",IF(A317&lt;Ввод!$B$5,"БЛОК: оплата до начала просрочки — уменьшите сумму долга на листе «Ввод»",IF(A317&gt;Ввод!$B$6,"БЛОК: оплата после последнего дня расчёта — продлите расчёт или уберите строку","ок")))))</f>
        <v/>
      </c>
    </row>
    <row r="318">
      <c r="A318" s="4" t="n"/>
      <c r="B318" s="3" t="n"/>
      <c r="C318" s="8" t="n"/>
      <c r="D318" s="9">
        <f>IF(AND(A318="",B318=""),"",IF(OR(A318="",B318=""),"БЛОК: нужны и дата, и сумма",IF(B318&lt;=0,"БЛОК: сумма должна быть больше нуля",IF(A318&lt;Ввод!$B$5,"БЛОК: оплата до начала просрочки — уменьшите сумму долга на листе «Ввод»",IF(A318&gt;Ввод!$B$6,"БЛОК: оплата после последнего дня расчёта — продлите расчёт или уберите строку","ок")))))</f>
        <v/>
      </c>
    </row>
    <row r="319">
      <c r="A319" s="4" t="n"/>
      <c r="B319" s="3" t="n"/>
      <c r="C319" s="8" t="n"/>
      <c r="D319" s="9">
        <f>IF(AND(A319="",B319=""),"",IF(OR(A319="",B319=""),"БЛОК: нужны и дата, и сумма",IF(B319&lt;=0,"БЛОК: сумма должна быть больше нуля",IF(A319&lt;Ввод!$B$5,"БЛОК: оплата до начала просрочки — уменьшите сумму долга на листе «Ввод»",IF(A319&gt;Ввод!$B$6,"БЛОК: оплата после последнего дня расчёта — продлите расчёт или уберите строку","ок")))))</f>
        <v/>
      </c>
    </row>
    <row r="320">
      <c r="A320" s="4" t="n"/>
      <c r="B320" s="3" t="n"/>
      <c r="C320" s="8" t="n"/>
      <c r="D320" s="9">
        <f>IF(AND(A320="",B320=""),"",IF(OR(A320="",B320=""),"БЛОК: нужны и дата, и сумма",IF(B320&lt;=0,"БЛОК: сумма должна быть больше нуля",IF(A320&lt;Ввод!$B$5,"БЛОК: оплата до начала просрочки — уменьшите сумму долга на листе «Ввод»",IF(A320&gt;Ввод!$B$6,"БЛОК: оплата после последнего дня расчёта — продлите расчёт или уберите строку","ок")))))</f>
        <v/>
      </c>
    </row>
    <row r="321">
      <c r="A321" s="4" t="n"/>
      <c r="B321" s="3" t="n"/>
      <c r="C321" s="8" t="n"/>
      <c r="D321" s="9">
        <f>IF(AND(A321="",B321=""),"",IF(OR(A321="",B321=""),"БЛОК: нужны и дата, и сумма",IF(B321&lt;=0,"БЛОК: сумма должна быть больше нуля",IF(A321&lt;Ввод!$B$5,"БЛОК: оплата до начала просрочки — уменьшите сумму долга на листе «Ввод»",IF(A321&gt;Ввод!$B$6,"БЛОК: оплата после последнего дня расчёта — продлите расчёт или уберите строку","ок")))))</f>
        <v/>
      </c>
    </row>
    <row r="322">
      <c r="A322" s="4" t="n"/>
      <c r="B322" s="3" t="n"/>
      <c r="C322" s="8" t="n"/>
      <c r="D322" s="9">
        <f>IF(AND(A322="",B322=""),"",IF(OR(A322="",B322=""),"БЛОК: нужны и дата, и сумма",IF(B322&lt;=0,"БЛОК: сумма должна быть больше нуля",IF(A322&lt;Ввод!$B$5,"БЛОК: оплата до начала просрочки — уменьшите сумму долга на листе «Ввод»",IF(A322&gt;Ввод!$B$6,"БЛОК: оплата после последнего дня расчёта — продлите расчёт или уберите строку","ок")))))</f>
        <v/>
      </c>
    </row>
    <row r="323">
      <c r="A323" s="4" t="n"/>
      <c r="B323" s="3" t="n"/>
      <c r="C323" s="8" t="n"/>
      <c r="D323" s="9">
        <f>IF(AND(A323="",B323=""),"",IF(OR(A323="",B323=""),"БЛОК: нужны и дата, и сумма",IF(B323&lt;=0,"БЛОК: сумма должна быть больше нуля",IF(A323&lt;Ввод!$B$5,"БЛОК: оплата до начала просрочки — уменьшите сумму долга на листе «Ввод»",IF(A323&gt;Ввод!$B$6,"БЛОК: оплата после последнего дня расчёта — продлите расчёт или уберите строку","ок")))))</f>
        <v/>
      </c>
    </row>
    <row r="324">
      <c r="A324" s="4" t="n"/>
      <c r="B324" s="3" t="n"/>
      <c r="C324" s="8" t="n"/>
      <c r="D324" s="9">
        <f>IF(AND(A324="",B324=""),"",IF(OR(A324="",B324=""),"БЛОК: нужны и дата, и сумма",IF(B324&lt;=0,"БЛОК: сумма должна быть больше нуля",IF(A324&lt;Ввод!$B$5,"БЛОК: оплата до начала просрочки — уменьшите сумму долга на листе «Ввод»",IF(A324&gt;Ввод!$B$6,"БЛОК: оплата после последнего дня расчёта — продлите расчёт или уберите строку","ок")))))</f>
        <v/>
      </c>
    </row>
    <row r="325">
      <c r="A325" s="4" t="n"/>
      <c r="B325" s="3" t="n"/>
      <c r="C325" s="8" t="n"/>
      <c r="D325" s="9">
        <f>IF(AND(A325="",B325=""),"",IF(OR(A325="",B325=""),"БЛОК: нужны и дата, и сумма",IF(B325&lt;=0,"БЛОК: сумма должна быть больше нуля",IF(A325&lt;Ввод!$B$5,"БЛОК: оплата до начала просрочки — уменьшите сумму долга на листе «Ввод»",IF(A325&gt;Ввод!$B$6,"БЛОК: оплата после последнего дня расчёта — продлите расчёт или уберите строку","ок")))))</f>
        <v/>
      </c>
    </row>
    <row r="326">
      <c r="A326" s="4" t="n"/>
      <c r="B326" s="3" t="n"/>
      <c r="C326" s="8" t="n"/>
      <c r="D326" s="9">
        <f>IF(AND(A326="",B326=""),"",IF(OR(A326="",B326=""),"БЛОК: нужны и дата, и сумма",IF(B326&lt;=0,"БЛОК: сумма должна быть больше нуля",IF(A326&lt;Ввод!$B$5,"БЛОК: оплата до начала просрочки — уменьшите сумму долга на листе «Ввод»",IF(A326&gt;Ввод!$B$6,"БЛОК: оплата после последнего дня расчёта — продлите расчёт или уберите строку","ок")))))</f>
        <v/>
      </c>
    </row>
    <row r="327">
      <c r="A327" s="4" t="n"/>
      <c r="B327" s="3" t="n"/>
      <c r="C327" s="8" t="n"/>
      <c r="D327" s="9">
        <f>IF(AND(A327="",B327=""),"",IF(OR(A327="",B327=""),"БЛОК: нужны и дата, и сумма",IF(B327&lt;=0,"БЛОК: сумма должна быть больше нуля",IF(A327&lt;Ввод!$B$5,"БЛОК: оплата до начала просрочки — уменьшите сумму долга на листе «Ввод»",IF(A327&gt;Ввод!$B$6,"БЛОК: оплата после последнего дня расчёта — продлите расчёт или уберите строку","ок")))))</f>
        <v/>
      </c>
    </row>
    <row r="328">
      <c r="A328" s="4" t="n"/>
      <c r="B328" s="3" t="n"/>
      <c r="C328" s="8" t="n"/>
      <c r="D328" s="9">
        <f>IF(AND(A328="",B328=""),"",IF(OR(A328="",B328=""),"БЛОК: нужны и дата, и сумма",IF(B328&lt;=0,"БЛОК: сумма должна быть больше нуля",IF(A328&lt;Ввод!$B$5,"БЛОК: оплата до начала просрочки — уменьшите сумму долга на листе «Ввод»",IF(A328&gt;Ввод!$B$6,"БЛОК: оплата после последнего дня расчёта — продлите расчёт или уберите строку","ок")))))</f>
        <v/>
      </c>
    </row>
    <row r="329">
      <c r="A329" s="4" t="n"/>
      <c r="B329" s="3" t="n"/>
      <c r="C329" s="8" t="n"/>
      <c r="D329" s="9">
        <f>IF(AND(A329="",B329=""),"",IF(OR(A329="",B329=""),"БЛОК: нужны и дата, и сумма",IF(B329&lt;=0,"БЛОК: сумма должна быть больше нуля",IF(A329&lt;Ввод!$B$5,"БЛОК: оплата до начала просрочки — уменьшите сумму долга на листе «Ввод»",IF(A329&gt;Ввод!$B$6,"БЛОК: оплата после последнего дня расчёта — продлите расчёт или уберите строку","ок")))))</f>
        <v/>
      </c>
    </row>
    <row r="330">
      <c r="A330" s="4" t="n"/>
      <c r="B330" s="3" t="n"/>
      <c r="C330" s="8" t="n"/>
      <c r="D330" s="9">
        <f>IF(AND(A330="",B330=""),"",IF(OR(A330="",B330=""),"БЛОК: нужны и дата, и сумма",IF(B330&lt;=0,"БЛОК: сумма должна быть больше нуля",IF(A330&lt;Ввод!$B$5,"БЛОК: оплата до начала просрочки — уменьшите сумму долга на листе «Ввод»",IF(A330&gt;Ввод!$B$6,"БЛОК: оплата после последнего дня расчёта — продлите расчёт или уберите строку","ок")))))</f>
        <v/>
      </c>
    </row>
    <row r="331">
      <c r="A331" s="4" t="n"/>
      <c r="B331" s="3" t="n"/>
      <c r="C331" s="8" t="n"/>
      <c r="D331" s="9">
        <f>IF(AND(A331="",B331=""),"",IF(OR(A331="",B331=""),"БЛОК: нужны и дата, и сумма",IF(B331&lt;=0,"БЛОК: сумма должна быть больше нуля",IF(A331&lt;Ввод!$B$5,"БЛОК: оплата до начала просрочки — уменьшите сумму долга на листе «Ввод»",IF(A331&gt;Ввод!$B$6,"БЛОК: оплата после последнего дня расчёта — продлите расчёт или уберите строку","ок")))))</f>
        <v/>
      </c>
    </row>
    <row r="332">
      <c r="A332" s="4" t="n"/>
      <c r="B332" s="3" t="n"/>
      <c r="C332" s="8" t="n"/>
      <c r="D332" s="9">
        <f>IF(AND(A332="",B332=""),"",IF(OR(A332="",B332=""),"БЛОК: нужны и дата, и сумма",IF(B332&lt;=0,"БЛОК: сумма должна быть больше нуля",IF(A332&lt;Ввод!$B$5,"БЛОК: оплата до начала просрочки — уменьшите сумму долга на листе «Ввод»",IF(A332&gt;Ввод!$B$6,"БЛОК: оплата после последнего дня расчёта — продлите расчёт или уберите строку","ок")))))</f>
        <v/>
      </c>
    </row>
    <row r="333">
      <c r="A333" s="4" t="n"/>
      <c r="B333" s="3" t="n"/>
      <c r="C333" s="8" t="n"/>
      <c r="D333" s="9">
        <f>IF(AND(A333="",B333=""),"",IF(OR(A333="",B333=""),"БЛОК: нужны и дата, и сумма",IF(B333&lt;=0,"БЛОК: сумма должна быть больше нуля",IF(A333&lt;Ввод!$B$5,"БЛОК: оплата до начала просрочки — уменьшите сумму долга на листе «Ввод»",IF(A333&gt;Ввод!$B$6,"БЛОК: оплата после последнего дня расчёта — продлите расчёт или уберите строку","ок")))))</f>
        <v/>
      </c>
    </row>
    <row r="334">
      <c r="A334" s="4" t="n"/>
      <c r="B334" s="3" t="n"/>
      <c r="C334" s="8" t="n"/>
      <c r="D334" s="9">
        <f>IF(AND(A334="",B334=""),"",IF(OR(A334="",B334=""),"БЛОК: нужны и дата, и сумма",IF(B334&lt;=0,"БЛОК: сумма должна быть больше нуля",IF(A334&lt;Ввод!$B$5,"БЛОК: оплата до начала просрочки — уменьшите сумму долга на листе «Ввод»",IF(A334&gt;Ввод!$B$6,"БЛОК: оплата после последнего дня расчёта — продлите расчёт или уберите строку","ок")))))</f>
        <v/>
      </c>
    </row>
    <row r="335">
      <c r="A335" s="4" t="n"/>
      <c r="B335" s="3" t="n"/>
      <c r="C335" s="8" t="n"/>
      <c r="D335" s="9">
        <f>IF(AND(A335="",B335=""),"",IF(OR(A335="",B335=""),"БЛОК: нужны и дата, и сумма",IF(B335&lt;=0,"БЛОК: сумма должна быть больше нуля",IF(A335&lt;Ввод!$B$5,"БЛОК: оплата до начала просрочки — уменьшите сумму долга на листе «Ввод»",IF(A335&gt;Ввод!$B$6,"БЛОК: оплата после последнего дня расчёта — продлите расчёт или уберите строку","ок")))))</f>
        <v/>
      </c>
    </row>
    <row r="336">
      <c r="A336" s="4" t="n"/>
      <c r="B336" s="3" t="n"/>
      <c r="C336" s="8" t="n"/>
      <c r="D336" s="9">
        <f>IF(AND(A336="",B336=""),"",IF(OR(A336="",B336=""),"БЛОК: нужны и дата, и сумма",IF(B336&lt;=0,"БЛОК: сумма должна быть больше нуля",IF(A336&lt;Ввод!$B$5,"БЛОК: оплата до начала просрочки — уменьшите сумму долга на листе «Ввод»",IF(A336&gt;Ввод!$B$6,"БЛОК: оплата после последнего дня расчёта — продлите расчёт или уберите строку","ок")))))</f>
        <v/>
      </c>
    </row>
    <row r="337">
      <c r="A337" s="4" t="n"/>
      <c r="B337" s="3" t="n"/>
      <c r="C337" s="8" t="n"/>
      <c r="D337" s="9">
        <f>IF(AND(A337="",B337=""),"",IF(OR(A337="",B337=""),"БЛОК: нужны и дата, и сумма",IF(B337&lt;=0,"БЛОК: сумма должна быть больше нуля",IF(A337&lt;Ввод!$B$5,"БЛОК: оплата до начала просрочки — уменьшите сумму долга на листе «Ввод»",IF(A337&gt;Ввод!$B$6,"БЛОК: оплата после последнего дня расчёта — продлите расчёт или уберите строку","ок")))))</f>
        <v/>
      </c>
    </row>
    <row r="338">
      <c r="A338" s="4" t="n"/>
      <c r="B338" s="3" t="n"/>
      <c r="C338" s="8" t="n"/>
      <c r="D338" s="9">
        <f>IF(AND(A338="",B338=""),"",IF(OR(A338="",B338=""),"БЛОК: нужны и дата, и сумма",IF(B338&lt;=0,"БЛОК: сумма должна быть больше нуля",IF(A338&lt;Ввод!$B$5,"БЛОК: оплата до начала просрочки — уменьшите сумму долга на листе «Ввод»",IF(A338&gt;Ввод!$B$6,"БЛОК: оплата после последнего дня расчёта — продлите расчёт или уберите строку","ок")))))</f>
        <v/>
      </c>
    </row>
    <row r="339">
      <c r="A339" s="4" t="n"/>
      <c r="B339" s="3" t="n"/>
      <c r="C339" s="8" t="n"/>
      <c r="D339" s="9">
        <f>IF(AND(A339="",B339=""),"",IF(OR(A339="",B339=""),"БЛОК: нужны и дата, и сумма",IF(B339&lt;=0,"БЛОК: сумма должна быть больше нуля",IF(A339&lt;Ввод!$B$5,"БЛОК: оплата до начала просрочки — уменьшите сумму долга на листе «Ввод»",IF(A339&gt;Ввод!$B$6,"БЛОК: оплата после последнего дня расчёта — продлите расчёт или уберите строку","ок")))))</f>
        <v/>
      </c>
    </row>
    <row r="340">
      <c r="A340" s="4" t="n"/>
      <c r="B340" s="3" t="n"/>
      <c r="C340" s="8" t="n"/>
      <c r="D340" s="9">
        <f>IF(AND(A340="",B340=""),"",IF(OR(A340="",B340=""),"БЛОК: нужны и дата, и сумма",IF(B340&lt;=0,"БЛОК: сумма должна быть больше нуля",IF(A340&lt;Ввод!$B$5,"БЛОК: оплата до начала просрочки — уменьшите сумму долга на листе «Ввод»",IF(A340&gt;Ввод!$B$6,"БЛОК: оплата после последнего дня расчёта — продлите расчёт или уберите строку","ок")))))</f>
        <v/>
      </c>
    </row>
    <row r="341">
      <c r="A341" s="4" t="n"/>
      <c r="B341" s="3" t="n"/>
      <c r="C341" s="8" t="n"/>
      <c r="D341" s="9">
        <f>IF(AND(A341="",B341=""),"",IF(OR(A341="",B341=""),"БЛОК: нужны и дата, и сумма",IF(B341&lt;=0,"БЛОК: сумма должна быть больше нуля",IF(A341&lt;Ввод!$B$5,"БЛОК: оплата до начала просрочки — уменьшите сумму долга на листе «Ввод»",IF(A341&gt;Ввод!$B$6,"БЛОК: оплата после последнего дня расчёта — продлите расчёт или уберите строку","ок")))))</f>
        <v/>
      </c>
    </row>
    <row r="342">
      <c r="A342" s="4" t="n"/>
      <c r="B342" s="3" t="n"/>
      <c r="C342" s="8" t="n"/>
      <c r="D342" s="9">
        <f>IF(AND(A342="",B342=""),"",IF(OR(A342="",B342=""),"БЛОК: нужны и дата, и сумма",IF(B342&lt;=0,"БЛОК: сумма должна быть больше нуля",IF(A342&lt;Ввод!$B$5,"БЛОК: оплата до начала просрочки — уменьшите сумму долга на листе «Ввод»",IF(A342&gt;Ввод!$B$6,"БЛОК: оплата после последнего дня расчёта — продлите расчёт или уберите строку","ок")))))</f>
        <v/>
      </c>
    </row>
    <row r="343">
      <c r="A343" s="4" t="n"/>
      <c r="B343" s="3" t="n"/>
      <c r="C343" s="8" t="n"/>
      <c r="D343" s="9">
        <f>IF(AND(A343="",B343=""),"",IF(OR(A343="",B343=""),"БЛОК: нужны и дата, и сумма",IF(B343&lt;=0,"БЛОК: сумма должна быть больше нуля",IF(A343&lt;Ввод!$B$5,"БЛОК: оплата до начала просрочки — уменьшите сумму долга на листе «Ввод»",IF(A343&gt;Ввод!$B$6,"БЛОК: оплата после последнего дня расчёта — продлите расчёт или уберите строку","ок")))))</f>
        <v/>
      </c>
    </row>
    <row r="344">
      <c r="A344" s="4" t="n"/>
      <c r="B344" s="3" t="n"/>
      <c r="C344" s="8" t="n"/>
      <c r="D344" s="9">
        <f>IF(AND(A344="",B344=""),"",IF(OR(A344="",B344=""),"БЛОК: нужны и дата, и сумма",IF(B344&lt;=0,"БЛОК: сумма должна быть больше нуля",IF(A344&lt;Ввод!$B$5,"БЛОК: оплата до начала просрочки — уменьшите сумму долга на листе «Ввод»",IF(A344&gt;Ввод!$B$6,"БЛОК: оплата после последнего дня расчёта — продлите расчёт или уберите строку","ок")))))</f>
        <v/>
      </c>
    </row>
    <row r="345">
      <c r="A345" s="4" t="n"/>
      <c r="B345" s="3" t="n"/>
      <c r="C345" s="8" t="n"/>
      <c r="D345" s="9">
        <f>IF(AND(A345="",B345=""),"",IF(OR(A345="",B345=""),"БЛОК: нужны и дата, и сумма",IF(B345&lt;=0,"БЛОК: сумма должна быть больше нуля",IF(A345&lt;Ввод!$B$5,"БЛОК: оплата до начала просрочки — уменьшите сумму долга на листе «Ввод»",IF(A345&gt;Ввод!$B$6,"БЛОК: оплата после последнего дня расчёта — продлите расчёт или уберите строку","ок")))))</f>
        <v/>
      </c>
    </row>
    <row r="346">
      <c r="A346" s="4" t="n"/>
      <c r="B346" s="3" t="n"/>
      <c r="C346" s="8" t="n"/>
      <c r="D346" s="9">
        <f>IF(AND(A346="",B346=""),"",IF(OR(A346="",B346=""),"БЛОК: нужны и дата, и сумма",IF(B346&lt;=0,"БЛОК: сумма должна быть больше нуля",IF(A346&lt;Ввод!$B$5,"БЛОК: оплата до начала просрочки — уменьшите сумму долга на листе «Ввод»",IF(A346&gt;Ввод!$B$6,"БЛОК: оплата после последнего дня расчёта — продлите расчёт или уберите строку","ок")))))</f>
        <v/>
      </c>
    </row>
    <row r="347">
      <c r="A347" s="4" t="n"/>
      <c r="B347" s="3" t="n"/>
      <c r="C347" s="8" t="n"/>
      <c r="D347" s="9">
        <f>IF(AND(A347="",B347=""),"",IF(OR(A347="",B347=""),"БЛОК: нужны и дата, и сумма",IF(B347&lt;=0,"БЛОК: сумма должна быть больше нуля",IF(A347&lt;Ввод!$B$5,"БЛОК: оплата до начала просрочки — уменьшите сумму долга на листе «Ввод»",IF(A347&gt;Ввод!$B$6,"БЛОК: оплата после последнего дня расчёта — продлите расчёт или уберите строку","ок")))))</f>
        <v/>
      </c>
    </row>
    <row r="348">
      <c r="A348" s="4" t="n"/>
      <c r="B348" s="3" t="n"/>
      <c r="C348" s="8" t="n"/>
      <c r="D348" s="9">
        <f>IF(AND(A348="",B348=""),"",IF(OR(A348="",B348=""),"БЛОК: нужны и дата, и сумма",IF(B348&lt;=0,"БЛОК: сумма должна быть больше нуля",IF(A348&lt;Ввод!$B$5,"БЛОК: оплата до начала просрочки — уменьшите сумму долга на листе «Ввод»",IF(A348&gt;Ввод!$B$6,"БЛОК: оплата после последнего дня расчёта — продлите расчёт или уберите строку","ок")))))</f>
        <v/>
      </c>
    </row>
    <row r="349">
      <c r="A349" s="4" t="n"/>
      <c r="B349" s="3" t="n"/>
      <c r="C349" s="8" t="n"/>
      <c r="D349" s="9">
        <f>IF(AND(A349="",B349=""),"",IF(OR(A349="",B349=""),"БЛОК: нужны и дата, и сумма",IF(B349&lt;=0,"БЛОК: сумма должна быть больше нуля",IF(A349&lt;Ввод!$B$5,"БЛОК: оплата до начала просрочки — уменьшите сумму долга на листе «Ввод»",IF(A349&gt;Ввод!$B$6,"БЛОК: оплата после последнего дня расчёта — продлите расчёт или уберите строку","ок")))))</f>
        <v/>
      </c>
    </row>
    <row r="350">
      <c r="A350" s="4" t="n"/>
      <c r="B350" s="3" t="n"/>
      <c r="C350" s="8" t="n"/>
      <c r="D350" s="9">
        <f>IF(AND(A350="",B350=""),"",IF(OR(A350="",B350=""),"БЛОК: нужны и дата, и сумма",IF(B350&lt;=0,"БЛОК: сумма должна быть больше нуля",IF(A350&lt;Ввод!$B$5,"БЛОК: оплата до начала просрочки — уменьшите сумму долга на листе «Ввод»",IF(A350&gt;Ввод!$B$6,"БЛОК: оплата после последнего дня расчёта — продлите расчёт или уберите строку","ок")))))</f>
        <v/>
      </c>
    </row>
    <row r="351">
      <c r="A351" s="4" t="n"/>
      <c r="B351" s="3" t="n"/>
      <c r="C351" s="8" t="n"/>
      <c r="D351" s="9">
        <f>IF(AND(A351="",B351=""),"",IF(OR(A351="",B351=""),"БЛОК: нужны и дата, и сумма",IF(B351&lt;=0,"БЛОК: сумма должна быть больше нуля",IF(A351&lt;Ввод!$B$5,"БЛОК: оплата до начала просрочки — уменьшите сумму долга на листе «Ввод»",IF(A351&gt;Ввод!$B$6,"БЛОК: оплата после последнего дня расчёта — продлите расчёт или уберите строку","ок")))))</f>
        <v/>
      </c>
    </row>
    <row r="352">
      <c r="A352" s="4" t="n"/>
      <c r="B352" s="3" t="n"/>
      <c r="C352" s="8" t="n"/>
      <c r="D352" s="9">
        <f>IF(AND(A352="",B352=""),"",IF(OR(A352="",B352=""),"БЛОК: нужны и дата, и сумма",IF(B352&lt;=0,"БЛОК: сумма должна быть больше нуля",IF(A352&lt;Ввод!$B$5,"БЛОК: оплата до начала просрочки — уменьшите сумму долга на листе «Ввод»",IF(A352&gt;Ввод!$B$6,"БЛОК: оплата после последнего дня расчёта — продлите расчёт или уберите строку","ок")))))</f>
        <v/>
      </c>
    </row>
    <row r="353">
      <c r="A353" s="4" t="n"/>
      <c r="B353" s="3" t="n"/>
      <c r="C353" s="8" t="n"/>
      <c r="D353" s="9">
        <f>IF(AND(A353="",B353=""),"",IF(OR(A353="",B353=""),"БЛОК: нужны и дата, и сумма",IF(B353&lt;=0,"БЛОК: сумма должна быть больше нуля",IF(A353&lt;Ввод!$B$5,"БЛОК: оплата до начала просрочки — уменьшите сумму долга на листе «Ввод»",IF(A353&gt;Ввод!$B$6,"БЛОК: оплата после последнего дня расчёта — продлите расчёт или уберите строку","ок")))))</f>
        <v/>
      </c>
    </row>
    <row r="354">
      <c r="A354" s="4" t="n"/>
      <c r="B354" s="3" t="n"/>
      <c r="C354" s="8" t="n"/>
      <c r="D354" s="9">
        <f>IF(AND(A354="",B354=""),"",IF(OR(A354="",B354=""),"БЛОК: нужны и дата, и сумма",IF(B354&lt;=0,"БЛОК: сумма должна быть больше нуля",IF(A354&lt;Ввод!$B$5,"БЛОК: оплата до начала просрочки — уменьшите сумму долга на листе «Ввод»",IF(A354&gt;Ввод!$B$6,"БЛОК: оплата после последнего дня расчёта — продлите расчёт или уберите строку","ок")))))</f>
        <v/>
      </c>
    </row>
    <row r="355">
      <c r="A355" s="4" t="n"/>
      <c r="B355" s="3" t="n"/>
      <c r="C355" s="8" t="n"/>
      <c r="D355" s="9">
        <f>IF(AND(A355="",B355=""),"",IF(OR(A355="",B355=""),"БЛОК: нужны и дата, и сумма",IF(B355&lt;=0,"БЛОК: сумма должна быть больше нуля",IF(A355&lt;Ввод!$B$5,"БЛОК: оплата до начала просрочки — уменьшите сумму долга на листе «Ввод»",IF(A355&gt;Ввод!$B$6,"БЛОК: оплата после последнего дня расчёта — продлите расчёт или уберите строку","ок")))))</f>
        <v/>
      </c>
    </row>
    <row r="356">
      <c r="A356" s="4" t="n"/>
      <c r="B356" s="3" t="n"/>
      <c r="C356" s="8" t="n"/>
      <c r="D356" s="9">
        <f>IF(AND(A356="",B356=""),"",IF(OR(A356="",B356=""),"БЛОК: нужны и дата, и сумма",IF(B356&lt;=0,"БЛОК: сумма должна быть больше нуля",IF(A356&lt;Ввод!$B$5,"БЛОК: оплата до начала просрочки — уменьшите сумму долга на листе «Ввод»",IF(A356&gt;Ввод!$B$6,"БЛОК: оплата после последнего дня расчёта — продлите расчёт или уберите строку","ок")))))</f>
        <v/>
      </c>
    </row>
    <row r="357">
      <c r="A357" s="4" t="n"/>
      <c r="B357" s="3" t="n"/>
      <c r="C357" s="8" t="n"/>
      <c r="D357" s="9">
        <f>IF(AND(A357="",B357=""),"",IF(OR(A357="",B357=""),"БЛОК: нужны и дата, и сумма",IF(B357&lt;=0,"БЛОК: сумма должна быть больше нуля",IF(A357&lt;Ввод!$B$5,"БЛОК: оплата до начала просрочки — уменьшите сумму долга на листе «Ввод»",IF(A357&gt;Ввод!$B$6,"БЛОК: оплата после последнего дня расчёта — продлите расчёт или уберите строку","ок")))))</f>
        <v/>
      </c>
    </row>
    <row r="358">
      <c r="A358" s="4" t="n"/>
      <c r="B358" s="3" t="n"/>
      <c r="C358" s="8" t="n"/>
      <c r="D358" s="9">
        <f>IF(AND(A358="",B358=""),"",IF(OR(A358="",B358=""),"БЛОК: нужны и дата, и сумма",IF(B358&lt;=0,"БЛОК: сумма должна быть больше нуля",IF(A358&lt;Ввод!$B$5,"БЛОК: оплата до начала просрочки — уменьшите сумму долга на листе «Ввод»",IF(A358&gt;Ввод!$B$6,"БЛОК: оплата после последнего дня расчёта — продлите расчёт или уберите строку","ок")))))</f>
        <v/>
      </c>
    </row>
    <row r="359">
      <c r="A359" s="4" t="n"/>
      <c r="B359" s="3" t="n"/>
      <c r="C359" s="8" t="n"/>
      <c r="D359" s="9">
        <f>IF(AND(A359="",B359=""),"",IF(OR(A359="",B359=""),"БЛОК: нужны и дата, и сумма",IF(B359&lt;=0,"БЛОК: сумма должна быть больше нуля",IF(A359&lt;Ввод!$B$5,"БЛОК: оплата до начала просрочки — уменьшите сумму долга на листе «Ввод»",IF(A359&gt;Ввод!$B$6,"БЛОК: оплата после последнего дня расчёта — продлите расчёт или уберите строку","ок")))))</f>
        <v/>
      </c>
    </row>
    <row r="360">
      <c r="A360" s="4" t="n"/>
      <c r="B360" s="3" t="n"/>
      <c r="C360" s="8" t="n"/>
      <c r="D360" s="9">
        <f>IF(AND(A360="",B360=""),"",IF(OR(A360="",B360=""),"БЛОК: нужны и дата, и сумма",IF(B360&lt;=0,"БЛОК: сумма должна быть больше нуля",IF(A360&lt;Ввод!$B$5,"БЛОК: оплата до начала просрочки — уменьшите сумму долга на листе «Ввод»",IF(A360&gt;Ввод!$B$6,"БЛОК: оплата после последнего дня расчёта — продлите расчёт или уберите строку","ок")))))</f>
        <v/>
      </c>
    </row>
    <row r="361">
      <c r="A361" s="4" t="n"/>
      <c r="B361" s="3" t="n"/>
      <c r="C361" s="8" t="n"/>
      <c r="D361" s="9">
        <f>IF(AND(A361="",B361=""),"",IF(OR(A361="",B361=""),"БЛОК: нужны и дата, и сумма",IF(B361&lt;=0,"БЛОК: сумма должна быть больше нуля",IF(A361&lt;Ввод!$B$5,"БЛОК: оплата до начала просрочки — уменьшите сумму долга на листе «Ввод»",IF(A361&gt;Ввод!$B$6,"БЛОК: оплата после последнего дня расчёта — продлите расчёт или уберите строку","ок")))))</f>
        <v/>
      </c>
    </row>
    <row r="362">
      <c r="A362" s="4" t="n"/>
      <c r="B362" s="3" t="n"/>
      <c r="C362" s="8" t="n"/>
      <c r="D362" s="9">
        <f>IF(AND(A362="",B362=""),"",IF(OR(A362="",B362=""),"БЛОК: нужны и дата, и сумма",IF(B362&lt;=0,"БЛОК: сумма должна быть больше нуля",IF(A362&lt;Ввод!$B$5,"БЛОК: оплата до начала просрочки — уменьшите сумму долга на листе «Ввод»",IF(A362&gt;Ввод!$B$6,"БЛОК: оплата после последнего дня расчёта — продлите расчёт или уберите строку","ок")))))</f>
        <v/>
      </c>
    </row>
    <row r="363">
      <c r="A363" s="4" t="n"/>
      <c r="B363" s="3" t="n"/>
      <c r="C363" s="8" t="n"/>
      <c r="D363" s="9">
        <f>IF(AND(A363="",B363=""),"",IF(OR(A363="",B363=""),"БЛОК: нужны и дата, и сумма",IF(B363&lt;=0,"БЛОК: сумма должна быть больше нуля",IF(A363&lt;Ввод!$B$5,"БЛОК: оплата до начала просрочки — уменьшите сумму долга на листе «Ввод»",IF(A363&gt;Ввод!$B$6,"БЛОК: оплата после последнего дня расчёта — продлите расчёт или уберите строку","ок")))))</f>
        <v/>
      </c>
    </row>
    <row r="364">
      <c r="A364" s="4" t="n"/>
      <c r="B364" s="3" t="n"/>
      <c r="C364" s="8" t="n"/>
      <c r="D364" s="9">
        <f>IF(AND(A364="",B364=""),"",IF(OR(A364="",B364=""),"БЛОК: нужны и дата, и сумма",IF(B364&lt;=0,"БЛОК: сумма должна быть больше нуля",IF(A364&lt;Ввод!$B$5,"БЛОК: оплата до начала просрочки — уменьшите сумму долга на листе «Ввод»",IF(A364&gt;Ввод!$B$6,"БЛОК: оплата после последнего дня расчёта — продлите расчёт или уберите строку","ок")))))</f>
        <v/>
      </c>
    </row>
    <row r="365">
      <c r="A365" s="4" t="n"/>
      <c r="B365" s="3" t="n"/>
      <c r="C365" s="8" t="n"/>
      <c r="D365" s="9">
        <f>IF(AND(A365="",B365=""),"",IF(OR(A365="",B365=""),"БЛОК: нужны и дата, и сумма",IF(B365&lt;=0,"БЛОК: сумма должна быть больше нуля",IF(A365&lt;Ввод!$B$5,"БЛОК: оплата до начала просрочки — уменьшите сумму долга на листе «Ввод»",IF(A365&gt;Ввод!$B$6,"БЛОК: оплата после последнего дня расчёта — продлите расчёт или уберите строку","ок")))))</f>
        <v/>
      </c>
    </row>
    <row r="366">
      <c r="A366" s="4" t="n"/>
      <c r="B366" s="3" t="n"/>
      <c r="C366" s="8" t="n"/>
      <c r="D366" s="9">
        <f>IF(AND(A366="",B366=""),"",IF(OR(A366="",B366=""),"БЛОК: нужны и дата, и сумма",IF(B366&lt;=0,"БЛОК: сумма должна быть больше нуля",IF(A366&lt;Ввод!$B$5,"БЛОК: оплата до начала просрочки — уменьшите сумму долга на листе «Ввод»",IF(A366&gt;Ввод!$B$6,"БЛОК: оплата после последнего дня расчёта — продлите расчёт или уберите строку","ок")))))</f>
        <v/>
      </c>
    </row>
    <row r="367">
      <c r="A367" s="4" t="n"/>
      <c r="B367" s="3" t="n"/>
      <c r="C367" s="8" t="n"/>
      <c r="D367" s="9">
        <f>IF(AND(A367="",B367=""),"",IF(OR(A367="",B367=""),"БЛОК: нужны и дата, и сумма",IF(B367&lt;=0,"БЛОК: сумма должна быть больше нуля",IF(A367&lt;Ввод!$B$5,"БЛОК: оплата до начала просрочки — уменьшите сумму долга на листе «Ввод»",IF(A367&gt;Ввод!$B$6,"БЛОК: оплата после последнего дня расчёта — продлите расчёт или уберите строку","ок")))))</f>
        <v/>
      </c>
    </row>
    <row r="368">
      <c r="A368" s="4" t="n"/>
      <c r="B368" s="3" t="n"/>
      <c r="C368" s="8" t="n"/>
      <c r="D368" s="9">
        <f>IF(AND(A368="",B368=""),"",IF(OR(A368="",B368=""),"БЛОК: нужны и дата, и сумма",IF(B368&lt;=0,"БЛОК: сумма должна быть больше нуля",IF(A368&lt;Ввод!$B$5,"БЛОК: оплата до начала просрочки — уменьшите сумму долга на листе «Ввод»",IF(A368&gt;Ввод!$B$6,"БЛОК: оплата после последнего дня расчёта — продлите расчёт или уберите строку","ок")))))</f>
        <v/>
      </c>
    </row>
    <row r="369">
      <c r="A369" s="4" t="n"/>
      <c r="B369" s="3" t="n"/>
      <c r="C369" s="8" t="n"/>
      <c r="D369" s="9">
        <f>IF(AND(A369="",B369=""),"",IF(OR(A369="",B369=""),"БЛОК: нужны и дата, и сумма",IF(B369&lt;=0,"БЛОК: сумма должна быть больше нуля",IF(A369&lt;Ввод!$B$5,"БЛОК: оплата до начала просрочки — уменьшите сумму долга на листе «Ввод»",IF(A369&gt;Ввод!$B$6,"БЛОК: оплата после последнего дня расчёта — продлите расчёт или уберите строку","ок")))))</f>
        <v/>
      </c>
    </row>
    <row r="370">
      <c r="A370" s="4" t="n"/>
      <c r="B370" s="3" t="n"/>
      <c r="C370" s="8" t="n"/>
      <c r="D370" s="9">
        <f>IF(AND(A370="",B370=""),"",IF(OR(A370="",B370=""),"БЛОК: нужны и дата, и сумма",IF(B370&lt;=0,"БЛОК: сумма должна быть больше нуля",IF(A370&lt;Ввод!$B$5,"БЛОК: оплата до начала просрочки — уменьшите сумму долга на листе «Ввод»",IF(A370&gt;Ввод!$B$6,"БЛОК: оплата после последнего дня расчёта — продлите расчёт или уберите строку","ок")))))</f>
        <v/>
      </c>
    </row>
    <row r="371">
      <c r="A371" s="4" t="n"/>
      <c r="B371" s="3" t="n"/>
      <c r="C371" s="8" t="n"/>
      <c r="D371" s="9">
        <f>IF(AND(A371="",B371=""),"",IF(OR(A371="",B371=""),"БЛОК: нужны и дата, и сумма",IF(B371&lt;=0,"БЛОК: сумма должна быть больше нуля",IF(A371&lt;Ввод!$B$5,"БЛОК: оплата до начала просрочки — уменьшите сумму долга на листе «Ввод»",IF(A371&gt;Ввод!$B$6,"БЛОК: оплата после последнего дня расчёта — продлите расчёт или уберите строку","ок")))))</f>
        <v/>
      </c>
    </row>
    <row r="372">
      <c r="A372" s="4" t="n"/>
      <c r="B372" s="3" t="n"/>
      <c r="C372" s="8" t="n"/>
      <c r="D372" s="9">
        <f>IF(AND(A372="",B372=""),"",IF(OR(A372="",B372=""),"БЛОК: нужны и дата, и сумма",IF(B372&lt;=0,"БЛОК: сумма должна быть больше нуля",IF(A372&lt;Ввод!$B$5,"БЛОК: оплата до начала просрочки — уменьшите сумму долга на листе «Ввод»",IF(A372&gt;Ввод!$B$6,"БЛОК: оплата после последнего дня расчёта — продлите расчёт или уберите строку","ок")))))</f>
        <v/>
      </c>
    </row>
    <row r="373">
      <c r="A373" s="4" t="n"/>
      <c r="B373" s="3" t="n"/>
      <c r="C373" s="8" t="n"/>
      <c r="D373" s="9">
        <f>IF(AND(A373="",B373=""),"",IF(OR(A373="",B373=""),"БЛОК: нужны и дата, и сумма",IF(B373&lt;=0,"БЛОК: сумма должна быть больше нуля",IF(A373&lt;Ввод!$B$5,"БЛОК: оплата до начала просрочки — уменьшите сумму долга на листе «Ввод»",IF(A373&gt;Ввод!$B$6,"БЛОК: оплата после последнего дня расчёта — продлите расчёт или уберите строку","ок")))))</f>
        <v/>
      </c>
    </row>
    <row r="374">
      <c r="A374" s="4" t="n"/>
      <c r="B374" s="3" t="n"/>
      <c r="C374" s="8" t="n"/>
      <c r="D374" s="9">
        <f>IF(AND(A374="",B374=""),"",IF(OR(A374="",B374=""),"БЛОК: нужны и дата, и сумма",IF(B374&lt;=0,"БЛОК: сумма должна быть больше нуля",IF(A374&lt;Ввод!$B$5,"БЛОК: оплата до начала просрочки — уменьшите сумму долга на листе «Ввод»",IF(A374&gt;Ввод!$B$6,"БЛОК: оплата после последнего дня расчёта — продлите расчёт или уберите строку","ок")))))</f>
        <v/>
      </c>
    </row>
    <row r="375">
      <c r="A375" s="4" t="n"/>
      <c r="B375" s="3" t="n"/>
      <c r="C375" s="8" t="n"/>
      <c r="D375" s="9">
        <f>IF(AND(A375="",B375=""),"",IF(OR(A375="",B375=""),"БЛОК: нужны и дата, и сумма",IF(B375&lt;=0,"БЛОК: сумма должна быть больше нуля",IF(A375&lt;Ввод!$B$5,"БЛОК: оплата до начала просрочки — уменьшите сумму долга на листе «Ввод»",IF(A375&gt;Ввод!$B$6,"БЛОК: оплата после последнего дня расчёта — продлите расчёт или уберите строку","ок")))))</f>
        <v/>
      </c>
    </row>
    <row r="376">
      <c r="A376" s="4" t="n"/>
      <c r="B376" s="3" t="n"/>
      <c r="C376" s="8" t="n"/>
      <c r="D376" s="9">
        <f>IF(AND(A376="",B376=""),"",IF(OR(A376="",B376=""),"БЛОК: нужны и дата, и сумма",IF(B376&lt;=0,"БЛОК: сумма должна быть больше нуля",IF(A376&lt;Ввод!$B$5,"БЛОК: оплата до начала просрочки — уменьшите сумму долга на листе «Ввод»",IF(A376&gt;Ввод!$B$6,"БЛОК: оплата после последнего дня расчёта — продлите расчёт или уберите строку","ок")))))</f>
        <v/>
      </c>
    </row>
    <row r="377">
      <c r="A377" s="4" t="n"/>
      <c r="B377" s="3" t="n"/>
      <c r="C377" s="8" t="n"/>
      <c r="D377" s="9">
        <f>IF(AND(A377="",B377=""),"",IF(OR(A377="",B377=""),"БЛОК: нужны и дата, и сумма",IF(B377&lt;=0,"БЛОК: сумма должна быть больше нуля",IF(A377&lt;Ввод!$B$5,"БЛОК: оплата до начала просрочки — уменьшите сумму долга на листе «Ввод»",IF(A377&gt;Ввод!$B$6,"БЛОК: оплата после последнего дня расчёта — продлите расчёт или уберите строку","ок")))))</f>
        <v/>
      </c>
    </row>
    <row r="378">
      <c r="A378" s="4" t="n"/>
      <c r="B378" s="3" t="n"/>
      <c r="C378" s="8" t="n"/>
      <c r="D378" s="9">
        <f>IF(AND(A378="",B378=""),"",IF(OR(A378="",B378=""),"БЛОК: нужны и дата, и сумма",IF(B378&lt;=0,"БЛОК: сумма должна быть больше нуля",IF(A378&lt;Ввод!$B$5,"БЛОК: оплата до начала просрочки — уменьшите сумму долга на листе «Ввод»",IF(A378&gt;Ввод!$B$6,"БЛОК: оплата после последнего дня расчёта — продлите расчёт или уберите строку","ок")))))</f>
        <v/>
      </c>
    </row>
    <row r="379">
      <c r="A379" s="4" t="n"/>
      <c r="B379" s="3" t="n"/>
      <c r="C379" s="8" t="n"/>
      <c r="D379" s="9">
        <f>IF(AND(A379="",B379=""),"",IF(OR(A379="",B379=""),"БЛОК: нужны и дата, и сумма",IF(B379&lt;=0,"БЛОК: сумма должна быть больше нуля",IF(A379&lt;Ввод!$B$5,"БЛОК: оплата до начала просрочки — уменьшите сумму долга на листе «Ввод»",IF(A379&gt;Ввод!$B$6,"БЛОК: оплата после последнего дня расчёта — продлите расчёт или уберите строку","ок")))))</f>
        <v/>
      </c>
    </row>
    <row r="380">
      <c r="A380" s="4" t="n"/>
      <c r="B380" s="3" t="n"/>
      <c r="C380" s="8" t="n"/>
      <c r="D380" s="9">
        <f>IF(AND(A380="",B380=""),"",IF(OR(A380="",B380=""),"БЛОК: нужны и дата, и сумма",IF(B380&lt;=0,"БЛОК: сумма должна быть больше нуля",IF(A380&lt;Ввод!$B$5,"БЛОК: оплата до начала просрочки — уменьшите сумму долга на листе «Ввод»",IF(A380&gt;Ввод!$B$6,"БЛОК: оплата после последнего дня расчёта — продлите расчёт или уберите строку","ок")))))</f>
        <v/>
      </c>
    </row>
    <row r="381">
      <c r="A381" s="4" t="n"/>
      <c r="B381" s="3" t="n"/>
      <c r="C381" s="8" t="n"/>
      <c r="D381" s="9">
        <f>IF(AND(A381="",B381=""),"",IF(OR(A381="",B381=""),"БЛОК: нужны и дата, и сумма",IF(B381&lt;=0,"БЛОК: сумма должна быть больше нуля",IF(A381&lt;Ввод!$B$5,"БЛОК: оплата до начала просрочки — уменьшите сумму долга на листе «Ввод»",IF(A381&gt;Ввод!$B$6,"БЛОК: оплата после последнего дня расчёта — продлите расчёт или уберите строку","ок")))))</f>
        <v/>
      </c>
    </row>
    <row r="382">
      <c r="A382" s="4" t="n"/>
      <c r="B382" s="3" t="n"/>
      <c r="C382" s="8" t="n"/>
      <c r="D382" s="9">
        <f>IF(AND(A382="",B382=""),"",IF(OR(A382="",B382=""),"БЛОК: нужны и дата, и сумма",IF(B382&lt;=0,"БЛОК: сумма должна быть больше нуля",IF(A382&lt;Ввод!$B$5,"БЛОК: оплата до начала просрочки — уменьшите сумму долга на листе «Ввод»",IF(A382&gt;Ввод!$B$6,"БЛОК: оплата после последнего дня расчёта — продлите расчёт или уберите строку","ок")))))</f>
        <v/>
      </c>
    </row>
    <row r="383">
      <c r="A383" s="4" t="n"/>
      <c r="B383" s="3" t="n"/>
      <c r="C383" s="8" t="n"/>
      <c r="D383" s="9">
        <f>IF(AND(A383="",B383=""),"",IF(OR(A383="",B383=""),"БЛОК: нужны и дата, и сумма",IF(B383&lt;=0,"БЛОК: сумма должна быть больше нуля",IF(A383&lt;Ввод!$B$5,"БЛОК: оплата до начала просрочки — уменьшите сумму долга на листе «Ввод»",IF(A383&gt;Ввод!$B$6,"БЛОК: оплата после последнего дня расчёта — продлите расчёт или уберите строку","ок")))))</f>
        <v/>
      </c>
    </row>
    <row r="384">
      <c r="A384" s="4" t="n"/>
      <c r="B384" s="3" t="n"/>
      <c r="C384" s="8" t="n"/>
      <c r="D384" s="9">
        <f>IF(AND(A384="",B384=""),"",IF(OR(A384="",B384=""),"БЛОК: нужны и дата, и сумма",IF(B384&lt;=0,"БЛОК: сумма должна быть больше нуля",IF(A384&lt;Ввод!$B$5,"БЛОК: оплата до начала просрочки — уменьшите сумму долга на листе «Ввод»",IF(A384&gt;Ввод!$B$6,"БЛОК: оплата после последнего дня расчёта — продлите расчёт или уберите строку","ок")))))</f>
        <v/>
      </c>
    </row>
    <row r="385">
      <c r="A385" s="4" t="n"/>
      <c r="B385" s="3" t="n"/>
      <c r="C385" s="8" t="n"/>
      <c r="D385" s="9">
        <f>IF(AND(A385="",B385=""),"",IF(OR(A385="",B385=""),"БЛОК: нужны и дата, и сумма",IF(B385&lt;=0,"БЛОК: сумма должна быть больше нуля",IF(A385&lt;Ввод!$B$5,"БЛОК: оплата до начала просрочки — уменьшите сумму долга на листе «Ввод»",IF(A385&gt;Ввод!$B$6,"БЛОК: оплата после последнего дня расчёта — продлите расчёт или уберите строку","ок")))))</f>
        <v/>
      </c>
    </row>
    <row r="386">
      <c r="A386" s="4" t="n"/>
      <c r="B386" s="3" t="n"/>
      <c r="C386" s="8" t="n"/>
      <c r="D386" s="9">
        <f>IF(AND(A386="",B386=""),"",IF(OR(A386="",B386=""),"БЛОК: нужны и дата, и сумма",IF(B386&lt;=0,"БЛОК: сумма должна быть больше нуля",IF(A386&lt;Ввод!$B$5,"БЛОК: оплата до начала просрочки — уменьшите сумму долга на листе «Ввод»",IF(A386&gt;Ввод!$B$6,"БЛОК: оплата после последнего дня расчёта — продлите расчёт или уберите строку","ок")))))</f>
        <v/>
      </c>
    </row>
    <row r="387">
      <c r="A387" s="4" t="n"/>
      <c r="B387" s="3" t="n"/>
      <c r="C387" s="8" t="n"/>
      <c r="D387" s="9">
        <f>IF(AND(A387="",B387=""),"",IF(OR(A387="",B387=""),"БЛОК: нужны и дата, и сумма",IF(B387&lt;=0,"БЛОК: сумма должна быть больше нуля",IF(A387&lt;Ввод!$B$5,"БЛОК: оплата до начала просрочки — уменьшите сумму долга на листе «Ввод»",IF(A387&gt;Ввод!$B$6,"БЛОК: оплата после последнего дня расчёта — продлите расчёт или уберите строку","ок")))))</f>
        <v/>
      </c>
    </row>
    <row r="388">
      <c r="A388" s="4" t="n"/>
      <c r="B388" s="3" t="n"/>
      <c r="C388" s="8" t="n"/>
      <c r="D388" s="9">
        <f>IF(AND(A388="",B388=""),"",IF(OR(A388="",B388=""),"БЛОК: нужны и дата, и сумма",IF(B388&lt;=0,"БЛОК: сумма должна быть больше нуля",IF(A388&lt;Ввод!$B$5,"БЛОК: оплата до начала просрочки — уменьшите сумму долга на листе «Ввод»",IF(A388&gt;Ввод!$B$6,"БЛОК: оплата после последнего дня расчёта — продлите расчёт или уберите строку","ок")))))</f>
        <v/>
      </c>
    </row>
    <row r="389">
      <c r="A389" s="4" t="n"/>
      <c r="B389" s="3" t="n"/>
      <c r="C389" s="8" t="n"/>
      <c r="D389" s="9">
        <f>IF(AND(A389="",B389=""),"",IF(OR(A389="",B389=""),"БЛОК: нужны и дата, и сумма",IF(B389&lt;=0,"БЛОК: сумма должна быть больше нуля",IF(A389&lt;Ввод!$B$5,"БЛОК: оплата до начала просрочки — уменьшите сумму долга на листе «Ввод»",IF(A389&gt;Ввод!$B$6,"БЛОК: оплата после последнего дня расчёта — продлите расчёт или уберите строку","ок")))))</f>
        <v/>
      </c>
    </row>
    <row r="390">
      <c r="A390" s="4" t="n"/>
      <c r="B390" s="3" t="n"/>
      <c r="C390" s="8" t="n"/>
      <c r="D390" s="9">
        <f>IF(AND(A390="",B390=""),"",IF(OR(A390="",B390=""),"БЛОК: нужны и дата, и сумма",IF(B390&lt;=0,"БЛОК: сумма должна быть больше нуля",IF(A390&lt;Ввод!$B$5,"БЛОК: оплата до начала просрочки — уменьшите сумму долга на листе «Ввод»",IF(A390&gt;Ввод!$B$6,"БЛОК: оплата после последнего дня расчёта — продлите расчёт или уберите строку","ок")))))</f>
        <v/>
      </c>
    </row>
    <row r="391">
      <c r="A391" s="4" t="n"/>
      <c r="B391" s="3" t="n"/>
      <c r="C391" s="8" t="n"/>
      <c r="D391" s="9">
        <f>IF(AND(A391="",B391=""),"",IF(OR(A391="",B391=""),"БЛОК: нужны и дата, и сумма",IF(B391&lt;=0,"БЛОК: сумма должна быть больше нуля",IF(A391&lt;Ввод!$B$5,"БЛОК: оплата до начала просрочки — уменьшите сумму долга на листе «Ввод»",IF(A391&gt;Ввод!$B$6,"БЛОК: оплата после последнего дня расчёта — продлите расчёт или уберите строку","ок")))))</f>
        <v/>
      </c>
    </row>
    <row r="392">
      <c r="A392" s="4" t="n"/>
      <c r="B392" s="3" t="n"/>
      <c r="C392" s="8" t="n"/>
      <c r="D392" s="9">
        <f>IF(AND(A392="",B392=""),"",IF(OR(A392="",B392=""),"БЛОК: нужны и дата, и сумма",IF(B392&lt;=0,"БЛОК: сумма должна быть больше нуля",IF(A392&lt;Ввод!$B$5,"БЛОК: оплата до начала просрочки — уменьшите сумму долга на листе «Ввод»",IF(A392&gt;Ввод!$B$6,"БЛОК: оплата после последнего дня расчёта — продлите расчёт или уберите строку","ок")))))</f>
        <v/>
      </c>
    </row>
    <row r="393">
      <c r="A393" s="4" t="n"/>
      <c r="B393" s="3" t="n"/>
      <c r="C393" s="8" t="n"/>
      <c r="D393" s="9">
        <f>IF(AND(A393="",B393=""),"",IF(OR(A393="",B393=""),"БЛОК: нужны и дата, и сумма",IF(B393&lt;=0,"БЛОК: сумма должна быть больше нуля",IF(A393&lt;Ввод!$B$5,"БЛОК: оплата до начала просрочки — уменьшите сумму долга на листе «Ввод»",IF(A393&gt;Ввод!$B$6,"БЛОК: оплата после последнего дня расчёта — продлите расчёт или уберите строку","ок")))))</f>
        <v/>
      </c>
    </row>
    <row r="394">
      <c r="A394" s="4" t="n"/>
      <c r="B394" s="3" t="n"/>
      <c r="C394" s="8" t="n"/>
      <c r="D394" s="9">
        <f>IF(AND(A394="",B394=""),"",IF(OR(A394="",B394=""),"БЛОК: нужны и дата, и сумма",IF(B394&lt;=0,"БЛОК: сумма должна быть больше нуля",IF(A394&lt;Ввод!$B$5,"БЛОК: оплата до начала просрочки — уменьшите сумму долга на листе «Ввод»",IF(A394&gt;Ввод!$B$6,"БЛОК: оплата после последнего дня расчёта — продлите расчёт или уберите строку","ок")))))</f>
        <v/>
      </c>
    </row>
    <row r="395">
      <c r="A395" s="4" t="n"/>
      <c r="B395" s="3" t="n"/>
      <c r="C395" s="8" t="n"/>
      <c r="D395" s="9">
        <f>IF(AND(A395="",B395=""),"",IF(OR(A395="",B395=""),"БЛОК: нужны и дата, и сумма",IF(B395&lt;=0,"БЛОК: сумма должна быть больше нуля",IF(A395&lt;Ввод!$B$5,"БЛОК: оплата до начала просрочки — уменьшите сумму долга на листе «Ввод»",IF(A395&gt;Ввод!$B$6,"БЛОК: оплата после последнего дня расчёта — продлите расчёт или уберите строку","ок")))))</f>
        <v/>
      </c>
    </row>
    <row r="396">
      <c r="A396" s="4" t="n"/>
      <c r="B396" s="3" t="n"/>
      <c r="C396" s="8" t="n"/>
      <c r="D396" s="9">
        <f>IF(AND(A396="",B396=""),"",IF(OR(A396="",B396=""),"БЛОК: нужны и дата, и сумма",IF(B396&lt;=0,"БЛОК: сумма должна быть больше нуля",IF(A396&lt;Ввод!$B$5,"БЛОК: оплата до начала просрочки — уменьшите сумму долга на листе «Ввод»",IF(A396&gt;Ввод!$B$6,"БЛОК: оплата после последнего дня расчёта — продлите расчёт или уберите строку","ок")))))</f>
        <v/>
      </c>
    </row>
    <row r="397">
      <c r="A397" s="4" t="n"/>
      <c r="B397" s="3" t="n"/>
      <c r="C397" s="8" t="n"/>
      <c r="D397" s="9">
        <f>IF(AND(A397="",B397=""),"",IF(OR(A397="",B397=""),"БЛОК: нужны и дата, и сумма",IF(B397&lt;=0,"БЛОК: сумма должна быть больше нуля",IF(A397&lt;Ввод!$B$5,"БЛОК: оплата до начала просрочки — уменьшите сумму долга на листе «Ввод»",IF(A397&gt;Ввод!$B$6,"БЛОК: оплата после последнего дня расчёта — продлите расчёт или уберите строку","ок")))))</f>
        <v/>
      </c>
    </row>
    <row r="398">
      <c r="A398" s="4" t="n"/>
      <c r="B398" s="3" t="n"/>
      <c r="C398" s="8" t="n"/>
      <c r="D398" s="9">
        <f>IF(AND(A398="",B398=""),"",IF(OR(A398="",B398=""),"БЛОК: нужны и дата, и сумма",IF(B398&lt;=0,"БЛОК: сумма должна быть больше нуля",IF(A398&lt;Ввод!$B$5,"БЛОК: оплата до начала просрочки — уменьшите сумму долга на листе «Ввод»",IF(A398&gt;Ввод!$B$6,"БЛОК: оплата после последнего дня расчёта — продлите расчёт или уберите строку","ок")))))</f>
        <v/>
      </c>
    </row>
    <row r="399">
      <c r="A399" s="4" t="n"/>
      <c r="B399" s="3" t="n"/>
      <c r="C399" s="8" t="n"/>
      <c r="D399" s="9">
        <f>IF(AND(A399="",B399=""),"",IF(OR(A399="",B399=""),"БЛОК: нужны и дата, и сумма",IF(B399&lt;=0,"БЛОК: сумма должна быть больше нуля",IF(A399&lt;Ввод!$B$5,"БЛОК: оплата до начала просрочки — уменьшите сумму долга на листе «Ввод»",IF(A399&gt;Ввод!$B$6,"БЛОК: оплата после последнего дня расчёта — продлите расчёт или уберите строку","ок")))))</f>
        <v/>
      </c>
    </row>
    <row r="400">
      <c r="A400" s="4" t="n"/>
      <c r="B400" s="3" t="n"/>
      <c r="C400" s="8" t="n"/>
      <c r="D400" s="9">
        <f>IF(AND(A400="",B400=""),"",IF(OR(A400="",B400=""),"БЛОК: нужны и дата, и сумма",IF(B400&lt;=0,"БЛОК: сумма должна быть больше нуля",IF(A400&lt;Ввод!$B$5,"БЛОК: оплата до начала просрочки — уменьшите сумму долга на листе «Ввод»",IF(A400&gt;Ввод!$B$6,"БЛОК: оплата после последнего дня расчёта — продлите расчёт или уберите строку","ок")))))</f>
        <v/>
      </c>
    </row>
    <row r="401">
      <c r="A401" s="4" t="n"/>
      <c r="B401" s="3" t="n"/>
      <c r="C401" s="8" t="n"/>
      <c r="D401" s="9">
        <f>IF(AND(A401="",B401=""),"",IF(OR(A401="",B401=""),"БЛОК: нужны и дата, и сумма",IF(B401&lt;=0,"БЛОК: сумма должна быть больше нуля",IF(A401&lt;Ввод!$B$5,"БЛОК: оплата до начала просрочки — уменьшите сумму долга на листе «Ввод»",IF(A401&gt;Ввод!$B$6,"БЛОК: оплата после последнего дня расчёта — продлите расчёт или уберите строку","ок")))))</f>
        <v/>
      </c>
    </row>
    <row r="402">
      <c r="A402" s="4" t="n"/>
      <c r="B402" s="3" t="n"/>
      <c r="C402" s="8" t="n"/>
      <c r="D402" s="9">
        <f>IF(AND(A402="",B402=""),"",IF(OR(A402="",B402=""),"БЛОК: нужны и дата, и сумма",IF(B402&lt;=0,"БЛОК: сумма должна быть больше нуля",IF(A402&lt;Ввод!$B$5,"БЛОК: оплата до начала просрочки — уменьшите сумму долга на листе «Ввод»",IF(A402&gt;Ввод!$B$6,"БЛОК: оплата после последнего дня расчёта — продлите расчёт или уберите строку","ок")))))</f>
        <v/>
      </c>
    </row>
    <row r="403">
      <c r="A403" s="4" t="n"/>
      <c r="B403" s="3" t="n"/>
      <c r="C403" s="8" t="n"/>
      <c r="D403" s="9">
        <f>IF(AND(A403="",B403=""),"",IF(OR(A403="",B403=""),"БЛОК: нужны и дата, и сумма",IF(B403&lt;=0,"БЛОК: сумма должна быть больше нуля",IF(A403&lt;Ввод!$B$5,"БЛОК: оплата до начала просрочки — уменьшите сумму долга на листе «Ввод»",IF(A403&gt;Ввод!$B$6,"БЛОК: оплата после последнего дня расчёта — продлите расчёт или уберите строку","ок")))))</f>
        <v/>
      </c>
    </row>
    <row r="404">
      <c r="A404" s="4" t="n"/>
      <c r="B404" s="3" t="n"/>
      <c r="C404" s="8" t="n"/>
      <c r="D404" s="9">
        <f>IF(AND(A404="",B404=""),"",IF(OR(A404="",B404=""),"БЛОК: нужны и дата, и сумма",IF(B404&lt;=0,"БЛОК: сумма должна быть больше нуля",IF(A404&lt;Ввод!$B$5,"БЛОК: оплата до начала просрочки — уменьшите сумму долга на листе «Ввод»",IF(A404&gt;Ввод!$B$6,"БЛОК: оплата после последнего дня расчёта — продлите расчёт или уберите строку","ок")))))</f>
        <v/>
      </c>
    </row>
    <row r="405">
      <c r="A405" s="4" t="n"/>
      <c r="B405" s="3" t="n"/>
      <c r="C405" s="8" t="n"/>
      <c r="D405" s="9">
        <f>IF(AND(A405="",B405=""),"",IF(OR(A405="",B405=""),"БЛОК: нужны и дата, и сумма",IF(B405&lt;=0,"БЛОК: сумма должна быть больше нуля",IF(A405&lt;Ввод!$B$5,"БЛОК: оплата до начала просрочки — уменьшите сумму долга на листе «Ввод»",IF(A405&gt;Ввод!$B$6,"БЛОК: оплата после последнего дня расчёта — продлите расчёт или уберите строку","ок")))))</f>
        <v/>
      </c>
    </row>
    <row r="406">
      <c r="A406" s="4" t="n"/>
      <c r="B406" s="3" t="n"/>
      <c r="C406" s="8" t="n"/>
      <c r="D406" s="9">
        <f>IF(AND(A406="",B406=""),"",IF(OR(A406="",B406=""),"БЛОК: нужны и дата, и сумма",IF(B406&lt;=0,"БЛОК: сумма должна быть больше нуля",IF(A406&lt;Ввод!$B$5,"БЛОК: оплата до начала просрочки — уменьшите сумму долга на листе «Ввод»",IF(A406&gt;Ввод!$B$6,"БЛОК: оплата после последнего дня расчёта — продлите расчёт или уберите строку","ок")))))</f>
        <v/>
      </c>
    </row>
    <row r="407">
      <c r="A407" s="4" t="n"/>
      <c r="B407" s="3" t="n"/>
      <c r="C407" s="8" t="n"/>
      <c r="D407" s="9">
        <f>IF(AND(A407="",B407=""),"",IF(OR(A407="",B407=""),"БЛОК: нужны и дата, и сумма",IF(B407&lt;=0,"БЛОК: сумма должна быть больше нуля",IF(A407&lt;Ввод!$B$5,"БЛОК: оплата до начала просрочки — уменьшите сумму долга на листе «Ввод»",IF(A407&gt;Ввод!$B$6,"БЛОК: оплата после последнего дня расчёта — продлите расчёт или уберите строку","ок")))))</f>
        <v/>
      </c>
    </row>
    <row r="408">
      <c r="A408" s="4" t="n"/>
      <c r="B408" s="3" t="n"/>
      <c r="C408" s="8" t="n"/>
      <c r="D408" s="9">
        <f>IF(AND(A408="",B408=""),"",IF(OR(A408="",B408=""),"БЛОК: нужны и дата, и сумма",IF(B408&lt;=0,"БЛОК: сумма должна быть больше нуля",IF(A408&lt;Ввод!$B$5,"БЛОК: оплата до начала просрочки — уменьшите сумму долга на листе «Ввод»",IF(A408&gt;Ввод!$B$6,"БЛОК: оплата после последнего дня расчёта — продлите расчёт или уберите строку","ок")))))</f>
        <v/>
      </c>
    </row>
    <row r="409">
      <c r="A409" s="4" t="n"/>
      <c r="B409" s="3" t="n"/>
      <c r="C409" s="8" t="n"/>
      <c r="D409" s="9">
        <f>IF(AND(A409="",B409=""),"",IF(OR(A409="",B409=""),"БЛОК: нужны и дата, и сумма",IF(B409&lt;=0,"БЛОК: сумма должна быть больше нуля",IF(A409&lt;Ввод!$B$5,"БЛОК: оплата до начала просрочки — уменьшите сумму долга на листе «Ввод»",IF(A409&gt;Ввод!$B$6,"БЛОК: оплата после последнего дня расчёта — продлите расчёт или уберите строку","ок")))))</f>
        <v/>
      </c>
    </row>
    <row r="410">
      <c r="A410" s="4" t="n"/>
      <c r="B410" s="3" t="n"/>
      <c r="C410" s="8" t="n"/>
      <c r="D410" s="9">
        <f>IF(AND(A410="",B410=""),"",IF(OR(A410="",B410=""),"БЛОК: нужны и дата, и сумма",IF(B410&lt;=0,"БЛОК: сумма должна быть больше нуля",IF(A410&lt;Ввод!$B$5,"БЛОК: оплата до начала просрочки — уменьшите сумму долга на листе «Ввод»",IF(A410&gt;Ввод!$B$6,"БЛОК: оплата после последнего дня расчёта — продлите расчёт или уберите строку","ок")))))</f>
        <v/>
      </c>
    </row>
    <row r="411">
      <c r="A411" s="4" t="n"/>
      <c r="B411" s="3" t="n"/>
      <c r="C411" s="8" t="n"/>
      <c r="D411" s="9">
        <f>IF(AND(A411="",B411=""),"",IF(OR(A411="",B411=""),"БЛОК: нужны и дата, и сумма",IF(B411&lt;=0,"БЛОК: сумма должна быть больше нуля",IF(A411&lt;Ввод!$B$5,"БЛОК: оплата до начала просрочки — уменьшите сумму долга на листе «Ввод»",IF(A411&gt;Ввод!$B$6,"БЛОК: оплата после последнего дня расчёта — продлите расчёт или уберите строку","ок")))))</f>
        <v/>
      </c>
    </row>
    <row r="412">
      <c r="A412" s="4" t="n"/>
      <c r="B412" s="3" t="n"/>
      <c r="C412" s="8" t="n"/>
      <c r="D412" s="9">
        <f>IF(AND(A412="",B412=""),"",IF(OR(A412="",B412=""),"БЛОК: нужны и дата, и сумма",IF(B412&lt;=0,"БЛОК: сумма должна быть больше нуля",IF(A412&lt;Ввод!$B$5,"БЛОК: оплата до начала просрочки — уменьшите сумму долга на листе «Ввод»",IF(A412&gt;Ввод!$B$6,"БЛОК: оплата после последнего дня расчёта — продлите расчёт или уберите строку","ок")))))</f>
        <v/>
      </c>
    </row>
    <row r="413">
      <c r="A413" s="4" t="n"/>
      <c r="B413" s="3" t="n"/>
      <c r="C413" s="8" t="n"/>
      <c r="D413" s="9">
        <f>IF(AND(A413="",B413=""),"",IF(OR(A413="",B413=""),"БЛОК: нужны и дата, и сумма",IF(B413&lt;=0,"БЛОК: сумма должна быть больше нуля",IF(A413&lt;Ввод!$B$5,"БЛОК: оплата до начала просрочки — уменьшите сумму долга на листе «Ввод»",IF(A413&gt;Ввод!$B$6,"БЛОК: оплата после последнего дня расчёта — продлите расчёт или уберите строку","ок")))))</f>
        <v/>
      </c>
    </row>
    <row r="414">
      <c r="A414" s="4" t="n"/>
      <c r="B414" s="3" t="n"/>
      <c r="C414" s="8" t="n"/>
      <c r="D414" s="9">
        <f>IF(AND(A414="",B414=""),"",IF(OR(A414="",B414=""),"БЛОК: нужны и дата, и сумма",IF(B414&lt;=0,"БЛОК: сумма должна быть больше нуля",IF(A414&lt;Ввод!$B$5,"БЛОК: оплата до начала просрочки — уменьшите сумму долга на листе «Ввод»",IF(A414&gt;Ввод!$B$6,"БЛОК: оплата после последнего дня расчёта — продлите расчёт или уберите строку","ок")))))</f>
        <v/>
      </c>
    </row>
    <row r="415">
      <c r="A415" s="4" t="n"/>
      <c r="B415" s="3" t="n"/>
      <c r="C415" s="8" t="n"/>
      <c r="D415" s="9">
        <f>IF(AND(A415="",B415=""),"",IF(OR(A415="",B415=""),"БЛОК: нужны и дата, и сумма",IF(B415&lt;=0,"БЛОК: сумма должна быть больше нуля",IF(A415&lt;Ввод!$B$5,"БЛОК: оплата до начала просрочки — уменьшите сумму долга на листе «Ввод»",IF(A415&gt;Ввод!$B$6,"БЛОК: оплата после последнего дня расчёта — продлите расчёт или уберите строку","ок")))))</f>
        <v/>
      </c>
    </row>
    <row r="416">
      <c r="A416" s="4" t="n"/>
      <c r="B416" s="3" t="n"/>
      <c r="C416" s="8" t="n"/>
      <c r="D416" s="9">
        <f>IF(AND(A416="",B416=""),"",IF(OR(A416="",B416=""),"БЛОК: нужны и дата, и сумма",IF(B416&lt;=0,"БЛОК: сумма должна быть больше нуля",IF(A416&lt;Ввод!$B$5,"БЛОК: оплата до начала просрочки — уменьшите сумму долга на листе «Ввод»",IF(A416&gt;Ввод!$B$6,"БЛОК: оплата после последнего дня расчёта — продлите расчёт или уберите строку","ок")))))</f>
        <v/>
      </c>
    </row>
    <row r="417">
      <c r="A417" s="4" t="n"/>
      <c r="B417" s="3" t="n"/>
      <c r="C417" s="8" t="n"/>
      <c r="D417" s="9">
        <f>IF(AND(A417="",B417=""),"",IF(OR(A417="",B417=""),"БЛОК: нужны и дата, и сумма",IF(B417&lt;=0,"БЛОК: сумма должна быть больше нуля",IF(A417&lt;Ввод!$B$5,"БЛОК: оплата до начала просрочки — уменьшите сумму долга на листе «Ввод»",IF(A417&gt;Ввод!$B$6,"БЛОК: оплата после последнего дня расчёта — продлите расчёт или уберите строку","ок")))))</f>
        <v/>
      </c>
    </row>
    <row r="418">
      <c r="A418" s="4" t="n"/>
      <c r="B418" s="3" t="n"/>
      <c r="C418" s="8" t="n"/>
      <c r="D418" s="9">
        <f>IF(AND(A418="",B418=""),"",IF(OR(A418="",B418=""),"БЛОК: нужны и дата, и сумма",IF(B418&lt;=0,"БЛОК: сумма должна быть больше нуля",IF(A418&lt;Ввод!$B$5,"БЛОК: оплата до начала просрочки — уменьшите сумму долга на листе «Ввод»",IF(A418&gt;Ввод!$B$6,"БЛОК: оплата после последнего дня расчёта — продлите расчёт или уберите строку","ок")))))</f>
        <v/>
      </c>
    </row>
    <row r="419">
      <c r="A419" s="4" t="n"/>
      <c r="B419" s="3" t="n"/>
      <c r="C419" s="8" t="n"/>
      <c r="D419" s="9">
        <f>IF(AND(A419="",B419=""),"",IF(OR(A419="",B419=""),"БЛОК: нужны и дата, и сумма",IF(B419&lt;=0,"БЛОК: сумма должна быть больше нуля",IF(A419&lt;Ввод!$B$5,"БЛОК: оплата до начала просрочки — уменьшите сумму долга на листе «Ввод»",IF(A419&gt;Ввод!$B$6,"БЛОК: оплата после последнего дня расчёта — продлите расчёт или уберите строку","ок")))))</f>
        <v/>
      </c>
    </row>
    <row r="420">
      <c r="A420" s="4" t="n"/>
      <c r="B420" s="3" t="n"/>
      <c r="C420" s="8" t="n"/>
      <c r="D420" s="9">
        <f>IF(AND(A420="",B420=""),"",IF(OR(A420="",B420=""),"БЛОК: нужны и дата, и сумма",IF(B420&lt;=0,"БЛОК: сумма должна быть больше нуля",IF(A420&lt;Ввод!$B$5,"БЛОК: оплата до начала просрочки — уменьшите сумму долга на листе «Ввод»",IF(A420&gt;Ввод!$B$6,"БЛОК: оплата после последнего дня расчёта — продлите расчёт или уберите строку","ок")))))</f>
        <v/>
      </c>
    </row>
    <row r="421">
      <c r="A421" s="4" t="n"/>
      <c r="B421" s="3" t="n"/>
      <c r="C421" s="8" t="n"/>
      <c r="D421" s="9">
        <f>IF(AND(A421="",B421=""),"",IF(OR(A421="",B421=""),"БЛОК: нужны и дата, и сумма",IF(B421&lt;=0,"БЛОК: сумма должна быть больше нуля",IF(A421&lt;Ввод!$B$5,"БЛОК: оплата до начала просрочки — уменьшите сумму долга на листе «Ввод»",IF(A421&gt;Ввод!$B$6,"БЛОК: оплата после последнего дня расчёта — продлите расчёт или уберите строку","ок")))))</f>
        <v/>
      </c>
    </row>
    <row r="422">
      <c r="A422" s="4" t="n"/>
      <c r="B422" s="3" t="n"/>
      <c r="C422" s="8" t="n"/>
      <c r="D422" s="9">
        <f>IF(AND(A422="",B422=""),"",IF(OR(A422="",B422=""),"БЛОК: нужны и дата, и сумма",IF(B422&lt;=0,"БЛОК: сумма должна быть больше нуля",IF(A422&lt;Ввод!$B$5,"БЛОК: оплата до начала просрочки — уменьшите сумму долга на листе «Ввод»",IF(A422&gt;Ввод!$B$6,"БЛОК: оплата после последнего дня расчёта — продлите расчёт или уберите строку","ок")))))</f>
        <v/>
      </c>
    </row>
    <row r="423">
      <c r="A423" s="4" t="n"/>
      <c r="B423" s="3" t="n"/>
      <c r="C423" s="8" t="n"/>
      <c r="D423" s="9">
        <f>IF(AND(A423="",B423=""),"",IF(OR(A423="",B423=""),"БЛОК: нужны и дата, и сумма",IF(B423&lt;=0,"БЛОК: сумма должна быть больше нуля",IF(A423&lt;Ввод!$B$5,"БЛОК: оплата до начала просрочки — уменьшите сумму долга на листе «Ввод»",IF(A423&gt;Ввод!$B$6,"БЛОК: оплата после последнего дня расчёта — продлите расчёт или уберите строку","ок")))))</f>
        <v/>
      </c>
    </row>
    <row r="424">
      <c r="A424" s="4" t="n"/>
      <c r="B424" s="3" t="n"/>
      <c r="C424" s="8" t="n"/>
      <c r="D424" s="9">
        <f>IF(AND(A424="",B424=""),"",IF(OR(A424="",B424=""),"БЛОК: нужны и дата, и сумма",IF(B424&lt;=0,"БЛОК: сумма должна быть больше нуля",IF(A424&lt;Ввод!$B$5,"БЛОК: оплата до начала просрочки — уменьшите сумму долга на листе «Ввод»",IF(A424&gt;Ввод!$B$6,"БЛОК: оплата после последнего дня расчёта — продлите расчёт или уберите строку","ок")))))</f>
        <v/>
      </c>
    </row>
    <row r="425">
      <c r="A425" s="4" t="n"/>
      <c r="B425" s="3" t="n"/>
      <c r="C425" s="8" t="n"/>
      <c r="D425" s="9">
        <f>IF(AND(A425="",B425=""),"",IF(OR(A425="",B425=""),"БЛОК: нужны и дата, и сумма",IF(B425&lt;=0,"БЛОК: сумма должна быть больше нуля",IF(A425&lt;Ввод!$B$5,"БЛОК: оплата до начала просрочки — уменьшите сумму долга на листе «Ввод»",IF(A425&gt;Ввод!$B$6,"БЛОК: оплата после последнего дня расчёта — продлите расчёт или уберите строку","ок")))))</f>
        <v/>
      </c>
    </row>
    <row r="426">
      <c r="A426" s="4" t="n"/>
      <c r="B426" s="3" t="n"/>
      <c r="C426" s="8" t="n"/>
      <c r="D426" s="9">
        <f>IF(AND(A426="",B426=""),"",IF(OR(A426="",B426=""),"БЛОК: нужны и дата, и сумма",IF(B426&lt;=0,"БЛОК: сумма должна быть больше нуля",IF(A426&lt;Ввод!$B$5,"БЛОК: оплата до начала просрочки — уменьшите сумму долга на листе «Ввод»",IF(A426&gt;Ввод!$B$6,"БЛОК: оплата после последнего дня расчёта — продлите расчёт или уберите строку","ок")))))</f>
        <v/>
      </c>
    </row>
    <row r="427">
      <c r="A427" s="4" t="n"/>
      <c r="B427" s="3" t="n"/>
      <c r="C427" s="8" t="n"/>
      <c r="D427" s="9">
        <f>IF(AND(A427="",B427=""),"",IF(OR(A427="",B427=""),"БЛОК: нужны и дата, и сумма",IF(B427&lt;=0,"БЛОК: сумма должна быть больше нуля",IF(A427&lt;Ввод!$B$5,"БЛОК: оплата до начала просрочки — уменьшите сумму долга на листе «Ввод»",IF(A427&gt;Ввод!$B$6,"БЛОК: оплата после последнего дня расчёта — продлите расчёт или уберите строку","ок")))))</f>
        <v/>
      </c>
    </row>
    <row r="428">
      <c r="A428" s="4" t="n"/>
      <c r="B428" s="3" t="n"/>
      <c r="C428" s="8" t="n"/>
      <c r="D428" s="9">
        <f>IF(AND(A428="",B428=""),"",IF(OR(A428="",B428=""),"БЛОК: нужны и дата, и сумма",IF(B428&lt;=0,"БЛОК: сумма должна быть больше нуля",IF(A428&lt;Ввод!$B$5,"БЛОК: оплата до начала просрочки — уменьшите сумму долга на листе «Ввод»",IF(A428&gt;Ввод!$B$6,"БЛОК: оплата после последнего дня расчёта — продлите расчёт или уберите строку","ок")))))</f>
        <v/>
      </c>
    </row>
    <row r="429">
      <c r="A429" s="4" t="n"/>
      <c r="B429" s="3" t="n"/>
      <c r="C429" s="8" t="n"/>
      <c r="D429" s="9">
        <f>IF(AND(A429="",B429=""),"",IF(OR(A429="",B429=""),"БЛОК: нужны и дата, и сумма",IF(B429&lt;=0,"БЛОК: сумма должна быть больше нуля",IF(A429&lt;Ввод!$B$5,"БЛОК: оплата до начала просрочки — уменьшите сумму долга на листе «Ввод»",IF(A429&gt;Ввод!$B$6,"БЛОК: оплата после последнего дня расчёта — продлите расчёт или уберите строку","ок")))))</f>
        <v/>
      </c>
    </row>
    <row r="430">
      <c r="A430" s="4" t="n"/>
      <c r="B430" s="3" t="n"/>
      <c r="C430" s="8" t="n"/>
      <c r="D430" s="9">
        <f>IF(AND(A430="",B430=""),"",IF(OR(A430="",B430=""),"БЛОК: нужны и дата, и сумма",IF(B430&lt;=0,"БЛОК: сумма должна быть больше нуля",IF(A430&lt;Ввод!$B$5,"БЛОК: оплата до начала просрочки — уменьшите сумму долга на листе «Ввод»",IF(A430&gt;Ввод!$B$6,"БЛОК: оплата после последнего дня расчёта — продлите расчёт или уберите строку","ок")))))</f>
        <v/>
      </c>
    </row>
    <row r="431">
      <c r="A431" s="4" t="n"/>
      <c r="B431" s="3" t="n"/>
      <c r="C431" s="8" t="n"/>
      <c r="D431" s="9">
        <f>IF(AND(A431="",B431=""),"",IF(OR(A431="",B431=""),"БЛОК: нужны и дата, и сумма",IF(B431&lt;=0,"БЛОК: сумма должна быть больше нуля",IF(A431&lt;Ввод!$B$5,"БЛОК: оплата до начала просрочки — уменьшите сумму долга на листе «Ввод»",IF(A431&gt;Ввод!$B$6,"БЛОК: оплата после последнего дня расчёта — продлите расчёт или уберите строку","ок")))))</f>
        <v/>
      </c>
    </row>
    <row r="432">
      <c r="A432" s="4" t="n"/>
      <c r="B432" s="3" t="n"/>
      <c r="C432" s="8" t="n"/>
      <c r="D432" s="9">
        <f>IF(AND(A432="",B432=""),"",IF(OR(A432="",B432=""),"БЛОК: нужны и дата, и сумма",IF(B432&lt;=0,"БЛОК: сумма должна быть больше нуля",IF(A432&lt;Ввод!$B$5,"БЛОК: оплата до начала просрочки — уменьшите сумму долга на листе «Ввод»",IF(A432&gt;Ввод!$B$6,"БЛОК: оплата после последнего дня расчёта — продлите расчёт или уберите строку","ок")))))</f>
        <v/>
      </c>
    </row>
    <row r="433">
      <c r="A433" s="4" t="n"/>
      <c r="B433" s="3" t="n"/>
      <c r="C433" s="8" t="n"/>
      <c r="D433" s="9">
        <f>IF(AND(A433="",B433=""),"",IF(OR(A433="",B433=""),"БЛОК: нужны и дата, и сумма",IF(B433&lt;=0,"БЛОК: сумма должна быть больше нуля",IF(A433&lt;Ввод!$B$5,"БЛОК: оплата до начала просрочки — уменьшите сумму долга на листе «Ввод»",IF(A433&gt;Ввод!$B$6,"БЛОК: оплата после последнего дня расчёта — продлите расчёт или уберите строку","ок")))))</f>
        <v/>
      </c>
    </row>
    <row r="434">
      <c r="A434" s="4" t="n"/>
      <c r="B434" s="3" t="n"/>
      <c r="C434" s="8" t="n"/>
      <c r="D434" s="9">
        <f>IF(AND(A434="",B434=""),"",IF(OR(A434="",B434=""),"БЛОК: нужны и дата, и сумма",IF(B434&lt;=0,"БЛОК: сумма должна быть больше нуля",IF(A434&lt;Ввод!$B$5,"БЛОК: оплата до начала просрочки — уменьшите сумму долга на листе «Ввод»",IF(A434&gt;Ввод!$B$6,"БЛОК: оплата после последнего дня расчёта — продлите расчёт или уберите строку","ок")))))</f>
        <v/>
      </c>
    </row>
    <row r="435">
      <c r="A435" s="4" t="n"/>
      <c r="B435" s="3" t="n"/>
      <c r="C435" s="8" t="n"/>
      <c r="D435" s="9">
        <f>IF(AND(A435="",B435=""),"",IF(OR(A435="",B435=""),"БЛОК: нужны и дата, и сумма",IF(B435&lt;=0,"БЛОК: сумма должна быть больше нуля",IF(A435&lt;Ввод!$B$5,"БЛОК: оплата до начала просрочки — уменьшите сумму долга на листе «Ввод»",IF(A435&gt;Ввод!$B$6,"БЛОК: оплата после последнего дня расчёта — продлите расчёт или уберите строку","ок")))))</f>
        <v/>
      </c>
    </row>
    <row r="436">
      <c r="A436" s="4" t="n"/>
      <c r="B436" s="3" t="n"/>
      <c r="C436" s="8" t="n"/>
      <c r="D436" s="9">
        <f>IF(AND(A436="",B436=""),"",IF(OR(A436="",B436=""),"БЛОК: нужны и дата, и сумма",IF(B436&lt;=0,"БЛОК: сумма должна быть больше нуля",IF(A436&lt;Ввод!$B$5,"БЛОК: оплата до начала просрочки — уменьшите сумму долга на листе «Ввод»",IF(A436&gt;Ввод!$B$6,"БЛОК: оплата после последнего дня расчёта — продлите расчёт или уберите строку","ок")))))</f>
        <v/>
      </c>
    </row>
    <row r="437">
      <c r="A437" s="4" t="n"/>
      <c r="B437" s="3" t="n"/>
      <c r="C437" s="8" t="n"/>
      <c r="D437" s="9">
        <f>IF(AND(A437="",B437=""),"",IF(OR(A437="",B437=""),"БЛОК: нужны и дата, и сумма",IF(B437&lt;=0,"БЛОК: сумма должна быть больше нуля",IF(A437&lt;Ввод!$B$5,"БЛОК: оплата до начала просрочки — уменьшите сумму долга на листе «Ввод»",IF(A437&gt;Ввод!$B$6,"БЛОК: оплата после последнего дня расчёта — продлите расчёт или уберите строку","ок")))))</f>
        <v/>
      </c>
    </row>
    <row r="438">
      <c r="A438" s="4" t="n"/>
      <c r="B438" s="3" t="n"/>
      <c r="C438" s="8" t="n"/>
      <c r="D438" s="9">
        <f>IF(AND(A438="",B438=""),"",IF(OR(A438="",B438=""),"БЛОК: нужны и дата, и сумма",IF(B438&lt;=0,"БЛОК: сумма должна быть больше нуля",IF(A438&lt;Ввод!$B$5,"БЛОК: оплата до начала просрочки — уменьшите сумму долга на листе «Ввод»",IF(A438&gt;Ввод!$B$6,"БЛОК: оплата после последнего дня расчёта — продлите расчёт или уберите строку","ок")))))</f>
        <v/>
      </c>
    </row>
    <row r="439">
      <c r="A439" s="4" t="n"/>
      <c r="B439" s="3" t="n"/>
      <c r="C439" s="8" t="n"/>
      <c r="D439" s="9">
        <f>IF(AND(A439="",B439=""),"",IF(OR(A439="",B439=""),"БЛОК: нужны и дата, и сумма",IF(B439&lt;=0,"БЛОК: сумма должна быть больше нуля",IF(A439&lt;Ввод!$B$5,"БЛОК: оплата до начала просрочки — уменьшите сумму долга на листе «Ввод»",IF(A439&gt;Ввод!$B$6,"БЛОК: оплата после последнего дня расчёта — продлите расчёт или уберите строку","ок")))))</f>
        <v/>
      </c>
    </row>
    <row r="440">
      <c r="A440" s="4" t="n"/>
      <c r="B440" s="3" t="n"/>
      <c r="C440" s="8" t="n"/>
      <c r="D440" s="9">
        <f>IF(AND(A440="",B440=""),"",IF(OR(A440="",B440=""),"БЛОК: нужны и дата, и сумма",IF(B440&lt;=0,"БЛОК: сумма должна быть больше нуля",IF(A440&lt;Ввод!$B$5,"БЛОК: оплата до начала просрочки — уменьшите сумму долга на листе «Ввод»",IF(A440&gt;Ввод!$B$6,"БЛОК: оплата после последнего дня расчёта — продлите расчёт или уберите строку","ок")))))</f>
        <v/>
      </c>
    </row>
    <row r="441">
      <c r="A441" s="4" t="n"/>
      <c r="B441" s="3" t="n"/>
      <c r="C441" s="8" t="n"/>
      <c r="D441" s="9">
        <f>IF(AND(A441="",B441=""),"",IF(OR(A441="",B441=""),"БЛОК: нужны и дата, и сумма",IF(B441&lt;=0,"БЛОК: сумма должна быть больше нуля",IF(A441&lt;Ввод!$B$5,"БЛОК: оплата до начала просрочки — уменьшите сумму долга на листе «Ввод»",IF(A441&gt;Ввод!$B$6,"БЛОК: оплата после последнего дня расчёта — продлите расчёт или уберите строку","ок")))))</f>
        <v/>
      </c>
    </row>
    <row r="442">
      <c r="A442" s="4" t="n"/>
      <c r="B442" s="3" t="n"/>
      <c r="C442" s="8" t="n"/>
      <c r="D442" s="9">
        <f>IF(AND(A442="",B442=""),"",IF(OR(A442="",B442=""),"БЛОК: нужны и дата, и сумма",IF(B442&lt;=0,"БЛОК: сумма должна быть больше нуля",IF(A442&lt;Ввод!$B$5,"БЛОК: оплата до начала просрочки — уменьшите сумму долга на листе «Ввод»",IF(A442&gt;Ввод!$B$6,"БЛОК: оплата после последнего дня расчёта — продлите расчёт или уберите строку","ок")))))</f>
        <v/>
      </c>
    </row>
    <row r="443">
      <c r="A443" s="4" t="n"/>
      <c r="B443" s="3" t="n"/>
      <c r="C443" s="8" t="n"/>
      <c r="D443" s="9">
        <f>IF(AND(A443="",B443=""),"",IF(OR(A443="",B443=""),"БЛОК: нужны и дата, и сумма",IF(B443&lt;=0,"БЛОК: сумма должна быть больше нуля",IF(A443&lt;Ввод!$B$5,"БЛОК: оплата до начала просрочки — уменьшите сумму долга на листе «Ввод»",IF(A443&gt;Ввод!$B$6,"БЛОК: оплата после последнего дня расчёта — продлите расчёт или уберите строку","ок")))))</f>
        <v/>
      </c>
    </row>
    <row r="444">
      <c r="A444" s="4" t="n"/>
      <c r="B444" s="3" t="n"/>
      <c r="C444" s="8" t="n"/>
      <c r="D444" s="9">
        <f>IF(AND(A444="",B444=""),"",IF(OR(A444="",B444=""),"БЛОК: нужны и дата, и сумма",IF(B444&lt;=0,"БЛОК: сумма должна быть больше нуля",IF(A444&lt;Ввод!$B$5,"БЛОК: оплата до начала просрочки — уменьшите сумму долга на листе «Ввод»",IF(A444&gt;Ввод!$B$6,"БЛОК: оплата после последнего дня расчёта — продлите расчёт или уберите строку","ок")))))</f>
        <v/>
      </c>
    </row>
    <row r="445">
      <c r="A445" s="4" t="n"/>
      <c r="B445" s="3" t="n"/>
      <c r="C445" s="8" t="n"/>
      <c r="D445" s="9">
        <f>IF(AND(A445="",B445=""),"",IF(OR(A445="",B445=""),"БЛОК: нужны и дата, и сумма",IF(B445&lt;=0,"БЛОК: сумма должна быть больше нуля",IF(A445&lt;Ввод!$B$5,"БЛОК: оплата до начала просрочки — уменьшите сумму долга на листе «Ввод»",IF(A445&gt;Ввод!$B$6,"БЛОК: оплата после последнего дня расчёта — продлите расчёт или уберите строку","ок")))))</f>
        <v/>
      </c>
    </row>
    <row r="446">
      <c r="A446" s="4" t="n"/>
      <c r="B446" s="3" t="n"/>
      <c r="C446" s="8" t="n"/>
      <c r="D446" s="9">
        <f>IF(AND(A446="",B446=""),"",IF(OR(A446="",B446=""),"БЛОК: нужны и дата, и сумма",IF(B446&lt;=0,"БЛОК: сумма должна быть больше нуля",IF(A446&lt;Ввод!$B$5,"БЛОК: оплата до начала просрочки — уменьшите сумму долга на листе «Ввод»",IF(A446&gt;Ввод!$B$6,"БЛОК: оплата после последнего дня расчёта — продлите расчёт или уберите строку","ок")))))</f>
        <v/>
      </c>
    </row>
    <row r="447">
      <c r="A447" s="4" t="n"/>
      <c r="B447" s="3" t="n"/>
      <c r="C447" s="8" t="n"/>
      <c r="D447" s="9">
        <f>IF(AND(A447="",B447=""),"",IF(OR(A447="",B447=""),"БЛОК: нужны и дата, и сумма",IF(B447&lt;=0,"БЛОК: сумма должна быть больше нуля",IF(A447&lt;Ввод!$B$5,"БЛОК: оплата до начала просрочки — уменьшите сумму долга на листе «Ввод»",IF(A447&gt;Ввод!$B$6,"БЛОК: оплата после последнего дня расчёта — продлите расчёт или уберите строку","ок")))))</f>
        <v/>
      </c>
    </row>
    <row r="448">
      <c r="A448" s="4" t="n"/>
      <c r="B448" s="3" t="n"/>
      <c r="C448" s="8" t="n"/>
      <c r="D448" s="9">
        <f>IF(AND(A448="",B448=""),"",IF(OR(A448="",B448=""),"БЛОК: нужны и дата, и сумма",IF(B448&lt;=0,"БЛОК: сумма должна быть больше нуля",IF(A448&lt;Ввод!$B$5,"БЛОК: оплата до начала просрочки — уменьшите сумму долга на листе «Ввод»",IF(A448&gt;Ввод!$B$6,"БЛОК: оплата после последнего дня расчёта — продлите расчёт или уберите строку","ок")))))</f>
        <v/>
      </c>
    </row>
    <row r="449">
      <c r="A449" s="4" t="n"/>
      <c r="B449" s="3" t="n"/>
      <c r="C449" s="8" t="n"/>
      <c r="D449" s="9">
        <f>IF(AND(A449="",B449=""),"",IF(OR(A449="",B449=""),"БЛОК: нужны и дата, и сумма",IF(B449&lt;=0,"БЛОК: сумма должна быть больше нуля",IF(A449&lt;Ввод!$B$5,"БЛОК: оплата до начала просрочки — уменьшите сумму долга на листе «Ввод»",IF(A449&gt;Ввод!$B$6,"БЛОК: оплата после последнего дня расчёта — продлите расчёт или уберите строку","ок")))))</f>
        <v/>
      </c>
    </row>
    <row r="450">
      <c r="A450" s="4" t="n"/>
      <c r="B450" s="3" t="n"/>
      <c r="C450" s="8" t="n"/>
      <c r="D450" s="9">
        <f>IF(AND(A450="",B450=""),"",IF(OR(A450="",B450=""),"БЛОК: нужны и дата, и сумма",IF(B450&lt;=0,"БЛОК: сумма должна быть больше нуля",IF(A450&lt;Ввод!$B$5,"БЛОК: оплата до начала просрочки — уменьшите сумму долга на листе «Ввод»",IF(A450&gt;Ввод!$B$6,"БЛОК: оплата после последнего дня расчёта — продлите расчёт или уберите строку","ок")))))</f>
        <v/>
      </c>
    </row>
    <row r="451">
      <c r="A451" s="4" t="n"/>
      <c r="B451" s="3" t="n"/>
      <c r="C451" s="8" t="n"/>
      <c r="D451" s="9">
        <f>IF(AND(A451="",B451=""),"",IF(OR(A451="",B451=""),"БЛОК: нужны и дата, и сумма",IF(B451&lt;=0,"БЛОК: сумма должна быть больше нуля",IF(A451&lt;Ввод!$B$5,"БЛОК: оплата до начала просрочки — уменьшите сумму долга на листе «Ввод»",IF(A451&gt;Ввод!$B$6,"БЛОК: оплата после последнего дня расчёта — продлите расчёт или уберите строку","ок")))))</f>
        <v/>
      </c>
    </row>
    <row r="452">
      <c r="A452" s="4" t="n"/>
      <c r="B452" s="3" t="n"/>
      <c r="C452" s="8" t="n"/>
      <c r="D452" s="9">
        <f>IF(AND(A452="",B452=""),"",IF(OR(A452="",B452=""),"БЛОК: нужны и дата, и сумма",IF(B452&lt;=0,"БЛОК: сумма должна быть больше нуля",IF(A452&lt;Ввод!$B$5,"БЛОК: оплата до начала просрочки — уменьшите сумму долга на листе «Ввод»",IF(A452&gt;Ввод!$B$6,"БЛОК: оплата после последнего дня расчёта — продлите расчёт или уберите строку","ок")))))</f>
        <v/>
      </c>
    </row>
    <row r="453">
      <c r="A453" s="4" t="n"/>
      <c r="B453" s="3" t="n"/>
      <c r="C453" s="8" t="n"/>
      <c r="D453" s="9">
        <f>IF(AND(A453="",B453=""),"",IF(OR(A453="",B453=""),"БЛОК: нужны и дата, и сумма",IF(B453&lt;=0,"БЛОК: сумма должна быть больше нуля",IF(A453&lt;Ввод!$B$5,"БЛОК: оплата до начала просрочки — уменьшите сумму долга на листе «Ввод»",IF(A453&gt;Ввод!$B$6,"БЛОК: оплата после последнего дня расчёта — продлите расчёт или уберите строку","ок")))))</f>
        <v/>
      </c>
    </row>
    <row r="454">
      <c r="A454" s="4" t="n"/>
      <c r="B454" s="3" t="n"/>
      <c r="C454" s="8" t="n"/>
      <c r="D454" s="9">
        <f>IF(AND(A454="",B454=""),"",IF(OR(A454="",B454=""),"БЛОК: нужны и дата, и сумма",IF(B454&lt;=0,"БЛОК: сумма должна быть больше нуля",IF(A454&lt;Ввод!$B$5,"БЛОК: оплата до начала просрочки — уменьшите сумму долга на листе «Ввод»",IF(A454&gt;Ввод!$B$6,"БЛОК: оплата после последнего дня расчёта — продлите расчёт или уберите строку","ок")))))</f>
        <v/>
      </c>
    </row>
    <row r="455">
      <c r="A455" s="4" t="n"/>
      <c r="B455" s="3" t="n"/>
      <c r="C455" s="8" t="n"/>
      <c r="D455" s="9">
        <f>IF(AND(A455="",B455=""),"",IF(OR(A455="",B455=""),"БЛОК: нужны и дата, и сумма",IF(B455&lt;=0,"БЛОК: сумма должна быть больше нуля",IF(A455&lt;Ввод!$B$5,"БЛОК: оплата до начала просрочки — уменьшите сумму долга на листе «Ввод»",IF(A455&gt;Ввод!$B$6,"БЛОК: оплата после последнего дня расчёта — продлите расчёт или уберите строку","ок")))))</f>
        <v/>
      </c>
    </row>
    <row r="456">
      <c r="A456" s="4" t="n"/>
      <c r="B456" s="3" t="n"/>
      <c r="C456" s="8" t="n"/>
      <c r="D456" s="9">
        <f>IF(AND(A456="",B456=""),"",IF(OR(A456="",B456=""),"БЛОК: нужны и дата, и сумма",IF(B456&lt;=0,"БЛОК: сумма должна быть больше нуля",IF(A456&lt;Ввод!$B$5,"БЛОК: оплата до начала просрочки — уменьшите сумму долга на листе «Ввод»",IF(A456&gt;Ввод!$B$6,"БЛОК: оплата после последнего дня расчёта — продлите расчёт или уберите строку","ок")))))</f>
        <v/>
      </c>
    </row>
    <row r="457">
      <c r="A457" s="4" t="n"/>
      <c r="B457" s="3" t="n"/>
      <c r="C457" s="8" t="n"/>
      <c r="D457" s="9">
        <f>IF(AND(A457="",B457=""),"",IF(OR(A457="",B457=""),"БЛОК: нужны и дата, и сумма",IF(B457&lt;=0,"БЛОК: сумма должна быть больше нуля",IF(A457&lt;Ввод!$B$5,"БЛОК: оплата до начала просрочки — уменьшите сумму долга на листе «Ввод»",IF(A457&gt;Ввод!$B$6,"БЛОК: оплата после последнего дня расчёта — продлите расчёт или уберите строку","ок")))))</f>
        <v/>
      </c>
    </row>
    <row r="458">
      <c r="A458" s="4" t="n"/>
      <c r="B458" s="3" t="n"/>
      <c r="C458" s="8" t="n"/>
      <c r="D458" s="9">
        <f>IF(AND(A458="",B458=""),"",IF(OR(A458="",B458=""),"БЛОК: нужны и дата, и сумма",IF(B458&lt;=0,"БЛОК: сумма должна быть больше нуля",IF(A458&lt;Ввод!$B$5,"БЛОК: оплата до начала просрочки — уменьшите сумму долга на листе «Ввод»",IF(A458&gt;Ввод!$B$6,"БЛОК: оплата после последнего дня расчёта — продлите расчёт или уберите строку","ок")))))</f>
        <v/>
      </c>
    </row>
    <row r="459">
      <c r="A459" s="4" t="n"/>
      <c r="B459" s="3" t="n"/>
      <c r="C459" s="8" t="n"/>
      <c r="D459" s="9">
        <f>IF(AND(A459="",B459=""),"",IF(OR(A459="",B459=""),"БЛОК: нужны и дата, и сумма",IF(B459&lt;=0,"БЛОК: сумма должна быть больше нуля",IF(A459&lt;Ввод!$B$5,"БЛОК: оплата до начала просрочки — уменьшите сумму долга на листе «Ввод»",IF(A459&gt;Ввод!$B$6,"БЛОК: оплата после последнего дня расчёта — продлите расчёт или уберите строку","ок")))))</f>
        <v/>
      </c>
    </row>
    <row r="460">
      <c r="A460" s="4" t="n"/>
      <c r="B460" s="3" t="n"/>
      <c r="C460" s="8" t="n"/>
      <c r="D460" s="9">
        <f>IF(AND(A460="",B460=""),"",IF(OR(A460="",B460=""),"БЛОК: нужны и дата, и сумма",IF(B460&lt;=0,"БЛОК: сумма должна быть больше нуля",IF(A460&lt;Ввод!$B$5,"БЛОК: оплата до начала просрочки — уменьшите сумму долга на листе «Ввод»",IF(A460&gt;Ввод!$B$6,"БЛОК: оплата после последнего дня расчёта — продлите расчёт или уберите строку","ок")))))</f>
        <v/>
      </c>
    </row>
    <row r="461">
      <c r="A461" s="4" t="n"/>
      <c r="B461" s="3" t="n"/>
      <c r="C461" s="8" t="n"/>
      <c r="D461" s="9">
        <f>IF(AND(A461="",B461=""),"",IF(OR(A461="",B461=""),"БЛОК: нужны и дата, и сумма",IF(B461&lt;=0,"БЛОК: сумма должна быть больше нуля",IF(A461&lt;Ввод!$B$5,"БЛОК: оплата до начала просрочки — уменьшите сумму долга на листе «Ввод»",IF(A461&gt;Ввод!$B$6,"БЛОК: оплата после последнего дня расчёта — продлите расчёт или уберите строку","ок")))))</f>
        <v/>
      </c>
    </row>
    <row r="462">
      <c r="A462" s="4" t="n"/>
      <c r="B462" s="3" t="n"/>
      <c r="C462" s="8" t="n"/>
      <c r="D462" s="9">
        <f>IF(AND(A462="",B462=""),"",IF(OR(A462="",B462=""),"БЛОК: нужны и дата, и сумма",IF(B462&lt;=0,"БЛОК: сумма должна быть больше нуля",IF(A462&lt;Ввод!$B$5,"БЛОК: оплата до начала просрочки — уменьшите сумму долга на листе «Ввод»",IF(A462&gt;Ввод!$B$6,"БЛОК: оплата после последнего дня расчёта — продлите расчёт или уберите строку","ок")))))</f>
        <v/>
      </c>
    </row>
    <row r="463">
      <c r="A463" s="4" t="n"/>
      <c r="B463" s="3" t="n"/>
      <c r="C463" s="8" t="n"/>
      <c r="D463" s="9">
        <f>IF(AND(A463="",B463=""),"",IF(OR(A463="",B463=""),"БЛОК: нужны и дата, и сумма",IF(B463&lt;=0,"БЛОК: сумма должна быть больше нуля",IF(A463&lt;Ввод!$B$5,"БЛОК: оплата до начала просрочки — уменьшите сумму долга на листе «Ввод»",IF(A463&gt;Ввод!$B$6,"БЛОК: оплата после последнего дня расчёта — продлите расчёт или уберите строку","ок")))))</f>
        <v/>
      </c>
    </row>
    <row r="464">
      <c r="A464" s="4" t="n"/>
      <c r="B464" s="3" t="n"/>
      <c r="C464" s="8" t="n"/>
      <c r="D464" s="9">
        <f>IF(AND(A464="",B464=""),"",IF(OR(A464="",B464=""),"БЛОК: нужны и дата, и сумма",IF(B464&lt;=0,"БЛОК: сумма должна быть больше нуля",IF(A464&lt;Ввод!$B$5,"БЛОК: оплата до начала просрочки — уменьшите сумму долга на листе «Ввод»",IF(A464&gt;Ввод!$B$6,"БЛОК: оплата после последнего дня расчёта — продлите расчёт или уберите строку","ок")))))</f>
        <v/>
      </c>
    </row>
    <row r="465">
      <c r="A465" s="4" t="n"/>
      <c r="B465" s="3" t="n"/>
      <c r="C465" s="8" t="n"/>
      <c r="D465" s="9">
        <f>IF(AND(A465="",B465=""),"",IF(OR(A465="",B465=""),"БЛОК: нужны и дата, и сумма",IF(B465&lt;=0,"БЛОК: сумма должна быть больше нуля",IF(A465&lt;Ввод!$B$5,"БЛОК: оплата до начала просрочки — уменьшите сумму долга на листе «Ввод»",IF(A465&gt;Ввод!$B$6,"БЛОК: оплата после последнего дня расчёта — продлите расчёт или уберите строку","ок")))))</f>
        <v/>
      </c>
    </row>
    <row r="466">
      <c r="A466" s="4" t="n"/>
      <c r="B466" s="3" t="n"/>
      <c r="C466" s="8" t="n"/>
      <c r="D466" s="9">
        <f>IF(AND(A466="",B466=""),"",IF(OR(A466="",B466=""),"БЛОК: нужны и дата, и сумма",IF(B466&lt;=0,"БЛОК: сумма должна быть больше нуля",IF(A466&lt;Ввод!$B$5,"БЛОК: оплата до начала просрочки — уменьшите сумму долга на листе «Ввод»",IF(A466&gt;Ввод!$B$6,"БЛОК: оплата после последнего дня расчёта — продлите расчёт или уберите строку","ок")))))</f>
        <v/>
      </c>
    </row>
    <row r="467">
      <c r="A467" s="4" t="n"/>
      <c r="B467" s="3" t="n"/>
      <c r="C467" s="8" t="n"/>
      <c r="D467" s="9">
        <f>IF(AND(A467="",B467=""),"",IF(OR(A467="",B467=""),"БЛОК: нужны и дата, и сумма",IF(B467&lt;=0,"БЛОК: сумма должна быть больше нуля",IF(A467&lt;Ввод!$B$5,"БЛОК: оплата до начала просрочки — уменьшите сумму долга на листе «Ввод»",IF(A467&gt;Ввод!$B$6,"БЛОК: оплата после последнего дня расчёта — продлите расчёт или уберите строку","ок")))))</f>
        <v/>
      </c>
    </row>
    <row r="468">
      <c r="A468" s="4" t="n"/>
      <c r="B468" s="3" t="n"/>
      <c r="C468" s="8" t="n"/>
      <c r="D468" s="9">
        <f>IF(AND(A468="",B468=""),"",IF(OR(A468="",B468=""),"БЛОК: нужны и дата, и сумма",IF(B468&lt;=0,"БЛОК: сумма должна быть больше нуля",IF(A468&lt;Ввод!$B$5,"БЛОК: оплата до начала просрочки — уменьшите сумму долга на листе «Ввод»",IF(A468&gt;Ввод!$B$6,"БЛОК: оплата после последнего дня расчёта — продлите расчёт или уберите строку","ок")))))</f>
        <v/>
      </c>
    </row>
    <row r="469">
      <c r="A469" s="4" t="n"/>
      <c r="B469" s="3" t="n"/>
      <c r="C469" s="8" t="n"/>
      <c r="D469" s="9">
        <f>IF(AND(A469="",B469=""),"",IF(OR(A469="",B469=""),"БЛОК: нужны и дата, и сумма",IF(B469&lt;=0,"БЛОК: сумма должна быть больше нуля",IF(A469&lt;Ввод!$B$5,"БЛОК: оплата до начала просрочки — уменьшите сумму долга на листе «Ввод»",IF(A469&gt;Ввод!$B$6,"БЛОК: оплата после последнего дня расчёта — продлите расчёт или уберите строку","ок")))))</f>
        <v/>
      </c>
    </row>
    <row r="470">
      <c r="A470" s="4" t="n"/>
      <c r="B470" s="3" t="n"/>
      <c r="C470" s="8" t="n"/>
      <c r="D470" s="9">
        <f>IF(AND(A470="",B470=""),"",IF(OR(A470="",B470=""),"БЛОК: нужны и дата, и сумма",IF(B470&lt;=0,"БЛОК: сумма должна быть больше нуля",IF(A470&lt;Ввод!$B$5,"БЛОК: оплата до начала просрочки — уменьшите сумму долга на листе «Ввод»",IF(A470&gt;Ввод!$B$6,"БЛОК: оплата после последнего дня расчёта — продлите расчёт или уберите строку","ок")))))</f>
        <v/>
      </c>
    </row>
    <row r="471">
      <c r="A471" s="4" t="n"/>
      <c r="B471" s="3" t="n"/>
      <c r="C471" s="8" t="n"/>
      <c r="D471" s="9">
        <f>IF(AND(A471="",B471=""),"",IF(OR(A471="",B471=""),"БЛОК: нужны и дата, и сумма",IF(B471&lt;=0,"БЛОК: сумма должна быть больше нуля",IF(A471&lt;Ввод!$B$5,"БЛОК: оплата до начала просрочки — уменьшите сумму долга на листе «Ввод»",IF(A471&gt;Ввод!$B$6,"БЛОК: оплата после последнего дня расчёта — продлите расчёт или уберите строку","ок")))))</f>
        <v/>
      </c>
    </row>
    <row r="472">
      <c r="A472" s="4" t="n"/>
      <c r="B472" s="3" t="n"/>
      <c r="C472" s="8" t="n"/>
      <c r="D472" s="9">
        <f>IF(AND(A472="",B472=""),"",IF(OR(A472="",B472=""),"БЛОК: нужны и дата, и сумма",IF(B472&lt;=0,"БЛОК: сумма должна быть больше нуля",IF(A472&lt;Ввод!$B$5,"БЛОК: оплата до начала просрочки — уменьшите сумму долга на листе «Ввод»",IF(A472&gt;Ввод!$B$6,"БЛОК: оплата после последнего дня расчёта — продлите расчёт или уберите строку","ок")))))</f>
        <v/>
      </c>
    </row>
    <row r="473">
      <c r="A473" s="4" t="n"/>
      <c r="B473" s="3" t="n"/>
      <c r="C473" s="8" t="n"/>
      <c r="D473" s="9">
        <f>IF(AND(A473="",B473=""),"",IF(OR(A473="",B473=""),"БЛОК: нужны и дата, и сумма",IF(B473&lt;=0,"БЛОК: сумма должна быть больше нуля",IF(A473&lt;Ввод!$B$5,"БЛОК: оплата до начала просрочки — уменьшите сумму долга на листе «Ввод»",IF(A473&gt;Ввод!$B$6,"БЛОК: оплата после последнего дня расчёта — продлите расчёт или уберите строку","ок")))))</f>
        <v/>
      </c>
    </row>
    <row r="474">
      <c r="A474" s="4" t="n"/>
      <c r="B474" s="3" t="n"/>
      <c r="C474" s="8" t="n"/>
      <c r="D474" s="9">
        <f>IF(AND(A474="",B474=""),"",IF(OR(A474="",B474=""),"БЛОК: нужны и дата, и сумма",IF(B474&lt;=0,"БЛОК: сумма должна быть больше нуля",IF(A474&lt;Ввод!$B$5,"БЛОК: оплата до начала просрочки — уменьшите сумму долга на листе «Ввод»",IF(A474&gt;Ввод!$B$6,"БЛОК: оплата после последнего дня расчёта — продлите расчёт или уберите строку","ок")))))</f>
        <v/>
      </c>
    </row>
    <row r="475">
      <c r="A475" s="4" t="n"/>
      <c r="B475" s="3" t="n"/>
      <c r="C475" s="8" t="n"/>
      <c r="D475" s="9">
        <f>IF(AND(A475="",B475=""),"",IF(OR(A475="",B475=""),"БЛОК: нужны и дата, и сумма",IF(B475&lt;=0,"БЛОК: сумма должна быть больше нуля",IF(A475&lt;Ввод!$B$5,"БЛОК: оплата до начала просрочки — уменьшите сумму долга на листе «Ввод»",IF(A475&gt;Ввод!$B$6,"БЛОК: оплата после последнего дня расчёта — продлите расчёт или уберите строку","ок")))))</f>
        <v/>
      </c>
    </row>
    <row r="476">
      <c r="A476" s="4" t="n"/>
      <c r="B476" s="3" t="n"/>
      <c r="C476" s="8" t="n"/>
      <c r="D476" s="9">
        <f>IF(AND(A476="",B476=""),"",IF(OR(A476="",B476=""),"БЛОК: нужны и дата, и сумма",IF(B476&lt;=0,"БЛОК: сумма должна быть больше нуля",IF(A476&lt;Ввод!$B$5,"БЛОК: оплата до начала просрочки — уменьшите сумму долга на листе «Ввод»",IF(A476&gt;Ввод!$B$6,"БЛОК: оплата после последнего дня расчёта — продлите расчёт или уберите строку","ок")))))</f>
        <v/>
      </c>
    </row>
    <row r="477">
      <c r="A477" s="4" t="n"/>
      <c r="B477" s="3" t="n"/>
      <c r="C477" s="8" t="n"/>
      <c r="D477" s="9">
        <f>IF(AND(A477="",B477=""),"",IF(OR(A477="",B477=""),"БЛОК: нужны и дата, и сумма",IF(B477&lt;=0,"БЛОК: сумма должна быть больше нуля",IF(A477&lt;Ввод!$B$5,"БЛОК: оплата до начала просрочки — уменьшите сумму долга на листе «Ввод»",IF(A477&gt;Ввод!$B$6,"БЛОК: оплата после последнего дня расчёта — продлите расчёт или уберите строку","ок")))))</f>
        <v/>
      </c>
    </row>
    <row r="478">
      <c r="A478" s="4" t="n"/>
      <c r="B478" s="3" t="n"/>
      <c r="C478" s="8" t="n"/>
      <c r="D478" s="9">
        <f>IF(AND(A478="",B478=""),"",IF(OR(A478="",B478=""),"БЛОК: нужны и дата, и сумма",IF(B478&lt;=0,"БЛОК: сумма должна быть больше нуля",IF(A478&lt;Ввод!$B$5,"БЛОК: оплата до начала просрочки — уменьшите сумму долга на листе «Ввод»",IF(A478&gt;Ввод!$B$6,"БЛОК: оплата после последнего дня расчёта — продлите расчёт или уберите строку","ок")))))</f>
        <v/>
      </c>
    </row>
    <row r="479">
      <c r="A479" s="4" t="n"/>
      <c r="B479" s="3" t="n"/>
      <c r="C479" s="8" t="n"/>
      <c r="D479" s="9">
        <f>IF(AND(A479="",B479=""),"",IF(OR(A479="",B479=""),"БЛОК: нужны и дата, и сумма",IF(B479&lt;=0,"БЛОК: сумма должна быть больше нуля",IF(A479&lt;Ввод!$B$5,"БЛОК: оплата до начала просрочки — уменьшите сумму долга на листе «Ввод»",IF(A479&gt;Ввод!$B$6,"БЛОК: оплата после последнего дня расчёта — продлите расчёт или уберите строку","ок")))))</f>
        <v/>
      </c>
    </row>
    <row r="480">
      <c r="A480" s="4" t="n"/>
      <c r="B480" s="3" t="n"/>
      <c r="C480" s="8" t="n"/>
      <c r="D480" s="9">
        <f>IF(AND(A480="",B480=""),"",IF(OR(A480="",B480=""),"БЛОК: нужны и дата, и сумма",IF(B480&lt;=0,"БЛОК: сумма должна быть больше нуля",IF(A480&lt;Ввод!$B$5,"БЛОК: оплата до начала просрочки — уменьшите сумму долга на листе «Ввод»",IF(A480&gt;Ввод!$B$6,"БЛОК: оплата после последнего дня расчёта — продлите расчёт или уберите строку","ок")))))</f>
        <v/>
      </c>
    </row>
    <row r="481">
      <c r="A481" s="4" t="n"/>
      <c r="B481" s="3" t="n"/>
      <c r="C481" s="8" t="n"/>
      <c r="D481" s="9">
        <f>IF(AND(A481="",B481=""),"",IF(OR(A481="",B481=""),"БЛОК: нужны и дата, и сумма",IF(B481&lt;=0,"БЛОК: сумма должна быть больше нуля",IF(A481&lt;Ввод!$B$5,"БЛОК: оплата до начала просрочки — уменьшите сумму долга на листе «Ввод»",IF(A481&gt;Ввод!$B$6,"БЛОК: оплата после последнего дня расчёта — продлите расчёт или уберите строку","ок")))))</f>
        <v/>
      </c>
    </row>
    <row r="482">
      <c r="A482" s="4" t="n"/>
      <c r="B482" s="3" t="n"/>
      <c r="C482" s="8" t="n"/>
      <c r="D482" s="9">
        <f>IF(AND(A482="",B482=""),"",IF(OR(A482="",B482=""),"БЛОК: нужны и дата, и сумма",IF(B482&lt;=0,"БЛОК: сумма должна быть больше нуля",IF(A482&lt;Ввод!$B$5,"БЛОК: оплата до начала просрочки — уменьшите сумму долга на листе «Ввод»",IF(A482&gt;Ввод!$B$6,"БЛОК: оплата после последнего дня расчёта — продлите расчёт или уберите строку","ок")))))</f>
        <v/>
      </c>
    </row>
    <row r="483">
      <c r="A483" s="4" t="n"/>
      <c r="B483" s="3" t="n"/>
      <c r="C483" s="8" t="n"/>
      <c r="D483" s="9">
        <f>IF(AND(A483="",B483=""),"",IF(OR(A483="",B483=""),"БЛОК: нужны и дата, и сумма",IF(B483&lt;=0,"БЛОК: сумма должна быть больше нуля",IF(A483&lt;Ввод!$B$5,"БЛОК: оплата до начала просрочки — уменьшите сумму долга на листе «Ввод»",IF(A483&gt;Ввод!$B$6,"БЛОК: оплата после последнего дня расчёта — продлите расчёт или уберите строку","ок")))))</f>
        <v/>
      </c>
    </row>
    <row r="484">
      <c r="A484" s="4" t="n"/>
      <c r="B484" s="3" t="n"/>
      <c r="C484" s="8" t="n"/>
      <c r="D484" s="9">
        <f>IF(AND(A484="",B484=""),"",IF(OR(A484="",B484=""),"БЛОК: нужны и дата, и сумма",IF(B484&lt;=0,"БЛОК: сумма должна быть больше нуля",IF(A484&lt;Ввод!$B$5,"БЛОК: оплата до начала просрочки — уменьшите сумму долга на листе «Ввод»",IF(A484&gt;Ввод!$B$6,"БЛОК: оплата после последнего дня расчёта — продлите расчёт или уберите строку","ок")))))</f>
        <v/>
      </c>
    </row>
    <row r="485">
      <c r="A485" s="4" t="n"/>
      <c r="B485" s="3" t="n"/>
      <c r="C485" s="8" t="n"/>
      <c r="D485" s="9">
        <f>IF(AND(A485="",B485=""),"",IF(OR(A485="",B485=""),"БЛОК: нужны и дата, и сумма",IF(B485&lt;=0,"БЛОК: сумма должна быть больше нуля",IF(A485&lt;Ввод!$B$5,"БЛОК: оплата до начала просрочки — уменьшите сумму долга на листе «Ввод»",IF(A485&gt;Ввод!$B$6,"БЛОК: оплата после последнего дня расчёта — продлите расчёт или уберите строку","ок")))))</f>
        <v/>
      </c>
    </row>
    <row r="486">
      <c r="A486" s="4" t="n"/>
      <c r="B486" s="3" t="n"/>
      <c r="C486" s="8" t="n"/>
      <c r="D486" s="9">
        <f>IF(AND(A486="",B486=""),"",IF(OR(A486="",B486=""),"БЛОК: нужны и дата, и сумма",IF(B486&lt;=0,"БЛОК: сумма должна быть больше нуля",IF(A486&lt;Ввод!$B$5,"БЛОК: оплата до начала просрочки — уменьшите сумму долга на листе «Ввод»",IF(A486&gt;Ввод!$B$6,"БЛОК: оплата после последнего дня расчёта — продлите расчёт или уберите строку","ок")))))</f>
        <v/>
      </c>
    </row>
    <row r="487">
      <c r="A487" s="4" t="n"/>
      <c r="B487" s="3" t="n"/>
      <c r="C487" s="8" t="n"/>
      <c r="D487" s="9">
        <f>IF(AND(A487="",B487=""),"",IF(OR(A487="",B487=""),"БЛОК: нужны и дата, и сумма",IF(B487&lt;=0,"БЛОК: сумма должна быть больше нуля",IF(A487&lt;Ввод!$B$5,"БЛОК: оплата до начала просрочки — уменьшите сумму долга на листе «Ввод»",IF(A487&gt;Ввод!$B$6,"БЛОК: оплата после последнего дня расчёта — продлите расчёт или уберите строку","ок")))))</f>
        <v/>
      </c>
    </row>
    <row r="488">
      <c r="A488" s="4" t="n"/>
      <c r="B488" s="3" t="n"/>
      <c r="C488" s="8" t="n"/>
      <c r="D488" s="9">
        <f>IF(AND(A488="",B488=""),"",IF(OR(A488="",B488=""),"БЛОК: нужны и дата, и сумма",IF(B488&lt;=0,"БЛОК: сумма должна быть больше нуля",IF(A488&lt;Ввод!$B$5,"БЛОК: оплата до начала просрочки — уменьшите сумму долга на листе «Ввод»",IF(A488&gt;Ввод!$B$6,"БЛОК: оплата после последнего дня расчёта — продлите расчёт или уберите строку","ок")))))</f>
        <v/>
      </c>
    </row>
    <row r="489">
      <c r="A489" s="4" t="n"/>
      <c r="B489" s="3" t="n"/>
      <c r="C489" s="8" t="n"/>
      <c r="D489" s="9">
        <f>IF(AND(A489="",B489=""),"",IF(OR(A489="",B489=""),"БЛОК: нужны и дата, и сумма",IF(B489&lt;=0,"БЛОК: сумма должна быть больше нуля",IF(A489&lt;Ввод!$B$5,"БЛОК: оплата до начала просрочки — уменьшите сумму долга на листе «Ввод»",IF(A489&gt;Ввод!$B$6,"БЛОК: оплата после последнего дня расчёта — продлите расчёт или уберите строку","ок")))))</f>
        <v/>
      </c>
    </row>
    <row r="490">
      <c r="A490" s="4" t="n"/>
      <c r="B490" s="3" t="n"/>
      <c r="C490" s="8" t="n"/>
      <c r="D490" s="9">
        <f>IF(AND(A490="",B490=""),"",IF(OR(A490="",B490=""),"БЛОК: нужны и дата, и сумма",IF(B490&lt;=0,"БЛОК: сумма должна быть больше нуля",IF(A490&lt;Ввод!$B$5,"БЛОК: оплата до начала просрочки — уменьшите сумму долга на листе «Ввод»",IF(A490&gt;Ввод!$B$6,"БЛОК: оплата после последнего дня расчёта — продлите расчёт или уберите строку","ок")))))</f>
        <v/>
      </c>
    </row>
    <row r="491">
      <c r="A491" s="4" t="n"/>
      <c r="B491" s="3" t="n"/>
      <c r="C491" s="8" t="n"/>
      <c r="D491" s="9">
        <f>IF(AND(A491="",B491=""),"",IF(OR(A491="",B491=""),"БЛОК: нужны и дата, и сумма",IF(B491&lt;=0,"БЛОК: сумма должна быть больше нуля",IF(A491&lt;Ввод!$B$5,"БЛОК: оплата до начала просрочки — уменьшите сумму долга на листе «Ввод»",IF(A491&gt;Ввод!$B$6,"БЛОК: оплата после последнего дня расчёта — продлите расчёт или уберите строку","ок")))))</f>
        <v/>
      </c>
    </row>
    <row r="492">
      <c r="A492" s="4" t="n"/>
      <c r="B492" s="3" t="n"/>
      <c r="C492" s="8" t="n"/>
      <c r="D492" s="9">
        <f>IF(AND(A492="",B492=""),"",IF(OR(A492="",B492=""),"БЛОК: нужны и дата, и сумма",IF(B492&lt;=0,"БЛОК: сумма должна быть больше нуля",IF(A492&lt;Ввод!$B$5,"БЛОК: оплата до начала просрочки — уменьшите сумму долга на листе «Ввод»",IF(A492&gt;Ввод!$B$6,"БЛОК: оплата после последнего дня расчёта — продлите расчёт или уберите строку","ок")))))</f>
        <v/>
      </c>
    </row>
    <row r="493">
      <c r="A493" s="4" t="n"/>
      <c r="B493" s="3" t="n"/>
      <c r="C493" s="8" t="n"/>
      <c r="D493" s="9">
        <f>IF(AND(A493="",B493=""),"",IF(OR(A493="",B493=""),"БЛОК: нужны и дата, и сумма",IF(B493&lt;=0,"БЛОК: сумма должна быть больше нуля",IF(A493&lt;Ввод!$B$5,"БЛОК: оплата до начала просрочки — уменьшите сумму долга на листе «Ввод»",IF(A493&gt;Ввод!$B$6,"БЛОК: оплата после последнего дня расчёта — продлите расчёт или уберите строку","ок")))))</f>
        <v/>
      </c>
    </row>
    <row r="494">
      <c r="A494" s="4" t="n"/>
      <c r="B494" s="3" t="n"/>
      <c r="C494" s="8" t="n"/>
      <c r="D494" s="9">
        <f>IF(AND(A494="",B494=""),"",IF(OR(A494="",B494=""),"БЛОК: нужны и дата, и сумма",IF(B494&lt;=0,"БЛОК: сумма должна быть больше нуля",IF(A494&lt;Ввод!$B$5,"БЛОК: оплата до начала просрочки — уменьшите сумму долга на листе «Ввод»",IF(A494&gt;Ввод!$B$6,"БЛОК: оплата после последнего дня расчёта — продлите расчёт или уберите строку","ок")))))</f>
        <v/>
      </c>
    </row>
    <row r="495">
      <c r="A495" s="4" t="n"/>
      <c r="B495" s="3" t="n"/>
      <c r="C495" s="8" t="n"/>
      <c r="D495" s="9">
        <f>IF(AND(A495="",B495=""),"",IF(OR(A495="",B495=""),"БЛОК: нужны и дата, и сумма",IF(B495&lt;=0,"БЛОК: сумма должна быть больше нуля",IF(A495&lt;Ввод!$B$5,"БЛОК: оплата до начала просрочки — уменьшите сумму долга на листе «Ввод»",IF(A495&gt;Ввод!$B$6,"БЛОК: оплата после последнего дня расчёта — продлите расчёт или уберите строку","ок")))))</f>
        <v/>
      </c>
    </row>
    <row r="496">
      <c r="A496" s="4" t="n"/>
      <c r="B496" s="3" t="n"/>
      <c r="C496" s="8" t="n"/>
      <c r="D496" s="9">
        <f>IF(AND(A496="",B496=""),"",IF(OR(A496="",B496=""),"БЛОК: нужны и дата, и сумма",IF(B496&lt;=0,"БЛОК: сумма должна быть больше нуля",IF(A496&lt;Ввод!$B$5,"БЛОК: оплата до начала просрочки — уменьшите сумму долга на листе «Ввод»",IF(A496&gt;Ввод!$B$6,"БЛОК: оплата после последнего дня расчёта — продлите расчёт или уберите строку","ок")))))</f>
        <v/>
      </c>
    </row>
    <row r="497">
      <c r="A497" s="4" t="n"/>
      <c r="B497" s="3" t="n"/>
      <c r="C497" s="8" t="n"/>
      <c r="D497" s="9">
        <f>IF(AND(A497="",B497=""),"",IF(OR(A497="",B497=""),"БЛОК: нужны и дата, и сумма",IF(B497&lt;=0,"БЛОК: сумма должна быть больше нуля",IF(A497&lt;Ввод!$B$5,"БЛОК: оплата до начала просрочки — уменьшите сумму долга на листе «Ввод»",IF(A497&gt;Ввод!$B$6,"БЛОК: оплата после последнего дня расчёта — продлите расчёт или уберите строку","ок")))))</f>
        <v/>
      </c>
    </row>
    <row r="498">
      <c r="A498" s="4" t="n"/>
      <c r="B498" s="3" t="n"/>
      <c r="C498" s="8" t="n"/>
      <c r="D498" s="9">
        <f>IF(AND(A498="",B498=""),"",IF(OR(A498="",B498=""),"БЛОК: нужны и дата, и сумма",IF(B498&lt;=0,"БЛОК: сумма должна быть больше нуля",IF(A498&lt;Ввод!$B$5,"БЛОК: оплата до начала просрочки — уменьшите сумму долга на листе «Ввод»",IF(A498&gt;Ввод!$B$6,"БЛОК: оплата после последнего дня расчёта — продлите расчёт или уберите строку","ок")))))</f>
        <v/>
      </c>
    </row>
    <row r="499">
      <c r="A499" s="4" t="n"/>
      <c r="B499" s="3" t="n"/>
      <c r="C499" s="8" t="n"/>
      <c r="D499" s="9">
        <f>IF(AND(A499="",B499=""),"",IF(OR(A499="",B499=""),"БЛОК: нужны и дата, и сумма",IF(B499&lt;=0,"БЛОК: сумма должна быть больше нуля",IF(A499&lt;Ввод!$B$5,"БЛОК: оплата до начала просрочки — уменьшите сумму долга на листе «Ввод»",IF(A499&gt;Ввод!$B$6,"БЛОК: оплата после последнего дня расчёта — продлите расчёт или уберите строку","ок")))))</f>
        <v/>
      </c>
    </row>
    <row r="500">
      <c r="A500" s="4" t="n"/>
      <c r="B500" s="3" t="n"/>
      <c r="C500" s="8" t="n"/>
      <c r="D500" s="9">
        <f>IF(AND(A500="",B500=""),"",IF(OR(A500="",B500=""),"БЛОК: нужны и дата, и сумма",IF(B500&lt;=0,"БЛОК: сумма должна быть больше нуля",IF(A500&lt;Ввод!$B$5,"БЛОК: оплата до начала просрочки — уменьшите сумму долга на листе «Ввод»",IF(A500&gt;Ввод!$B$6,"БЛОК: оплата после последнего дня расчёта — продлите расчёт или уберите строку","ок")))))</f>
        <v/>
      </c>
    </row>
    <row r="501">
      <c r="A501" s="4" t="n"/>
      <c r="B501" s="3" t="n"/>
      <c r="C501" s="8" t="n"/>
      <c r="D501" s="9">
        <f>IF(AND(A501="",B501=""),"",IF(OR(A501="",B501=""),"БЛОК: нужны и дата, и сумма",IF(B501&lt;=0,"БЛОК: сумма должна быть больше нуля",IF(A501&lt;Ввод!$B$5,"БЛОК: оплата до начала просрочки — уменьшите сумму долга на листе «Ввод»",IF(A501&gt;Ввод!$B$6,"БЛОК: оплата после последнего дня расчёта — продлите расчёт или уберите строку","ок")))))</f>
        <v/>
      </c>
    </row>
    <row r="502">
      <c r="A502" s="4" t="n"/>
      <c r="B502" s="3" t="n"/>
      <c r="C502" s="8" t="n"/>
      <c r="D502" s="9">
        <f>IF(AND(A502="",B502=""),"",IF(OR(A502="",B502=""),"БЛОК: нужны и дата, и сумма",IF(B502&lt;=0,"БЛОК: сумма должна быть больше нуля",IF(A502&lt;Ввод!$B$5,"БЛОК: оплата до начала просрочки — уменьшите сумму долга на листе «Ввод»",IF(A502&gt;Ввод!$B$6,"БЛОК: оплата после последнего дня расчёта — продлите расчёт или уберите строку","ок")))))</f>
        <v/>
      </c>
    </row>
    <row r="503">
      <c r="A503" s="4" t="n"/>
      <c r="B503" s="3" t="n"/>
      <c r="C503" s="8" t="n"/>
      <c r="D503" s="9">
        <f>IF(AND(A503="",B503=""),"",IF(OR(A503="",B503=""),"БЛОК: нужны и дата, и сумма",IF(B503&lt;=0,"БЛОК: сумма должна быть больше нуля",IF(A503&lt;Ввод!$B$5,"БЛОК: оплата до начала просрочки — уменьшите сумму долга на листе «Ввод»",IF(A503&gt;Ввод!$B$6,"БЛОК: оплата после последнего дня расчёта — продлите расчёт или уберите строку","ок")))))</f>
        <v/>
      </c>
    </row>
    <row r="504">
      <c r="A504" s="4" t="n"/>
      <c r="B504" s="3" t="n"/>
      <c r="C504" s="8" t="n"/>
      <c r="D504" s="9">
        <f>IF(AND(A504="",B504=""),"",IF(OR(A504="",B504=""),"БЛОК: нужны и дата, и сумма",IF(B504&lt;=0,"БЛОК: сумма должна быть больше нуля",IF(A504&lt;Ввод!$B$5,"БЛОК: оплата до начала просрочки — уменьшите сумму долга на листе «Ввод»",IF(A504&gt;Ввод!$B$6,"БЛОК: оплата после последнего дня расчёта — продлите расчёт или уберите строку","ок")))))</f>
        <v/>
      </c>
    </row>
    <row r="505">
      <c r="A505" s="4" t="n"/>
      <c r="B505" s="3" t="n"/>
      <c r="C505" s="8" t="n"/>
      <c r="D505" s="9">
        <f>IF(AND(A505="",B505=""),"",IF(OR(A505="",B505=""),"БЛОК: нужны и дата, и сумма",IF(B505&lt;=0,"БЛОК: сумма должна быть больше нуля",IF(A505&lt;Ввод!$B$5,"БЛОК: оплата до начала просрочки — уменьшите сумму долга на листе «Ввод»",IF(A505&gt;Ввод!$B$6,"БЛОК: оплата после последнего дня расчёта — продлите расчёт или уберите строку","ок")))))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16" customWidth="1" min="5" max="5"/>
    <col width="10" customWidth="1" min="6" max="6"/>
    <col width="10" customWidth="1" min="7" max="7"/>
    <col width="16" customWidth="1" min="8" max="8"/>
    <col width="16" customWidth="1" min="9" max="9"/>
    <col width="10" customWidth="1" min="10" max="10"/>
  </cols>
  <sheetData>
    <row r="1">
      <c r="A1" s="1" t="inlineStr">
        <is>
          <t>Расчёт процентов по ст. 395 ГК РФ</t>
        </is>
      </c>
    </row>
    <row r="2">
      <c r="A2" t="inlineStr">
        <is>
          <t>Статус</t>
        </is>
      </c>
      <c r="D2" s="11">
        <f>Проверки!C15</f>
        <v/>
      </c>
    </row>
    <row r="3">
      <c r="A3" t="inlineStr">
        <is>
          <t>Проценты итого, руб.</t>
        </is>
      </c>
      <c r="D3" s="11">
        <f>IF(D2="ГОТОВ",SUM(H7:H606),"РАСЧЁТ НЕ ВЫПОЛНЕН — см. лист «Проверки»")</f>
        <v/>
      </c>
    </row>
    <row r="4">
      <c r="A4" t="inlineStr">
        <is>
          <t>Долг на последний день расчёта, руб.</t>
        </is>
      </c>
      <c r="D4" s="11">
        <f>IF(D2="ГОТОВ",Ввод!B4-SUM(Оплаты!B6:B505),"")</f>
        <v/>
      </c>
    </row>
    <row r="6">
      <c r="A6" s="6" t="inlineStr">
        <is>
          <t>№</t>
        </is>
      </c>
      <c r="B6" s="6" t="inlineStr">
        <is>
          <t>С</t>
        </is>
      </c>
      <c r="C6" s="6" t="inlineStr">
        <is>
          <t>По</t>
        </is>
      </c>
      <c r="D6" s="6" t="inlineStr">
        <is>
          <t>Дней</t>
        </is>
      </c>
      <c r="E6" s="6" t="inlineStr">
        <is>
          <t>Долг, руб.</t>
        </is>
      </c>
      <c r="F6" s="6" t="inlineStr">
        <is>
          <t>Ставка, %</t>
        </is>
      </c>
      <c r="G6" s="6" t="inlineStr">
        <is>
          <t>Дней в году</t>
        </is>
      </c>
      <c r="H6" s="6" t="inlineStr">
        <is>
          <t>Проценты, руб.</t>
        </is>
      </c>
      <c r="I6" s="6" t="inlineStr">
        <is>
          <t>Оплата в последний день периода</t>
        </is>
      </c>
      <c r="J6" s="6" t="inlineStr">
        <is>
          <t>Без начисления</t>
        </is>
      </c>
    </row>
    <row r="7">
      <c r="A7" s="9">
        <f>IF(B7="","",1)</f>
        <v/>
      </c>
      <c r="B7" s="12">
        <f>IFERROR(INDEX('По дням'!$A$2:$A$3662,MATCH(1,'По дням'!$G$2:$G$3662,0)),"")</f>
        <v/>
      </c>
      <c r="C7" s="12">
        <f>IF(B7="","",INDEX('По дням'!$A$2:$A$3662,MATCH(1,'По дням'!$G$2:$G$3662,0)+COUNTIF('По дням'!$G$2:$G$3662,1)-1))</f>
        <v/>
      </c>
      <c r="D7" s="9">
        <f>IF(B7="","",C7-B7+1)</f>
        <v/>
      </c>
      <c r="E7" s="13">
        <f>IF(B7="","",INDEX('По дням'!$D$2:$D$3662,MATCH(1,'По дням'!$G$2:$G$3662,0)))</f>
        <v/>
      </c>
      <c r="F7" s="9">
        <f>IF(B7="","",INDEX('По дням'!$B$2:$B$3662,MATCH(1,'По дням'!$G$2:$G$3662,0)))</f>
        <v/>
      </c>
      <c r="G7" s="9">
        <f>IF(B7="","",INDEX('По дням'!$C$2:$C$3662,MATCH(1,'По дням'!$G$2:$G$3662,0)))</f>
        <v/>
      </c>
      <c r="H7" s="13">
        <f>IF(OR(B7="",F7=""),"",IF(J7="да",0,ROUND(E7*F7/100*D7/G7,2)))</f>
        <v/>
      </c>
      <c r="I7" s="13">
        <f>IF(B7="","",SUMIF(Оплаты!$A$6:$A$505,C7,Оплаты!$B$6:$B$505))</f>
        <v/>
      </c>
      <c r="J7" s="9">
        <f>IF(B7="","",IF(INDEX('По дням'!$E$2:$E$3662,MATCH(1,'По дням'!$G$2:$G$3662,0))=1,"да",""))</f>
        <v/>
      </c>
    </row>
    <row r="8">
      <c r="A8" s="9">
        <f>IF(B8="","",2)</f>
        <v/>
      </c>
      <c r="B8" s="12">
        <f>IFERROR(INDEX('По дням'!$A$2:$A$3662,MATCH(2,'По дням'!$G$2:$G$3662,0)),"")</f>
        <v/>
      </c>
      <c r="C8" s="12">
        <f>IF(B8="","",INDEX('По дням'!$A$2:$A$3662,MATCH(2,'По дням'!$G$2:$G$3662,0)+COUNTIF('По дням'!$G$2:$G$3662,2)-1))</f>
        <v/>
      </c>
      <c r="D8" s="9">
        <f>IF(B8="","",C8-B8+1)</f>
        <v/>
      </c>
      <c r="E8" s="13">
        <f>IF(B8="","",INDEX('По дням'!$D$2:$D$3662,MATCH(2,'По дням'!$G$2:$G$3662,0)))</f>
        <v/>
      </c>
      <c r="F8" s="9">
        <f>IF(B8="","",INDEX('По дням'!$B$2:$B$3662,MATCH(2,'По дням'!$G$2:$G$3662,0)))</f>
        <v/>
      </c>
      <c r="G8" s="9">
        <f>IF(B8="","",INDEX('По дням'!$C$2:$C$3662,MATCH(2,'По дням'!$G$2:$G$3662,0)))</f>
        <v/>
      </c>
      <c r="H8" s="13">
        <f>IF(OR(B8="",F8=""),"",IF(J8="да",0,ROUND(E8*F8/100*D8/G8,2)))</f>
        <v/>
      </c>
      <c r="I8" s="13">
        <f>IF(B8="","",SUMIF(Оплаты!$A$6:$A$505,C8,Оплаты!$B$6:$B$505))</f>
        <v/>
      </c>
      <c r="J8" s="9">
        <f>IF(B8="","",IF(INDEX('По дням'!$E$2:$E$3662,MATCH(2,'По дням'!$G$2:$G$3662,0))=1,"да",""))</f>
        <v/>
      </c>
    </row>
    <row r="9">
      <c r="A9" s="9">
        <f>IF(B9="","",3)</f>
        <v/>
      </c>
      <c r="B9" s="12">
        <f>IFERROR(INDEX('По дням'!$A$2:$A$3662,MATCH(3,'По дням'!$G$2:$G$3662,0)),"")</f>
        <v/>
      </c>
      <c r="C9" s="12">
        <f>IF(B9="","",INDEX('По дням'!$A$2:$A$3662,MATCH(3,'По дням'!$G$2:$G$3662,0)+COUNTIF('По дням'!$G$2:$G$3662,3)-1))</f>
        <v/>
      </c>
      <c r="D9" s="9">
        <f>IF(B9="","",C9-B9+1)</f>
        <v/>
      </c>
      <c r="E9" s="13">
        <f>IF(B9="","",INDEX('По дням'!$D$2:$D$3662,MATCH(3,'По дням'!$G$2:$G$3662,0)))</f>
        <v/>
      </c>
      <c r="F9" s="9">
        <f>IF(B9="","",INDEX('По дням'!$B$2:$B$3662,MATCH(3,'По дням'!$G$2:$G$3662,0)))</f>
        <v/>
      </c>
      <c r="G9" s="9">
        <f>IF(B9="","",INDEX('По дням'!$C$2:$C$3662,MATCH(3,'По дням'!$G$2:$G$3662,0)))</f>
        <v/>
      </c>
      <c r="H9" s="13">
        <f>IF(OR(B9="",F9=""),"",IF(J9="да",0,ROUND(E9*F9/100*D9/G9,2)))</f>
        <v/>
      </c>
      <c r="I9" s="13">
        <f>IF(B9="","",SUMIF(Оплаты!$A$6:$A$505,C9,Оплаты!$B$6:$B$505))</f>
        <v/>
      </c>
      <c r="J9" s="9">
        <f>IF(B9="","",IF(INDEX('По дням'!$E$2:$E$3662,MATCH(3,'По дням'!$G$2:$G$3662,0))=1,"да",""))</f>
        <v/>
      </c>
    </row>
    <row r="10">
      <c r="A10" s="9">
        <f>IF(B10="","",4)</f>
        <v/>
      </c>
      <c r="B10" s="12">
        <f>IFERROR(INDEX('По дням'!$A$2:$A$3662,MATCH(4,'По дням'!$G$2:$G$3662,0)),"")</f>
        <v/>
      </c>
      <c r="C10" s="12">
        <f>IF(B10="","",INDEX('По дням'!$A$2:$A$3662,MATCH(4,'По дням'!$G$2:$G$3662,0)+COUNTIF('По дням'!$G$2:$G$3662,4)-1))</f>
        <v/>
      </c>
      <c r="D10" s="9">
        <f>IF(B10="","",C10-B10+1)</f>
        <v/>
      </c>
      <c r="E10" s="13">
        <f>IF(B10="","",INDEX('По дням'!$D$2:$D$3662,MATCH(4,'По дням'!$G$2:$G$3662,0)))</f>
        <v/>
      </c>
      <c r="F10" s="9">
        <f>IF(B10="","",INDEX('По дням'!$B$2:$B$3662,MATCH(4,'По дням'!$G$2:$G$3662,0)))</f>
        <v/>
      </c>
      <c r="G10" s="9">
        <f>IF(B10="","",INDEX('По дням'!$C$2:$C$3662,MATCH(4,'По дням'!$G$2:$G$3662,0)))</f>
        <v/>
      </c>
      <c r="H10" s="13">
        <f>IF(OR(B10="",F10=""),"",IF(J10="да",0,ROUND(E10*F10/100*D10/G10,2)))</f>
        <v/>
      </c>
      <c r="I10" s="13">
        <f>IF(B10="","",SUMIF(Оплаты!$A$6:$A$505,C10,Оплаты!$B$6:$B$505))</f>
        <v/>
      </c>
      <c r="J10" s="9">
        <f>IF(B10="","",IF(INDEX('По дням'!$E$2:$E$3662,MATCH(4,'По дням'!$G$2:$G$3662,0))=1,"да",""))</f>
        <v/>
      </c>
    </row>
    <row r="11">
      <c r="A11" s="9">
        <f>IF(B11="","",5)</f>
        <v/>
      </c>
      <c r="B11" s="12">
        <f>IFERROR(INDEX('По дням'!$A$2:$A$3662,MATCH(5,'По дням'!$G$2:$G$3662,0)),"")</f>
        <v/>
      </c>
      <c r="C11" s="12">
        <f>IF(B11="","",INDEX('По дням'!$A$2:$A$3662,MATCH(5,'По дням'!$G$2:$G$3662,0)+COUNTIF('По дням'!$G$2:$G$3662,5)-1))</f>
        <v/>
      </c>
      <c r="D11" s="9">
        <f>IF(B11="","",C11-B11+1)</f>
        <v/>
      </c>
      <c r="E11" s="13">
        <f>IF(B11="","",INDEX('По дням'!$D$2:$D$3662,MATCH(5,'По дням'!$G$2:$G$3662,0)))</f>
        <v/>
      </c>
      <c r="F11" s="9">
        <f>IF(B11="","",INDEX('По дням'!$B$2:$B$3662,MATCH(5,'По дням'!$G$2:$G$3662,0)))</f>
        <v/>
      </c>
      <c r="G11" s="9">
        <f>IF(B11="","",INDEX('По дням'!$C$2:$C$3662,MATCH(5,'По дням'!$G$2:$G$3662,0)))</f>
        <v/>
      </c>
      <c r="H11" s="13">
        <f>IF(OR(B11="",F11=""),"",IF(J11="да",0,ROUND(E11*F11/100*D11/G11,2)))</f>
        <v/>
      </c>
      <c r="I11" s="13">
        <f>IF(B11="","",SUMIF(Оплаты!$A$6:$A$505,C11,Оплаты!$B$6:$B$505))</f>
        <v/>
      </c>
      <c r="J11" s="9">
        <f>IF(B11="","",IF(INDEX('По дням'!$E$2:$E$3662,MATCH(5,'По дням'!$G$2:$G$3662,0))=1,"да",""))</f>
        <v/>
      </c>
    </row>
    <row r="12">
      <c r="A12" s="9">
        <f>IF(B12="","",6)</f>
        <v/>
      </c>
      <c r="B12" s="12">
        <f>IFERROR(INDEX('По дням'!$A$2:$A$3662,MATCH(6,'По дням'!$G$2:$G$3662,0)),"")</f>
        <v/>
      </c>
      <c r="C12" s="12">
        <f>IF(B12="","",INDEX('По дням'!$A$2:$A$3662,MATCH(6,'По дням'!$G$2:$G$3662,0)+COUNTIF('По дням'!$G$2:$G$3662,6)-1))</f>
        <v/>
      </c>
      <c r="D12" s="9">
        <f>IF(B12="","",C12-B12+1)</f>
        <v/>
      </c>
      <c r="E12" s="13">
        <f>IF(B12="","",INDEX('По дням'!$D$2:$D$3662,MATCH(6,'По дням'!$G$2:$G$3662,0)))</f>
        <v/>
      </c>
      <c r="F12" s="9">
        <f>IF(B12="","",INDEX('По дням'!$B$2:$B$3662,MATCH(6,'По дням'!$G$2:$G$3662,0)))</f>
        <v/>
      </c>
      <c r="G12" s="9">
        <f>IF(B12="","",INDEX('По дням'!$C$2:$C$3662,MATCH(6,'По дням'!$G$2:$G$3662,0)))</f>
        <v/>
      </c>
      <c r="H12" s="13">
        <f>IF(OR(B12="",F12=""),"",IF(J12="да",0,ROUND(E12*F12/100*D12/G12,2)))</f>
        <v/>
      </c>
      <c r="I12" s="13">
        <f>IF(B12="","",SUMIF(Оплаты!$A$6:$A$505,C12,Оплаты!$B$6:$B$505))</f>
        <v/>
      </c>
      <c r="J12" s="9">
        <f>IF(B12="","",IF(INDEX('По дням'!$E$2:$E$3662,MATCH(6,'По дням'!$G$2:$G$3662,0))=1,"да",""))</f>
        <v/>
      </c>
    </row>
    <row r="13">
      <c r="A13" s="9">
        <f>IF(B13="","",7)</f>
        <v/>
      </c>
      <c r="B13" s="12">
        <f>IFERROR(INDEX('По дням'!$A$2:$A$3662,MATCH(7,'По дням'!$G$2:$G$3662,0)),"")</f>
        <v/>
      </c>
      <c r="C13" s="12">
        <f>IF(B13="","",INDEX('По дням'!$A$2:$A$3662,MATCH(7,'По дням'!$G$2:$G$3662,0)+COUNTIF('По дням'!$G$2:$G$3662,7)-1))</f>
        <v/>
      </c>
      <c r="D13" s="9">
        <f>IF(B13="","",C13-B13+1)</f>
        <v/>
      </c>
      <c r="E13" s="13">
        <f>IF(B13="","",INDEX('По дням'!$D$2:$D$3662,MATCH(7,'По дням'!$G$2:$G$3662,0)))</f>
        <v/>
      </c>
      <c r="F13" s="9">
        <f>IF(B13="","",INDEX('По дням'!$B$2:$B$3662,MATCH(7,'По дням'!$G$2:$G$3662,0)))</f>
        <v/>
      </c>
      <c r="G13" s="9">
        <f>IF(B13="","",INDEX('По дням'!$C$2:$C$3662,MATCH(7,'По дням'!$G$2:$G$3662,0)))</f>
        <v/>
      </c>
      <c r="H13" s="13">
        <f>IF(OR(B13="",F13=""),"",IF(J13="да",0,ROUND(E13*F13/100*D13/G13,2)))</f>
        <v/>
      </c>
      <c r="I13" s="13">
        <f>IF(B13="","",SUMIF(Оплаты!$A$6:$A$505,C13,Оплаты!$B$6:$B$505))</f>
        <v/>
      </c>
      <c r="J13" s="9">
        <f>IF(B13="","",IF(INDEX('По дням'!$E$2:$E$3662,MATCH(7,'По дням'!$G$2:$G$3662,0))=1,"да",""))</f>
        <v/>
      </c>
    </row>
    <row r="14">
      <c r="A14" s="9">
        <f>IF(B14="","",8)</f>
        <v/>
      </c>
      <c r="B14" s="12">
        <f>IFERROR(INDEX('По дням'!$A$2:$A$3662,MATCH(8,'По дням'!$G$2:$G$3662,0)),"")</f>
        <v/>
      </c>
      <c r="C14" s="12">
        <f>IF(B14="","",INDEX('По дням'!$A$2:$A$3662,MATCH(8,'По дням'!$G$2:$G$3662,0)+COUNTIF('По дням'!$G$2:$G$3662,8)-1))</f>
        <v/>
      </c>
      <c r="D14" s="9">
        <f>IF(B14="","",C14-B14+1)</f>
        <v/>
      </c>
      <c r="E14" s="13">
        <f>IF(B14="","",INDEX('По дням'!$D$2:$D$3662,MATCH(8,'По дням'!$G$2:$G$3662,0)))</f>
        <v/>
      </c>
      <c r="F14" s="9">
        <f>IF(B14="","",INDEX('По дням'!$B$2:$B$3662,MATCH(8,'По дням'!$G$2:$G$3662,0)))</f>
        <v/>
      </c>
      <c r="G14" s="9">
        <f>IF(B14="","",INDEX('По дням'!$C$2:$C$3662,MATCH(8,'По дням'!$G$2:$G$3662,0)))</f>
        <v/>
      </c>
      <c r="H14" s="13">
        <f>IF(OR(B14="",F14=""),"",IF(J14="да",0,ROUND(E14*F14/100*D14/G14,2)))</f>
        <v/>
      </c>
      <c r="I14" s="13">
        <f>IF(B14="","",SUMIF(Оплаты!$A$6:$A$505,C14,Оплаты!$B$6:$B$505))</f>
        <v/>
      </c>
      <c r="J14" s="9">
        <f>IF(B14="","",IF(INDEX('По дням'!$E$2:$E$3662,MATCH(8,'По дням'!$G$2:$G$3662,0))=1,"да",""))</f>
        <v/>
      </c>
    </row>
    <row r="15">
      <c r="A15" s="9">
        <f>IF(B15="","",9)</f>
        <v/>
      </c>
      <c r="B15" s="12">
        <f>IFERROR(INDEX('По дням'!$A$2:$A$3662,MATCH(9,'По дням'!$G$2:$G$3662,0)),"")</f>
        <v/>
      </c>
      <c r="C15" s="12">
        <f>IF(B15="","",INDEX('По дням'!$A$2:$A$3662,MATCH(9,'По дням'!$G$2:$G$3662,0)+COUNTIF('По дням'!$G$2:$G$3662,9)-1))</f>
        <v/>
      </c>
      <c r="D15" s="9">
        <f>IF(B15="","",C15-B15+1)</f>
        <v/>
      </c>
      <c r="E15" s="13">
        <f>IF(B15="","",INDEX('По дням'!$D$2:$D$3662,MATCH(9,'По дням'!$G$2:$G$3662,0)))</f>
        <v/>
      </c>
      <c r="F15" s="9">
        <f>IF(B15="","",INDEX('По дням'!$B$2:$B$3662,MATCH(9,'По дням'!$G$2:$G$3662,0)))</f>
        <v/>
      </c>
      <c r="G15" s="9">
        <f>IF(B15="","",INDEX('По дням'!$C$2:$C$3662,MATCH(9,'По дням'!$G$2:$G$3662,0)))</f>
        <v/>
      </c>
      <c r="H15" s="13">
        <f>IF(OR(B15="",F15=""),"",IF(J15="да",0,ROUND(E15*F15/100*D15/G15,2)))</f>
        <v/>
      </c>
      <c r="I15" s="13">
        <f>IF(B15="","",SUMIF(Оплаты!$A$6:$A$505,C15,Оплаты!$B$6:$B$505))</f>
        <v/>
      </c>
      <c r="J15" s="9">
        <f>IF(B15="","",IF(INDEX('По дням'!$E$2:$E$3662,MATCH(9,'По дням'!$G$2:$G$3662,0))=1,"да",""))</f>
        <v/>
      </c>
    </row>
    <row r="16">
      <c r="A16" s="9">
        <f>IF(B16="","",10)</f>
        <v/>
      </c>
      <c r="B16" s="12">
        <f>IFERROR(INDEX('По дням'!$A$2:$A$3662,MATCH(10,'По дням'!$G$2:$G$3662,0)),"")</f>
        <v/>
      </c>
      <c r="C16" s="12">
        <f>IF(B16="","",INDEX('По дням'!$A$2:$A$3662,MATCH(10,'По дням'!$G$2:$G$3662,0)+COUNTIF('По дням'!$G$2:$G$3662,10)-1))</f>
        <v/>
      </c>
      <c r="D16" s="9">
        <f>IF(B16="","",C16-B16+1)</f>
        <v/>
      </c>
      <c r="E16" s="13">
        <f>IF(B16="","",INDEX('По дням'!$D$2:$D$3662,MATCH(10,'По дням'!$G$2:$G$3662,0)))</f>
        <v/>
      </c>
      <c r="F16" s="9">
        <f>IF(B16="","",INDEX('По дням'!$B$2:$B$3662,MATCH(10,'По дням'!$G$2:$G$3662,0)))</f>
        <v/>
      </c>
      <c r="G16" s="9">
        <f>IF(B16="","",INDEX('По дням'!$C$2:$C$3662,MATCH(10,'По дням'!$G$2:$G$3662,0)))</f>
        <v/>
      </c>
      <c r="H16" s="13">
        <f>IF(OR(B16="",F16=""),"",IF(J16="да",0,ROUND(E16*F16/100*D16/G16,2)))</f>
        <v/>
      </c>
      <c r="I16" s="13">
        <f>IF(B16="","",SUMIF(Оплаты!$A$6:$A$505,C16,Оплаты!$B$6:$B$505))</f>
        <v/>
      </c>
      <c r="J16" s="9">
        <f>IF(B16="","",IF(INDEX('По дням'!$E$2:$E$3662,MATCH(10,'По дням'!$G$2:$G$3662,0))=1,"да",""))</f>
        <v/>
      </c>
    </row>
    <row r="17">
      <c r="A17" s="9">
        <f>IF(B17="","",11)</f>
        <v/>
      </c>
      <c r="B17" s="12">
        <f>IFERROR(INDEX('По дням'!$A$2:$A$3662,MATCH(11,'По дням'!$G$2:$G$3662,0)),"")</f>
        <v/>
      </c>
      <c r="C17" s="12">
        <f>IF(B17="","",INDEX('По дням'!$A$2:$A$3662,MATCH(11,'По дням'!$G$2:$G$3662,0)+COUNTIF('По дням'!$G$2:$G$3662,11)-1))</f>
        <v/>
      </c>
      <c r="D17" s="9">
        <f>IF(B17="","",C17-B17+1)</f>
        <v/>
      </c>
      <c r="E17" s="13">
        <f>IF(B17="","",INDEX('По дням'!$D$2:$D$3662,MATCH(11,'По дням'!$G$2:$G$3662,0)))</f>
        <v/>
      </c>
      <c r="F17" s="9">
        <f>IF(B17="","",INDEX('По дням'!$B$2:$B$3662,MATCH(11,'По дням'!$G$2:$G$3662,0)))</f>
        <v/>
      </c>
      <c r="G17" s="9">
        <f>IF(B17="","",INDEX('По дням'!$C$2:$C$3662,MATCH(11,'По дням'!$G$2:$G$3662,0)))</f>
        <v/>
      </c>
      <c r="H17" s="13">
        <f>IF(OR(B17="",F17=""),"",IF(J17="да",0,ROUND(E17*F17/100*D17/G17,2)))</f>
        <v/>
      </c>
      <c r="I17" s="13">
        <f>IF(B17="","",SUMIF(Оплаты!$A$6:$A$505,C17,Оплаты!$B$6:$B$505))</f>
        <v/>
      </c>
      <c r="J17" s="9">
        <f>IF(B17="","",IF(INDEX('По дням'!$E$2:$E$3662,MATCH(11,'По дням'!$G$2:$G$3662,0))=1,"да",""))</f>
        <v/>
      </c>
    </row>
    <row r="18">
      <c r="A18" s="9">
        <f>IF(B18="","",12)</f>
        <v/>
      </c>
      <c r="B18" s="12">
        <f>IFERROR(INDEX('По дням'!$A$2:$A$3662,MATCH(12,'По дням'!$G$2:$G$3662,0)),"")</f>
        <v/>
      </c>
      <c r="C18" s="12">
        <f>IF(B18="","",INDEX('По дням'!$A$2:$A$3662,MATCH(12,'По дням'!$G$2:$G$3662,0)+COUNTIF('По дням'!$G$2:$G$3662,12)-1))</f>
        <v/>
      </c>
      <c r="D18" s="9">
        <f>IF(B18="","",C18-B18+1)</f>
        <v/>
      </c>
      <c r="E18" s="13">
        <f>IF(B18="","",INDEX('По дням'!$D$2:$D$3662,MATCH(12,'По дням'!$G$2:$G$3662,0)))</f>
        <v/>
      </c>
      <c r="F18" s="9">
        <f>IF(B18="","",INDEX('По дням'!$B$2:$B$3662,MATCH(12,'По дням'!$G$2:$G$3662,0)))</f>
        <v/>
      </c>
      <c r="G18" s="9">
        <f>IF(B18="","",INDEX('По дням'!$C$2:$C$3662,MATCH(12,'По дням'!$G$2:$G$3662,0)))</f>
        <v/>
      </c>
      <c r="H18" s="13">
        <f>IF(OR(B18="",F18=""),"",IF(J18="да",0,ROUND(E18*F18/100*D18/G18,2)))</f>
        <v/>
      </c>
      <c r="I18" s="13">
        <f>IF(B18="","",SUMIF(Оплаты!$A$6:$A$505,C18,Оплаты!$B$6:$B$505))</f>
        <v/>
      </c>
      <c r="J18" s="9">
        <f>IF(B18="","",IF(INDEX('По дням'!$E$2:$E$3662,MATCH(12,'По дням'!$G$2:$G$3662,0))=1,"да",""))</f>
        <v/>
      </c>
    </row>
    <row r="19">
      <c r="A19" s="9">
        <f>IF(B19="","",13)</f>
        <v/>
      </c>
      <c r="B19" s="12">
        <f>IFERROR(INDEX('По дням'!$A$2:$A$3662,MATCH(13,'По дням'!$G$2:$G$3662,0)),"")</f>
        <v/>
      </c>
      <c r="C19" s="12">
        <f>IF(B19="","",INDEX('По дням'!$A$2:$A$3662,MATCH(13,'По дням'!$G$2:$G$3662,0)+COUNTIF('По дням'!$G$2:$G$3662,13)-1))</f>
        <v/>
      </c>
      <c r="D19" s="9">
        <f>IF(B19="","",C19-B19+1)</f>
        <v/>
      </c>
      <c r="E19" s="13">
        <f>IF(B19="","",INDEX('По дням'!$D$2:$D$3662,MATCH(13,'По дням'!$G$2:$G$3662,0)))</f>
        <v/>
      </c>
      <c r="F19" s="9">
        <f>IF(B19="","",INDEX('По дням'!$B$2:$B$3662,MATCH(13,'По дням'!$G$2:$G$3662,0)))</f>
        <v/>
      </c>
      <c r="G19" s="9">
        <f>IF(B19="","",INDEX('По дням'!$C$2:$C$3662,MATCH(13,'По дням'!$G$2:$G$3662,0)))</f>
        <v/>
      </c>
      <c r="H19" s="13">
        <f>IF(OR(B19="",F19=""),"",IF(J19="да",0,ROUND(E19*F19/100*D19/G19,2)))</f>
        <v/>
      </c>
      <c r="I19" s="13">
        <f>IF(B19="","",SUMIF(Оплаты!$A$6:$A$505,C19,Оплаты!$B$6:$B$505))</f>
        <v/>
      </c>
      <c r="J19" s="9">
        <f>IF(B19="","",IF(INDEX('По дням'!$E$2:$E$3662,MATCH(13,'По дням'!$G$2:$G$3662,0))=1,"да",""))</f>
        <v/>
      </c>
    </row>
    <row r="20">
      <c r="A20" s="9">
        <f>IF(B20="","",14)</f>
        <v/>
      </c>
      <c r="B20" s="12">
        <f>IFERROR(INDEX('По дням'!$A$2:$A$3662,MATCH(14,'По дням'!$G$2:$G$3662,0)),"")</f>
        <v/>
      </c>
      <c r="C20" s="12">
        <f>IF(B20="","",INDEX('По дням'!$A$2:$A$3662,MATCH(14,'По дням'!$G$2:$G$3662,0)+COUNTIF('По дням'!$G$2:$G$3662,14)-1))</f>
        <v/>
      </c>
      <c r="D20" s="9">
        <f>IF(B20="","",C20-B20+1)</f>
        <v/>
      </c>
      <c r="E20" s="13">
        <f>IF(B20="","",INDEX('По дням'!$D$2:$D$3662,MATCH(14,'По дням'!$G$2:$G$3662,0)))</f>
        <v/>
      </c>
      <c r="F20" s="9">
        <f>IF(B20="","",INDEX('По дням'!$B$2:$B$3662,MATCH(14,'По дням'!$G$2:$G$3662,0)))</f>
        <v/>
      </c>
      <c r="G20" s="9">
        <f>IF(B20="","",INDEX('По дням'!$C$2:$C$3662,MATCH(14,'По дням'!$G$2:$G$3662,0)))</f>
        <v/>
      </c>
      <c r="H20" s="13">
        <f>IF(OR(B20="",F20=""),"",IF(J20="да",0,ROUND(E20*F20/100*D20/G20,2)))</f>
        <v/>
      </c>
      <c r="I20" s="13">
        <f>IF(B20="","",SUMIF(Оплаты!$A$6:$A$505,C20,Оплаты!$B$6:$B$505))</f>
        <v/>
      </c>
      <c r="J20" s="9">
        <f>IF(B20="","",IF(INDEX('По дням'!$E$2:$E$3662,MATCH(14,'По дням'!$G$2:$G$3662,0))=1,"да",""))</f>
        <v/>
      </c>
    </row>
    <row r="21">
      <c r="A21" s="9">
        <f>IF(B21="","",15)</f>
        <v/>
      </c>
      <c r="B21" s="12">
        <f>IFERROR(INDEX('По дням'!$A$2:$A$3662,MATCH(15,'По дням'!$G$2:$G$3662,0)),"")</f>
        <v/>
      </c>
      <c r="C21" s="12">
        <f>IF(B21="","",INDEX('По дням'!$A$2:$A$3662,MATCH(15,'По дням'!$G$2:$G$3662,0)+COUNTIF('По дням'!$G$2:$G$3662,15)-1))</f>
        <v/>
      </c>
      <c r="D21" s="9">
        <f>IF(B21="","",C21-B21+1)</f>
        <v/>
      </c>
      <c r="E21" s="13">
        <f>IF(B21="","",INDEX('По дням'!$D$2:$D$3662,MATCH(15,'По дням'!$G$2:$G$3662,0)))</f>
        <v/>
      </c>
      <c r="F21" s="9">
        <f>IF(B21="","",INDEX('По дням'!$B$2:$B$3662,MATCH(15,'По дням'!$G$2:$G$3662,0)))</f>
        <v/>
      </c>
      <c r="G21" s="9">
        <f>IF(B21="","",INDEX('По дням'!$C$2:$C$3662,MATCH(15,'По дням'!$G$2:$G$3662,0)))</f>
        <v/>
      </c>
      <c r="H21" s="13">
        <f>IF(OR(B21="",F21=""),"",IF(J21="да",0,ROUND(E21*F21/100*D21/G21,2)))</f>
        <v/>
      </c>
      <c r="I21" s="13">
        <f>IF(B21="","",SUMIF(Оплаты!$A$6:$A$505,C21,Оплаты!$B$6:$B$505))</f>
        <v/>
      </c>
      <c r="J21" s="9">
        <f>IF(B21="","",IF(INDEX('По дням'!$E$2:$E$3662,MATCH(15,'По дням'!$G$2:$G$3662,0))=1,"да",""))</f>
        <v/>
      </c>
    </row>
    <row r="22">
      <c r="A22" s="9">
        <f>IF(B22="","",16)</f>
        <v/>
      </c>
      <c r="B22" s="12">
        <f>IFERROR(INDEX('По дням'!$A$2:$A$3662,MATCH(16,'По дням'!$G$2:$G$3662,0)),"")</f>
        <v/>
      </c>
      <c r="C22" s="12">
        <f>IF(B22="","",INDEX('По дням'!$A$2:$A$3662,MATCH(16,'По дням'!$G$2:$G$3662,0)+COUNTIF('По дням'!$G$2:$G$3662,16)-1))</f>
        <v/>
      </c>
      <c r="D22" s="9">
        <f>IF(B22="","",C22-B22+1)</f>
        <v/>
      </c>
      <c r="E22" s="13">
        <f>IF(B22="","",INDEX('По дням'!$D$2:$D$3662,MATCH(16,'По дням'!$G$2:$G$3662,0)))</f>
        <v/>
      </c>
      <c r="F22" s="9">
        <f>IF(B22="","",INDEX('По дням'!$B$2:$B$3662,MATCH(16,'По дням'!$G$2:$G$3662,0)))</f>
        <v/>
      </c>
      <c r="G22" s="9">
        <f>IF(B22="","",INDEX('По дням'!$C$2:$C$3662,MATCH(16,'По дням'!$G$2:$G$3662,0)))</f>
        <v/>
      </c>
      <c r="H22" s="13">
        <f>IF(OR(B22="",F22=""),"",IF(J22="да",0,ROUND(E22*F22/100*D22/G22,2)))</f>
        <v/>
      </c>
      <c r="I22" s="13">
        <f>IF(B22="","",SUMIF(Оплаты!$A$6:$A$505,C22,Оплаты!$B$6:$B$505))</f>
        <v/>
      </c>
      <c r="J22" s="9">
        <f>IF(B22="","",IF(INDEX('По дням'!$E$2:$E$3662,MATCH(16,'По дням'!$G$2:$G$3662,0))=1,"да",""))</f>
        <v/>
      </c>
    </row>
    <row r="23">
      <c r="A23" s="9">
        <f>IF(B23="","",17)</f>
        <v/>
      </c>
      <c r="B23" s="12">
        <f>IFERROR(INDEX('По дням'!$A$2:$A$3662,MATCH(17,'По дням'!$G$2:$G$3662,0)),"")</f>
        <v/>
      </c>
      <c r="C23" s="12">
        <f>IF(B23="","",INDEX('По дням'!$A$2:$A$3662,MATCH(17,'По дням'!$G$2:$G$3662,0)+COUNTIF('По дням'!$G$2:$G$3662,17)-1))</f>
        <v/>
      </c>
      <c r="D23" s="9">
        <f>IF(B23="","",C23-B23+1)</f>
        <v/>
      </c>
      <c r="E23" s="13">
        <f>IF(B23="","",INDEX('По дням'!$D$2:$D$3662,MATCH(17,'По дням'!$G$2:$G$3662,0)))</f>
        <v/>
      </c>
      <c r="F23" s="9">
        <f>IF(B23="","",INDEX('По дням'!$B$2:$B$3662,MATCH(17,'По дням'!$G$2:$G$3662,0)))</f>
        <v/>
      </c>
      <c r="G23" s="9">
        <f>IF(B23="","",INDEX('По дням'!$C$2:$C$3662,MATCH(17,'По дням'!$G$2:$G$3662,0)))</f>
        <v/>
      </c>
      <c r="H23" s="13">
        <f>IF(OR(B23="",F23=""),"",IF(J23="да",0,ROUND(E23*F23/100*D23/G23,2)))</f>
        <v/>
      </c>
      <c r="I23" s="13">
        <f>IF(B23="","",SUMIF(Оплаты!$A$6:$A$505,C23,Оплаты!$B$6:$B$505))</f>
        <v/>
      </c>
      <c r="J23" s="9">
        <f>IF(B23="","",IF(INDEX('По дням'!$E$2:$E$3662,MATCH(17,'По дням'!$G$2:$G$3662,0))=1,"да",""))</f>
        <v/>
      </c>
    </row>
    <row r="24">
      <c r="A24" s="9">
        <f>IF(B24="","",18)</f>
        <v/>
      </c>
      <c r="B24" s="12">
        <f>IFERROR(INDEX('По дням'!$A$2:$A$3662,MATCH(18,'По дням'!$G$2:$G$3662,0)),"")</f>
        <v/>
      </c>
      <c r="C24" s="12">
        <f>IF(B24="","",INDEX('По дням'!$A$2:$A$3662,MATCH(18,'По дням'!$G$2:$G$3662,0)+COUNTIF('По дням'!$G$2:$G$3662,18)-1))</f>
        <v/>
      </c>
      <c r="D24" s="9">
        <f>IF(B24="","",C24-B24+1)</f>
        <v/>
      </c>
      <c r="E24" s="13">
        <f>IF(B24="","",INDEX('По дням'!$D$2:$D$3662,MATCH(18,'По дням'!$G$2:$G$3662,0)))</f>
        <v/>
      </c>
      <c r="F24" s="9">
        <f>IF(B24="","",INDEX('По дням'!$B$2:$B$3662,MATCH(18,'По дням'!$G$2:$G$3662,0)))</f>
        <v/>
      </c>
      <c r="G24" s="9">
        <f>IF(B24="","",INDEX('По дням'!$C$2:$C$3662,MATCH(18,'По дням'!$G$2:$G$3662,0)))</f>
        <v/>
      </c>
      <c r="H24" s="13">
        <f>IF(OR(B24="",F24=""),"",IF(J24="да",0,ROUND(E24*F24/100*D24/G24,2)))</f>
        <v/>
      </c>
      <c r="I24" s="13">
        <f>IF(B24="","",SUMIF(Оплаты!$A$6:$A$505,C24,Оплаты!$B$6:$B$505))</f>
        <v/>
      </c>
      <c r="J24" s="9">
        <f>IF(B24="","",IF(INDEX('По дням'!$E$2:$E$3662,MATCH(18,'По дням'!$G$2:$G$3662,0))=1,"да",""))</f>
        <v/>
      </c>
    </row>
    <row r="25">
      <c r="A25" s="9">
        <f>IF(B25="","",19)</f>
        <v/>
      </c>
      <c r="B25" s="12">
        <f>IFERROR(INDEX('По дням'!$A$2:$A$3662,MATCH(19,'По дням'!$G$2:$G$3662,0)),"")</f>
        <v/>
      </c>
      <c r="C25" s="12">
        <f>IF(B25="","",INDEX('По дням'!$A$2:$A$3662,MATCH(19,'По дням'!$G$2:$G$3662,0)+COUNTIF('По дням'!$G$2:$G$3662,19)-1))</f>
        <v/>
      </c>
      <c r="D25" s="9">
        <f>IF(B25="","",C25-B25+1)</f>
        <v/>
      </c>
      <c r="E25" s="13">
        <f>IF(B25="","",INDEX('По дням'!$D$2:$D$3662,MATCH(19,'По дням'!$G$2:$G$3662,0)))</f>
        <v/>
      </c>
      <c r="F25" s="9">
        <f>IF(B25="","",INDEX('По дням'!$B$2:$B$3662,MATCH(19,'По дням'!$G$2:$G$3662,0)))</f>
        <v/>
      </c>
      <c r="G25" s="9">
        <f>IF(B25="","",INDEX('По дням'!$C$2:$C$3662,MATCH(19,'По дням'!$G$2:$G$3662,0)))</f>
        <v/>
      </c>
      <c r="H25" s="13">
        <f>IF(OR(B25="",F25=""),"",IF(J25="да",0,ROUND(E25*F25/100*D25/G25,2)))</f>
        <v/>
      </c>
      <c r="I25" s="13">
        <f>IF(B25="","",SUMIF(Оплаты!$A$6:$A$505,C25,Оплаты!$B$6:$B$505))</f>
        <v/>
      </c>
      <c r="J25" s="9">
        <f>IF(B25="","",IF(INDEX('По дням'!$E$2:$E$3662,MATCH(19,'По дням'!$G$2:$G$3662,0))=1,"да",""))</f>
        <v/>
      </c>
    </row>
    <row r="26">
      <c r="A26" s="9">
        <f>IF(B26="","",20)</f>
        <v/>
      </c>
      <c r="B26" s="12">
        <f>IFERROR(INDEX('По дням'!$A$2:$A$3662,MATCH(20,'По дням'!$G$2:$G$3662,0)),"")</f>
        <v/>
      </c>
      <c r="C26" s="12">
        <f>IF(B26="","",INDEX('По дням'!$A$2:$A$3662,MATCH(20,'По дням'!$G$2:$G$3662,0)+COUNTIF('По дням'!$G$2:$G$3662,20)-1))</f>
        <v/>
      </c>
      <c r="D26" s="9">
        <f>IF(B26="","",C26-B26+1)</f>
        <v/>
      </c>
      <c r="E26" s="13">
        <f>IF(B26="","",INDEX('По дням'!$D$2:$D$3662,MATCH(20,'По дням'!$G$2:$G$3662,0)))</f>
        <v/>
      </c>
      <c r="F26" s="9">
        <f>IF(B26="","",INDEX('По дням'!$B$2:$B$3662,MATCH(20,'По дням'!$G$2:$G$3662,0)))</f>
        <v/>
      </c>
      <c r="G26" s="9">
        <f>IF(B26="","",INDEX('По дням'!$C$2:$C$3662,MATCH(20,'По дням'!$G$2:$G$3662,0)))</f>
        <v/>
      </c>
      <c r="H26" s="13">
        <f>IF(OR(B26="",F26=""),"",IF(J26="да",0,ROUND(E26*F26/100*D26/G26,2)))</f>
        <v/>
      </c>
      <c r="I26" s="13">
        <f>IF(B26="","",SUMIF(Оплаты!$A$6:$A$505,C26,Оплаты!$B$6:$B$505))</f>
        <v/>
      </c>
      <c r="J26" s="9">
        <f>IF(B26="","",IF(INDEX('По дням'!$E$2:$E$3662,MATCH(20,'По дням'!$G$2:$G$3662,0))=1,"да",""))</f>
        <v/>
      </c>
    </row>
    <row r="27">
      <c r="A27" s="9">
        <f>IF(B27="","",21)</f>
        <v/>
      </c>
      <c r="B27" s="12">
        <f>IFERROR(INDEX('По дням'!$A$2:$A$3662,MATCH(21,'По дням'!$G$2:$G$3662,0)),"")</f>
        <v/>
      </c>
      <c r="C27" s="12">
        <f>IF(B27="","",INDEX('По дням'!$A$2:$A$3662,MATCH(21,'По дням'!$G$2:$G$3662,0)+COUNTIF('По дням'!$G$2:$G$3662,21)-1))</f>
        <v/>
      </c>
      <c r="D27" s="9">
        <f>IF(B27="","",C27-B27+1)</f>
        <v/>
      </c>
      <c r="E27" s="13">
        <f>IF(B27="","",INDEX('По дням'!$D$2:$D$3662,MATCH(21,'По дням'!$G$2:$G$3662,0)))</f>
        <v/>
      </c>
      <c r="F27" s="9">
        <f>IF(B27="","",INDEX('По дням'!$B$2:$B$3662,MATCH(21,'По дням'!$G$2:$G$3662,0)))</f>
        <v/>
      </c>
      <c r="G27" s="9">
        <f>IF(B27="","",INDEX('По дням'!$C$2:$C$3662,MATCH(21,'По дням'!$G$2:$G$3662,0)))</f>
        <v/>
      </c>
      <c r="H27" s="13">
        <f>IF(OR(B27="",F27=""),"",IF(J27="да",0,ROUND(E27*F27/100*D27/G27,2)))</f>
        <v/>
      </c>
      <c r="I27" s="13">
        <f>IF(B27="","",SUMIF(Оплаты!$A$6:$A$505,C27,Оплаты!$B$6:$B$505))</f>
        <v/>
      </c>
      <c r="J27" s="9">
        <f>IF(B27="","",IF(INDEX('По дням'!$E$2:$E$3662,MATCH(21,'По дням'!$G$2:$G$3662,0))=1,"да",""))</f>
        <v/>
      </c>
    </row>
    <row r="28">
      <c r="A28" s="9">
        <f>IF(B28="","",22)</f>
        <v/>
      </c>
      <c r="B28" s="12">
        <f>IFERROR(INDEX('По дням'!$A$2:$A$3662,MATCH(22,'По дням'!$G$2:$G$3662,0)),"")</f>
        <v/>
      </c>
      <c r="C28" s="12">
        <f>IF(B28="","",INDEX('По дням'!$A$2:$A$3662,MATCH(22,'По дням'!$G$2:$G$3662,0)+COUNTIF('По дням'!$G$2:$G$3662,22)-1))</f>
        <v/>
      </c>
      <c r="D28" s="9">
        <f>IF(B28="","",C28-B28+1)</f>
        <v/>
      </c>
      <c r="E28" s="13">
        <f>IF(B28="","",INDEX('По дням'!$D$2:$D$3662,MATCH(22,'По дням'!$G$2:$G$3662,0)))</f>
        <v/>
      </c>
      <c r="F28" s="9">
        <f>IF(B28="","",INDEX('По дням'!$B$2:$B$3662,MATCH(22,'По дням'!$G$2:$G$3662,0)))</f>
        <v/>
      </c>
      <c r="G28" s="9">
        <f>IF(B28="","",INDEX('По дням'!$C$2:$C$3662,MATCH(22,'По дням'!$G$2:$G$3662,0)))</f>
        <v/>
      </c>
      <c r="H28" s="13">
        <f>IF(OR(B28="",F28=""),"",IF(J28="да",0,ROUND(E28*F28/100*D28/G28,2)))</f>
        <v/>
      </c>
      <c r="I28" s="13">
        <f>IF(B28="","",SUMIF(Оплаты!$A$6:$A$505,C28,Оплаты!$B$6:$B$505))</f>
        <v/>
      </c>
      <c r="J28" s="9">
        <f>IF(B28="","",IF(INDEX('По дням'!$E$2:$E$3662,MATCH(22,'По дням'!$G$2:$G$3662,0))=1,"да",""))</f>
        <v/>
      </c>
    </row>
    <row r="29">
      <c r="A29" s="9">
        <f>IF(B29="","",23)</f>
        <v/>
      </c>
      <c r="B29" s="12">
        <f>IFERROR(INDEX('По дням'!$A$2:$A$3662,MATCH(23,'По дням'!$G$2:$G$3662,0)),"")</f>
        <v/>
      </c>
      <c r="C29" s="12">
        <f>IF(B29="","",INDEX('По дням'!$A$2:$A$3662,MATCH(23,'По дням'!$G$2:$G$3662,0)+COUNTIF('По дням'!$G$2:$G$3662,23)-1))</f>
        <v/>
      </c>
      <c r="D29" s="9">
        <f>IF(B29="","",C29-B29+1)</f>
        <v/>
      </c>
      <c r="E29" s="13">
        <f>IF(B29="","",INDEX('По дням'!$D$2:$D$3662,MATCH(23,'По дням'!$G$2:$G$3662,0)))</f>
        <v/>
      </c>
      <c r="F29" s="9">
        <f>IF(B29="","",INDEX('По дням'!$B$2:$B$3662,MATCH(23,'По дням'!$G$2:$G$3662,0)))</f>
        <v/>
      </c>
      <c r="G29" s="9">
        <f>IF(B29="","",INDEX('По дням'!$C$2:$C$3662,MATCH(23,'По дням'!$G$2:$G$3662,0)))</f>
        <v/>
      </c>
      <c r="H29" s="13">
        <f>IF(OR(B29="",F29=""),"",IF(J29="да",0,ROUND(E29*F29/100*D29/G29,2)))</f>
        <v/>
      </c>
      <c r="I29" s="13">
        <f>IF(B29="","",SUMIF(Оплаты!$A$6:$A$505,C29,Оплаты!$B$6:$B$505))</f>
        <v/>
      </c>
      <c r="J29" s="9">
        <f>IF(B29="","",IF(INDEX('По дням'!$E$2:$E$3662,MATCH(23,'По дням'!$G$2:$G$3662,0))=1,"да",""))</f>
        <v/>
      </c>
    </row>
    <row r="30">
      <c r="A30" s="9">
        <f>IF(B30="","",24)</f>
        <v/>
      </c>
      <c r="B30" s="12">
        <f>IFERROR(INDEX('По дням'!$A$2:$A$3662,MATCH(24,'По дням'!$G$2:$G$3662,0)),"")</f>
        <v/>
      </c>
      <c r="C30" s="12">
        <f>IF(B30="","",INDEX('По дням'!$A$2:$A$3662,MATCH(24,'По дням'!$G$2:$G$3662,0)+COUNTIF('По дням'!$G$2:$G$3662,24)-1))</f>
        <v/>
      </c>
      <c r="D30" s="9">
        <f>IF(B30="","",C30-B30+1)</f>
        <v/>
      </c>
      <c r="E30" s="13">
        <f>IF(B30="","",INDEX('По дням'!$D$2:$D$3662,MATCH(24,'По дням'!$G$2:$G$3662,0)))</f>
        <v/>
      </c>
      <c r="F30" s="9">
        <f>IF(B30="","",INDEX('По дням'!$B$2:$B$3662,MATCH(24,'По дням'!$G$2:$G$3662,0)))</f>
        <v/>
      </c>
      <c r="G30" s="9">
        <f>IF(B30="","",INDEX('По дням'!$C$2:$C$3662,MATCH(24,'По дням'!$G$2:$G$3662,0)))</f>
        <v/>
      </c>
      <c r="H30" s="13">
        <f>IF(OR(B30="",F30=""),"",IF(J30="да",0,ROUND(E30*F30/100*D30/G30,2)))</f>
        <v/>
      </c>
      <c r="I30" s="13">
        <f>IF(B30="","",SUMIF(Оплаты!$A$6:$A$505,C30,Оплаты!$B$6:$B$505))</f>
        <v/>
      </c>
      <c r="J30" s="9">
        <f>IF(B30="","",IF(INDEX('По дням'!$E$2:$E$3662,MATCH(24,'По дням'!$G$2:$G$3662,0))=1,"да",""))</f>
        <v/>
      </c>
    </row>
    <row r="31">
      <c r="A31" s="9">
        <f>IF(B31="","",25)</f>
        <v/>
      </c>
      <c r="B31" s="12">
        <f>IFERROR(INDEX('По дням'!$A$2:$A$3662,MATCH(25,'По дням'!$G$2:$G$3662,0)),"")</f>
        <v/>
      </c>
      <c r="C31" s="12">
        <f>IF(B31="","",INDEX('По дням'!$A$2:$A$3662,MATCH(25,'По дням'!$G$2:$G$3662,0)+COUNTIF('По дням'!$G$2:$G$3662,25)-1))</f>
        <v/>
      </c>
      <c r="D31" s="9">
        <f>IF(B31="","",C31-B31+1)</f>
        <v/>
      </c>
      <c r="E31" s="13">
        <f>IF(B31="","",INDEX('По дням'!$D$2:$D$3662,MATCH(25,'По дням'!$G$2:$G$3662,0)))</f>
        <v/>
      </c>
      <c r="F31" s="9">
        <f>IF(B31="","",INDEX('По дням'!$B$2:$B$3662,MATCH(25,'По дням'!$G$2:$G$3662,0)))</f>
        <v/>
      </c>
      <c r="G31" s="9">
        <f>IF(B31="","",INDEX('По дням'!$C$2:$C$3662,MATCH(25,'По дням'!$G$2:$G$3662,0)))</f>
        <v/>
      </c>
      <c r="H31" s="13">
        <f>IF(OR(B31="",F31=""),"",IF(J31="да",0,ROUND(E31*F31/100*D31/G31,2)))</f>
        <v/>
      </c>
      <c r="I31" s="13">
        <f>IF(B31="","",SUMIF(Оплаты!$A$6:$A$505,C31,Оплаты!$B$6:$B$505))</f>
        <v/>
      </c>
      <c r="J31" s="9">
        <f>IF(B31="","",IF(INDEX('По дням'!$E$2:$E$3662,MATCH(25,'По дням'!$G$2:$G$3662,0))=1,"да",""))</f>
        <v/>
      </c>
    </row>
    <row r="32">
      <c r="A32" s="9">
        <f>IF(B32="","",26)</f>
        <v/>
      </c>
      <c r="B32" s="12">
        <f>IFERROR(INDEX('По дням'!$A$2:$A$3662,MATCH(26,'По дням'!$G$2:$G$3662,0)),"")</f>
        <v/>
      </c>
      <c r="C32" s="12">
        <f>IF(B32="","",INDEX('По дням'!$A$2:$A$3662,MATCH(26,'По дням'!$G$2:$G$3662,0)+COUNTIF('По дням'!$G$2:$G$3662,26)-1))</f>
        <v/>
      </c>
      <c r="D32" s="9">
        <f>IF(B32="","",C32-B32+1)</f>
        <v/>
      </c>
      <c r="E32" s="13">
        <f>IF(B32="","",INDEX('По дням'!$D$2:$D$3662,MATCH(26,'По дням'!$G$2:$G$3662,0)))</f>
        <v/>
      </c>
      <c r="F32" s="9">
        <f>IF(B32="","",INDEX('По дням'!$B$2:$B$3662,MATCH(26,'По дням'!$G$2:$G$3662,0)))</f>
        <v/>
      </c>
      <c r="G32" s="9">
        <f>IF(B32="","",INDEX('По дням'!$C$2:$C$3662,MATCH(26,'По дням'!$G$2:$G$3662,0)))</f>
        <v/>
      </c>
      <c r="H32" s="13">
        <f>IF(OR(B32="",F32=""),"",IF(J32="да",0,ROUND(E32*F32/100*D32/G32,2)))</f>
        <v/>
      </c>
      <c r="I32" s="13">
        <f>IF(B32="","",SUMIF(Оплаты!$A$6:$A$505,C32,Оплаты!$B$6:$B$505))</f>
        <v/>
      </c>
      <c r="J32" s="9">
        <f>IF(B32="","",IF(INDEX('По дням'!$E$2:$E$3662,MATCH(26,'По дням'!$G$2:$G$3662,0))=1,"да",""))</f>
        <v/>
      </c>
    </row>
    <row r="33">
      <c r="A33" s="9">
        <f>IF(B33="","",27)</f>
        <v/>
      </c>
      <c r="B33" s="12">
        <f>IFERROR(INDEX('По дням'!$A$2:$A$3662,MATCH(27,'По дням'!$G$2:$G$3662,0)),"")</f>
        <v/>
      </c>
      <c r="C33" s="12">
        <f>IF(B33="","",INDEX('По дням'!$A$2:$A$3662,MATCH(27,'По дням'!$G$2:$G$3662,0)+COUNTIF('По дням'!$G$2:$G$3662,27)-1))</f>
        <v/>
      </c>
      <c r="D33" s="9">
        <f>IF(B33="","",C33-B33+1)</f>
        <v/>
      </c>
      <c r="E33" s="13">
        <f>IF(B33="","",INDEX('По дням'!$D$2:$D$3662,MATCH(27,'По дням'!$G$2:$G$3662,0)))</f>
        <v/>
      </c>
      <c r="F33" s="9">
        <f>IF(B33="","",INDEX('По дням'!$B$2:$B$3662,MATCH(27,'По дням'!$G$2:$G$3662,0)))</f>
        <v/>
      </c>
      <c r="G33" s="9">
        <f>IF(B33="","",INDEX('По дням'!$C$2:$C$3662,MATCH(27,'По дням'!$G$2:$G$3662,0)))</f>
        <v/>
      </c>
      <c r="H33" s="13">
        <f>IF(OR(B33="",F33=""),"",IF(J33="да",0,ROUND(E33*F33/100*D33/G33,2)))</f>
        <v/>
      </c>
      <c r="I33" s="13">
        <f>IF(B33="","",SUMIF(Оплаты!$A$6:$A$505,C33,Оплаты!$B$6:$B$505))</f>
        <v/>
      </c>
      <c r="J33" s="9">
        <f>IF(B33="","",IF(INDEX('По дням'!$E$2:$E$3662,MATCH(27,'По дням'!$G$2:$G$3662,0))=1,"да",""))</f>
        <v/>
      </c>
    </row>
    <row r="34">
      <c r="A34" s="9">
        <f>IF(B34="","",28)</f>
        <v/>
      </c>
      <c r="B34" s="12">
        <f>IFERROR(INDEX('По дням'!$A$2:$A$3662,MATCH(28,'По дням'!$G$2:$G$3662,0)),"")</f>
        <v/>
      </c>
      <c r="C34" s="12">
        <f>IF(B34="","",INDEX('По дням'!$A$2:$A$3662,MATCH(28,'По дням'!$G$2:$G$3662,0)+COUNTIF('По дням'!$G$2:$G$3662,28)-1))</f>
        <v/>
      </c>
      <c r="D34" s="9">
        <f>IF(B34="","",C34-B34+1)</f>
        <v/>
      </c>
      <c r="E34" s="13">
        <f>IF(B34="","",INDEX('По дням'!$D$2:$D$3662,MATCH(28,'По дням'!$G$2:$G$3662,0)))</f>
        <v/>
      </c>
      <c r="F34" s="9">
        <f>IF(B34="","",INDEX('По дням'!$B$2:$B$3662,MATCH(28,'По дням'!$G$2:$G$3662,0)))</f>
        <v/>
      </c>
      <c r="G34" s="9">
        <f>IF(B34="","",INDEX('По дням'!$C$2:$C$3662,MATCH(28,'По дням'!$G$2:$G$3662,0)))</f>
        <v/>
      </c>
      <c r="H34" s="13">
        <f>IF(OR(B34="",F34=""),"",IF(J34="да",0,ROUND(E34*F34/100*D34/G34,2)))</f>
        <v/>
      </c>
      <c r="I34" s="13">
        <f>IF(B34="","",SUMIF(Оплаты!$A$6:$A$505,C34,Оплаты!$B$6:$B$505))</f>
        <v/>
      </c>
      <c r="J34" s="9">
        <f>IF(B34="","",IF(INDEX('По дням'!$E$2:$E$3662,MATCH(28,'По дням'!$G$2:$G$3662,0))=1,"да",""))</f>
        <v/>
      </c>
    </row>
    <row r="35">
      <c r="A35" s="9">
        <f>IF(B35="","",29)</f>
        <v/>
      </c>
      <c r="B35" s="12">
        <f>IFERROR(INDEX('По дням'!$A$2:$A$3662,MATCH(29,'По дням'!$G$2:$G$3662,0)),"")</f>
        <v/>
      </c>
      <c r="C35" s="12">
        <f>IF(B35="","",INDEX('По дням'!$A$2:$A$3662,MATCH(29,'По дням'!$G$2:$G$3662,0)+COUNTIF('По дням'!$G$2:$G$3662,29)-1))</f>
        <v/>
      </c>
      <c r="D35" s="9">
        <f>IF(B35="","",C35-B35+1)</f>
        <v/>
      </c>
      <c r="E35" s="13">
        <f>IF(B35="","",INDEX('По дням'!$D$2:$D$3662,MATCH(29,'По дням'!$G$2:$G$3662,0)))</f>
        <v/>
      </c>
      <c r="F35" s="9">
        <f>IF(B35="","",INDEX('По дням'!$B$2:$B$3662,MATCH(29,'По дням'!$G$2:$G$3662,0)))</f>
        <v/>
      </c>
      <c r="G35" s="9">
        <f>IF(B35="","",INDEX('По дням'!$C$2:$C$3662,MATCH(29,'По дням'!$G$2:$G$3662,0)))</f>
        <v/>
      </c>
      <c r="H35" s="13">
        <f>IF(OR(B35="",F35=""),"",IF(J35="да",0,ROUND(E35*F35/100*D35/G35,2)))</f>
        <v/>
      </c>
      <c r="I35" s="13">
        <f>IF(B35="","",SUMIF(Оплаты!$A$6:$A$505,C35,Оплаты!$B$6:$B$505))</f>
        <v/>
      </c>
      <c r="J35" s="9">
        <f>IF(B35="","",IF(INDEX('По дням'!$E$2:$E$3662,MATCH(29,'По дням'!$G$2:$G$3662,0))=1,"да",""))</f>
        <v/>
      </c>
    </row>
    <row r="36">
      <c r="A36" s="9">
        <f>IF(B36="","",30)</f>
        <v/>
      </c>
      <c r="B36" s="12">
        <f>IFERROR(INDEX('По дням'!$A$2:$A$3662,MATCH(30,'По дням'!$G$2:$G$3662,0)),"")</f>
        <v/>
      </c>
      <c r="C36" s="12">
        <f>IF(B36="","",INDEX('По дням'!$A$2:$A$3662,MATCH(30,'По дням'!$G$2:$G$3662,0)+COUNTIF('По дням'!$G$2:$G$3662,30)-1))</f>
        <v/>
      </c>
      <c r="D36" s="9">
        <f>IF(B36="","",C36-B36+1)</f>
        <v/>
      </c>
      <c r="E36" s="13">
        <f>IF(B36="","",INDEX('По дням'!$D$2:$D$3662,MATCH(30,'По дням'!$G$2:$G$3662,0)))</f>
        <v/>
      </c>
      <c r="F36" s="9">
        <f>IF(B36="","",INDEX('По дням'!$B$2:$B$3662,MATCH(30,'По дням'!$G$2:$G$3662,0)))</f>
        <v/>
      </c>
      <c r="G36" s="9">
        <f>IF(B36="","",INDEX('По дням'!$C$2:$C$3662,MATCH(30,'По дням'!$G$2:$G$3662,0)))</f>
        <v/>
      </c>
      <c r="H36" s="13">
        <f>IF(OR(B36="",F36=""),"",IF(J36="да",0,ROUND(E36*F36/100*D36/G36,2)))</f>
        <v/>
      </c>
      <c r="I36" s="13">
        <f>IF(B36="","",SUMIF(Оплаты!$A$6:$A$505,C36,Оплаты!$B$6:$B$505))</f>
        <v/>
      </c>
      <c r="J36" s="9">
        <f>IF(B36="","",IF(INDEX('По дням'!$E$2:$E$3662,MATCH(30,'По дням'!$G$2:$G$3662,0))=1,"да",""))</f>
        <v/>
      </c>
    </row>
    <row r="37">
      <c r="A37" s="9">
        <f>IF(B37="","",31)</f>
        <v/>
      </c>
      <c r="B37" s="12">
        <f>IFERROR(INDEX('По дням'!$A$2:$A$3662,MATCH(31,'По дням'!$G$2:$G$3662,0)),"")</f>
        <v/>
      </c>
      <c r="C37" s="12">
        <f>IF(B37="","",INDEX('По дням'!$A$2:$A$3662,MATCH(31,'По дням'!$G$2:$G$3662,0)+COUNTIF('По дням'!$G$2:$G$3662,31)-1))</f>
        <v/>
      </c>
      <c r="D37" s="9">
        <f>IF(B37="","",C37-B37+1)</f>
        <v/>
      </c>
      <c r="E37" s="13">
        <f>IF(B37="","",INDEX('По дням'!$D$2:$D$3662,MATCH(31,'По дням'!$G$2:$G$3662,0)))</f>
        <v/>
      </c>
      <c r="F37" s="9">
        <f>IF(B37="","",INDEX('По дням'!$B$2:$B$3662,MATCH(31,'По дням'!$G$2:$G$3662,0)))</f>
        <v/>
      </c>
      <c r="G37" s="9">
        <f>IF(B37="","",INDEX('По дням'!$C$2:$C$3662,MATCH(31,'По дням'!$G$2:$G$3662,0)))</f>
        <v/>
      </c>
      <c r="H37" s="13">
        <f>IF(OR(B37="",F37=""),"",IF(J37="да",0,ROUND(E37*F37/100*D37/G37,2)))</f>
        <v/>
      </c>
      <c r="I37" s="13">
        <f>IF(B37="","",SUMIF(Оплаты!$A$6:$A$505,C37,Оплаты!$B$6:$B$505))</f>
        <v/>
      </c>
      <c r="J37" s="9">
        <f>IF(B37="","",IF(INDEX('По дням'!$E$2:$E$3662,MATCH(31,'По дням'!$G$2:$G$3662,0))=1,"да",""))</f>
        <v/>
      </c>
    </row>
    <row r="38">
      <c r="A38" s="9">
        <f>IF(B38="","",32)</f>
        <v/>
      </c>
      <c r="B38" s="12">
        <f>IFERROR(INDEX('По дням'!$A$2:$A$3662,MATCH(32,'По дням'!$G$2:$G$3662,0)),"")</f>
        <v/>
      </c>
      <c r="C38" s="12">
        <f>IF(B38="","",INDEX('По дням'!$A$2:$A$3662,MATCH(32,'По дням'!$G$2:$G$3662,0)+COUNTIF('По дням'!$G$2:$G$3662,32)-1))</f>
        <v/>
      </c>
      <c r="D38" s="9">
        <f>IF(B38="","",C38-B38+1)</f>
        <v/>
      </c>
      <c r="E38" s="13">
        <f>IF(B38="","",INDEX('По дням'!$D$2:$D$3662,MATCH(32,'По дням'!$G$2:$G$3662,0)))</f>
        <v/>
      </c>
      <c r="F38" s="9">
        <f>IF(B38="","",INDEX('По дням'!$B$2:$B$3662,MATCH(32,'По дням'!$G$2:$G$3662,0)))</f>
        <v/>
      </c>
      <c r="G38" s="9">
        <f>IF(B38="","",INDEX('По дням'!$C$2:$C$3662,MATCH(32,'По дням'!$G$2:$G$3662,0)))</f>
        <v/>
      </c>
      <c r="H38" s="13">
        <f>IF(OR(B38="",F38=""),"",IF(J38="да",0,ROUND(E38*F38/100*D38/G38,2)))</f>
        <v/>
      </c>
      <c r="I38" s="13">
        <f>IF(B38="","",SUMIF(Оплаты!$A$6:$A$505,C38,Оплаты!$B$6:$B$505))</f>
        <v/>
      </c>
      <c r="J38" s="9">
        <f>IF(B38="","",IF(INDEX('По дням'!$E$2:$E$3662,MATCH(32,'По дням'!$G$2:$G$3662,0))=1,"да",""))</f>
        <v/>
      </c>
    </row>
    <row r="39">
      <c r="A39" s="9">
        <f>IF(B39="","",33)</f>
        <v/>
      </c>
      <c r="B39" s="12">
        <f>IFERROR(INDEX('По дням'!$A$2:$A$3662,MATCH(33,'По дням'!$G$2:$G$3662,0)),"")</f>
        <v/>
      </c>
      <c r="C39" s="12">
        <f>IF(B39="","",INDEX('По дням'!$A$2:$A$3662,MATCH(33,'По дням'!$G$2:$G$3662,0)+COUNTIF('По дням'!$G$2:$G$3662,33)-1))</f>
        <v/>
      </c>
      <c r="D39" s="9">
        <f>IF(B39="","",C39-B39+1)</f>
        <v/>
      </c>
      <c r="E39" s="13">
        <f>IF(B39="","",INDEX('По дням'!$D$2:$D$3662,MATCH(33,'По дням'!$G$2:$G$3662,0)))</f>
        <v/>
      </c>
      <c r="F39" s="9">
        <f>IF(B39="","",INDEX('По дням'!$B$2:$B$3662,MATCH(33,'По дням'!$G$2:$G$3662,0)))</f>
        <v/>
      </c>
      <c r="G39" s="9">
        <f>IF(B39="","",INDEX('По дням'!$C$2:$C$3662,MATCH(33,'По дням'!$G$2:$G$3662,0)))</f>
        <v/>
      </c>
      <c r="H39" s="13">
        <f>IF(OR(B39="",F39=""),"",IF(J39="да",0,ROUND(E39*F39/100*D39/G39,2)))</f>
        <v/>
      </c>
      <c r="I39" s="13">
        <f>IF(B39="","",SUMIF(Оплаты!$A$6:$A$505,C39,Оплаты!$B$6:$B$505))</f>
        <v/>
      </c>
      <c r="J39" s="9">
        <f>IF(B39="","",IF(INDEX('По дням'!$E$2:$E$3662,MATCH(33,'По дням'!$G$2:$G$3662,0))=1,"да",""))</f>
        <v/>
      </c>
    </row>
    <row r="40">
      <c r="A40" s="9">
        <f>IF(B40="","",34)</f>
        <v/>
      </c>
      <c r="B40" s="12">
        <f>IFERROR(INDEX('По дням'!$A$2:$A$3662,MATCH(34,'По дням'!$G$2:$G$3662,0)),"")</f>
        <v/>
      </c>
      <c r="C40" s="12">
        <f>IF(B40="","",INDEX('По дням'!$A$2:$A$3662,MATCH(34,'По дням'!$G$2:$G$3662,0)+COUNTIF('По дням'!$G$2:$G$3662,34)-1))</f>
        <v/>
      </c>
      <c r="D40" s="9">
        <f>IF(B40="","",C40-B40+1)</f>
        <v/>
      </c>
      <c r="E40" s="13">
        <f>IF(B40="","",INDEX('По дням'!$D$2:$D$3662,MATCH(34,'По дням'!$G$2:$G$3662,0)))</f>
        <v/>
      </c>
      <c r="F40" s="9">
        <f>IF(B40="","",INDEX('По дням'!$B$2:$B$3662,MATCH(34,'По дням'!$G$2:$G$3662,0)))</f>
        <v/>
      </c>
      <c r="G40" s="9">
        <f>IF(B40="","",INDEX('По дням'!$C$2:$C$3662,MATCH(34,'По дням'!$G$2:$G$3662,0)))</f>
        <v/>
      </c>
      <c r="H40" s="13">
        <f>IF(OR(B40="",F40=""),"",IF(J40="да",0,ROUND(E40*F40/100*D40/G40,2)))</f>
        <v/>
      </c>
      <c r="I40" s="13">
        <f>IF(B40="","",SUMIF(Оплаты!$A$6:$A$505,C40,Оплаты!$B$6:$B$505))</f>
        <v/>
      </c>
      <c r="J40" s="9">
        <f>IF(B40="","",IF(INDEX('По дням'!$E$2:$E$3662,MATCH(34,'По дням'!$G$2:$G$3662,0))=1,"да",""))</f>
        <v/>
      </c>
    </row>
    <row r="41">
      <c r="A41" s="9">
        <f>IF(B41="","",35)</f>
        <v/>
      </c>
      <c r="B41" s="12">
        <f>IFERROR(INDEX('По дням'!$A$2:$A$3662,MATCH(35,'По дням'!$G$2:$G$3662,0)),"")</f>
        <v/>
      </c>
      <c r="C41" s="12">
        <f>IF(B41="","",INDEX('По дням'!$A$2:$A$3662,MATCH(35,'По дням'!$G$2:$G$3662,0)+COUNTIF('По дням'!$G$2:$G$3662,35)-1))</f>
        <v/>
      </c>
      <c r="D41" s="9">
        <f>IF(B41="","",C41-B41+1)</f>
        <v/>
      </c>
      <c r="E41" s="13">
        <f>IF(B41="","",INDEX('По дням'!$D$2:$D$3662,MATCH(35,'По дням'!$G$2:$G$3662,0)))</f>
        <v/>
      </c>
      <c r="F41" s="9">
        <f>IF(B41="","",INDEX('По дням'!$B$2:$B$3662,MATCH(35,'По дням'!$G$2:$G$3662,0)))</f>
        <v/>
      </c>
      <c r="G41" s="9">
        <f>IF(B41="","",INDEX('По дням'!$C$2:$C$3662,MATCH(35,'По дням'!$G$2:$G$3662,0)))</f>
        <v/>
      </c>
      <c r="H41" s="13">
        <f>IF(OR(B41="",F41=""),"",IF(J41="да",0,ROUND(E41*F41/100*D41/G41,2)))</f>
        <v/>
      </c>
      <c r="I41" s="13">
        <f>IF(B41="","",SUMIF(Оплаты!$A$6:$A$505,C41,Оплаты!$B$6:$B$505))</f>
        <v/>
      </c>
      <c r="J41" s="9">
        <f>IF(B41="","",IF(INDEX('По дням'!$E$2:$E$3662,MATCH(35,'По дням'!$G$2:$G$3662,0))=1,"да",""))</f>
        <v/>
      </c>
    </row>
    <row r="42">
      <c r="A42" s="9">
        <f>IF(B42="","",36)</f>
        <v/>
      </c>
      <c r="B42" s="12">
        <f>IFERROR(INDEX('По дням'!$A$2:$A$3662,MATCH(36,'По дням'!$G$2:$G$3662,0)),"")</f>
        <v/>
      </c>
      <c r="C42" s="12">
        <f>IF(B42="","",INDEX('По дням'!$A$2:$A$3662,MATCH(36,'По дням'!$G$2:$G$3662,0)+COUNTIF('По дням'!$G$2:$G$3662,36)-1))</f>
        <v/>
      </c>
      <c r="D42" s="9">
        <f>IF(B42="","",C42-B42+1)</f>
        <v/>
      </c>
      <c r="E42" s="13">
        <f>IF(B42="","",INDEX('По дням'!$D$2:$D$3662,MATCH(36,'По дням'!$G$2:$G$3662,0)))</f>
        <v/>
      </c>
      <c r="F42" s="9">
        <f>IF(B42="","",INDEX('По дням'!$B$2:$B$3662,MATCH(36,'По дням'!$G$2:$G$3662,0)))</f>
        <v/>
      </c>
      <c r="G42" s="9">
        <f>IF(B42="","",INDEX('По дням'!$C$2:$C$3662,MATCH(36,'По дням'!$G$2:$G$3662,0)))</f>
        <v/>
      </c>
      <c r="H42" s="13">
        <f>IF(OR(B42="",F42=""),"",IF(J42="да",0,ROUND(E42*F42/100*D42/G42,2)))</f>
        <v/>
      </c>
      <c r="I42" s="13">
        <f>IF(B42="","",SUMIF(Оплаты!$A$6:$A$505,C42,Оплаты!$B$6:$B$505))</f>
        <v/>
      </c>
      <c r="J42" s="9">
        <f>IF(B42="","",IF(INDEX('По дням'!$E$2:$E$3662,MATCH(36,'По дням'!$G$2:$G$3662,0))=1,"да",""))</f>
        <v/>
      </c>
    </row>
    <row r="43">
      <c r="A43" s="9">
        <f>IF(B43="","",37)</f>
        <v/>
      </c>
      <c r="B43" s="12">
        <f>IFERROR(INDEX('По дням'!$A$2:$A$3662,MATCH(37,'По дням'!$G$2:$G$3662,0)),"")</f>
        <v/>
      </c>
      <c r="C43" s="12">
        <f>IF(B43="","",INDEX('По дням'!$A$2:$A$3662,MATCH(37,'По дням'!$G$2:$G$3662,0)+COUNTIF('По дням'!$G$2:$G$3662,37)-1))</f>
        <v/>
      </c>
      <c r="D43" s="9">
        <f>IF(B43="","",C43-B43+1)</f>
        <v/>
      </c>
      <c r="E43" s="13">
        <f>IF(B43="","",INDEX('По дням'!$D$2:$D$3662,MATCH(37,'По дням'!$G$2:$G$3662,0)))</f>
        <v/>
      </c>
      <c r="F43" s="9">
        <f>IF(B43="","",INDEX('По дням'!$B$2:$B$3662,MATCH(37,'По дням'!$G$2:$G$3662,0)))</f>
        <v/>
      </c>
      <c r="G43" s="9">
        <f>IF(B43="","",INDEX('По дням'!$C$2:$C$3662,MATCH(37,'По дням'!$G$2:$G$3662,0)))</f>
        <v/>
      </c>
      <c r="H43" s="13">
        <f>IF(OR(B43="",F43=""),"",IF(J43="да",0,ROUND(E43*F43/100*D43/G43,2)))</f>
        <v/>
      </c>
      <c r="I43" s="13">
        <f>IF(B43="","",SUMIF(Оплаты!$A$6:$A$505,C43,Оплаты!$B$6:$B$505))</f>
        <v/>
      </c>
      <c r="J43" s="9">
        <f>IF(B43="","",IF(INDEX('По дням'!$E$2:$E$3662,MATCH(37,'По дням'!$G$2:$G$3662,0))=1,"да",""))</f>
        <v/>
      </c>
    </row>
    <row r="44">
      <c r="A44" s="9">
        <f>IF(B44="","",38)</f>
        <v/>
      </c>
      <c r="B44" s="12">
        <f>IFERROR(INDEX('По дням'!$A$2:$A$3662,MATCH(38,'По дням'!$G$2:$G$3662,0)),"")</f>
        <v/>
      </c>
      <c r="C44" s="12">
        <f>IF(B44="","",INDEX('По дням'!$A$2:$A$3662,MATCH(38,'По дням'!$G$2:$G$3662,0)+COUNTIF('По дням'!$G$2:$G$3662,38)-1))</f>
        <v/>
      </c>
      <c r="D44" s="9">
        <f>IF(B44="","",C44-B44+1)</f>
        <v/>
      </c>
      <c r="E44" s="13">
        <f>IF(B44="","",INDEX('По дням'!$D$2:$D$3662,MATCH(38,'По дням'!$G$2:$G$3662,0)))</f>
        <v/>
      </c>
      <c r="F44" s="9">
        <f>IF(B44="","",INDEX('По дням'!$B$2:$B$3662,MATCH(38,'По дням'!$G$2:$G$3662,0)))</f>
        <v/>
      </c>
      <c r="G44" s="9">
        <f>IF(B44="","",INDEX('По дням'!$C$2:$C$3662,MATCH(38,'По дням'!$G$2:$G$3662,0)))</f>
        <v/>
      </c>
      <c r="H44" s="13">
        <f>IF(OR(B44="",F44=""),"",IF(J44="да",0,ROUND(E44*F44/100*D44/G44,2)))</f>
        <v/>
      </c>
      <c r="I44" s="13">
        <f>IF(B44="","",SUMIF(Оплаты!$A$6:$A$505,C44,Оплаты!$B$6:$B$505))</f>
        <v/>
      </c>
      <c r="J44" s="9">
        <f>IF(B44="","",IF(INDEX('По дням'!$E$2:$E$3662,MATCH(38,'По дням'!$G$2:$G$3662,0))=1,"да",""))</f>
        <v/>
      </c>
    </row>
    <row r="45">
      <c r="A45" s="9">
        <f>IF(B45="","",39)</f>
        <v/>
      </c>
      <c r="B45" s="12">
        <f>IFERROR(INDEX('По дням'!$A$2:$A$3662,MATCH(39,'По дням'!$G$2:$G$3662,0)),"")</f>
        <v/>
      </c>
      <c r="C45" s="12">
        <f>IF(B45="","",INDEX('По дням'!$A$2:$A$3662,MATCH(39,'По дням'!$G$2:$G$3662,0)+COUNTIF('По дням'!$G$2:$G$3662,39)-1))</f>
        <v/>
      </c>
      <c r="D45" s="9">
        <f>IF(B45="","",C45-B45+1)</f>
        <v/>
      </c>
      <c r="E45" s="13">
        <f>IF(B45="","",INDEX('По дням'!$D$2:$D$3662,MATCH(39,'По дням'!$G$2:$G$3662,0)))</f>
        <v/>
      </c>
      <c r="F45" s="9">
        <f>IF(B45="","",INDEX('По дням'!$B$2:$B$3662,MATCH(39,'По дням'!$G$2:$G$3662,0)))</f>
        <v/>
      </c>
      <c r="G45" s="9">
        <f>IF(B45="","",INDEX('По дням'!$C$2:$C$3662,MATCH(39,'По дням'!$G$2:$G$3662,0)))</f>
        <v/>
      </c>
      <c r="H45" s="13">
        <f>IF(OR(B45="",F45=""),"",IF(J45="да",0,ROUND(E45*F45/100*D45/G45,2)))</f>
        <v/>
      </c>
      <c r="I45" s="13">
        <f>IF(B45="","",SUMIF(Оплаты!$A$6:$A$505,C45,Оплаты!$B$6:$B$505))</f>
        <v/>
      </c>
      <c r="J45" s="9">
        <f>IF(B45="","",IF(INDEX('По дням'!$E$2:$E$3662,MATCH(39,'По дням'!$G$2:$G$3662,0))=1,"да",""))</f>
        <v/>
      </c>
    </row>
    <row r="46">
      <c r="A46" s="9">
        <f>IF(B46="","",40)</f>
        <v/>
      </c>
      <c r="B46" s="12">
        <f>IFERROR(INDEX('По дням'!$A$2:$A$3662,MATCH(40,'По дням'!$G$2:$G$3662,0)),"")</f>
        <v/>
      </c>
      <c r="C46" s="12">
        <f>IF(B46="","",INDEX('По дням'!$A$2:$A$3662,MATCH(40,'По дням'!$G$2:$G$3662,0)+COUNTIF('По дням'!$G$2:$G$3662,40)-1))</f>
        <v/>
      </c>
      <c r="D46" s="9">
        <f>IF(B46="","",C46-B46+1)</f>
        <v/>
      </c>
      <c r="E46" s="13">
        <f>IF(B46="","",INDEX('По дням'!$D$2:$D$3662,MATCH(40,'По дням'!$G$2:$G$3662,0)))</f>
        <v/>
      </c>
      <c r="F46" s="9">
        <f>IF(B46="","",INDEX('По дням'!$B$2:$B$3662,MATCH(40,'По дням'!$G$2:$G$3662,0)))</f>
        <v/>
      </c>
      <c r="G46" s="9">
        <f>IF(B46="","",INDEX('По дням'!$C$2:$C$3662,MATCH(40,'По дням'!$G$2:$G$3662,0)))</f>
        <v/>
      </c>
      <c r="H46" s="13">
        <f>IF(OR(B46="",F46=""),"",IF(J46="да",0,ROUND(E46*F46/100*D46/G46,2)))</f>
        <v/>
      </c>
      <c r="I46" s="13">
        <f>IF(B46="","",SUMIF(Оплаты!$A$6:$A$505,C46,Оплаты!$B$6:$B$505))</f>
        <v/>
      </c>
      <c r="J46" s="9">
        <f>IF(B46="","",IF(INDEX('По дням'!$E$2:$E$3662,MATCH(40,'По дням'!$G$2:$G$3662,0))=1,"да",""))</f>
        <v/>
      </c>
    </row>
    <row r="47">
      <c r="A47" s="9">
        <f>IF(B47="","",41)</f>
        <v/>
      </c>
      <c r="B47" s="12">
        <f>IFERROR(INDEX('По дням'!$A$2:$A$3662,MATCH(41,'По дням'!$G$2:$G$3662,0)),"")</f>
        <v/>
      </c>
      <c r="C47" s="12">
        <f>IF(B47="","",INDEX('По дням'!$A$2:$A$3662,MATCH(41,'По дням'!$G$2:$G$3662,0)+COUNTIF('По дням'!$G$2:$G$3662,41)-1))</f>
        <v/>
      </c>
      <c r="D47" s="9">
        <f>IF(B47="","",C47-B47+1)</f>
        <v/>
      </c>
      <c r="E47" s="13">
        <f>IF(B47="","",INDEX('По дням'!$D$2:$D$3662,MATCH(41,'По дням'!$G$2:$G$3662,0)))</f>
        <v/>
      </c>
      <c r="F47" s="9">
        <f>IF(B47="","",INDEX('По дням'!$B$2:$B$3662,MATCH(41,'По дням'!$G$2:$G$3662,0)))</f>
        <v/>
      </c>
      <c r="G47" s="9">
        <f>IF(B47="","",INDEX('По дням'!$C$2:$C$3662,MATCH(41,'По дням'!$G$2:$G$3662,0)))</f>
        <v/>
      </c>
      <c r="H47" s="13">
        <f>IF(OR(B47="",F47=""),"",IF(J47="да",0,ROUND(E47*F47/100*D47/G47,2)))</f>
        <v/>
      </c>
      <c r="I47" s="13">
        <f>IF(B47="","",SUMIF(Оплаты!$A$6:$A$505,C47,Оплаты!$B$6:$B$505))</f>
        <v/>
      </c>
      <c r="J47" s="9">
        <f>IF(B47="","",IF(INDEX('По дням'!$E$2:$E$3662,MATCH(41,'По дням'!$G$2:$G$3662,0))=1,"да",""))</f>
        <v/>
      </c>
    </row>
    <row r="48">
      <c r="A48" s="9">
        <f>IF(B48="","",42)</f>
        <v/>
      </c>
      <c r="B48" s="12">
        <f>IFERROR(INDEX('По дням'!$A$2:$A$3662,MATCH(42,'По дням'!$G$2:$G$3662,0)),"")</f>
        <v/>
      </c>
      <c r="C48" s="12">
        <f>IF(B48="","",INDEX('По дням'!$A$2:$A$3662,MATCH(42,'По дням'!$G$2:$G$3662,0)+COUNTIF('По дням'!$G$2:$G$3662,42)-1))</f>
        <v/>
      </c>
      <c r="D48" s="9">
        <f>IF(B48="","",C48-B48+1)</f>
        <v/>
      </c>
      <c r="E48" s="13">
        <f>IF(B48="","",INDEX('По дням'!$D$2:$D$3662,MATCH(42,'По дням'!$G$2:$G$3662,0)))</f>
        <v/>
      </c>
      <c r="F48" s="9">
        <f>IF(B48="","",INDEX('По дням'!$B$2:$B$3662,MATCH(42,'По дням'!$G$2:$G$3662,0)))</f>
        <v/>
      </c>
      <c r="G48" s="9">
        <f>IF(B48="","",INDEX('По дням'!$C$2:$C$3662,MATCH(42,'По дням'!$G$2:$G$3662,0)))</f>
        <v/>
      </c>
      <c r="H48" s="13">
        <f>IF(OR(B48="",F48=""),"",IF(J48="да",0,ROUND(E48*F48/100*D48/G48,2)))</f>
        <v/>
      </c>
      <c r="I48" s="13">
        <f>IF(B48="","",SUMIF(Оплаты!$A$6:$A$505,C48,Оплаты!$B$6:$B$505))</f>
        <v/>
      </c>
      <c r="J48" s="9">
        <f>IF(B48="","",IF(INDEX('По дням'!$E$2:$E$3662,MATCH(42,'По дням'!$G$2:$G$3662,0))=1,"да",""))</f>
        <v/>
      </c>
    </row>
    <row r="49">
      <c r="A49" s="9">
        <f>IF(B49="","",43)</f>
        <v/>
      </c>
      <c r="B49" s="12">
        <f>IFERROR(INDEX('По дням'!$A$2:$A$3662,MATCH(43,'По дням'!$G$2:$G$3662,0)),"")</f>
        <v/>
      </c>
      <c r="C49" s="12">
        <f>IF(B49="","",INDEX('По дням'!$A$2:$A$3662,MATCH(43,'По дням'!$G$2:$G$3662,0)+COUNTIF('По дням'!$G$2:$G$3662,43)-1))</f>
        <v/>
      </c>
      <c r="D49" s="9">
        <f>IF(B49="","",C49-B49+1)</f>
        <v/>
      </c>
      <c r="E49" s="13">
        <f>IF(B49="","",INDEX('По дням'!$D$2:$D$3662,MATCH(43,'По дням'!$G$2:$G$3662,0)))</f>
        <v/>
      </c>
      <c r="F49" s="9">
        <f>IF(B49="","",INDEX('По дням'!$B$2:$B$3662,MATCH(43,'По дням'!$G$2:$G$3662,0)))</f>
        <v/>
      </c>
      <c r="G49" s="9">
        <f>IF(B49="","",INDEX('По дням'!$C$2:$C$3662,MATCH(43,'По дням'!$G$2:$G$3662,0)))</f>
        <v/>
      </c>
      <c r="H49" s="13">
        <f>IF(OR(B49="",F49=""),"",IF(J49="да",0,ROUND(E49*F49/100*D49/G49,2)))</f>
        <v/>
      </c>
      <c r="I49" s="13">
        <f>IF(B49="","",SUMIF(Оплаты!$A$6:$A$505,C49,Оплаты!$B$6:$B$505))</f>
        <v/>
      </c>
      <c r="J49" s="9">
        <f>IF(B49="","",IF(INDEX('По дням'!$E$2:$E$3662,MATCH(43,'По дням'!$G$2:$G$3662,0))=1,"да",""))</f>
        <v/>
      </c>
    </row>
    <row r="50">
      <c r="A50" s="9">
        <f>IF(B50="","",44)</f>
        <v/>
      </c>
      <c r="B50" s="12">
        <f>IFERROR(INDEX('По дням'!$A$2:$A$3662,MATCH(44,'По дням'!$G$2:$G$3662,0)),"")</f>
        <v/>
      </c>
      <c r="C50" s="12">
        <f>IF(B50="","",INDEX('По дням'!$A$2:$A$3662,MATCH(44,'По дням'!$G$2:$G$3662,0)+COUNTIF('По дням'!$G$2:$G$3662,44)-1))</f>
        <v/>
      </c>
      <c r="D50" s="9">
        <f>IF(B50="","",C50-B50+1)</f>
        <v/>
      </c>
      <c r="E50" s="13">
        <f>IF(B50="","",INDEX('По дням'!$D$2:$D$3662,MATCH(44,'По дням'!$G$2:$G$3662,0)))</f>
        <v/>
      </c>
      <c r="F50" s="9">
        <f>IF(B50="","",INDEX('По дням'!$B$2:$B$3662,MATCH(44,'По дням'!$G$2:$G$3662,0)))</f>
        <v/>
      </c>
      <c r="G50" s="9">
        <f>IF(B50="","",INDEX('По дням'!$C$2:$C$3662,MATCH(44,'По дням'!$G$2:$G$3662,0)))</f>
        <v/>
      </c>
      <c r="H50" s="13">
        <f>IF(OR(B50="",F50=""),"",IF(J50="да",0,ROUND(E50*F50/100*D50/G50,2)))</f>
        <v/>
      </c>
      <c r="I50" s="13">
        <f>IF(B50="","",SUMIF(Оплаты!$A$6:$A$505,C50,Оплаты!$B$6:$B$505))</f>
        <v/>
      </c>
      <c r="J50" s="9">
        <f>IF(B50="","",IF(INDEX('По дням'!$E$2:$E$3662,MATCH(44,'По дням'!$G$2:$G$3662,0))=1,"да",""))</f>
        <v/>
      </c>
    </row>
    <row r="51">
      <c r="A51" s="9">
        <f>IF(B51="","",45)</f>
        <v/>
      </c>
      <c r="B51" s="12">
        <f>IFERROR(INDEX('По дням'!$A$2:$A$3662,MATCH(45,'По дням'!$G$2:$G$3662,0)),"")</f>
        <v/>
      </c>
      <c r="C51" s="12">
        <f>IF(B51="","",INDEX('По дням'!$A$2:$A$3662,MATCH(45,'По дням'!$G$2:$G$3662,0)+COUNTIF('По дням'!$G$2:$G$3662,45)-1))</f>
        <v/>
      </c>
      <c r="D51" s="9">
        <f>IF(B51="","",C51-B51+1)</f>
        <v/>
      </c>
      <c r="E51" s="13">
        <f>IF(B51="","",INDEX('По дням'!$D$2:$D$3662,MATCH(45,'По дням'!$G$2:$G$3662,0)))</f>
        <v/>
      </c>
      <c r="F51" s="9">
        <f>IF(B51="","",INDEX('По дням'!$B$2:$B$3662,MATCH(45,'По дням'!$G$2:$G$3662,0)))</f>
        <v/>
      </c>
      <c r="G51" s="9">
        <f>IF(B51="","",INDEX('По дням'!$C$2:$C$3662,MATCH(45,'По дням'!$G$2:$G$3662,0)))</f>
        <v/>
      </c>
      <c r="H51" s="13">
        <f>IF(OR(B51="",F51=""),"",IF(J51="да",0,ROUND(E51*F51/100*D51/G51,2)))</f>
        <v/>
      </c>
      <c r="I51" s="13">
        <f>IF(B51="","",SUMIF(Оплаты!$A$6:$A$505,C51,Оплаты!$B$6:$B$505))</f>
        <v/>
      </c>
      <c r="J51" s="9">
        <f>IF(B51="","",IF(INDEX('По дням'!$E$2:$E$3662,MATCH(45,'По дням'!$G$2:$G$3662,0))=1,"да",""))</f>
        <v/>
      </c>
    </row>
    <row r="52">
      <c r="A52" s="9">
        <f>IF(B52="","",46)</f>
        <v/>
      </c>
      <c r="B52" s="12">
        <f>IFERROR(INDEX('По дням'!$A$2:$A$3662,MATCH(46,'По дням'!$G$2:$G$3662,0)),"")</f>
        <v/>
      </c>
      <c r="C52" s="12">
        <f>IF(B52="","",INDEX('По дням'!$A$2:$A$3662,MATCH(46,'По дням'!$G$2:$G$3662,0)+COUNTIF('По дням'!$G$2:$G$3662,46)-1))</f>
        <v/>
      </c>
      <c r="D52" s="9">
        <f>IF(B52="","",C52-B52+1)</f>
        <v/>
      </c>
      <c r="E52" s="13">
        <f>IF(B52="","",INDEX('По дням'!$D$2:$D$3662,MATCH(46,'По дням'!$G$2:$G$3662,0)))</f>
        <v/>
      </c>
      <c r="F52" s="9">
        <f>IF(B52="","",INDEX('По дням'!$B$2:$B$3662,MATCH(46,'По дням'!$G$2:$G$3662,0)))</f>
        <v/>
      </c>
      <c r="G52" s="9">
        <f>IF(B52="","",INDEX('По дням'!$C$2:$C$3662,MATCH(46,'По дням'!$G$2:$G$3662,0)))</f>
        <v/>
      </c>
      <c r="H52" s="13">
        <f>IF(OR(B52="",F52=""),"",IF(J52="да",0,ROUND(E52*F52/100*D52/G52,2)))</f>
        <v/>
      </c>
      <c r="I52" s="13">
        <f>IF(B52="","",SUMIF(Оплаты!$A$6:$A$505,C52,Оплаты!$B$6:$B$505))</f>
        <v/>
      </c>
      <c r="J52" s="9">
        <f>IF(B52="","",IF(INDEX('По дням'!$E$2:$E$3662,MATCH(46,'По дням'!$G$2:$G$3662,0))=1,"да",""))</f>
        <v/>
      </c>
    </row>
    <row r="53">
      <c r="A53" s="9">
        <f>IF(B53="","",47)</f>
        <v/>
      </c>
      <c r="B53" s="12">
        <f>IFERROR(INDEX('По дням'!$A$2:$A$3662,MATCH(47,'По дням'!$G$2:$G$3662,0)),"")</f>
        <v/>
      </c>
      <c r="C53" s="12">
        <f>IF(B53="","",INDEX('По дням'!$A$2:$A$3662,MATCH(47,'По дням'!$G$2:$G$3662,0)+COUNTIF('По дням'!$G$2:$G$3662,47)-1))</f>
        <v/>
      </c>
      <c r="D53" s="9">
        <f>IF(B53="","",C53-B53+1)</f>
        <v/>
      </c>
      <c r="E53" s="13">
        <f>IF(B53="","",INDEX('По дням'!$D$2:$D$3662,MATCH(47,'По дням'!$G$2:$G$3662,0)))</f>
        <v/>
      </c>
      <c r="F53" s="9">
        <f>IF(B53="","",INDEX('По дням'!$B$2:$B$3662,MATCH(47,'По дням'!$G$2:$G$3662,0)))</f>
        <v/>
      </c>
      <c r="G53" s="9">
        <f>IF(B53="","",INDEX('По дням'!$C$2:$C$3662,MATCH(47,'По дням'!$G$2:$G$3662,0)))</f>
        <v/>
      </c>
      <c r="H53" s="13">
        <f>IF(OR(B53="",F53=""),"",IF(J53="да",0,ROUND(E53*F53/100*D53/G53,2)))</f>
        <v/>
      </c>
      <c r="I53" s="13">
        <f>IF(B53="","",SUMIF(Оплаты!$A$6:$A$505,C53,Оплаты!$B$6:$B$505))</f>
        <v/>
      </c>
      <c r="J53" s="9">
        <f>IF(B53="","",IF(INDEX('По дням'!$E$2:$E$3662,MATCH(47,'По дням'!$G$2:$G$3662,0))=1,"да",""))</f>
        <v/>
      </c>
    </row>
    <row r="54">
      <c r="A54" s="9">
        <f>IF(B54="","",48)</f>
        <v/>
      </c>
      <c r="B54" s="12">
        <f>IFERROR(INDEX('По дням'!$A$2:$A$3662,MATCH(48,'По дням'!$G$2:$G$3662,0)),"")</f>
        <v/>
      </c>
      <c r="C54" s="12">
        <f>IF(B54="","",INDEX('По дням'!$A$2:$A$3662,MATCH(48,'По дням'!$G$2:$G$3662,0)+COUNTIF('По дням'!$G$2:$G$3662,48)-1))</f>
        <v/>
      </c>
      <c r="D54" s="9">
        <f>IF(B54="","",C54-B54+1)</f>
        <v/>
      </c>
      <c r="E54" s="13">
        <f>IF(B54="","",INDEX('По дням'!$D$2:$D$3662,MATCH(48,'По дням'!$G$2:$G$3662,0)))</f>
        <v/>
      </c>
      <c r="F54" s="9">
        <f>IF(B54="","",INDEX('По дням'!$B$2:$B$3662,MATCH(48,'По дням'!$G$2:$G$3662,0)))</f>
        <v/>
      </c>
      <c r="G54" s="9">
        <f>IF(B54="","",INDEX('По дням'!$C$2:$C$3662,MATCH(48,'По дням'!$G$2:$G$3662,0)))</f>
        <v/>
      </c>
      <c r="H54" s="13">
        <f>IF(OR(B54="",F54=""),"",IF(J54="да",0,ROUND(E54*F54/100*D54/G54,2)))</f>
        <v/>
      </c>
      <c r="I54" s="13">
        <f>IF(B54="","",SUMIF(Оплаты!$A$6:$A$505,C54,Оплаты!$B$6:$B$505))</f>
        <v/>
      </c>
      <c r="J54" s="9">
        <f>IF(B54="","",IF(INDEX('По дням'!$E$2:$E$3662,MATCH(48,'По дням'!$G$2:$G$3662,0))=1,"да",""))</f>
        <v/>
      </c>
    </row>
    <row r="55">
      <c r="A55" s="9">
        <f>IF(B55="","",49)</f>
        <v/>
      </c>
      <c r="B55" s="12">
        <f>IFERROR(INDEX('По дням'!$A$2:$A$3662,MATCH(49,'По дням'!$G$2:$G$3662,0)),"")</f>
        <v/>
      </c>
      <c r="C55" s="12">
        <f>IF(B55="","",INDEX('По дням'!$A$2:$A$3662,MATCH(49,'По дням'!$G$2:$G$3662,0)+COUNTIF('По дням'!$G$2:$G$3662,49)-1))</f>
        <v/>
      </c>
      <c r="D55" s="9">
        <f>IF(B55="","",C55-B55+1)</f>
        <v/>
      </c>
      <c r="E55" s="13">
        <f>IF(B55="","",INDEX('По дням'!$D$2:$D$3662,MATCH(49,'По дням'!$G$2:$G$3662,0)))</f>
        <v/>
      </c>
      <c r="F55" s="9">
        <f>IF(B55="","",INDEX('По дням'!$B$2:$B$3662,MATCH(49,'По дням'!$G$2:$G$3662,0)))</f>
        <v/>
      </c>
      <c r="G55" s="9">
        <f>IF(B55="","",INDEX('По дням'!$C$2:$C$3662,MATCH(49,'По дням'!$G$2:$G$3662,0)))</f>
        <v/>
      </c>
      <c r="H55" s="13">
        <f>IF(OR(B55="",F55=""),"",IF(J55="да",0,ROUND(E55*F55/100*D55/G55,2)))</f>
        <v/>
      </c>
      <c r="I55" s="13">
        <f>IF(B55="","",SUMIF(Оплаты!$A$6:$A$505,C55,Оплаты!$B$6:$B$505))</f>
        <v/>
      </c>
      <c r="J55" s="9">
        <f>IF(B55="","",IF(INDEX('По дням'!$E$2:$E$3662,MATCH(49,'По дням'!$G$2:$G$3662,0))=1,"да",""))</f>
        <v/>
      </c>
    </row>
    <row r="56">
      <c r="A56" s="9">
        <f>IF(B56="","",50)</f>
        <v/>
      </c>
      <c r="B56" s="12">
        <f>IFERROR(INDEX('По дням'!$A$2:$A$3662,MATCH(50,'По дням'!$G$2:$G$3662,0)),"")</f>
        <v/>
      </c>
      <c r="C56" s="12">
        <f>IF(B56="","",INDEX('По дням'!$A$2:$A$3662,MATCH(50,'По дням'!$G$2:$G$3662,0)+COUNTIF('По дням'!$G$2:$G$3662,50)-1))</f>
        <v/>
      </c>
      <c r="D56" s="9">
        <f>IF(B56="","",C56-B56+1)</f>
        <v/>
      </c>
      <c r="E56" s="13">
        <f>IF(B56="","",INDEX('По дням'!$D$2:$D$3662,MATCH(50,'По дням'!$G$2:$G$3662,0)))</f>
        <v/>
      </c>
      <c r="F56" s="9">
        <f>IF(B56="","",INDEX('По дням'!$B$2:$B$3662,MATCH(50,'По дням'!$G$2:$G$3662,0)))</f>
        <v/>
      </c>
      <c r="G56" s="9">
        <f>IF(B56="","",INDEX('По дням'!$C$2:$C$3662,MATCH(50,'По дням'!$G$2:$G$3662,0)))</f>
        <v/>
      </c>
      <c r="H56" s="13">
        <f>IF(OR(B56="",F56=""),"",IF(J56="да",0,ROUND(E56*F56/100*D56/G56,2)))</f>
        <v/>
      </c>
      <c r="I56" s="13">
        <f>IF(B56="","",SUMIF(Оплаты!$A$6:$A$505,C56,Оплаты!$B$6:$B$505))</f>
        <v/>
      </c>
      <c r="J56" s="9">
        <f>IF(B56="","",IF(INDEX('По дням'!$E$2:$E$3662,MATCH(50,'По дням'!$G$2:$G$3662,0))=1,"да",""))</f>
        <v/>
      </c>
    </row>
    <row r="57">
      <c r="A57" s="9">
        <f>IF(B57="","",51)</f>
        <v/>
      </c>
      <c r="B57" s="12">
        <f>IFERROR(INDEX('По дням'!$A$2:$A$3662,MATCH(51,'По дням'!$G$2:$G$3662,0)),"")</f>
        <v/>
      </c>
      <c r="C57" s="12">
        <f>IF(B57="","",INDEX('По дням'!$A$2:$A$3662,MATCH(51,'По дням'!$G$2:$G$3662,0)+COUNTIF('По дням'!$G$2:$G$3662,51)-1))</f>
        <v/>
      </c>
      <c r="D57" s="9">
        <f>IF(B57="","",C57-B57+1)</f>
        <v/>
      </c>
      <c r="E57" s="13">
        <f>IF(B57="","",INDEX('По дням'!$D$2:$D$3662,MATCH(51,'По дням'!$G$2:$G$3662,0)))</f>
        <v/>
      </c>
      <c r="F57" s="9">
        <f>IF(B57="","",INDEX('По дням'!$B$2:$B$3662,MATCH(51,'По дням'!$G$2:$G$3662,0)))</f>
        <v/>
      </c>
      <c r="G57" s="9">
        <f>IF(B57="","",INDEX('По дням'!$C$2:$C$3662,MATCH(51,'По дням'!$G$2:$G$3662,0)))</f>
        <v/>
      </c>
      <c r="H57" s="13">
        <f>IF(OR(B57="",F57=""),"",IF(J57="да",0,ROUND(E57*F57/100*D57/G57,2)))</f>
        <v/>
      </c>
      <c r="I57" s="13">
        <f>IF(B57="","",SUMIF(Оплаты!$A$6:$A$505,C57,Оплаты!$B$6:$B$505))</f>
        <v/>
      </c>
      <c r="J57" s="9">
        <f>IF(B57="","",IF(INDEX('По дням'!$E$2:$E$3662,MATCH(51,'По дням'!$G$2:$G$3662,0))=1,"да",""))</f>
        <v/>
      </c>
    </row>
    <row r="58">
      <c r="A58" s="9">
        <f>IF(B58="","",52)</f>
        <v/>
      </c>
      <c r="B58" s="12">
        <f>IFERROR(INDEX('По дням'!$A$2:$A$3662,MATCH(52,'По дням'!$G$2:$G$3662,0)),"")</f>
        <v/>
      </c>
      <c r="C58" s="12">
        <f>IF(B58="","",INDEX('По дням'!$A$2:$A$3662,MATCH(52,'По дням'!$G$2:$G$3662,0)+COUNTIF('По дням'!$G$2:$G$3662,52)-1))</f>
        <v/>
      </c>
      <c r="D58" s="9">
        <f>IF(B58="","",C58-B58+1)</f>
        <v/>
      </c>
      <c r="E58" s="13">
        <f>IF(B58="","",INDEX('По дням'!$D$2:$D$3662,MATCH(52,'По дням'!$G$2:$G$3662,0)))</f>
        <v/>
      </c>
      <c r="F58" s="9">
        <f>IF(B58="","",INDEX('По дням'!$B$2:$B$3662,MATCH(52,'По дням'!$G$2:$G$3662,0)))</f>
        <v/>
      </c>
      <c r="G58" s="9">
        <f>IF(B58="","",INDEX('По дням'!$C$2:$C$3662,MATCH(52,'По дням'!$G$2:$G$3662,0)))</f>
        <v/>
      </c>
      <c r="H58" s="13">
        <f>IF(OR(B58="",F58=""),"",IF(J58="да",0,ROUND(E58*F58/100*D58/G58,2)))</f>
        <v/>
      </c>
      <c r="I58" s="13">
        <f>IF(B58="","",SUMIF(Оплаты!$A$6:$A$505,C58,Оплаты!$B$6:$B$505))</f>
        <v/>
      </c>
      <c r="J58" s="9">
        <f>IF(B58="","",IF(INDEX('По дням'!$E$2:$E$3662,MATCH(52,'По дням'!$G$2:$G$3662,0))=1,"да",""))</f>
        <v/>
      </c>
    </row>
    <row r="59">
      <c r="A59" s="9">
        <f>IF(B59="","",53)</f>
        <v/>
      </c>
      <c r="B59" s="12">
        <f>IFERROR(INDEX('По дням'!$A$2:$A$3662,MATCH(53,'По дням'!$G$2:$G$3662,0)),"")</f>
        <v/>
      </c>
      <c r="C59" s="12">
        <f>IF(B59="","",INDEX('По дням'!$A$2:$A$3662,MATCH(53,'По дням'!$G$2:$G$3662,0)+COUNTIF('По дням'!$G$2:$G$3662,53)-1))</f>
        <v/>
      </c>
      <c r="D59" s="9">
        <f>IF(B59="","",C59-B59+1)</f>
        <v/>
      </c>
      <c r="E59" s="13">
        <f>IF(B59="","",INDEX('По дням'!$D$2:$D$3662,MATCH(53,'По дням'!$G$2:$G$3662,0)))</f>
        <v/>
      </c>
      <c r="F59" s="9">
        <f>IF(B59="","",INDEX('По дням'!$B$2:$B$3662,MATCH(53,'По дням'!$G$2:$G$3662,0)))</f>
        <v/>
      </c>
      <c r="G59" s="9">
        <f>IF(B59="","",INDEX('По дням'!$C$2:$C$3662,MATCH(53,'По дням'!$G$2:$G$3662,0)))</f>
        <v/>
      </c>
      <c r="H59" s="13">
        <f>IF(OR(B59="",F59=""),"",IF(J59="да",0,ROUND(E59*F59/100*D59/G59,2)))</f>
        <v/>
      </c>
      <c r="I59" s="13">
        <f>IF(B59="","",SUMIF(Оплаты!$A$6:$A$505,C59,Оплаты!$B$6:$B$505))</f>
        <v/>
      </c>
      <c r="J59" s="9">
        <f>IF(B59="","",IF(INDEX('По дням'!$E$2:$E$3662,MATCH(53,'По дням'!$G$2:$G$3662,0))=1,"да",""))</f>
        <v/>
      </c>
    </row>
    <row r="60">
      <c r="A60" s="9">
        <f>IF(B60="","",54)</f>
        <v/>
      </c>
      <c r="B60" s="12">
        <f>IFERROR(INDEX('По дням'!$A$2:$A$3662,MATCH(54,'По дням'!$G$2:$G$3662,0)),"")</f>
        <v/>
      </c>
      <c r="C60" s="12">
        <f>IF(B60="","",INDEX('По дням'!$A$2:$A$3662,MATCH(54,'По дням'!$G$2:$G$3662,0)+COUNTIF('По дням'!$G$2:$G$3662,54)-1))</f>
        <v/>
      </c>
      <c r="D60" s="9">
        <f>IF(B60="","",C60-B60+1)</f>
        <v/>
      </c>
      <c r="E60" s="13">
        <f>IF(B60="","",INDEX('По дням'!$D$2:$D$3662,MATCH(54,'По дням'!$G$2:$G$3662,0)))</f>
        <v/>
      </c>
      <c r="F60" s="9">
        <f>IF(B60="","",INDEX('По дням'!$B$2:$B$3662,MATCH(54,'По дням'!$G$2:$G$3662,0)))</f>
        <v/>
      </c>
      <c r="G60" s="9">
        <f>IF(B60="","",INDEX('По дням'!$C$2:$C$3662,MATCH(54,'По дням'!$G$2:$G$3662,0)))</f>
        <v/>
      </c>
      <c r="H60" s="13">
        <f>IF(OR(B60="",F60=""),"",IF(J60="да",0,ROUND(E60*F60/100*D60/G60,2)))</f>
        <v/>
      </c>
      <c r="I60" s="13">
        <f>IF(B60="","",SUMIF(Оплаты!$A$6:$A$505,C60,Оплаты!$B$6:$B$505))</f>
        <v/>
      </c>
      <c r="J60" s="9">
        <f>IF(B60="","",IF(INDEX('По дням'!$E$2:$E$3662,MATCH(54,'По дням'!$G$2:$G$3662,0))=1,"да",""))</f>
        <v/>
      </c>
    </row>
    <row r="61">
      <c r="A61" s="9">
        <f>IF(B61="","",55)</f>
        <v/>
      </c>
      <c r="B61" s="12">
        <f>IFERROR(INDEX('По дням'!$A$2:$A$3662,MATCH(55,'По дням'!$G$2:$G$3662,0)),"")</f>
        <v/>
      </c>
      <c r="C61" s="12">
        <f>IF(B61="","",INDEX('По дням'!$A$2:$A$3662,MATCH(55,'По дням'!$G$2:$G$3662,0)+COUNTIF('По дням'!$G$2:$G$3662,55)-1))</f>
        <v/>
      </c>
      <c r="D61" s="9">
        <f>IF(B61="","",C61-B61+1)</f>
        <v/>
      </c>
      <c r="E61" s="13">
        <f>IF(B61="","",INDEX('По дням'!$D$2:$D$3662,MATCH(55,'По дням'!$G$2:$G$3662,0)))</f>
        <v/>
      </c>
      <c r="F61" s="9">
        <f>IF(B61="","",INDEX('По дням'!$B$2:$B$3662,MATCH(55,'По дням'!$G$2:$G$3662,0)))</f>
        <v/>
      </c>
      <c r="G61" s="9">
        <f>IF(B61="","",INDEX('По дням'!$C$2:$C$3662,MATCH(55,'По дням'!$G$2:$G$3662,0)))</f>
        <v/>
      </c>
      <c r="H61" s="13">
        <f>IF(OR(B61="",F61=""),"",IF(J61="да",0,ROUND(E61*F61/100*D61/G61,2)))</f>
        <v/>
      </c>
      <c r="I61" s="13">
        <f>IF(B61="","",SUMIF(Оплаты!$A$6:$A$505,C61,Оплаты!$B$6:$B$505))</f>
        <v/>
      </c>
      <c r="J61" s="9">
        <f>IF(B61="","",IF(INDEX('По дням'!$E$2:$E$3662,MATCH(55,'По дням'!$G$2:$G$3662,0))=1,"да",""))</f>
        <v/>
      </c>
    </row>
    <row r="62">
      <c r="A62" s="9">
        <f>IF(B62="","",56)</f>
        <v/>
      </c>
      <c r="B62" s="12">
        <f>IFERROR(INDEX('По дням'!$A$2:$A$3662,MATCH(56,'По дням'!$G$2:$G$3662,0)),"")</f>
        <v/>
      </c>
      <c r="C62" s="12">
        <f>IF(B62="","",INDEX('По дням'!$A$2:$A$3662,MATCH(56,'По дням'!$G$2:$G$3662,0)+COUNTIF('По дням'!$G$2:$G$3662,56)-1))</f>
        <v/>
      </c>
      <c r="D62" s="9">
        <f>IF(B62="","",C62-B62+1)</f>
        <v/>
      </c>
      <c r="E62" s="13">
        <f>IF(B62="","",INDEX('По дням'!$D$2:$D$3662,MATCH(56,'По дням'!$G$2:$G$3662,0)))</f>
        <v/>
      </c>
      <c r="F62" s="9">
        <f>IF(B62="","",INDEX('По дням'!$B$2:$B$3662,MATCH(56,'По дням'!$G$2:$G$3662,0)))</f>
        <v/>
      </c>
      <c r="G62" s="9">
        <f>IF(B62="","",INDEX('По дням'!$C$2:$C$3662,MATCH(56,'По дням'!$G$2:$G$3662,0)))</f>
        <v/>
      </c>
      <c r="H62" s="13">
        <f>IF(OR(B62="",F62=""),"",IF(J62="да",0,ROUND(E62*F62/100*D62/G62,2)))</f>
        <v/>
      </c>
      <c r="I62" s="13">
        <f>IF(B62="","",SUMIF(Оплаты!$A$6:$A$505,C62,Оплаты!$B$6:$B$505))</f>
        <v/>
      </c>
      <c r="J62" s="9">
        <f>IF(B62="","",IF(INDEX('По дням'!$E$2:$E$3662,MATCH(56,'По дням'!$G$2:$G$3662,0))=1,"да",""))</f>
        <v/>
      </c>
    </row>
    <row r="63">
      <c r="A63" s="9">
        <f>IF(B63="","",57)</f>
        <v/>
      </c>
      <c r="B63" s="12">
        <f>IFERROR(INDEX('По дням'!$A$2:$A$3662,MATCH(57,'По дням'!$G$2:$G$3662,0)),"")</f>
        <v/>
      </c>
      <c r="C63" s="12">
        <f>IF(B63="","",INDEX('По дням'!$A$2:$A$3662,MATCH(57,'По дням'!$G$2:$G$3662,0)+COUNTIF('По дням'!$G$2:$G$3662,57)-1))</f>
        <v/>
      </c>
      <c r="D63" s="9">
        <f>IF(B63="","",C63-B63+1)</f>
        <v/>
      </c>
      <c r="E63" s="13">
        <f>IF(B63="","",INDEX('По дням'!$D$2:$D$3662,MATCH(57,'По дням'!$G$2:$G$3662,0)))</f>
        <v/>
      </c>
      <c r="F63" s="9">
        <f>IF(B63="","",INDEX('По дням'!$B$2:$B$3662,MATCH(57,'По дням'!$G$2:$G$3662,0)))</f>
        <v/>
      </c>
      <c r="G63" s="9">
        <f>IF(B63="","",INDEX('По дням'!$C$2:$C$3662,MATCH(57,'По дням'!$G$2:$G$3662,0)))</f>
        <v/>
      </c>
      <c r="H63" s="13">
        <f>IF(OR(B63="",F63=""),"",IF(J63="да",0,ROUND(E63*F63/100*D63/G63,2)))</f>
        <v/>
      </c>
      <c r="I63" s="13">
        <f>IF(B63="","",SUMIF(Оплаты!$A$6:$A$505,C63,Оплаты!$B$6:$B$505))</f>
        <v/>
      </c>
      <c r="J63" s="9">
        <f>IF(B63="","",IF(INDEX('По дням'!$E$2:$E$3662,MATCH(57,'По дням'!$G$2:$G$3662,0))=1,"да",""))</f>
        <v/>
      </c>
    </row>
    <row r="64">
      <c r="A64" s="9">
        <f>IF(B64="","",58)</f>
        <v/>
      </c>
      <c r="B64" s="12">
        <f>IFERROR(INDEX('По дням'!$A$2:$A$3662,MATCH(58,'По дням'!$G$2:$G$3662,0)),"")</f>
        <v/>
      </c>
      <c r="C64" s="12">
        <f>IF(B64="","",INDEX('По дням'!$A$2:$A$3662,MATCH(58,'По дням'!$G$2:$G$3662,0)+COUNTIF('По дням'!$G$2:$G$3662,58)-1))</f>
        <v/>
      </c>
      <c r="D64" s="9">
        <f>IF(B64="","",C64-B64+1)</f>
        <v/>
      </c>
      <c r="E64" s="13">
        <f>IF(B64="","",INDEX('По дням'!$D$2:$D$3662,MATCH(58,'По дням'!$G$2:$G$3662,0)))</f>
        <v/>
      </c>
      <c r="F64" s="9">
        <f>IF(B64="","",INDEX('По дням'!$B$2:$B$3662,MATCH(58,'По дням'!$G$2:$G$3662,0)))</f>
        <v/>
      </c>
      <c r="G64" s="9">
        <f>IF(B64="","",INDEX('По дням'!$C$2:$C$3662,MATCH(58,'По дням'!$G$2:$G$3662,0)))</f>
        <v/>
      </c>
      <c r="H64" s="13">
        <f>IF(OR(B64="",F64=""),"",IF(J64="да",0,ROUND(E64*F64/100*D64/G64,2)))</f>
        <v/>
      </c>
      <c r="I64" s="13">
        <f>IF(B64="","",SUMIF(Оплаты!$A$6:$A$505,C64,Оплаты!$B$6:$B$505))</f>
        <v/>
      </c>
      <c r="J64" s="9">
        <f>IF(B64="","",IF(INDEX('По дням'!$E$2:$E$3662,MATCH(58,'По дням'!$G$2:$G$3662,0))=1,"да",""))</f>
        <v/>
      </c>
    </row>
    <row r="65">
      <c r="A65" s="9">
        <f>IF(B65="","",59)</f>
        <v/>
      </c>
      <c r="B65" s="12">
        <f>IFERROR(INDEX('По дням'!$A$2:$A$3662,MATCH(59,'По дням'!$G$2:$G$3662,0)),"")</f>
        <v/>
      </c>
      <c r="C65" s="12">
        <f>IF(B65="","",INDEX('По дням'!$A$2:$A$3662,MATCH(59,'По дням'!$G$2:$G$3662,0)+COUNTIF('По дням'!$G$2:$G$3662,59)-1))</f>
        <v/>
      </c>
      <c r="D65" s="9">
        <f>IF(B65="","",C65-B65+1)</f>
        <v/>
      </c>
      <c r="E65" s="13">
        <f>IF(B65="","",INDEX('По дням'!$D$2:$D$3662,MATCH(59,'По дням'!$G$2:$G$3662,0)))</f>
        <v/>
      </c>
      <c r="F65" s="9">
        <f>IF(B65="","",INDEX('По дням'!$B$2:$B$3662,MATCH(59,'По дням'!$G$2:$G$3662,0)))</f>
        <v/>
      </c>
      <c r="G65" s="9">
        <f>IF(B65="","",INDEX('По дням'!$C$2:$C$3662,MATCH(59,'По дням'!$G$2:$G$3662,0)))</f>
        <v/>
      </c>
      <c r="H65" s="13">
        <f>IF(OR(B65="",F65=""),"",IF(J65="да",0,ROUND(E65*F65/100*D65/G65,2)))</f>
        <v/>
      </c>
      <c r="I65" s="13">
        <f>IF(B65="","",SUMIF(Оплаты!$A$6:$A$505,C65,Оплаты!$B$6:$B$505))</f>
        <v/>
      </c>
      <c r="J65" s="9">
        <f>IF(B65="","",IF(INDEX('По дням'!$E$2:$E$3662,MATCH(59,'По дням'!$G$2:$G$3662,0))=1,"да",""))</f>
        <v/>
      </c>
    </row>
    <row r="66">
      <c r="A66" s="9">
        <f>IF(B66="","",60)</f>
        <v/>
      </c>
      <c r="B66" s="12">
        <f>IFERROR(INDEX('По дням'!$A$2:$A$3662,MATCH(60,'По дням'!$G$2:$G$3662,0)),"")</f>
        <v/>
      </c>
      <c r="C66" s="12">
        <f>IF(B66="","",INDEX('По дням'!$A$2:$A$3662,MATCH(60,'По дням'!$G$2:$G$3662,0)+COUNTIF('По дням'!$G$2:$G$3662,60)-1))</f>
        <v/>
      </c>
      <c r="D66" s="9">
        <f>IF(B66="","",C66-B66+1)</f>
        <v/>
      </c>
      <c r="E66" s="13">
        <f>IF(B66="","",INDEX('По дням'!$D$2:$D$3662,MATCH(60,'По дням'!$G$2:$G$3662,0)))</f>
        <v/>
      </c>
      <c r="F66" s="9">
        <f>IF(B66="","",INDEX('По дням'!$B$2:$B$3662,MATCH(60,'По дням'!$G$2:$G$3662,0)))</f>
        <v/>
      </c>
      <c r="G66" s="9">
        <f>IF(B66="","",INDEX('По дням'!$C$2:$C$3662,MATCH(60,'По дням'!$G$2:$G$3662,0)))</f>
        <v/>
      </c>
      <c r="H66" s="13">
        <f>IF(OR(B66="",F66=""),"",IF(J66="да",0,ROUND(E66*F66/100*D66/G66,2)))</f>
        <v/>
      </c>
      <c r="I66" s="13">
        <f>IF(B66="","",SUMIF(Оплаты!$A$6:$A$505,C66,Оплаты!$B$6:$B$505))</f>
        <v/>
      </c>
      <c r="J66" s="9">
        <f>IF(B66="","",IF(INDEX('По дням'!$E$2:$E$3662,MATCH(60,'По дням'!$G$2:$G$3662,0))=1,"да",""))</f>
        <v/>
      </c>
    </row>
    <row r="67">
      <c r="A67" s="9">
        <f>IF(B67="","",61)</f>
        <v/>
      </c>
      <c r="B67" s="12">
        <f>IFERROR(INDEX('По дням'!$A$2:$A$3662,MATCH(61,'По дням'!$G$2:$G$3662,0)),"")</f>
        <v/>
      </c>
      <c r="C67" s="12">
        <f>IF(B67="","",INDEX('По дням'!$A$2:$A$3662,MATCH(61,'По дням'!$G$2:$G$3662,0)+COUNTIF('По дням'!$G$2:$G$3662,61)-1))</f>
        <v/>
      </c>
      <c r="D67" s="9">
        <f>IF(B67="","",C67-B67+1)</f>
        <v/>
      </c>
      <c r="E67" s="13">
        <f>IF(B67="","",INDEX('По дням'!$D$2:$D$3662,MATCH(61,'По дням'!$G$2:$G$3662,0)))</f>
        <v/>
      </c>
      <c r="F67" s="9">
        <f>IF(B67="","",INDEX('По дням'!$B$2:$B$3662,MATCH(61,'По дням'!$G$2:$G$3662,0)))</f>
        <v/>
      </c>
      <c r="G67" s="9">
        <f>IF(B67="","",INDEX('По дням'!$C$2:$C$3662,MATCH(61,'По дням'!$G$2:$G$3662,0)))</f>
        <v/>
      </c>
      <c r="H67" s="13">
        <f>IF(OR(B67="",F67=""),"",IF(J67="да",0,ROUND(E67*F67/100*D67/G67,2)))</f>
        <v/>
      </c>
      <c r="I67" s="13">
        <f>IF(B67="","",SUMIF(Оплаты!$A$6:$A$505,C67,Оплаты!$B$6:$B$505))</f>
        <v/>
      </c>
      <c r="J67" s="9">
        <f>IF(B67="","",IF(INDEX('По дням'!$E$2:$E$3662,MATCH(61,'По дням'!$G$2:$G$3662,0))=1,"да",""))</f>
        <v/>
      </c>
    </row>
    <row r="68">
      <c r="A68" s="9">
        <f>IF(B68="","",62)</f>
        <v/>
      </c>
      <c r="B68" s="12">
        <f>IFERROR(INDEX('По дням'!$A$2:$A$3662,MATCH(62,'По дням'!$G$2:$G$3662,0)),"")</f>
        <v/>
      </c>
      <c r="C68" s="12">
        <f>IF(B68="","",INDEX('По дням'!$A$2:$A$3662,MATCH(62,'По дням'!$G$2:$G$3662,0)+COUNTIF('По дням'!$G$2:$G$3662,62)-1))</f>
        <v/>
      </c>
      <c r="D68" s="9">
        <f>IF(B68="","",C68-B68+1)</f>
        <v/>
      </c>
      <c r="E68" s="13">
        <f>IF(B68="","",INDEX('По дням'!$D$2:$D$3662,MATCH(62,'По дням'!$G$2:$G$3662,0)))</f>
        <v/>
      </c>
      <c r="F68" s="9">
        <f>IF(B68="","",INDEX('По дням'!$B$2:$B$3662,MATCH(62,'По дням'!$G$2:$G$3662,0)))</f>
        <v/>
      </c>
      <c r="G68" s="9">
        <f>IF(B68="","",INDEX('По дням'!$C$2:$C$3662,MATCH(62,'По дням'!$G$2:$G$3662,0)))</f>
        <v/>
      </c>
      <c r="H68" s="13">
        <f>IF(OR(B68="",F68=""),"",IF(J68="да",0,ROUND(E68*F68/100*D68/G68,2)))</f>
        <v/>
      </c>
      <c r="I68" s="13">
        <f>IF(B68="","",SUMIF(Оплаты!$A$6:$A$505,C68,Оплаты!$B$6:$B$505))</f>
        <v/>
      </c>
      <c r="J68" s="9">
        <f>IF(B68="","",IF(INDEX('По дням'!$E$2:$E$3662,MATCH(62,'По дням'!$G$2:$G$3662,0))=1,"да",""))</f>
        <v/>
      </c>
    </row>
    <row r="69">
      <c r="A69" s="9">
        <f>IF(B69="","",63)</f>
        <v/>
      </c>
      <c r="B69" s="12">
        <f>IFERROR(INDEX('По дням'!$A$2:$A$3662,MATCH(63,'По дням'!$G$2:$G$3662,0)),"")</f>
        <v/>
      </c>
      <c r="C69" s="12">
        <f>IF(B69="","",INDEX('По дням'!$A$2:$A$3662,MATCH(63,'По дням'!$G$2:$G$3662,0)+COUNTIF('По дням'!$G$2:$G$3662,63)-1))</f>
        <v/>
      </c>
      <c r="D69" s="9">
        <f>IF(B69="","",C69-B69+1)</f>
        <v/>
      </c>
      <c r="E69" s="13">
        <f>IF(B69="","",INDEX('По дням'!$D$2:$D$3662,MATCH(63,'По дням'!$G$2:$G$3662,0)))</f>
        <v/>
      </c>
      <c r="F69" s="9">
        <f>IF(B69="","",INDEX('По дням'!$B$2:$B$3662,MATCH(63,'По дням'!$G$2:$G$3662,0)))</f>
        <v/>
      </c>
      <c r="G69" s="9">
        <f>IF(B69="","",INDEX('По дням'!$C$2:$C$3662,MATCH(63,'По дням'!$G$2:$G$3662,0)))</f>
        <v/>
      </c>
      <c r="H69" s="13">
        <f>IF(OR(B69="",F69=""),"",IF(J69="да",0,ROUND(E69*F69/100*D69/G69,2)))</f>
        <v/>
      </c>
      <c r="I69" s="13">
        <f>IF(B69="","",SUMIF(Оплаты!$A$6:$A$505,C69,Оплаты!$B$6:$B$505))</f>
        <v/>
      </c>
      <c r="J69" s="9">
        <f>IF(B69="","",IF(INDEX('По дням'!$E$2:$E$3662,MATCH(63,'По дням'!$G$2:$G$3662,0))=1,"да",""))</f>
        <v/>
      </c>
    </row>
    <row r="70">
      <c r="A70" s="9">
        <f>IF(B70="","",64)</f>
        <v/>
      </c>
      <c r="B70" s="12">
        <f>IFERROR(INDEX('По дням'!$A$2:$A$3662,MATCH(64,'По дням'!$G$2:$G$3662,0)),"")</f>
        <v/>
      </c>
      <c r="C70" s="12">
        <f>IF(B70="","",INDEX('По дням'!$A$2:$A$3662,MATCH(64,'По дням'!$G$2:$G$3662,0)+COUNTIF('По дням'!$G$2:$G$3662,64)-1))</f>
        <v/>
      </c>
      <c r="D70" s="9">
        <f>IF(B70="","",C70-B70+1)</f>
        <v/>
      </c>
      <c r="E70" s="13">
        <f>IF(B70="","",INDEX('По дням'!$D$2:$D$3662,MATCH(64,'По дням'!$G$2:$G$3662,0)))</f>
        <v/>
      </c>
      <c r="F70" s="9">
        <f>IF(B70="","",INDEX('По дням'!$B$2:$B$3662,MATCH(64,'По дням'!$G$2:$G$3662,0)))</f>
        <v/>
      </c>
      <c r="G70" s="9">
        <f>IF(B70="","",INDEX('По дням'!$C$2:$C$3662,MATCH(64,'По дням'!$G$2:$G$3662,0)))</f>
        <v/>
      </c>
      <c r="H70" s="13">
        <f>IF(OR(B70="",F70=""),"",IF(J70="да",0,ROUND(E70*F70/100*D70/G70,2)))</f>
        <v/>
      </c>
      <c r="I70" s="13">
        <f>IF(B70="","",SUMIF(Оплаты!$A$6:$A$505,C70,Оплаты!$B$6:$B$505))</f>
        <v/>
      </c>
      <c r="J70" s="9">
        <f>IF(B70="","",IF(INDEX('По дням'!$E$2:$E$3662,MATCH(64,'По дням'!$G$2:$G$3662,0))=1,"да",""))</f>
        <v/>
      </c>
    </row>
    <row r="71">
      <c r="A71" s="9">
        <f>IF(B71="","",65)</f>
        <v/>
      </c>
      <c r="B71" s="12">
        <f>IFERROR(INDEX('По дням'!$A$2:$A$3662,MATCH(65,'По дням'!$G$2:$G$3662,0)),"")</f>
        <v/>
      </c>
      <c r="C71" s="12">
        <f>IF(B71="","",INDEX('По дням'!$A$2:$A$3662,MATCH(65,'По дням'!$G$2:$G$3662,0)+COUNTIF('По дням'!$G$2:$G$3662,65)-1))</f>
        <v/>
      </c>
      <c r="D71" s="9">
        <f>IF(B71="","",C71-B71+1)</f>
        <v/>
      </c>
      <c r="E71" s="13">
        <f>IF(B71="","",INDEX('По дням'!$D$2:$D$3662,MATCH(65,'По дням'!$G$2:$G$3662,0)))</f>
        <v/>
      </c>
      <c r="F71" s="9">
        <f>IF(B71="","",INDEX('По дням'!$B$2:$B$3662,MATCH(65,'По дням'!$G$2:$G$3662,0)))</f>
        <v/>
      </c>
      <c r="G71" s="9">
        <f>IF(B71="","",INDEX('По дням'!$C$2:$C$3662,MATCH(65,'По дням'!$G$2:$G$3662,0)))</f>
        <v/>
      </c>
      <c r="H71" s="13">
        <f>IF(OR(B71="",F71=""),"",IF(J71="да",0,ROUND(E71*F71/100*D71/G71,2)))</f>
        <v/>
      </c>
      <c r="I71" s="13">
        <f>IF(B71="","",SUMIF(Оплаты!$A$6:$A$505,C71,Оплаты!$B$6:$B$505))</f>
        <v/>
      </c>
      <c r="J71" s="9">
        <f>IF(B71="","",IF(INDEX('По дням'!$E$2:$E$3662,MATCH(65,'По дням'!$G$2:$G$3662,0))=1,"да",""))</f>
        <v/>
      </c>
    </row>
    <row r="72">
      <c r="A72" s="9">
        <f>IF(B72="","",66)</f>
        <v/>
      </c>
      <c r="B72" s="12">
        <f>IFERROR(INDEX('По дням'!$A$2:$A$3662,MATCH(66,'По дням'!$G$2:$G$3662,0)),"")</f>
        <v/>
      </c>
      <c r="C72" s="12">
        <f>IF(B72="","",INDEX('По дням'!$A$2:$A$3662,MATCH(66,'По дням'!$G$2:$G$3662,0)+COUNTIF('По дням'!$G$2:$G$3662,66)-1))</f>
        <v/>
      </c>
      <c r="D72" s="9">
        <f>IF(B72="","",C72-B72+1)</f>
        <v/>
      </c>
      <c r="E72" s="13">
        <f>IF(B72="","",INDEX('По дням'!$D$2:$D$3662,MATCH(66,'По дням'!$G$2:$G$3662,0)))</f>
        <v/>
      </c>
      <c r="F72" s="9">
        <f>IF(B72="","",INDEX('По дням'!$B$2:$B$3662,MATCH(66,'По дням'!$G$2:$G$3662,0)))</f>
        <v/>
      </c>
      <c r="G72" s="9">
        <f>IF(B72="","",INDEX('По дням'!$C$2:$C$3662,MATCH(66,'По дням'!$G$2:$G$3662,0)))</f>
        <v/>
      </c>
      <c r="H72" s="13">
        <f>IF(OR(B72="",F72=""),"",IF(J72="да",0,ROUND(E72*F72/100*D72/G72,2)))</f>
        <v/>
      </c>
      <c r="I72" s="13">
        <f>IF(B72="","",SUMIF(Оплаты!$A$6:$A$505,C72,Оплаты!$B$6:$B$505))</f>
        <v/>
      </c>
      <c r="J72" s="9">
        <f>IF(B72="","",IF(INDEX('По дням'!$E$2:$E$3662,MATCH(66,'По дням'!$G$2:$G$3662,0))=1,"да",""))</f>
        <v/>
      </c>
    </row>
    <row r="73">
      <c r="A73" s="9">
        <f>IF(B73="","",67)</f>
        <v/>
      </c>
      <c r="B73" s="12">
        <f>IFERROR(INDEX('По дням'!$A$2:$A$3662,MATCH(67,'По дням'!$G$2:$G$3662,0)),"")</f>
        <v/>
      </c>
      <c r="C73" s="12">
        <f>IF(B73="","",INDEX('По дням'!$A$2:$A$3662,MATCH(67,'По дням'!$G$2:$G$3662,0)+COUNTIF('По дням'!$G$2:$G$3662,67)-1))</f>
        <v/>
      </c>
      <c r="D73" s="9">
        <f>IF(B73="","",C73-B73+1)</f>
        <v/>
      </c>
      <c r="E73" s="13">
        <f>IF(B73="","",INDEX('По дням'!$D$2:$D$3662,MATCH(67,'По дням'!$G$2:$G$3662,0)))</f>
        <v/>
      </c>
      <c r="F73" s="9">
        <f>IF(B73="","",INDEX('По дням'!$B$2:$B$3662,MATCH(67,'По дням'!$G$2:$G$3662,0)))</f>
        <v/>
      </c>
      <c r="G73" s="9">
        <f>IF(B73="","",INDEX('По дням'!$C$2:$C$3662,MATCH(67,'По дням'!$G$2:$G$3662,0)))</f>
        <v/>
      </c>
      <c r="H73" s="13">
        <f>IF(OR(B73="",F73=""),"",IF(J73="да",0,ROUND(E73*F73/100*D73/G73,2)))</f>
        <v/>
      </c>
      <c r="I73" s="13">
        <f>IF(B73="","",SUMIF(Оплаты!$A$6:$A$505,C73,Оплаты!$B$6:$B$505))</f>
        <v/>
      </c>
      <c r="J73" s="9">
        <f>IF(B73="","",IF(INDEX('По дням'!$E$2:$E$3662,MATCH(67,'По дням'!$G$2:$G$3662,0))=1,"да",""))</f>
        <v/>
      </c>
    </row>
    <row r="74">
      <c r="A74" s="9">
        <f>IF(B74="","",68)</f>
        <v/>
      </c>
      <c r="B74" s="12">
        <f>IFERROR(INDEX('По дням'!$A$2:$A$3662,MATCH(68,'По дням'!$G$2:$G$3662,0)),"")</f>
        <v/>
      </c>
      <c r="C74" s="12">
        <f>IF(B74="","",INDEX('По дням'!$A$2:$A$3662,MATCH(68,'По дням'!$G$2:$G$3662,0)+COUNTIF('По дням'!$G$2:$G$3662,68)-1))</f>
        <v/>
      </c>
      <c r="D74" s="9">
        <f>IF(B74="","",C74-B74+1)</f>
        <v/>
      </c>
      <c r="E74" s="13">
        <f>IF(B74="","",INDEX('По дням'!$D$2:$D$3662,MATCH(68,'По дням'!$G$2:$G$3662,0)))</f>
        <v/>
      </c>
      <c r="F74" s="9">
        <f>IF(B74="","",INDEX('По дням'!$B$2:$B$3662,MATCH(68,'По дням'!$G$2:$G$3662,0)))</f>
        <v/>
      </c>
      <c r="G74" s="9">
        <f>IF(B74="","",INDEX('По дням'!$C$2:$C$3662,MATCH(68,'По дням'!$G$2:$G$3662,0)))</f>
        <v/>
      </c>
      <c r="H74" s="13">
        <f>IF(OR(B74="",F74=""),"",IF(J74="да",0,ROUND(E74*F74/100*D74/G74,2)))</f>
        <v/>
      </c>
      <c r="I74" s="13">
        <f>IF(B74="","",SUMIF(Оплаты!$A$6:$A$505,C74,Оплаты!$B$6:$B$505))</f>
        <v/>
      </c>
      <c r="J74" s="9">
        <f>IF(B74="","",IF(INDEX('По дням'!$E$2:$E$3662,MATCH(68,'По дням'!$G$2:$G$3662,0))=1,"да",""))</f>
        <v/>
      </c>
    </row>
    <row r="75">
      <c r="A75" s="9">
        <f>IF(B75="","",69)</f>
        <v/>
      </c>
      <c r="B75" s="12">
        <f>IFERROR(INDEX('По дням'!$A$2:$A$3662,MATCH(69,'По дням'!$G$2:$G$3662,0)),"")</f>
        <v/>
      </c>
      <c r="C75" s="12">
        <f>IF(B75="","",INDEX('По дням'!$A$2:$A$3662,MATCH(69,'По дням'!$G$2:$G$3662,0)+COUNTIF('По дням'!$G$2:$G$3662,69)-1))</f>
        <v/>
      </c>
      <c r="D75" s="9">
        <f>IF(B75="","",C75-B75+1)</f>
        <v/>
      </c>
      <c r="E75" s="13">
        <f>IF(B75="","",INDEX('По дням'!$D$2:$D$3662,MATCH(69,'По дням'!$G$2:$G$3662,0)))</f>
        <v/>
      </c>
      <c r="F75" s="9">
        <f>IF(B75="","",INDEX('По дням'!$B$2:$B$3662,MATCH(69,'По дням'!$G$2:$G$3662,0)))</f>
        <v/>
      </c>
      <c r="G75" s="9">
        <f>IF(B75="","",INDEX('По дням'!$C$2:$C$3662,MATCH(69,'По дням'!$G$2:$G$3662,0)))</f>
        <v/>
      </c>
      <c r="H75" s="13">
        <f>IF(OR(B75="",F75=""),"",IF(J75="да",0,ROUND(E75*F75/100*D75/G75,2)))</f>
        <v/>
      </c>
      <c r="I75" s="13">
        <f>IF(B75="","",SUMIF(Оплаты!$A$6:$A$505,C75,Оплаты!$B$6:$B$505))</f>
        <v/>
      </c>
      <c r="J75" s="9">
        <f>IF(B75="","",IF(INDEX('По дням'!$E$2:$E$3662,MATCH(69,'По дням'!$G$2:$G$3662,0))=1,"да",""))</f>
        <v/>
      </c>
    </row>
    <row r="76">
      <c r="A76" s="9">
        <f>IF(B76="","",70)</f>
        <v/>
      </c>
      <c r="B76" s="12">
        <f>IFERROR(INDEX('По дням'!$A$2:$A$3662,MATCH(70,'По дням'!$G$2:$G$3662,0)),"")</f>
        <v/>
      </c>
      <c r="C76" s="12">
        <f>IF(B76="","",INDEX('По дням'!$A$2:$A$3662,MATCH(70,'По дням'!$G$2:$G$3662,0)+COUNTIF('По дням'!$G$2:$G$3662,70)-1))</f>
        <v/>
      </c>
      <c r="D76" s="9">
        <f>IF(B76="","",C76-B76+1)</f>
        <v/>
      </c>
      <c r="E76" s="13">
        <f>IF(B76="","",INDEX('По дням'!$D$2:$D$3662,MATCH(70,'По дням'!$G$2:$G$3662,0)))</f>
        <v/>
      </c>
      <c r="F76" s="9">
        <f>IF(B76="","",INDEX('По дням'!$B$2:$B$3662,MATCH(70,'По дням'!$G$2:$G$3662,0)))</f>
        <v/>
      </c>
      <c r="G76" s="9">
        <f>IF(B76="","",INDEX('По дням'!$C$2:$C$3662,MATCH(70,'По дням'!$G$2:$G$3662,0)))</f>
        <v/>
      </c>
      <c r="H76" s="13">
        <f>IF(OR(B76="",F76=""),"",IF(J76="да",0,ROUND(E76*F76/100*D76/G76,2)))</f>
        <v/>
      </c>
      <c r="I76" s="13">
        <f>IF(B76="","",SUMIF(Оплаты!$A$6:$A$505,C76,Оплаты!$B$6:$B$505))</f>
        <v/>
      </c>
      <c r="J76" s="9">
        <f>IF(B76="","",IF(INDEX('По дням'!$E$2:$E$3662,MATCH(70,'По дням'!$G$2:$G$3662,0))=1,"да",""))</f>
        <v/>
      </c>
    </row>
    <row r="77">
      <c r="A77" s="9">
        <f>IF(B77="","",71)</f>
        <v/>
      </c>
      <c r="B77" s="12">
        <f>IFERROR(INDEX('По дням'!$A$2:$A$3662,MATCH(71,'По дням'!$G$2:$G$3662,0)),"")</f>
        <v/>
      </c>
      <c r="C77" s="12">
        <f>IF(B77="","",INDEX('По дням'!$A$2:$A$3662,MATCH(71,'По дням'!$G$2:$G$3662,0)+COUNTIF('По дням'!$G$2:$G$3662,71)-1))</f>
        <v/>
      </c>
      <c r="D77" s="9">
        <f>IF(B77="","",C77-B77+1)</f>
        <v/>
      </c>
      <c r="E77" s="13">
        <f>IF(B77="","",INDEX('По дням'!$D$2:$D$3662,MATCH(71,'По дням'!$G$2:$G$3662,0)))</f>
        <v/>
      </c>
      <c r="F77" s="9">
        <f>IF(B77="","",INDEX('По дням'!$B$2:$B$3662,MATCH(71,'По дням'!$G$2:$G$3662,0)))</f>
        <v/>
      </c>
      <c r="G77" s="9">
        <f>IF(B77="","",INDEX('По дням'!$C$2:$C$3662,MATCH(71,'По дням'!$G$2:$G$3662,0)))</f>
        <v/>
      </c>
      <c r="H77" s="13">
        <f>IF(OR(B77="",F77=""),"",IF(J77="да",0,ROUND(E77*F77/100*D77/G77,2)))</f>
        <v/>
      </c>
      <c r="I77" s="13">
        <f>IF(B77="","",SUMIF(Оплаты!$A$6:$A$505,C77,Оплаты!$B$6:$B$505))</f>
        <v/>
      </c>
      <c r="J77" s="9">
        <f>IF(B77="","",IF(INDEX('По дням'!$E$2:$E$3662,MATCH(71,'По дням'!$G$2:$G$3662,0))=1,"да",""))</f>
        <v/>
      </c>
    </row>
    <row r="78">
      <c r="A78" s="9">
        <f>IF(B78="","",72)</f>
        <v/>
      </c>
      <c r="B78" s="12">
        <f>IFERROR(INDEX('По дням'!$A$2:$A$3662,MATCH(72,'По дням'!$G$2:$G$3662,0)),"")</f>
        <v/>
      </c>
      <c r="C78" s="12">
        <f>IF(B78="","",INDEX('По дням'!$A$2:$A$3662,MATCH(72,'По дням'!$G$2:$G$3662,0)+COUNTIF('По дням'!$G$2:$G$3662,72)-1))</f>
        <v/>
      </c>
      <c r="D78" s="9">
        <f>IF(B78="","",C78-B78+1)</f>
        <v/>
      </c>
      <c r="E78" s="13">
        <f>IF(B78="","",INDEX('По дням'!$D$2:$D$3662,MATCH(72,'По дням'!$G$2:$G$3662,0)))</f>
        <v/>
      </c>
      <c r="F78" s="9">
        <f>IF(B78="","",INDEX('По дням'!$B$2:$B$3662,MATCH(72,'По дням'!$G$2:$G$3662,0)))</f>
        <v/>
      </c>
      <c r="G78" s="9">
        <f>IF(B78="","",INDEX('По дням'!$C$2:$C$3662,MATCH(72,'По дням'!$G$2:$G$3662,0)))</f>
        <v/>
      </c>
      <c r="H78" s="13">
        <f>IF(OR(B78="",F78=""),"",IF(J78="да",0,ROUND(E78*F78/100*D78/G78,2)))</f>
        <v/>
      </c>
      <c r="I78" s="13">
        <f>IF(B78="","",SUMIF(Оплаты!$A$6:$A$505,C78,Оплаты!$B$6:$B$505))</f>
        <v/>
      </c>
      <c r="J78" s="9">
        <f>IF(B78="","",IF(INDEX('По дням'!$E$2:$E$3662,MATCH(72,'По дням'!$G$2:$G$3662,0))=1,"да",""))</f>
        <v/>
      </c>
    </row>
    <row r="79">
      <c r="A79" s="9">
        <f>IF(B79="","",73)</f>
        <v/>
      </c>
      <c r="B79" s="12">
        <f>IFERROR(INDEX('По дням'!$A$2:$A$3662,MATCH(73,'По дням'!$G$2:$G$3662,0)),"")</f>
        <v/>
      </c>
      <c r="C79" s="12">
        <f>IF(B79="","",INDEX('По дням'!$A$2:$A$3662,MATCH(73,'По дням'!$G$2:$G$3662,0)+COUNTIF('По дням'!$G$2:$G$3662,73)-1))</f>
        <v/>
      </c>
      <c r="D79" s="9">
        <f>IF(B79="","",C79-B79+1)</f>
        <v/>
      </c>
      <c r="E79" s="13">
        <f>IF(B79="","",INDEX('По дням'!$D$2:$D$3662,MATCH(73,'По дням'!$G$2:$G$3662,0)))</f>
        <v/>
      </c>
      <c r="F79" s="9">
        <f>IF(B79="","",INDEX('По дням'!$B$2:$B$3662,MATCH(73,'По дням'!$G$2:$G$3662,0)))</f>
        <v/>
      </c>
      <c r="G79" s="9">
        <f>IF(B79="","",INDEX('По дням'!$C$2:$C$3662,MATCH(73,'По дням'!$G$2:$G$3662,0)))</f>
        <v/>
      </c>
      <c r="H79" s="13">
        <f>IF(OR(B79="",F79=""),"",IF(J79="да",0,ROUND(E79*F79/100*D79/G79,2)))</f>
        <v/>
      </c>
      <c r="I79" s="13">
        <f>IF(B79="","",SUMIF(Оплаты!$A$6:$A$505,C79,Оплаты!$B$6:$B$505))</f>
        <v/>
      </c>
      <c r="J79" s="9">
        <f>IF(B79="","",IF(INDEX('По дням'!$E$2:$E$3662,MATCH(73,'По дням'!$G$2:$G$3662,0))=1,"да",""))</f>
        <v/>
      </c>
    </row>
    <row r="80">
      <c r="A80" s="9">
        <f>IF(B80="","",74)</f>
        <v/>
      </c>
      <c r="B80" s="12">
        <f>IFERROR(INDEX('По дням'!$A$2:$A$3662,MATCH(74,'По дням'!$G$2:$G$3662,0)),"")</f>
        <v/>
      </c>
      <c r="C80" s="12">
        <f>IF(B80="","",INDEX('По дням'!$A$2:$A$3662,MATCH(74,'По дням'!$G$2:$G$3662,0)+COUNTIF('По дням'!$G$2:$G$3662,74)-1))</f>
        <v/>
      </c>
      <c r="D80" s="9">
        <f>IF(B80="","",C80-B80+1)</f>
        <v/>
      </c>
      <c r="E80" s="13">
        <f>IF(B80="","",INDEX('По дням'!$D$2:$D$3662,MATCH(74,'По дням'!$G$2:$G$3662,0)))</f>
        <v/>
      </c>
      <c r="F80" s="9">
        <f>IF(B80="","",INDEX('По дням'!$B$2:$B$3662,MATCH(74,'По дням'!$G$2:$G$3662,0)))</f>
        <v/>
      </c>
      <c r="G80" s="9">
        <f>IF(B80="","",INDEX('По дням'!$C$2:$C$3662,MATCH(74,'По дням'!$G$2:$G$3662,0)))</f>
        <v/>
      </c>
      <c r="H80" s="13">
        <f>IF(OR(B80="",F80=""),"",IF(J80="да",0,ROUND(E80*F80/100*D80/G80,2)))</f>
        <v/>
      </c>
      <c r="I80" s="13">
        <f>IF(B80="","",SUMIF(Оплаты!$A$6:$A$505,C80,Оплаты!$B$6:$B$505))</f>
        <v/>
      </c>
      <c r="J80" s="9">
        <f>IF(B80="","",IF(INDEX('По дням'!$E$2:$E$3662,MATCH(74,'По дням'!$G$2:$G$3662,0))=1,"да",""))</f>
        <v/>
      </c>
    </row>
    <row r="81">
      <c r="A81" s="9">
        <f>IF(B81="","",75)</f>
        <v/>
      </c>
      <c r="B81" s="12">
        <f>IFERROR(INDEX('По дням'!$A$2:$A$3662,MATCH(75,'По дням'!$G$2:$G$3662,0)),"")</f>
        <v/>
      </c>
      <c r="C81" s="12">
        <f>IF(B81="","",INDEX('По дням'!$A$2:$A$3662,MATCH(75,'По дням'!$G$2:$G$3662,0)+COUNTIF('По дням'!$G$2:$G$3662,75)-1))</f>
        <v/>
      </c>
      <c r="D81" s="9">
        <f>IF(B81="","",C81-B81+1)</f>
        <v/>
      </c>
      <c r="E81" s="13">
        <f>IF(B81="","",INDEX('По дням'!$D$2:$D$3662,MATCH(75,'По дням'!$G$2:$G$3662,0)))</f>
        <v/>
      </c>
      <c r="F81" s="9">
        <f>IF(B81="","",INDEX('По дням'!$B$2:$B$3662,MATCH(75,'По дням'!$G$2:$G$3662,0)))</f>
        <v/>
      </c>
      <c r="G81" s="9">
        <f>IF(B81="","",INDEX('По дням'!$C$2:$C$3662,MATCH(75,'По дням'!$G$2:$G$3662,0)))</f>
        <v/>
      </c>
      <c r="H81" s="13">
        <f>IF(OR(B81="",F81=""),"",IF(J81="да",0,ROUND(E81*F81/100*D81/G81,2)))</f>
        <v/>
      </c>
      <c r="I81" s="13">
        <f>IF(B81="","",SUMIF(Оплаты!$A$6:$A$505,C81,Оплаты!$B$6:$B$505))</f>
        <v/>
      </c>
      <c r="J81" s="9">
        <f>IF(B81="","",IF(INDEX('По дням'!$E$2:$E$3662,MATCH(75,'По дням'!$G$2:$G$3662,0))=1,"да",""))</f>
        <v/>
      </c>
    </row>
    <row r="82">
      <c r="A82" s="9">
        <f>IF(B82="","",76)</f>
        <v/>
      </c>
      <c r="B82" s="12">
        <f>IFERROR(INDEX('По дням'!$A$2:$A$3662,MATCH(76,'По дням'!$G$2:$G$3662,0)),"")</f>
        <v/>
      </c>
      <c r="C82" s="12">
        <f>IF(B82="","",INDEX('По дням'!$A$2:$A$3662,MATCH(76,'По дням'!$G$2:$G$3662,0)+COUNTIF('По дням'!$G$2:$G$3662,76)-1))</f>
        <v/>
      </c>
      <c r="D82" s="9">
        <f>IF(B82="","",C82-B82+1)</f>
        <v/>
      </c>
      <c r="E82" s="13">
        <f>IF(B82="","",INDEX('По дням'!$D$2:$D$3662,MATCH(76,'По дням'!$G$2:$G$3662,0)))</f>
        <v/>
      </c>
      <c r="F82" s="9">
        <f>IF(B82="","",INDEX('По дням'!$B$2:$B$3662,MATCH(76,'По дням'!$G$2:$G$3662,0)))</f>
        <v/>
      </c>
      <c r="G82" s="9">
        <f>IF(B82="","",INDEX('По дням'!$C$2:$C$3662,MATCH(76,'По дням'!$G$2:$G$3662,0)))</f>
        <v/>
      </c>
      <c r="H82" s="13">
        <f>IF(OR(B82="",F82=""),"",IF(J82="да",0,ROUND(E82*F82/100*D82/G82,2)))</f>
        <v/>
      </c>
      <c r="I82" s="13">
        <f>IF(B82="","",SUMIF(Оплаты!$A$6:$A$505,C82,Оплаты!$B$6:$B$505))</f>
        <v/>
      </c>
      <c r="J82" s="9">
        <f>IF(B82="","",IF(INDEX('По дням'!$E$2:$E$3662,MATCH(76,'По дням'!$G$2:$G$3662,0))=1,"да",""))</f>
        <v/>
      </c>
    </row>
    <row r="83">
      <c r="A83" s="9">
        <f>IF(B83="","",77)</f>
        <v/>
      </c>
      <c r="B83" s="12">
        <f>IFERROR(INDEX('По дням'!$A$2:$A$3662,MATCH(77,'По дням'!$G$2:$G$3662,0)),"")</f>
        <v/>
      </c>
      <c r="C83" s="12">
        <f>IF(B83="","",INDEX('По дням'!$A$2:$A$3662,MATCH(77,'По дням'!$G$2:$G$3662,0)+COUNTIF('По дням'!$G$2:$G$3662,77)-1))</f>
        <v/>
      </c>
      <c r="D83" s="9">
        <f>IF(B83="","",C83-B83+1)</f>
        <v/>
      </c>
      <c r="E83" s="13">
        <f>IF(B83="","",INDEX('По дням'!$D$2:$D$3662,MATCH(77,'По дням'!$G$2:$G$3662,0)))</f>
        <v/>
      </c>
      <c r="F83" s="9">
        <f>IF(B83="","",INDEX('По дням'!$B$2:$B$3662,MATCH(77,'По дням'!$G$2:$G$3662,0)))</f>
        <v/>
      </c>
      <c r="G83" s="9">
        <f>IF(B83="","",INDEX('По дням'!$C$2:$C$3662,MATCH(77,'По дням'!$G$2:$G$3662,0)))</f>
        <v/>
      </c>
      <c r="H83" s="13">
        <f>IF(OR(B83="",F83=""),"",IF(J83="да",0,ROUND(E83*F83/100*D83/G83,2)))</f>
        <v/>
      </c>
      <c r="I83" s="13">
        <f>IF(B83="","",SUMIF(Оплаты!$A$6:$A$505,C83,Оплаты!$B$6:$B$505))</f>
        <v/>
      </c>
      <c r="J83" s="9">
        <f>IF(B83="","",IF(INDEX('По дням'!$E$2:$E$3662,MATCH(77,'По дням'!$G$2:$G$3662,0))=1,"да",""))</f>
        <v/>
      </c>
    </row>
    <row r="84">
      <c r="A84" s="9">
        <f>IF(B84="","",78)</f>
        <v/>
      </c>
      <c r="B84" s="12">
        <f>IFERROR(INDEX('По дням'!$A$2:$A$3662,MATCH(78,'По дням'!$G$2:$G$3662,0)),"")</f>
        <v/>
      </c>
      <c r="C84" s="12">
        <f>IF(B84="","",INDEX('По дням'!$A$2:$A$3662,MATCH(78,'По дням'!$G$2:$G$3662,0)+COUNTIF('По дням'!$G$2:$G$3662,78)-1))</f>
        <v/>
      </c>
      <c r="D84" s="9">
        <f>IF(B84="","",C84-B84+1)</f>
        <v/>
      </c>
      <c r="E84" s="13">
        <f>IF(B84="","",INDEX('По дням'!$D$2:$D$3662,MATCH(78,'По дням'!$G$2:$G$3662,0)))</f>
        <v/>
      </c>
      <c r="F84" s="9">
        <f>IF(B84="","",INDEX('По дням'!$B$2:$B$3662,MATCH(78,'По дням'!$G$2:$G$3662,0)))</f>
        <v/>
      </c>
      <c r="G84" s="9">
        <f>IF(B84="","",INDEX('По дням'!$C$2:$C$3662,MATCH(78,'По дням'!$G$2:$G$3662,0)))</f>
        <v/>
      </c>
      <c r="H84" s="13">
        <f>IF(OR(B84="",F84=""),"",IF(J84="да",0,ROUND(E84*F84/100*D84/G84,2)))</f>
        <v/>
      </c>
      <c r="I84" s="13">
        <f>IF(B84="","",SUMIF(Оплаты!$A$6:$A$505,C84,Оплаты!$B$6:$B$505))</f>
        <v/>
      </c>
      <c r="J84" s="9">
        <f>IF(B84="","",IF(INDEX('По дням'!$E$2:$E$3662,MATCH(78,'По дням'!$G$2:$G$3662,0))=1,"да",""))</f>
        <v/>
      </c>
    </row>
    <row r="85">
      <c r="A85" s="9">
        <f>IF(B85="","",79)</f>
        <v/>
      </c>
      <c r="B85" s="12">
        <f>IFERROR(INDEX('По дням'!$A$2:$A$3662,MATCH(79,'По дням'!$G$2:$G$3662,0)),"")</f>
        <v/>
      </c>
      <c r="C85" s="12">
        <f>IF(B85="","",INDEX('По дням'!$A$2:$A$3662,MATCH(79,'По дням'!$G$2:$G$3662,0)+COUNTIF('По дням'!$G$2:$G$3662,79)-1))</f>
        <v/>
      </c>
      <c r="D85" s="9">
        <f>IF(B85="","",C85-B85+1)</f>
        <v/>
      </c>
      <c r="E85" s="13">
        <f>IF(B85="","",INDEX('По дням'!$D$2:$D$3662,MATCH(79,'По дням'!$G$2:$G$3662,0)))</f>
        <v/>
      </c>
      <c r="F85" s="9">
        <f>IF(B85="","",INDEX('По дням'!$B$2:$B$3662,MATCH(79,'По дням'!$G$2:$G$3662,0)))</f>
        <v/>
      </c>
      <c r="G85" s="9">
        <f>IF(B85="","",INDEX('По дням'!$C$2:$C$3662,MATCH(79,'По дням'!$G$2:$G$3662,0)))</f>
        <v/>
      </c>
      <c r="H85" s="13">
        <f>IF(OR(B85="",F85=""),"",IF(J85="да",0,ROUND(E85*F85/100*D85/G85,2)))</f>
        <v/>
      </c>
      <c r="I85" s="13">
        <f>IF(B85="","",SUMIF(Оплаты!$A$6:$A$505,C85,Оплаты!$B$6:$B$505))</f>
        <v/>
      </c>
      <c r="J85" s="9">
        <f>IF(B85="","",IF(INDEX('По дням'!$E$2:$E$3662,MATCH(79,'По дням'!$G$2:$G$3662,0))=1,"да",""))</f>
        <v/>
      </c>
    </row>
    <row r="86">
      <c r="A86" s="9">
        <f>IF(B86="","",80)</f>
        <v/>
      </c>
      <c r="B86" s="12">
        <f>IFERROR(INDEX('По дням'!$A$2:$A$3662,MATCH(80,'По дням'!$G$2:$G$3662,0)),"")</f>
        <v/>
      </c>
      <c r="C86" s="12">
        <f>IF(B86="","",INDEX('По дням'!$A$2:$A$3662,MATCH(80,'По дням'!$G$2:$G$3662,0)+COUNTIF('По дням'!$G$2:$G$3662,80)-1))</f>
        <v/>
      </c>
      <c r="D86" s="9">
        <f>IF(B86="","",C86-B86+1)</f>
        <v/>
      </c>
      <c r="E86" s="13">
        <f>IF(B86="","",INDEX('По дням'!$D$2:$D$3662,MATCH(80,'По дням'!$G$2:$G$3662,0)))</f>
        <v/>
      </c>
      <c r="F86" s="9">
        <f>IF(B86="","",INDEX('По дням'!$B$2:$B$3662,MATCH(80,'По дням'!$G$2:$G$3662,0)))</f>
        <v/>
      </c>
      <c r="G86" s="9">
        <f>IF(B86="","",INDEX('По дням'!$C$2:$C$3662,MATCH(80,'По дням'!$G$2:$G$3662,0)))</f>
        <v/>
      </c>
      <c r="H86" s="13">
        <f>IF(OR(B86="",F86=""),"",IF(J86="да",0,ROUND(E86*F86/100*D86/G86,2)))</f>
        <v/>
      </c>
      <c r="I86" s="13">
        <f>IF(B86="","",SUMIF(Оплаты!$A$6:$A$505,C86,Оплаты!$B$6:$B$505))</f>
        <v/>
      </c>
      <c r="J86" s="9">
        <f>IF(B86="","",IF(INDEX('По дням'!$E$2:$E$3662,MATCH(80,'По дням'!$G$2:$G$3662,0))=1,"да",""))</f>
        <v/>
      </c>
    </row>
    <row r="87">
      <c r="A87" s="9">
        <f>IF(B87="","",81)</f>
        <v/>
      </c>
      <c r="B87" s="12">
        <f>IFERROR(INDEX('По дням'!$A$2:$A$3662,MATCH(81,'По дням'!$G$2:$G$3662,0)),"")</f>
        <v/>
      </c>
      <c r="C87" s="12">
        <f>IF(B87="","",INDEX('По дням'!$A$2:$A$3662,MATCH(81,'По дням'!$G$2:$G$3662,0)+COUNTIF('По дням'!$G$2:$G$3662,81)-1))</f>
        <v/>
      </c>
      <c r="D87" s="9">
        <f>IF(B87="","",C87-B87+1)</f>
        <v/>
      </c>
      <c r="E87" s="13">
        <f>IF(B87="","",INDEX('По дням'!$D$2:$D$3662,MATCH(81,'По дням'!$G$2:$G$3662,0)))</f>
        <v/>
      </c>
      <c r="F87" s="9">
        <f>IF(B87="","",INDEX('По дням'!$B$2:$B$3662,MATCH(81,'По дням'!$G$2:$G$3662,0)))</f>
        <v/>
      </c>
      <c r="G87" s="9">
        <f>IF(B87="","",INDEX('По дням'!$C$2:$C$3662,MATCH(81,'По дням'!$G$2:$G$3662,0)))</f>
        <v/>
      </c>
      <c r="H87" s="13">
        <f>IF(OR(B87="",F87=""),"",IF(J87="да",0,ROUND(E87*F87/100*D87/G87,2)))</f>
        <v/>
      </c>
      <c r="I87" s="13">
        <f>IF(B87="","",SUMIF(Оплаты!$A$6:$A$505,C87,Оплаты!$B$6:$B$505))</f>
        <v/>
      </c>
      <c r="J87" s="9">
        <f>IF(B87="","",IF(INDEX('По дням'!$E$2:$E$3662,MATCH(81,'По дням'!$G$2:$G$3662,0))=1,"да",""))</f>
        <v/>
      </c>
    </row>
    <row r="88">
      <c r="A88" s="9">
        <f>IF(B88="","",82)</f>
        <v/>
      </c>
      <c r="B88" s="12">
        <f>IFERROR(INDEX('По дням'!$A$2:$A$3662,MATCH(82,'По дням'!$G$2:$G$3662,0)),"")</f>
        <v/>
      </c>
      <c r="C88" s="12">
        <f>IF(B88="","",INDEX('По дням'!$A$2:$A$3662,MATCH(82,'По дням'!$G$2:$G$3662,0)+COUNTIF('По дням'!$G$2:$G$3662,82)-1))</f>
        <v/>
      </c>
      <c r="D88" s="9">
        <f>IF(B88="","",C88-B88+1)</f>
        <v/>
      </c>
      <c r="E88" s="13">
        <f>IF(B88="","",INDEX('По дням'!$D$2:$D$3662,MATCH(82,'По дням'!$G$2:$G$3662,0)))</f>
        <v/>
      </c>
      <c r="F88" s="9">
        <f>IF(B88="","",INDEX('По дням'!$B$2:$B$3662,MATCH(82,'По дням'!$G$2:$G$3662,0)))</f>
        <v/>
      </c>
      <c r="G88" s="9">
        <f>IF(B88="","",INDEX('По дням'!$C$2:$C$3662,MATCH(82,'По дням'!$G$2:$G$3662,0)))</f>
        <v/>
      </c>
      <c r="H88" s="13">
        <f>IF(OR(B88="",F88=""),"",IF(J88="да",0,ROUND(E88*F88/100*D88/G88,2)))</f>
        <v/>
      </c>
      <c r="I88" s="13">
        <f>IF(B88="","",SUMIF(Оплаты!$A$6:$A$505,C88,Оплаты!$B$6:$B$505))</f>
        <v/>
      </c>
      <c r="J88" s="9">
        <f>IF(B88="","",IF(INDEX('По дням'!$E$2:$E$3662,MATCH(82,'По дням'!$G$2:$G$3662,0))=1,"да",""))</f>
        <v/>
      </c>
    </row>
    <row r="89">
      <c r="A89" s="9">
        <f>IF(B89="","",83)</f>
        <v/>
      </c>
      <c r="B89" s="12">
        <f>IFERROR(INDEX('По дням'!$A$2:$A$3662,MATCH(83,'По дням'!$G$2:$G$3662,0)),"")</f>
        <v/>
      </c>
      <c r="C89" s="12">
        <f>IF(B89="","",INDEX('По дням'!$A$2:$A$3662,MATCH(83,'По дням'!$G$2:$G$3662,0)+COUNTIF('По дням'!$G$2:$G$3662,83)-1))</f>
        <v/>
      </c>
      <c r="D89" s="9">
        <f>IF(B89="","",C89-B89+1)</f>
        <v/>
      </c>
      <c r="E89" s="13">
        <f>IF(B89="","",INDEX('По дням'!$D$2:$D$3662,MATCH(83,'По дням'!$G$2:$G$3662,0)))</f>
        <v/>
      </c>
      <c r="F89" s="9">
        <f>IF(B89="","",INDEX('По дням'!$B$2:$B$3662,MATCH(83,'По дням'!$G$2:$G$3662,0)))</f>
        <v/>
      </c>
      <c r="G89" s="9">
        <f>IF(B89="","",INDEX('По дням'!$C$2:$C$3662,MATCH(83,'По дням'!$G$2:$G$3662,0)))</f>
        <v/>
      </c>
      <c r="H89" s="13">
        <f>IF(OR(B89="",F89=""),"",IF(J89="да",0,ROUND(E89*F89/100*D89/G89,2)))</f>
        <v/>
      </c>
      <c r="I89" s="13">
        <f>IF(B89="","",SUMIF(Оплаты!$A$6:$A$505,C89,Оплаты!$B$6:$B$505))</f>
        <v/>
      </c>
      <c r="J89" s="9">
        <f>IF(B89="","",IF(INDEX('По дням'!$E$2:$E$3662,MATCH(83,'По дням'!$G$2:$G$3662,0))=1,"да",""))</f>
        <v/>
      </c>
    </row>
    <row r="90">
      <c r="A90" s="9">
        <f>IF(B90="","",84)</f>
        <v/>
      </c>
      <c r="B90" s="12">
        <f>IFERROR(INDEX('По дням'!$A$2:$A$3662,MATCH(84,'По дням'!$G$2:$G$3662,0)),"")</f>
        <v/>
      </c>
      <c r="C90" s="12">
        <f>IF(B90="","",INDEX('По дням'!$A$2:$A$3662,MATCH(84,'По дням'!$G$2:$G$3662,0)+COUNTIF('По дням'!$G$2:$G$3662,84)-1))</f>
        <v/>
      </c>
      <c r="D90" s="9">
        <f>IF(B90="","",C90-B90+1)</f>
        <v/>
      </c>
      <c r="E90" s="13">
        <f>IF(B90="","",INDEX('По дням'!$D$2:$D$3662,MATCH(84,'По дням'!$G$2:$G$3662,0)))</f>
        <v/>
      </c>
      <c r="F90" s="9">
        <f>IF(B90="","",INDEX('По дням'!$B$2:$B$3662,MATCH(84,'По дням'!$G$2:$G$3662,0)))</f>
        <v/>
      </c>
      <c r="G90" s="9">
        <f>IF(B90="","",INDEX('По дням'!$C$2:$C$3662,MATCH(84,'По дням'!$G$2:$G$3662,0)))</f>
        <v/>
      </c>
      <c r="H90" s="13">
        <f>IF(OR(B90="",F90=""),"",IF(J90="да",0,ROUND(E90*F90/100*D90/G90,2)))</f>
        <v/>
      </c>
      <c r="I90" s="13">
        <f>IF(B90="","",SUMIF(Оплаты!$A$6:$A$505,C90,Оплаты!$B$6:$B$505))</f>
        <v/>
      </c>
      <c r="J90" s="9">
        <f>IF(B90="","",IF(INDEX('По дням'!$E$2:$E$3662,MATCH(84,'По дням'!$G$2:$G$3662,0))=1,"да",""))</f>
        <v/>
      </c>
    </row>
    <row r="91">
      <c r="A91" s="9">
        <f>IF(B91="","",85)</f>
        <v/>
      </c>
      <c r="B91" s="12">
        <f>IFERROR(INDEX('По дням'!$A$2:$A$3662,MATCH(85,'По дням'!$G$2:$G$3662,0)),"")</f>
        <v/>
      </c>
      <c r="C91" s="12">
        <f>IF(B91="","",INDEX('По дням'!$A$2:$A$3662,MATCH(85,'По дням'!$G$2:$G$3662,0)+COUNTIF('По дням'!$G$2:$G$3662,85)-1))</f>
        <v/>
      </c>
      <c r="D91" s="9">
        <f>IF(B91="","",C91-B91+1)</f>
        <v/>
      </c>
      <c r="E91" s="13">
        <f>IF(B91="","",INDEX('По дням'!$D$2:$D$3662,MATCH(85,'По дням'!$G$2:$G$3662,0)))</f>
        <v/>
      </c>
      <c r="F91" s="9">
        <f>IF(B91="","",INDEX('По дням'!$B$2:$B$3662,MATCH(85,'По дням'!$G$2:$G$3662,0)))</f>
        <v/>
      </c>
      <c r="G91" s="9">
        <f>IF(B91="","",INDEX('По дням'!$C$2:$C$3662,MATCH(85,'По дням'!$G$2:$G$3662,0)))</f>
        <v/>
      </c>
      <c r="H91" s="13">
        <f>IF(OR(B91="",F91=""),"",IF(J91="да",0,ROUND(E91*F91/100*D91/G91,2)))</f>
        <v/>
      </c>
      <c r="I91" s="13">
        <f>IF(B91="","",SUMIF(Оплаты!$A$6:$A$505,C91,Оплаты!$B$6:$B$505))</f>
        <v/>
      </c>
      <c r="J91" s="9">
        <f>IF(B91="","",IF(INDEX('По дням'!$E$2:$E$3662,MATCH(85,'По дням'!$G$2:$G$3662,0))=1,"да",""))</f>
        <v/>
      </c>
    </row>
    <row r="92">
      <c r="A92" s="9">
        <f>IF(B92="","",86)</f>
        <v/>
      </c>
      <c r="B92" s="12">
        <f>IFERROR(INDEX('По дням'!$A$2:$A$3662,MATCH(86,'По дням'!$G$2:$G$3662,0)),"")</f>
        <v/>
      </c>
      <c r="C92" s="12">
        <f>IF(B92="","",INDEX('По дням'!$A$2:$A$3662,MATCH(86,'По дням'!$G$2:$G$3662,0)+COUNTIF('По дням'!$G$2:$G$3662,86)-1))</f>
        <v/>
      </c>
      <c r="D92" s="9">
        <f>IF(B92="","",C92-B92+1)</f>
        <v/>
      </c>
      <c r="E92" s="13">
        <f>IF(B92="","",INDEX('По дням'!$D$2:$D$3662,MATCH(86,'По дням'!$G$2:$G$3662,0)))</f>
        <v/>
      </c>
      <c r="F92" s="9">
        <f>IF(B92="","",INDEX('По дням'!$B$2:$B$3662,MATCH(86,'По дням'!$G$2:$G$3662,0)))</f>
        <v/>
      </c>
      <c r="G92" s="9">
        <f>IF(B92="","",INDEX('По дням'!$C$2:$C$3662,MATCH(86,'По дням'!$G$2:$G$3662,0)))</f>
        <v/>
      </c>
      <c r="H92" s="13">
        <f>IF(OR(B92="",F92=""),"",IF(J92="да",0,ROUND(E92*F92/100*D92/G92,2)))</f>
        <v/>
      </c>
      <c r="I92" s="13">
        <f>IF(B92="","",SUMIF(Оплаты!$A$6:$A$505,C92,Оплаты!$B$6:$B$505))</f>
        <v/>
      </c>
      <c r="J92" s="9">
        <f>IF(B92="","",IF(INDEX('По дням'!$E$2:$E$3662,MATCH(86,'По дням'!$G$2:$G$3662,0))=1,"да",""))</f>
        <v/>
      </c>
    </row>
    <row r="93">
      <c r="A93" s="9">
        <f>IF(B93="","",87)</f>
        <v/>
      </c>
      <c r="B93" s="12">
        <f>IFERROR(INDEX('По дням'!$A$2:$A$3662,MATCH(87,'По дням'!$G$2:$G$3662,0)),"")</f>
        <v/>
      </c>
      <c r="C93" s="12">
        <f>IF(B93="","",INDEX('По дням'!$A$2:$A$3662,MATCH(87,'По дням'!$G$2:$G$3662,0)+COUNTIF('По дням'!$G$2:$G$3662,87)-1))</f>
        <v/>
      </c>
      <c r="D93" s="9">
        <f>IF(B93="","",C93-B93+1)</f>
        <v/>
      </c>
      <c r="E93" s="13">
        <f>IF(B93="","",INDEX('По дням'!$D$2:$D$3662,MATCH(87,'По дням'!$G$2:$G$3662,0)))</f>
        <v/>
      </c>
      <c r="F93" s="9">
        <f>IF(B93="","",INDEX('По дням'!$B$2:$B$3662,MATCH(87,'По дням'!$G$2:$G$3662,0)))</f>
        <v/>
      </c>
      <c r="G93" s="9">
        <f>IF(B93="","",INDEX('По дням'!$C$2:$C$3662,MATCH(87,'По дням'!$G$2:$G$3662,0)))</f>
        <v/>
      </c>
      <c r="H93" s="13">
        <f>IF(OR(B93="",F93=""),"",IF(J93="да",0,ROUND(E93*F93/100*D93/G93,2)))</f>
        <v/>
      </c>
      <c r="I93" s="13">
        <f>IF(B93="","",SUMIF(Оплаты!$A$6:$A$505,C93,Оплаты!$B$6:$B$505))</f>
        <v/>
      </c>
      <c r="J93" s="9">
        <f>IF(B93="","",IF(INDEX('По дням'!$E$2:$E$3662,MATCH(87,'По дням'!$G$2:$G$3662,0))=1,"да",""))</f>
        <v/>
      </c>
    </row>
    <row r="94">
      <c r="A94" s="9">
        <f>IF(B94="","",88)</f>
        <v/>
      </c>
      <c r="B94" s="12">
        <f>IFERROR(INDEX('По дням'!$A$2:$A$3662,MATCH(88,'По дням'!$G$2:$G$3662,0)),"")</f>
        <v/>
      </c>
      <c r="C94" s="12">
        <f>IF(B94="","",INDEX('По дням'!$A$2:$A$3662,MATCH(88,'По дням'!$G$2:$G$3662,0)+COUNTIF('По дням'!$G$2:$G$3662,88)-1))</f>
        <v/>
      </c>
      <c r="D94" s="9">
        <f>IF(B94="","",C94-B94+1)</f>
        <v/>
      </c>
      <c r="E94" s="13">
        <f>IF(B94="","",INDEX('По дням'!$D$2:$D$3662,MATCH(88,'По дням'!$G$2:$G$3662,0)))</f>
        <v/>
      </c>
      <c r="F94" s="9">
        <f>IF(B94="","",INDEX('По дням'!$B$2:$B$3662,MATCH(88,'По дням'!$G$2:$G$3662,0)))</f>
        <v/>
      </c>
      <c r="G94" s="9">
        <f>IF(B94="","",INDEX('По дням'!$C$2:$C$3662,MATCH(88,'По дням'!$G$2:$G$3662,0)))</f>
        <v/>
      </c>
      <c r="H94" s="13">
        <f>IF(OR(B94="",F94=""),"",IF(J94="да",0,ROUND(E94*F94/100*D94/G94,2)))</f>
        <v/>
      </c>
      <c r="I94" s="13">
        <f>IF(B94="","",SUMIF(Оплаты!$A$6:$A$505,C94,Оплаты!$B$6:$B$505))</f>
        <v/>
      </c>
      <c r="J94" s="9">
        <f>IF(B94="","",IF(INDEX('По дням'!$E$2:$E$3662,MATCH(88,'По дням'!$G$2:$G$3662,0))=1,"да",""))</f>
        <v/>
      </c>
    </row>
    <row r="95">
      <c r="A95" s="9">
        <f>IF(B95="","",89)</f>
        <v/>
      </c>
      <c r="B95" s="12">
        <f>IFERROR(INDEX('По дням'!$A$2:$A$3662,MATCH(89,'По дням'!$G$2:$G$3662,0)),"")</f>
        <v/>
      </c>
      <c r="C95" s="12">
        <f>IF(B95="","",INDEX('По дням'!$A$2:$A$3662,MATCH(89,'По дням'!$G$2:$G$3662,0)+COUNTIF('По дням'!$G$2:$G$3662,89)-1))</f>
        <v/>
      </c>
      <c r="D95" s="9">
        <f>IF(B95="","",C95-B95+1)</f>
        <v/>
      </c>
      <c r="E95" s="13">
        <f>IF(B95="","",INDEX('По дням'!$D$2:$D$3662,MATCH(89,'По дням'!$G$2:$G$3662,0)))</f>
        <v/>
      </c>
      <c r="F95" s="9">
        <f>IF(B95="","",INDEX('По дням'!$B$2:$B$3662,MATCH(89,'По дням'!$G$2:$G$3662,0)))</f>
        <v/>
      </c>
      <c r="G95" s="9">
        <f>IF(B95="","",INDEX('По дням'!$C$2:$C$3662,MATCH(89,'По дням'!$G$2:$G$3662,0)))</f>
        <v/>
      </c>
      <c r="H95" s="13">
        <f>IF(OR(B95="",F95=""),"",IF(J95="да",0,ROUND(E95*F95/100*D95/G95,2)))</f>
        <v/>
      </c>
      <c r="I95" s="13">
        <f>IF(B95="","",SUMIF(Оплаты!$A$6:$A$505,C95,Оплаты!$B$6:$B$505))</f>
        <v/>
      </c>
      <c r="J95" s="9">
        <f>IF(B95="","",IF(INDEX('По дням'!$E$2:$E$3662,MATCH(89,'По дням'!$G$2:$G$3662,0))=1,"да",""))</f>
        <v/>
      </c>
    </row>
    <row r="96">
      <c r="A96" s="9">
        <f>IF(B96="","",90)</f>
        <v/>
      </c>
      <c r="B96" s="12">
        <f>IFERROR(INDEX('По дням'!$A$2:$A$3662,MATCH(90,'По дням'!$G$2:$G$3662,0)),"")</f>
        <v/>
      </c>
      <c r="C96" s="12">
        <f>IF(B96="","",INDEX('По дням'!$A$2:$A$3662,MATCH(90,'По дням'!$G$2:$G$3662,0)+COUNTIF('По дням'!$G$2:$G$3662,90)-1))</f>
        <v/>
      </c>
      <c r="D96" s="9">
        <f>IF(B96="","",C96-B96+1)</f>
        <v/>
      </c>
      <c r="E96" s="13">
        <f>IF(B96="","",INDEX('По дням'!$D$2:$D$3662,MATCH(90,'По дням'!$G$2:$G$3662,0)))</f>
        <v/>
      </c>
      <c r="F96" s="9">
        <f>IF(B96="","",INDEX('По дням'!$B$2:$B$3662,MATCH(90,'По дням'!$G$2:$G$3662,0)))</f>
        <v/>
      </c>
      <c r="G96" s="9">
        <f>IF(B96="","",INDEX('По дням'!$C$2:$C$3662,MATCH(90,'По дням'!$G$2:$G$3662,0)))</f>
        <v/>
      </c>
      <c r="H96" s="13">
        <f>IF(OR(B96="",F96=""),"",IF(J96="да",0,ROUND(E96*F96/100*D96/G96,2)))</f>
        <v/>
      </c>
      <c r="I96" s="13">
        <f>IF(B96="","",SUMIF(Оплаты!$A$6:$A$505,C96,Оплаты!$B$6:$B$505))</f>
        <v/>
      </c>
      <c r="J96" s="9">
        <f>IF(B96="","",IF(INDEX('По дням'!$E$2:$E$3662,MATCH(90,'По дням'!$G$2:$G$3662,0))=1,"да",""))</f>
        <v/>
      </c>
    </row>
    <row r="97">
      <c r="A97" s="9">
        <f>IF(B97="","",91)</f>
        <v/>
      </c>
      <c r="B97" s="12">
        <f>IFERROR(INDEX('По дням'!$A$2:$A$3662,MATCH(91,'По дням'!$G$2:$G$3662,0)),"")</f>
        <v/>
      </c>
      <c r="C97" s="12">
        <f>IF(B97="","",INDEX('По дням'!$A$2:$A$3662,MATCH(91,'По дням'!$G$2:$G$3662,0)+COUNTIF('По дням'!$G$2:$G$3662,91)-1))</f>
        <v/>
      </c>
      <c r="D97" s="9">
        <f>IF(B97="","",C97-B97+1)</f>
        <v/>
      </c>
      <c r="E97" s="13">
        <f>IF(B97="","",INDEX('По дням'!$D$2:$D$3662,MATCH(91,'По дням'!$G$2:$G$3662,0)))</f>
        <v/>
      </c>
      <c r="F97" s="9">
        <f>IF(B97="","",INDEX('По дням'!$B$2:$B$3662,MATCH(91,'По дням'!$G$2:$G$3662,0)))</f>
        <v/>
      </c>
      <c r="G97" s="9">
        <f>IF(B97="","",INDEX('По дням'!$C$2:$C$3662,MATCH(91,'По дням'!$G$2:$G$3662,0)))</f>
        <v/>
      </c>
      <c r="H97" s="13">
        <f>IF(OR(B97="",F97=""),"",IF(J97="да",0,ROUND(E97*F97/100*D97/G97,2)))</f>
        <v/>
      </c>
      <c r="I97" s="13">
        <f>IF(B97="","",SUMIF(Оплаты!$A$6:$A$505,C97,Оплаты!$B$6:$B$505))</f>
        <v/>
      </c>
      <c r="J97" s="9">
        <f>IF(B97="","",IF(INDEX('По дням'!$E$2:$E$3662,MATCH(91,'По дням'!$G$2:$G$3662,0))=1,"да",""))</f>
        <v/>
      </c>
    </row>
    <row r="98">
      <c r="A98" s="9">
        <f>IF(B98="","",92)</f>
        <v/>
      </c>
      <c r="B98" s="12">
        <f>IFERROR(INDEX('По дням'!$A$2:$A$3662,MATCH(92,'По дням'!$G$2:$G$3662,0)),"")</f>
        <v/>
      </c>
      <c r="C98" s="12">
        <f>IF(B98="","",INDEX('По дням'!$A$2:$A$3662,MATCH(92,'По дням'!$G$2:$G$3662,0)+COUNTIF('По дням'!$G$2:$G$3662,92)-1))</f>
        <v/>
      </c>
      <c r="D98" s="9">
        <f>IF(B98="","",C98-B98+1)</f>
        <v/>
      </c>
      <c r="E98" s="13">
        <f>IF(B98="","",INDEX('По дням'!$D$2:$D$3662,MATCH(92,'По дням'!$G$2:$G$3662,0)))</f>
        <v/>
      </c>
      <c r="F98" s="9">
        <f>IF(B98="","",INDEX('По дням'!$B$2:$B$3662,MATCH(92,'По дням'!$G$2:$G$3662,0)))</f>
        <v/>
      </c>
      <c r="G98" s="9">
        <f>IF(B98="","",INDEX('По дням'!$C$2:$C$3662,MATCH(92,'По дням'!$G$2:$G$3662,0)))</f>
        <v/>
      </c>
      <c r="H98" s="13">
        <f>IF(OR(B98="",F98=""),"",IF(J98="да",0,ROUND(E98*F98/100*D98/G98,2)))</f>
        <v/>
      </c>
      <c r="I98" s="13">
        <f>IF(B98="","",SUMIF(Оплаты!$A$6:$A$505,C98,Оплаты!$B$6:$B$505))</f>
        <v/>
      </c>
      <c r="J98" s="9">
        <f>IF(B98="","",IF(INDEX('По дням'!$E$2:$E$3662,MATCH(92,'По дням'!$G$2:$G$3662,0))=1,"да",""))</f>
        <v/>
      </c>
    </row>
    <row r="99">
      <c r="A99" s="9">
        <f>IF(B99="","",93)</f>
        <v/>
      </c>
      <c r="B99" s="12">
        <f>IFERROR(INDEX('По дням'!$A$2:$A$3662,MATCH(93,'По дням'!$G$2:$G$3662,0)),"")</f>
        <v/>
      </c>
      <c r="C99" s="12">
        <f>IF(B99="","",INDEX('По дням'!$A$2:$A$3662,MATCH(93,'По дням'!$G$2:$G$3662,0)+COUNTIF('По дням'!$G$2:$G$3662,93)-1))</f>
        <v/>
      </c>
      <c r="D99" s="9">
        <f>IF(B99="","",C99-B99+1)</f>
        <v/>
      </c>
      <c r="E99" s="13">
        <f>IF(B99="","",INDEX('По дням'!$D$2:$D$3662,MATCH(93,'По дням'!$G$2:$G$3662,0)))</f>
        <v/>
      </c>
      <c r="F99" s="9">
        <f>IF(B99="","",INDEX('По дням'!$B$2:$B$3662,MATCH(93,'По дням'!$G$2:$G$3662,0)))</f>
        <v/>
      </c>
      <c r="G99" s="9">
        <f>IF(B99="","",INDEX('По дням'!$C$2:$C$3662,MATCH(93,'По дням'!$G$2:$G$3662,0)))</f>
        <v/>
      </c>
      <c r="H99" s="13">
        <f>IF(OR(B99="",F99=""),"",IF(J99="да",0,ROUND(E99*F99/100*D99/G99,2)))</f>
        <v/>
      </c>
      <c r="I99" s="13">
        <f>IF(B99="","",SUMIF(Оплаты!$A$6:$A$505,C99,Оплаты!$B$6:$B$505))</f>
        <v/>
      </c>
      <c r="J99" s="9">
        <f>IF(B99="","",IF(INDEX('По дням'!$E$2:$E$3662,MATCH(93,'По дням'!$G$2:$G$3662,0))=1,"да",""))</f>
        <v/>
      </c>
    </row>
    <row r="100">
      <c r="A100" s="9">
        <f>IF(B100="","",94)</f>
        <v/>
      </c>
      <c r="B100" s="12">
        <f>IFERROR(INDEX('По дням'!$A$2:$A$3662,MATCH(94,'По дням'!$G$2:$G$3662,0)),"")</f>
        <v/>
      </c>
      <c r="C100" s="12">
        <f>IF(B100="","",INDEX('По дням'!$A$2:$A$3662,MATCH(94,'По дням'!$G$2:$G$3662,0)+COUNTIF('По дням'!$G$2:$G$3662,94)-1))</f>
        <v/>
      </c>
      <c r="D100" s="9">
        <f>IF(B100="","",C100-B100+1)</f>
        <v/>
      </c>
      <c r="E100" s="13">
        <f>IF(B100="","",INDEX('По дням'!$D$2:$D$3662,MATCH(94,'По дням'!$G$2:$G$3662,0)))</f>
        <v/>
      </c>
      <c r="F100" s="9">
        <f>IF(B100="","",INDEX('По дням'!$B$2:$B$3662,MATCH(94,'По дням'!$G$2:$G$3662,0)))</f>
        <v/>
      </c>
      <c r="G100" s="9">
        <f>IF(B100="","",INDEX('По дням'!$C$2:$C$3662,MATCH(94,'По дням'!$G$2:$G$3662,0)))</f>
        <v/>
      </c>
      <c r="H100" s="13">
        <f>IF(OR(B100="",F100=""),"",IF(J100="да",0,ROUND(E100*F100/100*D100/G100,2)))</f>
        <v/>
      </c>
      <c r="I100" s="13">
        <f>IF(B100="","",SUMIF(Оплаты!$A$6:$A$505,C100,Оплаты!$B$6:$B$505))</f>
        <v/>
      </c>
      <c r="J100" s="9">
        <f>IF(B100="","",IF(INDEX('По дням'!$E$2:$E$3662,MATCH(94,'По дням'!$G$2:$G$3662,0))=1,"да",""))</f>
        <v/>
      </c>
    </row>
    <row r="101">
      <c r="A101" s="9">
        <f>IF(B101="","",95)</f>
        <v/>
      </c>
      <c r="B101" s="12">
        <f>IFERROR(INDEX('По дням'!$A$2:$A$3662,MATCH(95,'По дням'!$G$2:$G$3662,0)),"")</f>
        <v/>
      </c>
      <c r="C101" s="12">
        <f>IF(B101="","",INDEX('По дням'!$A$2:$A$3662,MATCH(95,'По дням'!$G$2:$G$3662,0)+COUNTIF('По дням'!$G$2:$G$3662,95)-1))</f>
        <v/>
      </c>
      <c r="D101" s="9">
        <f>IF(B101="","",C101-B101+1)</f>
        <v/>
      </c>
      <c r="E101" s="13">
        <f>IF(B101="","",INDEX('По дням'!$D$2:$D$3662,MATCH(95,'По дням'!$G$2:$G$3662,0)))</f>
        <v/>
      </c>
      <c r="F101" s="9">
        <f>IF(B101="","",INDEX('По дням'!$B$2:$B$3662,MATCH(95,'По дням'!$G$2:$G$3662,0)))</f>
        <v/>
      </c>
      <c r="G101" s="9">
        <f>IF(B101="","",INDEX('По дням'!$C$2:$C$3662,MATCH(95,'По дням'!$G$2:$G$3662,0)))</f>
        <v/>
      </c>
      <c r="H101" s="13">
        <f>IF(OR(B101="",F101=""),"",IF(J101="да",0,ROUND(E101*F101/100*D101/G101,2)))</f>
        <v/>
      </c>
      <c r="I101" s="13">
        <f>IF(B101="","",SUMIF(Оплаты!$A$6:$A$505,C101,Оплаты!$B$6:$B$505))</f>
        <v/>
      </c>
      <c r="J101" s="9">
        <f>IF(B101="","",IF(INDEX('По дням'!$E$2:$E$3662,MATCH(95,'По дням'!$G$2:$G$3662,0))=1,"да",""))</f>
        <v/>
      </c>
    </row>
    <row r="102">
      <c r="A102" s="9">
        <f>IF(B102="","",96)</f>
        <v/>
      </c>
      <c r="B102" s="12">
        <f>IFERROR(INDEX('По дням'!$A$2:$A$3662,MATCH(96,'По дням'!$G$2:$G$3662,0)),"")</f>
        <v/>
      </c>
      <c r="C102" s="12">
        <f>IF(B102="","",INDEX('По дням'!$A$2:$A$3662,MATCH(96,'По дням'!$G$2:$G$3662,0)+COUNTIF('По дням'!$G$2:$G$3662,96)-1))</f>
        <v/>
      </c>
      <c r="D102" s="9">
        <f>IF(B102="","",C102-B102+1)</f>
        <v/>
      </c>
      <c r="E102" s="13">
        <f>IF(B102="","",INDEX('По дням'!$D$2:$D$3662,MATCH(96,'По дням'!$G$2:$G$3662,0)))</f>
        <v/>
      </c>
      <c r="F102" s="9">
        <f>IF(B102="","",INDEX('По дням'!$B$2:$B$3662,MATCH(96,'По дням'!$G$2:$G$3662,0)))</f>
        <v/>
      </c>
      <c r="G102" s="9">
        <f>IF(B102="","",INDEX('По дням'!$C$2:$C$3662,MATCH(96,'По дням'!$G$2:$G$3662,0)))</f>
        <v/>
      </c>
      <c r="H102" s="13">
        <f>IF(OR(B102="",F102=""),"",IF(J102="да",0,ROUND(E102*F102/100*D102/G102,2)))</f>
        <v/>
      </c>
      <c r="I102" s="13">
        <f>IF(B102="","",SUMIF(Оплаты!$A$6:$A$505,C102,Оплаты!$B$6:$B$505))</f>
        <v/>
      </c>
      <c r="J102" s="9">
        <f>IF(B102="","",IF(INDEX('По дням'!$E$2:$E$3662,MATCH(96,'По дням'!$G$2:$G$3662,0))=1,"да",""))</f>
        <v/>
      </c>
    </row>
    <row r="103">
      <c r="A103" s="9">
        <f>IF(B103="","",97)</f>
        <v/>
      </c>
      <c r="B103" s="12">
        <f>IFERROR(INDEX('По дням'!$A$2:$A$3662,MATCH(97,'По дням'!$G$2:$G$3662,0)),"")</f>
        <v/>
      </c>
      <c r="C103" s="12">
        <f>IF(B103="","",INDEX('По дням'!$A$2:$A$3662,MATCH(97,'По дням'!$G$2:$G$3662,0)+COUNTIF('По дням'!$G$2:$G$3662,97)-1))</f>
        <v/>
      </c>
      <c r="D103" s="9">
        <f>IF(B103="","",C103-B103+1)</f>
        <v/>
      </c>
      <c r="E103" s="13">
        <f>IF(B103="","",INDEX('По дням'!$D$2:$D$3662,MATCH(97,'По дням'!$G$2:$G$3662,0)))</f>
        <v/>
      </c>
      <c r="F103" s="9">
        <f>IF(B103="","",INDEX('По дням'!$B$2:$B$3662,MATCH(97,'По дням'!$G$2:$G$3662,0)))</f>
        <v/>
      </c>
      <c r="G103" s="9">
        <f>IF(B103="","",INDEX('По дням'!$C$2:$C$3662,MATCH(97,'По дням'!$G$2:$G$3662,0)))</f>
        <v/>
      </c>
      <c r="H103" s="13">
        <f>IF(OR(B103="",F103=""),"",IF(J103="да",0,ROUND(E103*F103/100*D103/G103,2)))</f>
        <v/>
      </c>
      <c r="I103" s="13">
        <f>IF(B103="","",SUMIF(Оплаты!$A$6:$A$505,C103,Оплаты!$B$6:$B$505))</f>
        <v/>
      </c>
      <c r="J103" s="9">
        <f>IF(B103="","",IF(INDEX('По дням'!$E$2:$E$3662,MATCH(97,'По дням'!$G$2:$G$3662,0))=1,"да",""))</f>
        <v/>
      </c>
    </row>
    <row r="104">
      <c r="A104" s="9">
        <f>IF(B104="","",98)</f>
        <v/>
      </c>
      <c r="B104" s="12">
        <f>IFERROR(INDEX('По дням'!$A$2:$A$3662,MATCH(98,'По дням'!$G$2:$G$3662,0)),"")</f>
        <v/>
      </c>
      <c r="C104" s="12">
        <f>IF(B104="","",INDEX('По дням'!$A$2:$A$3662,MATCH(98,'По дням'!$G$2:$G$3662,0)+COUNTIF('По дням'!$G$2:$G$3662,98)-1))</f>
        <v/>
      </c>
      <c r="D104" s="9">
        <f>IF(B104="","",C104-B104+1)</f>
        <v/>
      </c>
      <c r="E104" s="13">
        <f>IF(B104="","",INDEX('По дням'!$D$2:$D$3662,MATCH(98,'По дням'!$G$2:$G$3662,0)))</f>
        <v/>
      </c>
      <c r="F104" s="9">
        <f>IF(B104="","",INDEX('По дням'!$B$2:$B$3662,MATCH(98,'По дням'!$G$2:$G$3662,0)))</f>
        <v/>
      </c>
      <c r="G104" s="9">
        <f>IF(B104="","",INDEX('По дням'!$C$2:$C$3662,MATCH(98,'По дням'!$G$2:$G$3662,0)))</f>
        <v/>
      </c>
      <c r="H104" s="13">
        <f>IF(OR(B104="",F104=""),"",IF(J104="да",0,ROUND(E104*F104/100*D104/G104,2)))</f>
        <v/>
      </c>
      <c r="I104" s="13">
        <f>IF(B104="","",SUMIF(Оплаты!$A$6:$A$505,C104,Оплаты!$B$6:$B$505))</f>
        <v/>
      </c>
      <c r="J104" s="9">
        <f>IF(B104="","",IF(INDEX('По дням'!$E$2:$E$3662,MATCH(98,'По дням'!$G$2:$G$3662,0))=1,"да",""))</f>
        <v/>
      </c>
    </row>
    <row r="105">
      <c r="A105" s="9">
        <f>IF(B105="","",99)</f>
        <v/>
      </c>
      <c r="B105" s="12">
        <f>IFERROR(INDEX('По дням'!$A$2:$A$3662,MATCH(99,'По дням'!$G$2:$G$3662,0)),"")</f>
        <v/>
      </c>
      <c r="C105" s="12">
        <f>IF(B105="","",INDEX('По дням'!$A$2:$A$3662,MATCH(99,'По дням'!$G$2:$G$3662,0)+COUNTIF('По дням'!$G$2:$G$3662,99)-1))</f>
        <v/>
      </c>
      <c r="D105" s="9">
        <f>IF(B105="","",C105-B105+1)</f>
        <v/>
      </c>
      <c r="E105" s="13">
        <f>IF(B105="","",INDEX('По дням'!$D$2:$D$3662,MATCH(99,'По дням'!$G$2:$G$3662,0)))</f>
        <v/>
      </c>
      <c r="F105" s="9">
        <f>IF(B105="","",INDEX('По дням'!$B$2:$B$3662,MATCH(99,'По дням'!$G$2:$G$3662,0)))</f>
        <v/>
      </c>
      <c r="G105" s="9">
        <f>IF(B105="","",INDEX('По дням'!$C$2:$C$3662,MATCH(99,'По дням'!$G$2:$G$3662,0)))</f>
        <v/>
      </c>
      <c r="H105" s="13">
        <f>IF(OR(B105="",F105=""),"",IF(J105="да",0,ROUND(E105*F105/100*D105/G105,2)))</f>
        <v/>
      </c>
      <c r="I105" s="13">
        <f>IF(B105="","",SUMIF(Оплаты!$A$6:$A$505,C105,Оплаты!$B$6:$B$505))</f>
        <v/>
      </c>
      <c r="J105" s="9">
        <f>IF(B105="","",IF(INDEX('По дням'!$E$2:$E$3662,MATCH(99,'По дням'!$G$2:$G$3662,0))=1,"да",""))</f>
        <v/>
      </c>
    </row>
    <row r="106">
      <c r="A106" s="9">
        <f>IF(B106="","",100)</f>
        <v/>
      </c>
      <c r="B106" s="12">
        <f>IFERROR(INDEX('По дням'!$A$2:$A$3662,MATCH(100,'По дням'!$G$2:$G$3662,0)),"")</f>
        <v/>
      </c>
      <c r="C106" s="12">
        <f>IF(B106="","",INDEX('По дням'!$A$2:$A$3662,MATCH(100,'По дням'!$G$2:$G$3662,0)+COUNTIF('По дням'!$G$2:$G$3662,100)-1))</f>
        <v/>
      </c>
      <c r="D106" s="9">
        <f>IF(B106="","",C106-B106+1)</f>
        <v/>
      </c>
      <c r="E106" s="13">
        <f>IF(B106="","",INDEX('По дням'!$D$2:$D$3662,MATCH(100,'По дням'!$G$2:$G$3662,0)))</f>
        <v/>
      </c>
      <c r="F106" s="9">
        <f>IF(B106="","",INDEX('По дням'!$B$2:$B$3662,MATCH(100,'По дням'!$G$2:$G$3662,0)))</f>
        <v/>
      </c>
      <c r="G106" s="9">
        <f>IF(B106="","",INDEX('По дням'!$C$2:$C$3662,MATCH(100,'По дням'!$G$2:$G$3662,0)))</f>
        <v/>
      </c>
      <c r="H106" s="13">
        <f>IF(OR(B106="",F106=""),"",IF(J106="да",0,ROUND(E106*F106/100*D106/G106,2)))</f>
        <v/>
      </c>
      <c r="I106" s="13">
        <f>IF(B106="","",SUMIF(Оплаты!$A$6:$A$505,C106,Оплаты!$B$6:$B$505))</f>
        <v/>
      </c>
      <c r="J106" s="9">
        <f>IF(B106="","",IF(INDEX('По дням'!$E$2:$E$3662,MATCH(100,'По дням'!$G$2:$G$3662,0))=1,"да",""))</f>
        <v/>
      </c>
    </row>
    <row r="107">
      <c r="A107" s="9">
        <f>IF(B107="","",101)</f>
        <v/>
      </c>
      <c r="B107" s="12">
        <f>IFERROR(INDEX('По дням'!$A$2:$A$3662,MATCH(101,'По дням'!$G$2:$G$3662,0)),"")</f>
        <v/>
      </c>
      <c r="C107" s="12">
        <f>IF(B107="","",INDEX('По дням'!$A$2:$A$3662,MATCH(101,'По дням'!$G$2:$G$3662,0)+COUNTIF('По дням'!$G$2:$G$3662,101)-1))</f>
        <v/>
      </c>
      <c r="D107" s="9">
        <f>IF(B107="","",C107-B107+1)</f>
        <v/>
      </c>
      <c r="E107" s="13">
        <f>IF(B107="","",INDEX('По дням'!$D$2:$D$3662,MATCH(101,'По дням'!$G$2:$G$3662,0)))</f>
        <v/>
      </c>
      <c r="F107" s="9">
        <f>IF(B107="","",INDEX('По дням'!$B$2:$B$3662,MATCH(101,'По дням'!$G$2:$G$3662,0)))</f>
        <v/>
      </c>
      <c r="G107" s="9">
        <f>IF(B107="","",INDEX('По дням'!$C$2:$C$3662,MATCH(101,'По дням'!$G$2:$G$3662,0)))</f>
        <v/>
      </c>
      <c r="H107" s="13">
        <f>IF(OR(B107="",F107=""),"",IF(J107="да",0,ROUND(E107*F107/100*D107/G107,2)))</f>
        <v/>
      </c>
      <c r="I107" s="13">
        <f>IF(B107="","",SUMIF(Оплаты!$A$6:$A$505,C107,Оплаты!$B$6:$B$505))</f>
        <v/>
      </c>
      <c r="J107" s="9">
        <f>IF(B107="","",IF(INDEX('По дням'!$E$2:$E$3662,MATCH(101,'По дням'!$G$2:$G$3662,0))=1,"да",""))</f>
        <v/>
      </c>
    </row>
    <row r="108">
      <c r="A108" s="9">
        <f>IF(B108="","",102)</f>
        <v/>
      </c>
      <c r="B108" s="12">
        <f>IFERROR(INDEX('По дням'!$A$2:$A$3662,MATCH(102,'По дням'!$G$2:$G$3662,0)),"")</f>
        <v/>
      </c>
      <c r="C108" s="12">
        <f>IF(B108="","",INDEX('По дням'!$A$2:$A$3662,MATCH(102,'По дням'!$G$2:$G$3662,0)+COUNTIF('По дням'!$G$2:$G$3662,102)-1))</f>
        <v/>
      </c>
      <c r="D108" s="9">
        <f>IF(B108="","",C108-B108+1)</f>
        <v/>
      </c>
      <c r="E108" s="13">
        <f>IF(B108="","",INDEX('По дням'!$D$2:$D$3662,MATCH(102,'По дням'!$G$2:$G$3662,0)))</f>
        <v/>
      </c>
      <c r="F108" s="9">
        <f>IF(B108="","",INDEX('По дням'!$B$2:$B$3662,MATCH(102,'По дням'!$G$2:$G$3662,0)))</f>
        <v/>
      </c>
      <c r="G108" s="9">
        <f>IF(B108="","",INDEX('По дням'!$C$2:$C$3662,MATCH(102,'По дням'!$G$2:$G$3662,0)))</f>
        <v/>
      </c>
      <c r="H108" s="13">
        <f>IF(OR(B108="",F108=""),"",IF(J108="да",0,ROUND(E108*F108/100*D108/G108,2)))</f>
        <v/>
      </c>
      <c r="I108" s="13">
        <f>IF(B108="","",SUMIF(Оплаты!$A$6:$A$505,C108,Оплаты!$B$6:$B$505))</f>
        <v/>
      </c>
      <c r="J108" s="9">
        <f>IF(B108="","",IF(INDEX('По дням'!$E$2:$E$3662,MATCH(102,'По дням'!$G$2:$G$3662,0))=1,"да",""))</f>
        <v/>
      </c>
    </row>
    <row r="109">
      <c r="A109" s="9">
        <f>IF(B109="","",103)</f>
        <v/>
      </c>
      <c r="B109" s="12">
        <f>IFERROR(INDEX('По дням'!$A$2:$A$3662,MATCH(103,'По дням'!$G$2:$G$3662,0)),"")</f>
        <v/>
      </c>
      <c r="C109" s="12">
        <f>IF(B109="","",INDEX('По дням'!$A$2:$A$3662,MATCH(103,'По дням'!$G$2:$G$3662,0)+COUNTIF('По дням'!$G$2:$G$3662,103)-1))</f>
        <v/>
      </c>
      <c r="D109" s="9">
        <f>IF(B109="","",C109-B109+1)</f>
        <v/>
      </c>
      <c r="E109" s="13">
        <f>IF(B109="","",INDEX('По дням'!$D$2:$D$3662,MATCH(103,'По дням'!$G$2:$G$3662,0)))</f>
        <v/>
      </c>
      <c r="F109" s="9">
        <f>IF(B109="","",INDEX('По дням'!$B$2:$B$3662,MATCH(103,'По дням'!$G$2:$G$3662,0)))</f>
        <v/>
      </c>
      <c r="G109" s="9">
        <f>IF(B109="","",INDEX('По дням'!$C$2:$C$3662,MATCH(103,'По дням'!$G$2:$G$3662,0)))</f>
        <v/>
      </c>
      <c r="H109" s="13">
        <f>IF(OR(B109="",F109=""),"",IF(J109="да",0,ROUND(E109*F109/100*D109/G109,2)))</f>
        <v/>
      </c>
      <c r="I109" s="13">
        <f>IF(B109="","",SUMIF(Оплаты!$A$6:$A$505,C109,Оплаты!$B$6:$B$505))</f>
        <v/>
      </c>
      <c r="J109" s="9">
        <f>IF(B109="","",IF(INDEX('По дням'!$E$2:$E$3662,MATCH(103,'По дням'!$G$2:$G$3662,0))=1,"да",""))</f>
        <v/>
      </c>
    </row>
    <row r="110">
      <c r="A110" s="9">
        <f>IF(B110="","",104)</f>
        <v/>
      </c>
      <c r="B110" s="12">
        <f>IFERROR(INDEX('По дням'!$A$2:$A$3662,MATCH(104,'По дням'!$G$2:$G$3662,0)),"")</f>
        <v/>
      </c>
      <c r="C110" s="12">
        <f>IF(B110="","",INDEX('По дням'!$A$2:$A$3662,MATCH(104,'По дням'!$G$2:$G$3662,0)+COUNTIF('По дням'!$G$2:$G$3662,104)-1))</f>
        <v/>
      </c>
      <c r="D110" s="9">
        <f>IF(B110="","",C110-B110+1)</f>
        <v/>
      </c>
      <c r="E110" s="13">
        <f>IF(B110="","",INDEX('По дням'!$D$2:$D$3662,MATCH(104,'По дням'!$G$2:$G$3662,0)))</f>
        <v/>
      </c>
      <c r="F110" s="9">
        <f>IF(B110="","",INDEX('По дням'!$B$2:$B$3662,MATCH(104,'По дням'!$G$2:$G$3662,0)))</f>
        <v/>
      </c>
      <c r="G110" s="9">
        <f>IF(B110="","",INDEX('По дням'!$C$2:$C$3662,MATCH(104,'По дням'!$G$2:$G$3662,0)))</f>
        <v/>
      </c>
      <c r="H110" s="13">
        <f>IF(OR(B110="",F110=""),"",IF(J110="да",0,ROUND(E110*F110/100*D110/G110,2)))</f>
        <v/>
      </c>
      <c r="I110" s="13">
        <f>IF(B110="","",SUMIF(Оплаты!$A$6:$A$505,C110,Оплаты!$B$6:$B$505))</f>
        <v/>
      </c>
      <c r="J110" s="9">
        <f>IF(B110="","",IF(INDEX('По дням'!$E$2:$E$3662,MATCH(104,'По дням'!$G$2:$G$3662,0))=1,"да",""))</f>
        <v/>
      </c>
    </row>
    <row r="111">
      <c r="A111" s="9">
        <f>IF(B111="","",105)</f>
        <v/>
      </c>
      <c r="B111" s="12">
        <f>IFERROR(INDEX('По дням'!$A$2:$A$3662,MATCH(105,'По дням'!$G$2:$G$3662,0)),"")</f>
        <v/>
      </c>
      <c r="C111" s="12">
        <f>IF(B111="","",INDEX('По дням'!$A$2:$A$3662,MATCH(105,'По дням'!$G$2:$G$3662,0)+COUNTIF('По дням'!$G$2:$G$3662,105)-1))</f>
        <v/>
      </c>
      <c r="D111" s="9">
        <f>IF(B111="","",C111-B111+1)</f>
        <v/>
      </c>
      <c r="E111" s="13">
        <f>IF(B111="","",INDEX('По дням'!$D$2:$D$3662,MATCH(105,'По дням'!$G$2:$G$3662,0)))</f>
        <v/>
      </c>
      <c r="F111" s="9">
        <f>IF(B111="","",INDEX('По дням'!$B$2:$B$3662,MATCH(105,'По дням'!$G$2:$G$3662,0)))</f>
        <v/>
      </c>
      <c r="G111" s="9">
        <f>IF(B111="","",INDEX('По дням'!$C$2:$C$3662,MATCH(105,'По дням'!$G$2:$G$3662,0)))</f>
        <v/>
      </c>
      <c r="H111" s="13">
        <f>IF(OR(B111="",F111=""),"",IF(J111="да",0,ROUND(E111*F111/100*D111/G111,2)))</f>
        <v/>
      </c>
      <c r="I111" s="13">
        <f>IF(B111="","",SUMIF(Оплаты!$A$6:$A$505,C111,Оплаты!$B$6:$B$505))</f>
        <v/>
      </c>
      <c r="J111" s="9">
        <f>IF(B111="","",IF(INDEX('По дням'!$E$2:$E$3662,MATCH(105,'По дням'!$G$2:$G$3662,0))=1,"да",""))</f>
        <v/>
      </c>
    </row>
    <row r="112">
      <c r="A112" s="9">
        <f>IF(B112="","",106)</f>
        <v/>
      </c>
      <c r="B112" s="12">
        <f>IFERROR(INDEX('По дням'!$A$2:$A$3662,MATCH(106,'По дням'!$G$2:$G$3662,0)),"")</f>
        <v/>
      </c>
      <c r="C112" s="12">
        <f>IF(B112="","",INDEX('По дням'!$A$2:$A$3662,MATCH(106,'По дням'!$G$2:$G$3662,0)+COUNTIF('По дням'!$G$2:$G$3662,106)-1))</f>
        <v/>
      </c>
      <c r="D112" s="9">
        <f>IF(B112="","",C112-B112+1)</f>
        <v/>
      </c>
      <c r="E112" s="13">
        <f>IF(B112="","",INDEX('По дням'!$D$2:$D$3662,MATCH(106,'По дням'!$G$2:$G$3662,0)))</f>
        <v/>
      </c>
      <c r="F112" s="9">
        <f>IF(B112="","",INDEX('По дням'!$B$2:$B$3662,MATCH(106,'По дням'!$G$2:$G$3662,0)))</f>
        <v/>
      </c>
      <c r="G112" s="9">
        <f>IF(B112="","",INDEX('По дням'!$C$2:$C$3662,MATCH(106,'По дням'!$G$2:$G$3662,0)))</f>
        <v/>
      </c>
      <c r="H112" s="13">
        <f>IF(OR(B112="",F112=""),"",IF(J112="да",0,ROUND(E112*F112/100*D112/G112,2)))</f>
        <v/>
      </c>
      <c r="I112" s="13">
        <f>IF(B112="","",SUMIF(Оплаты!$A$6:$A$505,C112,Оплаты!$B$6:$B$505))</f>
        <v/>
      </c>
      <c r="J112" s="9">
        <f>IF(B112="","",IF(INDEX('По дням'!$E$2:$E$3662,MATCH(106,'По дням'!$G$2:$G$3662,0))=1,"да",""))</f>
        <v/>
      </c>
    </row>
    <row r="113">
      <c r="A113" s="9">
        <f>IF(B113="","",107)</f>
        <v/>
      </c>
      <c r="B113" s="12">
        <f>IFERROR(INDEX('По дням'!$A$2:$A$3662,MATCH(107,'По дням'!$G$2:$G$3662,0)),"")</f>
        <v/>
      </c>
      <c r="C113" s="12">
        <f>IF(B113="","",INDEX('По дням'!$A$2:$A$3662,MATCH(107,'По дням'!$G$2:$G$3662,0)+COUNTIF('По дням'!$G$2:$G$3662,107)-1))</f>
        <v/>
      </c>
      <c r="D113" s="9">
        <f>IF(B113="","",C113-B113+1)</f>
        <v/>
      </c>
      <c r="E113" s="13">
        <f>IF(B113="","",INDEX('По дням'!$D$2:$D$3662,MATCH(107,'По дням'!$G$2:$G$3662,0)))</f>
        <v/>
      </c>
      <c r="F113" s="9">
        <f>IF(B113="","",INDEX('По дням'!$B$2:$B$3662,MATCH(107,'По дням'!$G$2:$G$3662,0)))</f>
        <v/>
      </c>
      <c r="G113" s="9">
        <f>IF(B113="","",INDEX('По дням'!$C$2:$C$3662,MATCH(107,'По дням'!$G$2:$G$3662,0)))</f>
        <v/>
      </c>
      <c r="H113" s="13">
        <f>IF(OR(B113="",F113=""),"",IF(J113="да",0,ROUND(E113*F113/100*D113/G113,2)))</f>
        <v/>
      </c>
      <c r="I113" s="13">
        <f>IF(B113="","",SUMIF(Оплаты!$A$6:$A$505,C113,Оплаты!$B$6:$B$505))</f>
        <v/>
      </c>
      <c r="J113" s="9">
        <f>IF(B113="","",IF(INDEX('По дням'!$E$2:$E$3662,MATCH(107,'По дням'!$G$2:$G$3662,0))=1,"да",""))</f>
        <v/>
      </c>
    </row>
    <row r="114">
      <c r="A114" s="9">
        <f>IF(B114="","",108)</f>
        <v/>
      </c>
      <c r="B114" s="12">
        <f>IFERROR(INDEX('По дням'!$A$2:$A$3662,MATCH(108,'По дням'!$G$2:$G$3662,0)),"")</f>
        <v/>
      </c>
      <c r="C114" s="12">
        <f>IF(B114="","",INDEX('По дням'!$A$2:$A$3662,MATCH(108,'По дням'!$G$2:$G$3662,0)+COUNTIF('По дням'!$G$2:$G$3662,108)-1))</f>
        <v/>
      </c>
      <c r="D114" s="9">
        <f>IF(B114="","",C114-B114+1)</f>
        <v/>
      </c>
      <c r="E114" s="13">
        <f>IF(B114="","",INDEX('По дням'!$D$2:$D$3662,MATCH(108,'По дням'!$G$2:$G$3662,0)))</f>
        <v/>
      </c>
      <c r="F114" s="9">
        <f>IF(B114="","",INDEX('По дням'!$B$2:$B$3662,MATCH(108,'По дням'!$G$2:$G$3662,0)))</f>
        <v/>
      </c>
      <c r="G114" s="9">
        <f>IF(B114="","",INDEX('По дням'!$C$2:$C$3662,MATCH(108,'По дням'!$G$2:$G$3662,0)))</f>
        <v/>
      </c>
      <c r="H114" s="13">
        <f>IF(OR(B114="",F114=""),"",IF(J114="да",0,ROUND(E114*F114/100*D114/G114,2)))</f>
        <v/>
      </c>
      <c r="I114" s="13">
        <f>IF(B114="","",SUMIF(Оплаты!$A$6:$A$505,C114,Оплаты!$B$6:$B$505))</f>
        <v/>
      </c>
      <c r="J114" s="9">
        <f>IF(B114="","",IF(INDEX('По дням'!$E$2:$E$3662,MATCH(108,'По дням'!$G$2:$G$3662,0))=1,"да",""))</f>
        <v/>
      </c>
    </row>
    <row r="115">
      <c r="A115" s="9">
        <f>IF(B115="","",109)</f>
        <v/>
      </c>
      <c r="B115" s="12">
        <f>IFERROR(INDEX('По дням'!$A$2:$A$3662,MATCH(109,'По дням'!$G$2:$G$3662,0)),"")</f>
        <v/>
      </c>
      <c r="C115" s="12">
        <f>IF(B115="","",INDEX('По дням'!$A$2:$A$3662,MATCH(109,'По дням'!$G$2:$G$3662,0)+COUNTIF('По дням'!$G$2:$G$3662,109)-1))</f>
        <v/>
      </c>
      <c r="D115" s="9">
        <f>IF(B115="","",C115-B115+1)</f>
        <v/>
      </c>
      <c r="E115" s="13">
        <f>IF(B115="","",INDEX('По дням'!$D$2:$D$3662,MATCH(109,'По дням'!$G$2:$G$3662,0)))</f>
        <v/>
      </c>
      <c r="F115" s="9">
        <f>IF(B115="","",INDEX('По дням'!$B$2:$B$3662,MATCH(109,'По дням'!$G$2:$G$3662,0)))</f>
        <v/>
      </c>
      <c r="G115" s="9">
        <f>IF(B115="","",INDEX('По дням'!$C$2:$C$3662,MATCH(109,'По дням'!$G$2:$G$3662,0)))</f>
        <v/>
      </c>
      <c r="H115" s="13">
        <f>IF(OR(B115="",F115=""),"",IF(J115="да",0,ROUND(E115*F115/100*D115/G115,2)))</f>
        <v/>
      </c>
      <c r="I115" s="13">
        <f>IF(B115="","",SUMIF(Оплаты!$A$6:$A$505,C115,Оплаты!$B$6:$B$505))</f>
        <v/>
      </c>
      <c r="J115" s="9">
        <f>IF(B115="","",IF(INDEX('По дням'!$E$2:$E$3662,MATCH(109,'По дням'!$G$2:$G$3662,0))=1,"да",""))</f>
        <v/>
      </c>
    </row>
    <row r="116">
      <c r="A116" s="9">
        <f>IF(B116="","",110)</f>
        <v/>
      </c>
      <c r="B116" s="12">
        <f>IFERROR(INDEX('По дням'!$A$2:$A$3662,MATCH(110,'По дням'!$G$2:$G$3662,0)),"")</f>
        <v/>
      </c>
      <c r="C116" s="12">
        <f>IF(B116="","",INDEX('По дням'!$A$2:$A$3662,MATCH(110,'По дням'!$G$2:$G$3662,0)+COUNTIF('По дням'!$G$2:$G$3662,110)-1))</f>
        <v/>
      </c>
      <c r="D116" s="9">
        <f>IF(B116="","",C116-B116+1)</f>
        <v/>
      </c>
      <c r="E116" s="13">
        <f>IF(B116="","",INDEX('По дням'!$D$2:$D$3662,MATCH(110,'По дням'!$G$2:$G$3662,0)))</f>
        <v/>
      </c>
      <c r="F116" s="9">
        <f>IF(B116="","",INDEX('По дням'!$B$2:$B$3662,MATCH(110,'По дням'!$G$2:$G$3662,0)))</f>
        <v/>
      </c>
      <c r="G116" s="9">
        <f>IF(B116="","",INDEX('По дням'!$C$2:$C$3662,MATCH(110,'По дням'!$G$2:$G$3662,0)))</f>
        <v/>
      </c>
      <c r="H116" s="13">
        <f>IF(OR(B116="",F116=""),"",IF(J116="да",0,ROUND(E116*F116/100*D116/G116,2)))</f>
        <v/>
      </c>
      <c r="I116" s="13">
        <f>IF(B116="","",SUMIF(Оплаты!$A$6:$A$505,C116,Оплаты!$B$6:$B$505))</f>
        <v/>
      </c>
      <c r="J116" s="9">
        <f>IF(B116="","",IF(INDEX('По дням'!$E$2:$E$3662,MATCH(110,'По дням'!$G$2:$G$3662,0))=1,"да",""))</f>
        <v/>
      </c>
    </row>
    <row r="117">
      <c r="A117" s="9">
        <f>IF(B117="","",111)</f>
        <v/>
      </c>
      <c r="B117" s="12">
        <f>IFERROR(INDEX('По дням'!$A$2:$A$3662,MATCH(111,'По дням'!$G$2:$G$3662,0)),"")</f>
        <v/>
      </c>
      <c r="C117" s="12">
        <f>IF(B117="","",INDEX('По дням'!$A$2:$A$3662,MATCH(111,'По дням'!$G$2:$G$3662,0)+COUNTIF('По дням'!$G$2:$G$3662,111)-1))</f>
        <v/>
      </c>
      <c r="D117" s="9">
        <f>IF(B117="","",C117-B117+1)</f>
        <v/>
      </c>
      <c r="E117" s="13">
        <f>IF(B117="","",INDEX('По дням'!$D$2:$D$3662,MATCH(111,'По дням'!$G$2:$G$3662,0)))</f>
        <v/>
      </c>
      <c r="F117" s="9">
        <f>IF(B117="","",INDEX('По дням'!$B$2:$B$3662,MATCH(111,'По дням'!$G$2:$G$3662,0)))</f>
        <v/>
      </c>
      <c r="G117" s="9">
        <f>IF(B117="","",INDEX('По дням'!$C$2:$C$3662,MATCH(111,'По дням'!$G$2:$G$3662,0)))</f>
        <v/>
      </c>
      <c r="H117" s="13">
        <f>IF(OR(B117="",F117=""),"",IF(J117="да",0,ROUND(E117*F117/100*D117/G117,2)))</f>
        <v/>
      </c>
      <c r="I117" s="13">
        <f>IF(B117="","",SUMIF(Оплаты!$A$6:$A$505,C117,Оплаты!$B$6:$B$505))</f>
        <v/>
      </c>
      <c r="J117" s="9">
        <f>IF(B117="","",IF(INDEX('По дням'!$E$2:$E$3662,MATCH(111,'По дням'!$G$2:$G$3662,0))=1,"да",""))</f>
        <v/>
      </c>
    </row>
    <row r="118">
      <c r="A118" s="9">
        <f>IF(B118="","",112)</f>
        <v/>
      </c>
      <c r="B118" s="12">
        <f>IFERROR(INDEX('По дням'!$A$2:$A$3662,MATCH(112,'По дням'!$G$2:$G$3662,0)),"")</f>
        <v/>
      </c>
      <c r="C118" s="12">
        <f>IF(B118="","",INDEX('По дням'!$A$2:$A$3662,MATCH(112,'По дням'!$G$2:$G$3662,0)+COUNTIF('По дням'!$G$2:$G$3662,112)-1))</f>
        <v/>
      </c>
      <c r="D118" s="9">
        <f>IF(B118="","",C118-B118+1)</f>
        <v/>
      </c>
      <c r="E118" s="13">
        <f>IF(B118="","",INDEX('По дням'!$D$2:$D$3662,MATCH(112,'По дням'!$G$2:$G$3662,0)))</f>
        <v/>
      </c>
      <c r="F118" s="9">
        <f>IF(B118="","",INDEX('По дням'!$B$2:$B$3662,MATCH(112,'По дням'!$G$2:$G$3662,0)))</f>
        <v/>
      </c>
      <c r="G118" s="9">
        <f>IF(B118="","",INDEX('По дням'!$C$2:$C$3662,MATCH(112,'По дням'!$G$2:$G$3662,0)))</f>
        <v/>
      </c>
      <c r="H118" s="13">
        <f>IF(OR(B118="",F118=""),"",IF(J118="да",0,ROUND(E118*F118/100*D118/G118,2)))</f>
        <v/>
      </c>
      <c r="I118" s="13">
        <f>IF(B118="","",SUMIF(Оплаты!$A$6:$A$505,C118,Оплаты!$B$6:$B$505))</f>
        <v/>
      </c>
      <c r="J118" s="9">
        <f>IF(B118="","",IF(INDEX('По дням'!$E$2:$E$3662,MATCH(112,'По дням'!$G$2:$G$3662,0))=1,"да",""))</f>
        <v/>
      </c>
    </row>
    <row r="119">
      <c r="A119" s="9">
        <f>IF(B119="","",113)</f>
        <v/>
      </c>
      <c r="B119" s="12">
        <f>IFERROR(INDEX('По дням'!$A$2:$A$3662,MATCH(113,'По дням'!$G$2:$G$3662,0)),"")</f>
        <v/>
      </c>
      <c r="C119" s="12">
        <f>IF(B119="","",INDEX('По дням'!$A$2:$A$3662,MATCH(113,'По дням'!$G$2:$G$3662,0)+COUNTIF('По дням'!$G$2:$G$3662,113)-1))</f>
        <v/>
      </c>
      <c r="D119" s="9">
        <f>IF(B119="","",C119-B119+1)</f>
        <v/>
      </c>
      <c r="E119" s="13">
        <f>IF(B119="","",INDEX('По дням'!$D$2:$D$3662,MATCH(113,'По дням'!$G$2:$G$3662,0)))</f>
        <v/>
      </c>
      <c r="F119" s="9">
        <f>IF(B119="","",INDEX('По дням'!$B$2:$B$3662,MATCH(113,'По дням'!$G$2:$G$3662,0)))</f>
        <v/>
      </c>
      <c r="G119" s="9">
        <f>IF(B119="","",INDEX('По дням'!$C$2:$C$3662,MATCH(113,'По дням'!$G$2:$G$3662,0)))</f>
        <v/>
      </c>
      <c r="H119" s="13">
        <f>IF(OR(B119="",F119=""),"",IF(J119="да",0,ROUND(E119*F119/100*D119/G119,2)))</f>
        <v/>
      </c>
      <c r="I119" s="13">
        <f>IF(B119="","",SUMIF(Оплаты!$A$6:$A$505,C119,Оплаты!$B$6:$B$505))</f>
        <v/>
      </c>
      <c r="J119" s="9">
        <f>IF(B119="","",IF(INDEX('По дням'!$E$2:$E$3662,MATCH(113,'По дням'!$G$2:$G$3662,0))=1,"да",""))</f>
        <v/>
      </c>
    </row>
    <row r="120">
      <c r="A120" s="9">
        <f>IF(B120="","",114)</f>
        <v/>
      </c>
      <c r="B120" s="12">
        <f>IFERROR(INDEX('По дням'!$A$2:$A$3662,MATCH(114,'По дням'!$G$2:$G$3662,0)),"")</f>
        <v/>
      </c>
      <c r="C120" s="12">
        <f>IF(B120="","",INDEX('По дням'!$A$2:$A$3662,MATCH(114,'По дням'!$G$2:$G$3662,0)+COUNTIF('По дням'!$G$2:$G$3662,114)-1))</f>
        <v/>
      </c>
      <c r="D120" s="9">
        <f>IF(B120="","",C120-B120+1)</f>
        <v/>
      </c>
      <c r="E120" s="13">
        <f>IF(B120="","",INDEX('По дням'!$D$2:$D$3662,MATCH(114,'По дням'!$G$2:$G$3662,0)))</f>
        <v/>
      </c>
      <c r="F120" s="9">
        <f>IF(B120="","",INDEX('По дням'!$B$2:$B$3662,MATCH(114,'По дням'!$G$2:$G$3662,0)))</f>
        <v/>
      </c>
      <c r="G120" s="9">
        <f>IF(B120="","",INDEX('По дням'!$C$2:$C$3662,MATCH(114,'По дням'!$G$2:$G$3662,0)))</f>
        <v/>
      </c>
      <c r="H120" s="13">
        <f>IF(OR(B120="",F120=""),"",IF(J120="да",0,ROUND(E120*F120/100*D120/G120,2)))</f>
        <v/>
      </c>
      <c r="I120" s="13">
        <f>IF(B120="","",SUMIF(Оплаты!$A$6:$A$505,C120,Оплаты!$B$6:$B$505))</f>
        <v/>
      </c>
      <c r="J120" s="9">
        <f>IF(B120="","",IF(INDEX('По дням'!$E$2:$E$3662,MATCH(114,'По дням'!$G$2:$G$3662,0))=1,"да",""))</f>
        <v/>
      </c>
    </row>
    <row r="121">
      <c r="A121" s="9">
        <f>IF(B121="","",115)</f>
        <v/>
      </c>
      <c r="B121" s="12">
        <f>IFERROR(INDEX('По дням'!$A$2:$A$3662,MATCH(115,'По дням'!$G$2:$G$3662,0)),"")</f>
        <v/>
      </c>
      <c r="C121" s="12">
        <f>IF(B121="","",INDEX('По дням'!$A$2:$A$3662,MATCH(115,'По дням'!$G$2:$G$3662,0)+COUNTIF('По дням'!$G$2:$G$3662,115)-1))</f>
        <v/>
      </c>
      <c r="D121" s="9">
        <f>IF(B121="","",C121-B121+1)</f>
        <v/>
      </c>
      <c r="E121" s="13">
        <f>IF(B121="","",INDEX('По дням'!$D$2:$D$3662,MATCH(115,'По дням'!$G$2:$G$3662,0)))</f>
        <v/>
      </c>
      <c r="F121" s="9">
        <f>IF(B121="","",INDEX('По дням'!$B$2:$B$3662,MATCH(115,'По дням'!$G$2:$G$3662,0)))</f>
        <v/>
      </c>
      <c r="G121" s="9">
        <f>IF(B121="","",INDEX('По дням'!$C$2:$C$3662,MATCH(115,'По дням'!$G$2:$G$3662,0)))</f>
        <v/>
      </c>
      <c r="H121" s="13">
        <f>IF(OR(B121="",F121=""),"",IF(J121="да",0,ROUND(E121*F121/100*D121/G121,2)))</f>
        <v/>
      </c>
      <c r="I121" s="13">
        <f>IF(B121="","",SUMIF(Оплаты!$A$6:$A$505,C121,Оплаты!$B$6:$B$505))</f>
        <v/>
      </c>
      <c r="J121" s="9">
        <f>IF(B121="","",IF(INDEX('По дням'!$E$2:$E$3662,MATCH(115,'По дням'!$G$2:$G$3662,0))=1,"да",""))</f>
        <v/>
      </c>
    </row>
    <row r="122">
      <c r="A122" s="9">
        <f>IF(B122="","",116)</f>
        <v/>
      </c>
      <c r="B122" s="12">
        <f>IFERROR(INDEX('По дням'!$A$2:$A$3662,MATCH(116,'По дням'!$G$2:$G$3662,0)),"")</f>
        <v/>
      </c>
      <c r="C122" s="12">
        <f>IF(B122="","",INDEX('По дням'!$A$2:$A$3662,MATCH(116,'По дням'!$G$2:$G$3662,0)+COUNTIF('По дням'!$G$2:$G$3662,116)-1))</f>
        <v/>
      </c>
      <c r="D122" s="9">
        <f>IF(B122="","",C122-B122+1)</f>
        <v/>
      </c>
      <c r="E122" s="13">
        <f>IF(B122="","",INDEX('По дням'!$D$2:$D$3662,MATCH(116,'По дням'!$G$2:$G$3662,0)))</f>
        <v/>
      </c>
      <c r="F122" s="9">
        <f>IF(B122="","",INDEX('По дням'!$B$2:$B$3662,MATCH(116,'По дням'!$G$2:$G$3662,0)))</f>
        <v/>
      </c>
      <c r="G122" s="9">
        <f>IF(B122="","",INDEX('По дням'!$C$2:$C$3662,MATCH(116,'По дням'!$G$2:$G$3662,0)))</f>
        <v/>
      </c>
      <c r="H122" s="13">
        <f>IF(OR(B122="",F122=""),"",IF(J122="да",0,ROUND(E122*F122/100*D122/G122,2)))</f>
        <v/>
      </c>
      <c r="I122" s="13">
        <f>IF(B122="","",SUMIF(Оплаты!$A$6:$A$505,C122,Оплаты!$B$6:$B$505))</f>
        <v/>
      </c>
      <c r="J122" s="9">
        <f>IF(B122="","",IF(INDEX('По дням'!$E$2:$E$3662,MATCH(116,'По дням'!$G$2:$G$3662,0))=1,"да",""))</f>
        <v/>
      </c>
    </row>
    <row r="123">
      <c r="A123" s="9">
        <f>IF(B123="","",117)</f>
        <v/>
      </c>
      <c r="B123" s="12">
        <f>IFERROR(INDEX('По дням'!$A$2:$A$3662,MATCH(117,'По дням'!$G$2:$G$3662,0)),"")</f>
        <v/>
      </c>
      <c r="C123" s="12">
        <f>IF(B123="","",INDEX('По дням'!$A$2:$A$3662,MATCH(117,'По дням'!$G$2:$G$3662,0)+COUNTIF('По дням'!$G$2:$G$3662,117)-1))</f>
        <v/>
      </c>
      <c r="D123" s="9">
        <f>IF(B123="","",C123-B123+1)</f>
        <v/>
      </c>
      <c r="E123" s="13">
        <f>IF(B123="","",INDEX('По дням'!$D$2:$D$3662,MATCH(117,'По дням'!$G$2:$G$3662,0)))</f>
        <v/>
      </c>
      <c r="F123" s="9">
        <f>IF(B123="","",INDEX('По дням'!$B$2:$B$3662,MATCH(117,'По дням'!$G$2:$G$3662,0)))</f>
        <v/>
      </c>
      <c r="G123" s="9">
        <f>IF(B123="","",INDEX('По дням'!$C$2:$C$3662,MATCH(117,'По дням'!$G$2:$G$3662,0)))</f>
        <v/>
      </c>
      <c r="H123" s="13">
        <f>IF(OR(B123="",F123=""),"",IF(J123="да",0,ROUND(E123*F123/100*D123/G123,2)))</f>
        <v/>
      </c>
      <c r="I123" s="13">
        <f>IF(B123="","",SUMIF(Оплаты!$A$6:$A$505,C123,Оплаты!$B$6:$B$505))</f>
        <v/>
      </c>
      <c r="J123" s="9">
        <f>IF(B123="","",IF(INDEX('По дням'!$E$2:$E$3662,MATCH(117,'По дням'!$G$2:$G$3662,0))=1,"да",""))</f>
        <v/>
      </c>
    </row>
    <row r="124">
      <c r="A124" s="9">
        <f>IF(B124="","",118)</f>
        <v/>
      </c>
      <c r="B124" s="12">
        <f>IFERROR(INDEX('По дням'!$A$2:$A$3662,MATCH(118,'По дням'!$G$2:$G$3662,0)),"")</f>
        <v/>
      </c>
      <c r="C124" s="12">
        <f>IF(B124="","",INDEX('По дням'!$A$2:$A$3662,MATCH(118,'По дням'!$G$2:$G$3662,0)+COUNTIF('По дням'!$G$2:$G$3662,118)-1))</f>
        <v/>
      </c>
      <c r="D124" s="9">
        <f>IF(B124="","",C124-B124+1)</f>
        <v/>
      </c>
      <c r="E124" s="13">
        <f>IF(B124="","",INDEX('По дням'!$D$2:$D$3662,MATCH(118,'По дням'!$G$2:$G$3662,0)))</f>
        <v/>
      </c>
      <c r="F124" s="9">
        <f>IF(B124="","",INDEX('По дням'!$B$2:$B$3662,MATCH(118,'По дням'!$G$2:$G$3662,0)))</f>
        <v/>
      </c>
      <c r="G124" s="9">
        <f>IF(B124="","",INDEX('По дням'!$C$2:$C$3662,MATCH(118,'По дням'!$G$2:$G$3662,0)))</f>
        <v/>
      </c>
      <c r="H124" s="13">
        <f>IF(OR(B124="",F124=""),"",IF(J124="да",0,ROUND(E124*F124/100*D124/G124,2)))</f>
        <v/>
      </c>
      <c r="I124" s="13">
        <f>IF(B124="","",SUMIF(Оплаты!$A$6:$A$505,C124,Оплаты!$B$6:$B$505))</f>
        <v/>
      </c>
      <c r="J124" s="9">
        <f>IF(B124="","",IF(INDEX('По дням'!$E$2:$E$3662,MATCH(118,'По дням'!$G$2:$G$3662,0))=1,"да",""))</f>
        <v/>
      </c>
    </row>
    <row r="125">
      <c r="A125" s="9">
        <f>IF(B125="","",119)</f>
        <v/>
      </c>
      <c r="B125" s="12">
        <f>IFERROR(INDEX('По дням'!$A$2:$A$3662,MATCH(119,'По дням'!$G$2:$G$3662,0)),"")</f>
        <v/>
      </c>
      <c r="C125" s="12">
        <f>IF(B125="","",INDEX('По дням'!$A$2:$A$3662,MATCH(119,'По дням'!$G$2:$G$3662,0)+COUNTIF('По дням'!$G$2:$G$3662,119)-1))</f>
        <v/>
      </c>
      <c r="D125" s="9">
        <f>IF(B125="","",C125-B125+1)</f>
        <v/>
      </c>
      <c r="E125" s="13">
        <f>IF(B125="","",INDEX('По дням'!$D$2:$D$3662,MATCH(119,'По дням'!$G$2:$G$3662,0)))</f>
        <v/>
      </c>
      <c r="F125" s="9">
        <f>IF(B125="","",INDEX('По дням'!$B$2:$B$3662,MATCH(119,'По дням'!$G$2:$G$3662,0)))</f>
        <v/>
      </c>
      <c r="G125" s="9">
        <f>IF(B125="","",INDEX('По дням'!$C$2:$C$3662,MATCH(119,'По дням'!$G$2:$G$3662,0)))</f>
        <v/>
      </c>
      <c r="H125" s="13">
        <f>IF(OR(B125="",F125=""),"",IF(J125="да",0,ROUND(E125*F125/100*D125/G125,2)))</f>
        <v/>
      </c>
      <c r="I125" s="13">
        <f>IF(B125="","",SUMIF(Оплаты!$A$6:$A$505,C125,Оплаты!$B$6:$B$505))</f>
        <v/>
      </c>
      <c r="J125" s="9">
        <f>IF(B125="","",IF(INDEX('По дням'!$E$2:$E$3662,MATCH(119,'По дням'!$G$2:$G$3662,0))=1,"да",""))</f>
        <v/>
      </c>
    </row>
    <row r="126">
      <c r="A126" s="9">
        <f>IF(B126="","",120)</f>
        <v/>
      </c>
      <c r="B126" s="12">
        <f>IFERROR(INDEX('По дням'!$A$2:$A$3662,MATCH(120,'По дням'!$G$2:$G$3662,0)),"")</f>
        <v/>
      </c>
      <c r="C126" s="12">
        <f>IF(B126="","",INDEX('По дням'!$A$2:$A$3662,MATCH(120,'По дням'!$G$2:$G$3662,0)+COUNTIF('По дням'!$G$2:$G$3662,120)-1))</f>
        <v/>
      </c>
      <c r="D126" s="9">
        <f>IF(B126="","",C126-B126+1)</f>
        <v/>
      </c>
      <c r="E126" s="13">
        <f>IF(B126="","",INDEX('По дням'!$D$2:$D$3662,MATCH(120,'По дням'!$G$2:$G$3662,0)))</f>
        <v/>
      </c>
      <c r="F126" s="9">
        <f>IF(B126="","",INDEX('По дням'!$B$2:$B$3662,MATCH(120,'По дням'!$G$2:$G$3662,0)))</f>
        <v/>
      </c>
      <c r="G126" s="9">
        <f>IF(B126="","",INDEX('По дням'!$C$2:$C$3662,MATCH(120,'По дням'!$G$2:$G$3662,0)))</f>
        <v/>
      </c>
      <c r="H126" s="13">
        <f>IF(OR(B126="",F126=""),"",IF(J126="да",0,ROUND(E126*F126/100*D126/G126,2)))</f>
        <v/>
      </c>
      <c r="I126" s="13">
        <f>IF(B126="","",SUMIF(Оплаты!$A$6:$A$505,C126,Оплаты!$B$6:$B$505))</f>
        <v/>
      </c>
      <c r="J126" s="9">
        <f>IF(B126="","",IF(INDEX('По дням'!$E$2:$E$3662,MATCH(120,'По дням'!$G$2:$G$3662,0))=1,"да",""))</f>
        <v/>
      </c>
    </row>
    <row r="127">
      <c r="A127" s="9">
        <f>IF(B127="","",121)</f>
        <v/>
      </c>
      <c r="B127" s="12">
        <f>IFERROR(INDEX('По дням'!$A$2:$A$3662,MATCH(121,'По дням'!$G$2:$G$3662,0)),"")</f>
        <v/>
      </c>
      <c r="C127" s="12">
        <f>IF(B127="","",INDEX('По дням'!$A$2:$A$3662,MATCH(121,'По дням'!$G$2:$G$3662,0)+COUNTIF('По дням'!$G$2:$G$3662,121)-1))</f>
        <v/>
      </c>
      <c r="D127" s="9">
        <f>IF(B127="","",C127-B127+1)</f>
        <v/>
      </c>
      <c r="E127" s="13">
        <f>IF(B127="","",INDEX('По дням'!$D$2:$D$3662,MATCH(121,'По дням'!$G$2:$G$3662,0)))</f>
        <v/>
      </c>
      <c r="F127" s="9">
        <f>IF(B127="","",INDEX('По дням'!$B$2:$B$3662,MATCH(121,'По дням'!$G$2:$G$3662,0)))</f>
        <v/>
      </c>
      <c r="G127" s="9">
        <f>IF(B127="","",INDEX('По дням'!$C$2:$C$3662,MATCH(121,'По дням'!$G$2:$G$3662,0)))</f>
        <v/>
      </c>
      <c r="H127" s="13">
        <f>IF(OR(B127="",F127=""),"",IF(J127="да",0,ROUND(E127*F127/100*D127/G127,2)))</f>
        <v/>
      </c>
      <c r="I127" s="13">
        <f>IF(B127="","",SUMIF(Оплаты!$A$6:$A$505,C127,Оплаты!$B$6:$B$505))</f>
        <v/>
      </c>
      <c r="J127" s="9">
        <f>IF(B127="","",IF(INDEX('По дням'!$E$2:$E$3662,MATCH(121,'По дням'!$G$2:$G$3662,0))=1,"да",""))</f>
        <v/>
      </c>
    </row>
    <row r="128">
      <c r="A128" s="9">
        <f>IF(B128="","",122)</f>
        <v/>
      </c>
      <c r="B128" s="12">
        <f>IFERROR(INDEX('По дням'!$A$2:$A$3662,MATCH(122,'По дням'!$G$2:$G$3662,0)),"")</f>
        <v/>
      </c>
      <c r="C128" s="12">
        <f>IF(B128="","",INDEX('По дням'!$A$2:$A$3662,MATCH(122,'По дням'!$G$2:$G$3662,0)+COUNTIF('По дням'!$G$2:$G$3662,122)-1))</f>
        <v/>
      </c>
      <c r="D128" s="9">
        <f>IF(B128="","",C128-B128+1)</f>
        <v/>
      </c>
      <c r="E128" s="13">
        <f>IF(B128="","",INDEX('По дням'!$D$2:$D$3662,MATCH(122,'По дням'!$G$2:$G$3662,0)))</f>
        <v/>
      </c>
      <c r="F128" s="9">
        <f>IF(B128="","",INDEX('По дням'!$B$2:$B$3662,MATCH(122,'По дням'!$G$2:$G$3662,0)))</f>
        <v/>
      </c>
      <c r="G128" s="9">
        <f>IF(B128="","",INDEX('По дням'!$C$2:$C$3662,MATCH(122,'По дням'!$G$2:$G$3662,0)))</f>
        <v/>
      </c>
      <c r="H128" s="13">
        <f>IF(OR(B128="",F128=""),"",IF(J128="да",0,ROUND(E128*F128/100*D128/G128,2)))</f>
        <v/>
      </c>
      <c r="I128" s="13">
        <f>IF(B128="","",SUMIF(Оплаты!$A$6:$A$505,C128,Оплаты!$B$6:$B$505))</f>
        <v/>
      </c>
      <c r="J128" s="9">
        <f>IF(B128="","",IF(INDEX('По дням'!$E$2:$E$3662,MATCH(122,'По дням'!$G$2:$G$3662,0))=1,"да",""))</f>
        <v/>
      </c>
    </row>
    <row r="129">
      <c r="A129" s="9">
        <f>IF(B129="","",123)</f>
        <v/>
      </c>
      <c r="B129" s="12">
        <f>IFERROR(INDEX('По дням'!$A$2:$A$3662,MATCH(123,'По дням'!$G$2:$G$3662,0)),"")</f>
        <v/>
      </c>
      <c r="C129" s="12">
        <f>IF(B129="","",INDEX('По дням'!$A$2:$A$3662,MATCH(123,'По дням'!$G$2:$G$3662,0)+COUNTIF('По дням'!$G$2:$G$3662,123)-1))</f>
        <v/>
      </c>
      <c r="D129" s="9">
        <f>IF(B129="","",C129-B129+1)</f>
        <v/>
      </c>
      <c r="E129" s="13">
        <f>IF(B129="","",INDEX('По дням'!$D$2:$D$3662,MATCH(123,'По дням'!$G$2:$G$3662,0)))</f>
        <v/>
      </c>
      <c r="F129" s="9">
        <f>IF(B129="","",INDEX('По дням'!$B$2:$B$3662,MATCH(123,'По дням'!$G$2:$G$3662,0)))</f>
        <v/>
      </c>
      <c r="G129" s="9">
        <f>IF(B129="","",INDEX('По дням'!$C$2:$C$3662,MATCH(123,'По дням'!$G$2:$G$3662,0)))</f>
        <v/>
      </c>
      <c r="H129" s="13">
        <f>IF(OR(B129="",F129=""),"",IF(J129="да",0,ROUND(E129*F129/100*D129/G129,2)))</f>
        <v/>
      </c>
      <c r="I129" s="13">
        <f>IF(B129="","",SUMIF(Оплаты!$A$6:$A$505,C129,Оплаты!$B$6:$B$505))</f>
        <v/>
      </c>
      <c r="J129" s="9">
        <f>IF(B129="","",IF(INDEX('По дням'!$E$2:$E$3662,MATCH(123,'По дням'!$G$2:$G$3662,0))=1,"да",""))</f>
        <v/>
      </c>
    </row>
    <row r="130">
      <c r="A130" s="9">
        <f>IF(B130="","",124)</f>
        <v/>
      </c>
      <c r="B130" s="12">
        <f>IFERROR(INDEX('По дням'!$A$2:$A$3662,MATCH(124,'По дням'!$G$2:$G$3662,0)),"")</f>
        <v/>
      </c>
      <c r="C130" s="12">
        <f>IF(B130="","",INDEX('По дням'!$A$2:$A$3662,MATCH(124,'По дням'!$G$2:$G$3662,0)+COUNTIF('По дням'!$G$2:$G$3662,124)-1))</f>
        <v/>
      </c>
      <c r="D130" s="9">
        <f>IF(B130="","",C130-B130+1)</f>
        <v/>
      </c>
      <c r="E130" s="13">
        <f>IF(B130="","",INDEX('По дням'!$D$2:$D$3662,MATCH(124,'По дням'!$G$2:$G$3662,0)))</f>
        <v/>
      </c>
      <c r="F130" s="9">
        <f>IF(B130="","",INDEX('По дням'!$B$2:$B$3662,MATCH(124,'По дням'!$G$2:$G$3662,0)))</f>
        <v/>
      </c>
      <c r="G130" s="9">
        <f>IF(B130="","",INDEX('По дням'!$C$2:$C$3662,MATCH(124,'По дням'!$G$2:$G$3662,0)))</f>
        <v/>
      </c>
      <c r="H130" s="13">
        <f>IF(OR(B130="",F130=""),"",IF(J130="да",0,ROUND(E130*F130/100*D130/G130,2)))</f>
        <v/>
      </c>
      <c r="I130" s="13">
        <f>IF(B130="","",SUMIF(Оплаты!$A$6:$A$505,C130,Оплаты!$B$6:$B$505))</f>
        <v/>
      </c>
      <c r="J130" s="9">
        <f>IF(B130="","",IF(INDEX('По дням'!$E$2:$E$3662,MATCH(124,'По дням'!$G$2:$G$3662,0))=1,"да",""))</f>
        <v/>
      </c>
    </row>
    <row r="131">
      <c r="A131" s="9">
        <f>IF(B131="","",125)</f>
        <v/>
      </c>
      <c r="B131" s="12">
        <f>IFERROR(INDEX('По дням'!$A$2:$A$3662,MATCH(125,'По дням'!$G$2:$G$3662,0)),"")</f>
        <v/>
      </c>
      <c r="C131" s="12">
        <f>IF(B131="","",INDEX('По дням'!$A$2:$A$3662,MATCH(125,'По дням'!$G$2:$G$3662,0)+COUNTIF('По дням'!$G$2:$G$3662,125)-1))</f>
        <v/>
      </c>
      <c r="D131" s="9">
        <f>IF(B131="","",C131-B131+1)</f>
        <v/>
      </c>
      <c r="E131" s="13">
        <f>IF(B131="","",INDEX('По дням'!$D$2:$D$3662,MATCH(125,'По дням'!$G$2:$G$3662,0)))</f>
        <v/>
      </c>
      <c r="F131" s="9">
        <f>IF(B131="","",INDEX('По дням'!$B$2:$B$3662,MATCH(125,'По дням'!$G$2:$G$3662,0)))</f>
        <v/>
      </c>
      <c r="G131" s="9">
        <f>IF(B131="","",INDEX('По дням'!$C$2:$C$3662,MATCH(125,'По дням'!$G$2:$G$3662,0)))</f>
        <v/>
      </c>
      <c r="H131" s="13">
        <f>IF(OR(B131="",F131=""),"",IF(J131="да",0,ROUND(E131*F131/100*D131/G131,2)))</f>
        <v/>
      </c>
      <c r="I131" s="13">
        <f>IF(B131="","",SUMIF(Оплаты!$A$6:$A$505,C131,Оплаты!$B$6:$B$505))</f>
        <v/>
      </c>
      <c r="J131" s="9">
        <f>IF(B131="","",IF(INDEX('По дням'!$E$2:$E$3662,MATCH(125,'По дням'!$G$2:$G$3662,0))=1,"да",""))</f>
        <v/>
      </c>
    </row>
    <row r="132">
      <c r="A132" s="9">
        <f>IF(B132="","",126)</f>
        <v/>
      </c>
      <c r="B132" s="12">
        <f>IFERROR(INDEX('По дням'!$A$2:$A$3662,MATCH(126,'По дням'!$G$2:$G$3662,0)),"")</f>
        <v/>
      </c>
      <c r="C132" s="12">
        <f>IF(B132="","",INDEX('По дням'!$A$2:$A$3662,MATCH(126,'По дням'!$G$2:$G$3662,0)+COUNTIF('По дням'!$G$2:$G$3662,126)-1))</f>
        <v/>
      </c>
      <c r="D132" s="9">
        <f>IF(B132="","",C132-B132+1)</f>
        <v/>
      </c>
      <c r="E132" s="13">
        <f>IF(B132="","",INDEX('По дням'!$D$2:$D$3662,MATCH(126,'По дням'!$G$2:$G$3662,0)))</f>
        <v/>
      </c>
      <c r="F132" s="9">
        <f>IF(B132="","",INDEX('По дням'!$B$2:$B$3662,MATCH(126,'По дням'!$G$2:$G$3662,0)))</f>
        <v/>
      </c>
      <c r="G132" s="9">
        <f>IF(B132="","",INDEX('По дням'!$C$2:$C$3662,MATCH(126,'По дням'!$G$2:$G$3662,0)))</f>
        <v/>
      </c>
      <c r="H132" s="13">
        <f>IF(OR(B132="",F132=""),"",IF(J132="да",0,ROUND(E132*F132/100*D132/G132,2)))</f>
        <v/>
      </c>
      <c r="I132" s="13">
        <f>IF(B132="","",SUMIF(Оплаты!$A$6:$A$505,C132,Оплаты!$B$6:$B$505))</f>
        <v/>
      </c>
      <c r="J132" s="9">
        <f>IF(B132="","",IF(INDEX('По дням'!$E$2:$E$3662,MATCH(126,'По дням'!$G$2:$G$3662,0))=1,"да",""))</f>
        <v/>
      </c>
    </row>
    <row r="133">
      <c r="A133" s="9">
        <f>IF(B133="","",127)</f>
        <v/>
      </c>
      <c r="B133" s="12">
        <f>IFERROR(INDEX('По дням'!$A$2:$A$3662,MATCH(127,'По дням'!$G$2:$G$3662,0)),"")</f>
        <v/>
      </c>
      <c r="C133" s="12">
        <f>IF(B133="","",INDEX('По дням'!$A$2:$A$3662,MATCH(127,'По дням'!$G$2:$G$3662,0)+COUNTIF('По дням'!$G$2:$G$3662,127)-1))</f>
        <v/>
      </c>
      <c r="D133" s="9">
        <f>IF(B133="","",C133-B133+1)</f>
        <v/>
      </c>
      <c r="E133" s="13">
        <f>IF(B133="","",INDEX('По дням'!$D$2:$D$3662,MATCH(127,'По дням'!$G$2:$G$3662,0)))</f>
        <v/>
      </c>
      <c r="F133" s="9">
        <f>IF(B133="","",INDEX('По дням'!$B$2:$B$3662,MATCH(127,'По дням'!$G$2:$G$3662,0)))</f>
        <v/>
      </c>
      <c r="G133" s="9">
        <f>IF(B133="","",INDEX('По дням'!$C$2:$C$3662,MATCH(127,'По дням'!$G$2:$G$3662,0)))</f>
        <v/>
      </c>
      <c r="H133" s="13">
        <f>IF(OR(B133="",F133=""),"",IF(J133="да",0,ROUND(E133*F133/100*D133/G133,2)))</f>
        <v/>
      </c>
      <c r="I133" s="13">
        <f>IF(B133="","",SUMIF(Оплаты!$A$6:$A$505,C133,Оплаты!$B$6:$B$505))</f>
        <v/>
      </c>
      <c r="J133" s="9">
        <f>IF(B133="","",IF(INDEX('По дням'!$E$2:$E$3662,MATCH(127,'По дням'!$G$2:$G$3662,0))=1,"да",""))</f>
        <v/>
      </c>
    </row>
    <row r="134">
      <c r="A134" s="9">
        <f>IF(B134="","",128)</f>
        <v/>
      </c>
      <c r="B134" s="12">
        <f>IFERROR(INDEX('По дням'!$A$2:$A$3662,MATCH(128,'По дням'!$G$2:$G$3662,0)),"")</f>
        <v/>
      </c>
      <c r="C134" s="12">
        <f>IF(B134="","",INDEX('По дням'!$A$2:$A$3662,MATCH(128,'По дням'!$G$2:$G$3662,0)+COUNTIF('По дням'!$G$2:$G$3662,128)-1))</f>
        <v/>
      </c>
      <c r="D134" s="9">
        <f>IF(B134="","",C134-B134+1)</f>
        <v/>
      </c>
      <c r="E134" s="13">
        <f>IF(B134="","",INDEX('По дням'!$D$2:$D$3662,MATCH(128,'По дням'!$G$2:$G$3662,0)))</f>
        <v/>
      </c>
      <c r="F134" s="9">
        <f>IF(B134="","",INDEX('По дням'!$B$2:$B$3662,MATCH(128,'По дням'!$G$2:$G$3662,0)))</f>
        <v/>
      </c>
      <c r="G134" s="9">
        <f>IF(B134="","",INDEX('По дням'!$C$2:$C$3662,MATCH(128,'По дням'!$G$2:$G$3662,0)))</f>
        <v/>
      </c>
      <c r="H134" s="13">
        <f>IF(OR(B134="",F134=""),"",IF(J134="да",0,ROUND(E134*F134/100*D134/G134,2)))</f>
        <v/>
      </c>
      <c r="I134" s="13">
        <f>IF(B134="","",SUMIF(Оплаты!$A$6:$A$505,C134,Оплаты!$B$6:$B$505))</f>
        <v/>
      </c>
      <c r="J134" s="9">
        <f>IF(B134="","",IF(INDEX('По дням'!$E$2:$E$3662,MATCH(128,'По дням'!$G$2:$G$3662,0))=1,"да",""))</f>
        <v/>
      </c>
    </row>
    <row r="135">
      <c r="A135" s="9">
        <f>IF(B135="","",129)</f>
        <v/>
      </c>
      <c r="B135" s="12">
        <f>IFERROR(INDEX('По дням'!$A$2:$A$3662,MATCH(129,'По дням'!$G$2:$G$3662,0)),"")</f>
        <v/>
      </c>
      <c r="C135" s="12">
        <f>IF(B135="","",INDEX('По дням'!$A$2:$A$3662,MATCH(129,'По дням'!$G$2:$G$3662,0)+COUNTIF('По дням'!$G$2:$G$3662,129)-1))</f>
        <v/>
      </c>
      <c r="D135" s="9">
        <f>IF(B135="","",C135-B135+1)</f>
        <v/>
      </c>
      <c r="E135" s="13">
        <f>IF(B135="","",INDEX('По дням'!$D$2:$D$3662,MATCH(129,'По дням'!$G$2:$G$3662,0)))</f>
        <v/>
      </c>
      <c r="F135" s="9">
        <f>IF(B135="","",INDEX('По дням'!$B$2:$B$3662,MATCH(129,'По дням'!$G$2:$G$3662,0)))</f>
        <v/>
      </c>
      <c r="G135" s="9">
        <f>IF(B135="","",INDEX('По дням'!$C$2:$C$3662,MATCH(129,'По дням'!$G$2:$G$3662,0)))</f>
        <v/>
      </c>
      <c r="H135" s="13">
        <f>IF(OR(B135="",F135=""),"",IF(J135="да",0,ROUND(E135*F135/100*D135/G135,2)))</f>
        <v/>
      </c>
      <c r="I135" s="13">
        <f>IF(B135="","",SUMIF(Оплаты!$A$6:$A$505,C135,Оплаты!$B$6:$B$505))</f>
        <v/>
      </c>
      <c r="J135" s="9">
        <f>IF(B135="","",IF(INDEX('По дням'!$E$2:$E$3662,MATCH(129,'По дням'!$G$2:$G$3662,0))=1,"да",""))</f>
        <v/>
      </c>
    </row>
    <row r="136">
      <c r="A136" s="9">
        <f>IF(B136="","",130)</f>
        <v/>
      </c>
      <c r="B136" s="12">
        <f>IFERROR(INDEX('По дням'!$A$2:$A$3662,MATCH(130,'По дням'!$G$2:$G$3662,0)),"")</f>
        <v/>
      </c>
      <c r="C136" s="12">
        <f>IF(B136="","",INDEX('По дням'!$A$2:$A$3662,MATCH(130,'По дням'!$G$2:$G$3662,0)+COUNTIF('По дням'!$G$2:$G$3662,130)-1))</f>
        <v/>
      </c>
      <c r="D136" s="9">
        <f>IF(B136="","",C136-B136+1)</f>
        <v/>
      </c>
      <c r="E136" s="13">
        <f>IF(B136="","",INDEX('По дням'!$D$2:$D$3662,MATCH(130,'По дням'!$G$2:$G$3662,0)))</f>
        <v/>
      </c>
      <c r="F136" s="9">
        <f>IF(B136="","",INDEX('По дням'!$B$2:$B$3662,MATCH(130,'По дням'!$G$2:$G$3662,0)))</f>
        <v/>
      </c>
      <c r="G136" s="9">
        <f>IF(B136="","",INDEX('По дням'!$C$2:$C$3662,MATCH(130,'По дням'!$G$2:$G$3662,0)))</f>
        <v/>
      </c>
      <c r="H136" s="13">
        <f>IF(OR(B136="",F136=""),"",IF(J136="да",0,ROUND(E136*F136/100*D136/G136,2)))</f>
        <v/>
      </c>
      <c r="I136" s="13">
        <f>IF(B136="","",SUMIF(Оплаты!$A$6:$A$505,C136,Оплаты!$B$6:$B$505))</f>
        <v/>
      </c>
      <c r="J136" s="9">
        <f>IF(B136="","",IF(INDEX('По дням'!$E$2:$E$3662,MATCH(130,'По дням'!$G$2:$G$3662,0))=1,"да",""))</f>
        <v/>
      </c>
    </row>
    <row r="137">
      <c r="A137" s="9">
        <f>IF(B137="","",131)</f>
        <v/>
      </c>
      <c r="B137" s="12">
        <f>IFERROR(INDEX('По дням'!$A$2:$A$3662,MATCH(131,'По дням'!$G$2:$G$3662,0)),"")</f>
        <v/>
      </c>
      <c r="C137" s="12">
        <f>IF(B137="","",INDEX('По дням'!$A$2:$A$3662,MATCH(131,'По дням'!$G$2:$G$3662,0)+COUNTIF('По дням'!$G$2:$G$3662,131)-1))</f>
        <v/>
      </c>
      <c r="D137" s="9">
        <f>IF(B137="","",C137-B137+1)</f>
        <v/>
      </c>
      <c r="E137" s="13">
        <f>IF(B137="","",INDEX('По дням'!$D$2:$D$3662,MATCH(131,'По дням'!$G$2:$G$3662,0)))</f>
        <v/>
      </c>
      <c r="F137" s="9">
        <f>IF(B137="","",INDEX('По дням'!$B$2:$B$3662,MATCH(131,'По дням'!$G$2:$G$3662,0)))</f>
        <v/>
      </c>
      <c r="G137" s="9">
        <f>IF(B137="","",INDEX('По дням'!$C$2:$C$3662,MATCH(131,'По дням'!$G$2:$G$3662,0)))</f>
        <v/>
      </c>
      <c r="H137" s="13">
        <f>IF(OR(B137="",F137=""),"",IF(J137="да",0,ROUND(E137*F137/100*D137/G137,2)))</f>
        <v/>
      </c>
      <c r="I137" s="13">
        <f>IF(B137="","",SUMIF(Оплаты!$A$6:$A$505,C137,Оплаты!$B$6:$B$505))</f>
        <v/>
      </c>
      <c r="J137" s="9">
        <f>IF(B137="","",IF(INDEX('По дням'!$E$2:$E$3662,MATCH(131,'По дням'!$G$2:$G$3662,0))=1,"да",""))</f>
        <v/>
      </c>
    </row>
    <row r="138">
      <c r="A138" s="9">
        <f>IF(B138="","",132)</f>
        <v/>
      </c>
      <c r="B138" s="12">
        <f>IFERROR(INDEX('По дням'!$A$2:$A$3662,MATCH(132,'По дням'!$G$2:$G$3662,0)),"")</f>
        <v/>
      </c>
      <c r="C138" s="12">
        <f>IF(B138="","",INDEX('По дням'!$A$2:$A$3662,MATCH(132,'По дням'!$G$2:$G$3662,0)+COUNTIF('По дням'!$G$2:$G$3662,132)-1))</f>
        <v/>
      </c>
      <c r="D138" s="9">
        <f>IF(B138="","",C138-B138+1)</f>
        <v/>
      </c>
      <c r="E138" s="13">
        <f>IF(B138="","",INDEX('По дням'!$D$2:$D$3662,MATCH(132,'По дням'!$G$2:$G$3662,0)))</f>
        <v/>
      </c>
      <c r="F138" s="9">
        <f>IF(B138="","",INDEX('По дням'!$B$2:$B$3662,MATCH(132,'По дням'!$G$2:$G$3662,0)))</f>
        <v/>
      </c>
      <c r="G138" s="9">
        <f>IF(B138="","",INDEX('По дням'!$C$2:$C$3662,MATCH(132,'По дням'!$G$2:$G$3662,0)))</f>
        <v/>
      </c>
      <c r="H138" s="13">
        <f>IF(OR(B138="",F138=""),"",IF(J138="да",0,ROUND(E138*F138/100*D138/G138,2)))</f>
        <v/>
      </c>
      <c r="I138" s="13">
        <f>IF(B138="","",SUMIF(Оплаты!$A$6:$A$505,C138,Оплаты!$B$6:$B$505))</f>
        <v/>
      </c>
      <c r="J138" s="9">
        <f>IF(B138="","",IF(INDEX('По дням'!$E$2:$E$3662,MATCH(132,'По дням'!$G$2:$G$3662,0))=1,"да",""))</f>
        <v/>
      </c>
    </row>
    <row r="139">
      <c r="A139" s="9">
        <f>IF(B139="","",133)</f>
        <v/>
      </c>
      <c r="B139" s="12">
        <f>IFERROR(INDEX('По дням'!$A$2:$A$3662,MATCH(133,'По дням'!$G$2:$G$3662,0)),"")</f>
        <v/>
      </c>
      <c r="C139" s="12">
        <f>IF(B139="","",INDEX('По дням'!$A$2:$A$3662,MATCH(133,'По дням'!$G$2:$G$3662,0)+COUNTIF('По дням'!$G$2:$G$3662,133)-1))</f>
        <v/>
      </c>
      <c r="D139" s="9">
        <f>IF(B139="","",C139-B139+1)</f>
        <v/>
      </c>
      <c r="E139" s="13">
        <f>IF(B139="","",INDEX('По дням'!$D$2:$D$3662,MATCH(133,'По дням'!$G$2:$G$3662,0)))</f>
        <v/>
      </c>
      <c r="F139" s="9">
        <f>IF(B139="","",INDEX('По дням'!$B$2:$B$3662,MATCH(133,'По дням'!$G$2:$G$3662,0)))</f>
        <v/>
      </c>
      <c r="G139" s="9">
        <f>IF(B139="","",INDEX('По дням'!$C$2:$C$3662,MATCH(133,'По дням'!$G$2:$G$3662,0)))</f>
        <v/>
      </c>
      <c r="H139" s="13">
        <f>IF(OR(B139="",F139=""),"",IF(J139="да",0,ROUND(E139*F139/100*D139/G139,2)))</f>
        <v/>
      </c>
      <c r="I139" s="13">
        <f>IF(B139="","",SUMIF(Оплаты!$A$6:$A$505,C139,Оплаты!$B$6:$B$505))</f>
        <v/>
      </c>
      <c r="J139" s="9">
        <f>IF(B139="","",IF(INDEX('По дням'!$E$2:$E$3662,MATCH(133,'По дням'!$G$2:$G$3662,0))=1,"да",""))</f>
        <v/>
      </c>
    </row>
    <row r="140">
      <c r="A140" s="9">
        <f>IF(B140="","",134)</f>
        <v/>
      </c>
      <c r="B140" s="12">
        <f>IFERROR(INDEX('По дням'!$A$2:$A$3662,MATCH(134,'По дням'!$G$2:$G$3662,0)),"")</f>
        <v/>
      </c>
      <c r="C140" s="12">
        <f>IF(B140="","",INDEX('По дням'!$A$2:$A$3662,MATCH(134,'По дням'!$G$2:$G$3662,0)+COUNTIF('По дням'!$G$2:$G$3662,134)-1))</f>
        <v/>
      </c>
      <c r="D140" s="9">
        <f>IF(B140="","",C140-B140+1)</f>
        <v/>
      </c>
      <c r="E140" s="13">
        <f>IF(B140="","",INDEX('По дням'!$D$2:$D$3662,MATCH(134,'По дням'!$G$2:$G$3662,0)))</f>
        <v/>
      </c>
      <c r="F140" s="9">
        <f>IF(B140="","",INDEX('По дням'!$B$2:$B$3662,MATCH(134,'По дням'!$G$2:$G$3662,0)))</f>
        <v/>
      </c>
      <c r="G140" s="9">
        <f>IF(B140="","",INDEX('По дням'!$C$2:$C$3662,MATCH(134,'По дням'!$G$2:$G$3662,0)))</f>
        <v/>
      </c>
      <c r="H140" s="13">
        <f>IF(OR(B140="",F140=""),"",IF(J140="да",0,ROUND(E140*F140/100*D140/G140,2)))</f>
        <v/>
      </c>
      <c r="I140" s="13">
        <f>IF(B140="","",SUMIF(Оплаты!$A$6:$A$505,C140,Оплаты!$B$6:$B$505))</f>
        <v/>
      </c>
      <c r="J140" s="9">
        <f>IF(B140="","",IF(INDEX('По дням'!$E$2:$E$3662,MATCH(134,'По дням'!$G$2:$G$3662,0))=1,"да",""))</f>
        <v/>
      </c>
    </row>
    <row r="141">
      <c r="A141" s="9">
        <f>IF(B141="","",135)</f>
        <v/>
      </c>
      <c r="B141" s="12">
        <f>IFERROR(INDEX('По дням'!$A$2:$A$3662,MATCH(135,'По дням'!$G$2:$G$3662,0)),"")</f>
        <v/>
      </c>
      <c r="C141" s="12">
        <f>IF(B141="","",INDEX('По дням'!$A$2:$A$3662,MATCH(135,'По дням'!$G$2:$G$3662,0)+COUNTIF('По дням'!$G$2:$G$3662,135)-1))</f>
        <v/>
      </c>
      <c r="D141" s="9">
        <f>IF(B141="","",C141-B141+1)</f>
        <v/>
      </c>
      <c r="E141" s="13">
        <f>IF(B141="","",INDEX('По дням'!$D$2:$D$3662,MATCH(135,'По дням'!$G$2:$G$3662,0)))</f>
        <v/>
      </c>
      <c r="F141" s="9">
        <f>IF(B141="","",INDEX('По дням'!$B$2:$B$3662,MATCH(135,'По дням'!$G$2:$G$3662,0)))</f>
        <v/>
      </c>
      <c r="G141" s="9">
        <f>IF(B141="","",INDEX('По дням'!$C$2:$C$3662,MATCH(135,'По дням'!$G$2:$G$3662,0)))</f>
        <v/>
      </c>
      <c r="H141" s="13">
        <f>IF(OR(B141="",F141=""),"",IF(J141="да",0,ROUND(E141*F141/100*D141/G141,2)))</f>
        <v/>
      </c>
      <c r="I141" s="13">
        <f>IF(B141="","",SUMIF(Оплаты!$A$6:$A$505,C141,Оплаты!$B$6:$B$505))</f>
        <v/>
      </c>
      <c r="J141" s="9">
        <f>IF(B141="","",IF(INDEX('По дням'!$E$2:$E$3662,MATCH(135,'По дням'!$G$2:$G$3662,0))=1,"да",""))</f>
        <v/>
      </c>
    </row>
    <row r="142">
      <c r="A142" s="9">
        <f>IF(B142="","",136)</f>
        <v/>
      </c>
      <c r="B142" s="12">
        <f>IFERROR(INDEX('По дням'!$A$2:$A$3662,MATCH(136,'По дням'!$G$2:$G$3662,0)),"")</f>
        <v/>
      </c>
      <c r="C142" s="12">
        <f>IF(B142="","",INDEX('По дням'!$A$2:$A$3662,MATCH(136,'По дням'!$G$2:$G$3662,0)+COUNTIF('По дням'!$G$2:$G$3662,136)-1))</f>
        <v/>
      </c>
      <c r="D142" s="9">
        <f>IF(B142="","",C142-B142+1)</f>
        <v/>
      </c>
      <c r="E142" s="13">
        <f>IF(B142="","",INDEX('По дням'!$D$2:$D$3662,MATCH(136,'По дням'!$G$2:$G$3662,0)))</f>
        <v/>
      </c>
      <c r="F142" s="9">
        <f>IF(B142="","",INDEX('По дням'!$B$2:$B$3662,MATCH(136,'По дням'!$G$2:$G$3662,0)))</f>
        <v/>
      </c>
      <c r="G142" s="9">
        <f>IF(B142="","",INDEX('По дням'!$C$2:$C$3662,MATCH(136,'По дням'!$G$2:$G$3662,0)))</f>
        <v/>
      </c>
      <c r="H142" s="13">
        <f>IF(OR(B142="",F142=""),"",IF(J142="да",0,ROUND(E142*F142/100*D142/G142,2)))</f>
        <v/>
      </c>
      <c r="I142" s="13">
        <f>IF(B142="","",SUMIF(Оплаты!$A$6:$A$505,C142,Оплаты!$B$6:$B$505))</f>
        <v/>
      </c>
      <c r="J142" s="9">
        <f>IF(B142="","",IF(INDEX('По дням'!$E$2:$E$3662,MATCH(136,'По дням'!$G$2:$G$3662,0))=1,"да",""))</f>
        <v/>
      </c>
    </row>
    <row r="143">
      <c r="A143" s="9">
        <f>IF(B143="","",137)</f>
        <v/>
      </c>
      <c r="B143" s="12">
        <f>IFERROR(INDEX('По дням'!$A$2:$A$3662,MATCH(137,'По дням'!$G$2:$G$3662,0)),"")</f>
        <v/>
      </c>
      <c r="C143" s="12">
        <f>IF(B143="","",INDEX('По дням'!$A$2:$A$3662,MATCH(137,'По дням'!$G$2:$G$3662,0)+COUNTIF('По дням'!$G$2:$G$3662,137)-1))</f>
        <v/>
      </c>
      <c r="D143" s="9">
        <f>IF(B143="","",C143-B143+1)</f>
        <v/>
      </c>
      <c r="E143" s="13">
        <f>IF(B143="","",INDEX('По дням'!$D$2:$D$3662,MATCH(137,'По дням'!$G$2:$G$3662,0)))</f>
        <v/>
      </c>
      <c r="F143" s="9">
        <f>IF(B143="","",INDEX('По дням'!$B$2:$B$3662,MATCH(137,'По дням'!$G$2:$G$3662,0)))</f>
        <v/>
      </c>
      <c r="G143" s="9">
        <f>IF(B143="","",INDEX('По дням'!$C$2:$C$3662,MATCH(137,'По дням'!$G$2:$G$3662,0)))</f>
        <v/>
      </c>
      <c r="H143" s="13">
        <f>IF(OR(B143="",F143=""),"",IF(J143="да",0,ROUND(E143*F143/100*D143/G143,2)))</f>
        <v/>
      </c>
      <c r="I143" s="13">
        <f>IF(B143="","",SUMIF(Оплаты!$A$6:$A$505,C143,Оплаты!$B$6:$B$505))</f>
        <v/>
      </c>
      <c r="J143" s="9">
        <f>IF(B143="","",IF(INDEX('По дням'!$E$2:$E$3662,MATCH(137,'По дням'!$G$2:$G$3662,0))=1,"да",""))</f>
        <v/>
      </c>
    </row>
    <row r="144">
      <c r="A144" s="9">
        <f>IF(B144="","",138)</f>
        <v/>
      </c>
      <c r="B144" s="12">
        <f>IFERROR(INDEX('По дням'!$A$2:$A$3662,MATCH(138,'По дням'!$G$2:$G$3662,0)),"")</f>
        <v/>
      </c>
      <c r="C144" s="12">
        <f>IF(B144="","",INDEX('По дням'!$A$2:$A$3662,MATCH(138,'По дням'!$G$2:$G$3662,0)+COUNTIF('По дням'!$G$2:$G$3662,138)-1))</f>
        <v/>
      </c>
      <c r="D144" s="9">
        <f>IF(B144="","",C144-B144+1)</f>
        <v/>
      </c>
      <c r="E144" s="13">
        <f>IF(B144="","",INDEX('По дням'!$D$2:$D$3662,MATCH(138,'По дням'!$G$2:$G$3662,0)))</f>
        <v/>
      </c>
      <c r="F144" s="9">
        <f>IF(B144="","",INDEX('По дням'!$B$2:$B$3662,MATCH(138,'По дням'!$G$2:$G$3662,0)))</f>
        <v/>
      </c>
      <c r="G144" s="9">
        <f>IF(B144="","",INDEX('По дням'!$C$2:$C$3662,MATCH(138,'По дням'!$G$2:$G$3662,0)))</f>
        <v/>
      </c>
      <c r="H144" s="13">
        <f>IF(OR(B144="",F144=""),"",IF(J144="да",0,ROUND(E144*F144/100*D144/G144,2)))</f>
        <v/>
      </c>
      <c r="I144" s="13">
        <f>IF(B144="","",SUMIF(Оплаты!$A$6:$A$505,C144,Оплаты!$B$6:$B$505))</f>
        <v/>
      </c>
      <c r="J144" s="9">
        <f>IF(B144="","",IF(INDEX('По дням'!$E$2:$E$3662,MATCH(138,'По дням'!$G$2:$G$3662,0))=1,"да",""))</f>
        <v/>
      </c>
    </row>
    <row r="145">
      <c r="A145" s="9">
        <f>IF(B145="","",139)</f>
        <v/>
      </c>
      <c r="B145" s="12">
        <f>IFERROR(INDEX('По дням'!$A$2:$A$3662,MATCH(139,'По дням'!$G$2:$G$3662,0)),"")</f>
        <v/>
      </c>
      <c r="C145" s="12">
        <f>IF(B145="","",INDEX('По дням'!$A$2:$A$3662,MATCH(139,'По дням'!$G$2:$G$3662,0)+COUNTIF('По дням'!$G$2:$G$3662,139)-1))</f>
        <v/>
      </c>
      <c r="D145" s="9">
        <f>IF(B145="","",C145-B145+1)</f>
        <v/>
      </c>
      <c r="E145" s="13">
        <f>IF(B145="","",INDEX('По дням'!$D$2:$D$3662,MATCH(139,'По дням'!$G$2:$G$3662,0)))</f>
        <v/>
      </c>
      <c r="F145" s="9">
        <f>IF(B145="","",INDEX('По дням'!$B$2:$B$3662,MATCH(139,'По дням'!$G$2:$G$3662,0)))</f>
        <v/>
      </c>
      <c r="G145" s="9">
        <f>IF(B145="","",INDEX('По дням'!$C$2:$C$3662,MATCH(139,'По дням'!$G$2:$G$3662,0)))</f>
        <v/>
      </c>
      <c r="H145" s="13">
        <f>IF(OR(B145="",F145=""),"",IF(J145="да",0,ROUND(E145*F145/100*D145/G145,2)))</f>
        <v/>
      </c>
      <c r="I145" s="13">
        <f>IF(B145="","",SUMIF(Оплаты!$A$6:$A$505,C145,Оплаты!$B$6:$B$505))</f>
        <v/>
      </c>
      <c r="J145" s="9">
        <f>IF(B145="","",IF(INDEX('По дням'!$E$2:$E$3662,MATCH(139,'По дням'!$G$2:$G$3662,0))=1,"да",""))</f>
        <v/>
      </c>
    </row>
    <row r="146">
      <c r="A146" s="9">
        <f>IF(B146="","",140)</f>
        <v/>
      </c>
      <c r="B146" s="12">
        <f>IFERROR(INDEX('По дням'!$A$2:$A$3662,MATCH(140,'По дням'!$G$2:$G$3662,0)),"")</f>
        <v/>
      </c>
      <c r="C146" s="12">
        <f>IF(B146="","",INDEX('По дням'!$A$2:$A$3662,MATCH(140,'По дням'!$G$2:$G$3662,0)+COUNTIF('По дням'!$G$2:$G$3662,140)-1))</f>
        <v/>
      </c>
      <c r="D146" s="9">
        <f>IF(B146="","",C146-B146+1)</f>
        <v/>
      </c>
      <c r="E146" s="13">
        <f>IF(B146="","",INDEX('По дням'!$D$2:$D$3662,MATCH(140,'По дням'!$G$2:$G$3662,0)))</f>
        <v/>
      </c>
      <c r="F146" s="9">
        <f>IF(B146="","",INDEX('По дням'!$B$2:$B$3662,MATCH(140,'По дням'!$G$2:$G$3662,0)))</f>
        <v/>
      </c>
      <c r="G146" s="9">
        <f>IF(B146="","",INDEX('По дням'!$C$2:$C$3662,MATCH(140,'По дням'!$G$2:$G$3662,0)))</f>
        <v/>
      </c>
      <c r="H146" s="13">
        <f>IF(OR(B146="",F146=""),"",IF(J146="да",0,ROUND(E146*F146/100*D146/G146,2)))</f>
        <v/>
      </c>
      <c r="I146" s="13">
        <f>IF(B146="","",SUMIF(Оплаты!$A$6:$A$505,C146,Оплаты!$B$6:$B$505))</f>
        <v/>
      </c>
      <c r="J146" s="9">
        <f>IF(B146="","",IF(INDEX('По дням'!$E$2:$E$3662,MATCH(140,'По дням'!$G$2:$G$3662,0))=1,"да",""))</f>
        <v/>
      </c>
    </row>
    <row r="147">
      <c r="A147" s="9">
        <f>IF(B147="","",141)</f>
        <v/>
      </c>
      <c r="B147" s="12">
        <f>IFERROR(INDEX('По дням'!$A$2:$A$3662,MATCH(141,'По дням'!$G$2:$G$3662,0)),"")</f>
        <v/>
      </c>
      <c r="C147" s="12">
        <f>IF(B147="","",INDEX('По дням'!$A$2:$A$3662,MATCH(141,'По дням'!$G$2:$G$3662,0)+COUNTIF('По дням'!$G$2:$G$3662,141)-1))</f>
        <v/>
      </c>
      <c r="D147" s="9">
        <f>IF(B147="","",C147-B147+1)</f>
        <v/>
      </c>
      <c r="E147" s="13">
        <f>IF(B147="","",INDEX('По дням'!$D$2:$D$3662,MATCH(141,'По дням'!$G$2:$G$3662,0)))</f>
        <v/>
      </c>
      <c r="F147" s="9">
        <f>IF(B147="","",INDEX('По дням'!$B$2:$B$3662,MATCH(141,'По дням'!$G$2:$G$3662,0)))</f>
        <v/>
      </c>
      <c r="G147" s="9">
        <f>IF(B147="","",INDEX('По дням'!$C$2:$C$3662,MATCH(141,'По дням'!$G$2:$G$3662,0)))</f>
        <v/>
      </c>
      <c r="H147" s="13">
        <f>IF(OR(B147="",F147=""),"",IF(J147="да",0,ROUND(E147*F147/100*D147/G147,2)))</f>
        <v/>
      </c>
      <c r="I147" s="13">
        <f>IF(B147="","",SUMIF(Оплаты!$A$6:$A$505,C147,Оплаты!$B$6:$B$505))</f>
        <v/>
      </c>
      <c r="J147" s="9">
        <f>IF(B147="","",IF(INDEX('По дням'!$E$2:$E$3662,MATCH(141,'По дням'!$G$2:$G$3662,0))=1,"да",""))</f>
        <v/>
      </c>
    </row>
    <row r="148">
      <c r="A148" s="9">
        <f>IF(B148="","",142)</f>
        <v/>
      </c>
      <c r="B148" s="12">
        <f>IFERROR(INDEX('По дням'!$A$2:$A$3662,MATCH(142,'По дням'!$G$2:$G$3662,0)),"")</f>
        <v/>
      </c>
      <c r="C148" s="12">
        <f>IF(B148="","",INDEX('По дням'!$A$2:$A$3662,MATCH(142,'По дням'!$G$2:$G$3662,0)+COUNTIF('По дням'!$G$2:$G$3662,142)-1))</f>
        <v/>
      </c>
      <c r="D148" s="9">
        <f>IF(B148="","",C148-B148+1)</f>
        <v/>
      </c>
      <c r="E148" s="13">
        <f>IF(B148="","",INDEX('По дням'!$D$2:$D$3662,MATCH(142,'По дням'!$G$2:$G$3662,0)))</f>
        <v/>
      </c>
      <c r="F148" s="9">
        <f>IF(B148="","",INDEX('По дням'!$B$2:$B$3662,MATCH(142,'По дням'!$G$2:$G$3662,0)))</f>
        <v/>
      </c>
      <c r="G148" s="9">
        <f>IF(B148="","",INDEX('По дням'!$C$2:$C$3662,MATCH(142,'По дням'!$G$2:$G$3662,0)))</f>
        <v/>
      </c>
      <c r="H148" s="13">
        <f>IF(OR(B148="",F148=""),"",IF(J148="да",0,ROUND(E148*F148/100*D148/G148,2)))</f>
        <v/>
      </c>
      <c r="I148" s="13">
        <f>IF(B148="","",SUMIF(Оплаты!$A$6:$A$505,C148,Оплаты!$B$6:$B$505))</f>
        <v/>
      </c>
      <c r="J148" s="9">
        <f>IF(B148="","",IF(INDEX('По дням'!$E$2:$E$3662,MATCH(142,'По дням'!$G$2:$G$3662,0))=1,"да",""))</f>
        <v/>
      </c>
    </row>
    <row r="149">
      <c r="A149" s="9">
        <f>IF(B149="","",143)</f>
        <v/>
      </c>
      <c r="B149" s="12">
        <f>IFERROR(INDEX('По дням'!$A$2:$A$3662,MATCH(143,'По дням'!$G$2:$G$3662,0)),"")</f>
        <v/>
      </c>
      <c r="C149" s="12">
        <f>IF(B149="","",INDEX('По дням'!$A$2:$A$3662,MATCH(143,'По дням'!$G$2:$G$3662,0)+COUNTIF('По дням'!$G$2:$G$3662,143)-1))</f>
        <v/>
      </c>
      <c r="D149" s="9">
        <f>IF(B149="","",C149-B149+1)</f>
        <v/>
      </c>
      <c r="E149" s="13">
        <f>IF(B149="","",INDEX('По дням'!$D$2:$D$3662,MATCH(143,'По дням'!$G$2:$G$3662,0)))</f>
        <v/>
      </c>
      <c r="F149" s="9">
        <f>IF(B149="","",INDEX('По дням'!$B$2:$B$3662,MATCH(143,'По дням'!$G$2:$G$3662,0)))</f>
        <v/>
      </c>
      <c r="G149" s="9">
        <f>IF(B149="","",INDEX('По дням'!$C$2:$C$3662,MATCH(143,'По дням'!$G$2:$G$3662,0)))</f>
        <v/>
      </c>
      <c r="H149" s="13">
        <f>IF(OR(B149="",F149=""),"",IF(J149="да",0,ROUND(E149*F149/100*D149/G149,2)))</f>
        <v/>
      </c>
      <c r="I149" s="13">
        <f>IF(B149="","",SUMIF(Оплаты!$A$6:$A$505,C149,Оплаты!$B$6:$B$505))</f>
        <v/>
      </c>
      <c r="J149" s="9">
        <f>IF(B149="","",IF(INDEX('По дням'!$E$2:$E$3662,MATCH(143,'По дням'!$G$2:$G$3662,0))=1,"да",""))</f>
        <v/>
      </c>
    </row>
    <row r="150">
      <c r="A150" s="9">
        <f>IF(B150="","",144)</f>
        <v/>
      </c>
      <c r="B150" s="12">
        <f>IFERROR(INDEX('По дням'!$A$2:$A$3662,MATCH(144,'По дням'!$G$2:$G$3662,0)),"")</f>
        <v/>
      </c>
      <c r="C150" s="12">
        <f>IF(B150="","",INDEX('По дням'!$A$2:$A$3662,MATCH(144,'По дням'!$G$2:$G$3662,0)+COUNTIF('По дням'!$G$2:$G$3662,144)-1))</f>
        <v/>
      </c>
      <c r="D150" s="9">
        <f>IF(B150="","",C150-B150+1)</f>
        <v/>
      </c>
      <c r="E150" s="13">
        <f>IF(B150="","",INDEX('По дням'!$D$2:$D$3662,MATCH(144,'По дням'!$G$2:$G$3662,0)))</f>
        <v/>
      </c>
      <c r="F150" s="9">
        <f>IF(B150="","",INDEX('По дням'!$B$2:$B$3662,MATCH(144,'По дням'!$G$2:$G$3662,0)))</f>
        <v/>
      </c>
      <c r="G150" s="9">
        <f>IF(B150="","",INDEX('По дням'!$C$2:$C$3662,MATCH(144,'По дням'!$G$2:$G$3662,0)))</f>
        <v/>
      </c>
      <c r="H150" s="13">
        <f>IF(OR(B150="",F150=""),"",IF(J150="да",0,ROUND(E150*F150/100*D150/G150,2)))</f>
        <v/>
      </c>
      <c r="I150" s="13">
        <f>IF(B150="","",SUMIF(Оплаты!$A$6:$A$505,C150,Оплаты!$B$6:$B$505))</f>
        <v/>
      </c>
      <c r="J150" s="9">
        <f>IF(B150="","",IF(INDEX('По дням'!$E$2:$E$3662,MATCH(144,'По дням'!$G$2:$G$3662,0))=1,"да",""))</f>
        <v/>
      </c>
    </row>
    <row r="151">
      <c r="A151" s="9">
        <f>IF(B151="","",145)</f>
        <v/>
      </c>
      <c r="B151" s="12">
        <f>IFERROR(INDEX('По дням'!$A$2:$A$3662,MATCH(145,'По дням'!$G$2:$G$3662,0)),"")</f>
        <v/>
      </c>
      <c r="C151" s="12">
        <f>IF(B151="","",INDEX('По дням'!$A$2:$A$3662,MATCH(145,'По дням'!$G$2:$G$3662,0)+COUNTIF('По дням'!$G$2:$G$3662,145)-1))</f>
        <v/>
      </c>
      <c r="D151" s="9">
        <f>IF(B151="","",C151-B151+1)</f>
        <v/>
      </c>
      <c r="E151" s="13">
        <f>IF(B151="","",INDEX('По дням'!$D$2:$D$3662,MATCH(145,'По дням'!$G$2:$G$3662,0)))</f>
        <v/>
      </c>
      <c r="F151" s="9">
        <f>IF(B151="","",INDEX('По дням'!$B$2:$B$3662,MATCH(145,'По дням'!$G$2:$G$3662,0)))</f>
        <v/>
      </c>
      <c r="G151" s="9">
        <f>IF(B151="","",INDEX('По дням'!$C$2:$C$3662,MATCH(145,'По дням'!$G$2:$G$3662,0)))</f>
        <v/>
      </c>
      <c r="H151" s="13">
        <f>IF(OR(B151="",F151=""),"",IF(J151="да",0,ROUND(E151*F151/100*D151/G151,2)))</f>
        <v/>
      </c>
      <c r="I151" s="13">
        <f>IF(B151="","",SUMIF(Оплаты!$A$6:$A$505,C151,Оплаты!$B$6:$B$505))</f>
        <v/>
      </c>
      <c r="J151" s="9">
        <f>IF(B151="","",IF(INDEX('По дням'!$E$2:$E$3662,MATCH(145,'По дням'!$G$2:$G$3662,0))=1,"да",""))</f>
        <v/>
      </c>
    </row>
    <row r="152">
      <c r="A152" s="9">
        <f>IF(B152="","",146)</f>
        <v/>
      </c>
      <c r="B152" s="12">
        <f>IFERROR(INDEX('По дням'!$A$2:$A$3662,MATCH(146,'По дням'!$G$2:$G$3662,0)),"")</f>
        <v/>
      </c>
      <c r="C152" s="12">
        <f>IF(B152="","",INDEX('По дням'!$A$2:$A$3662,MATCH(146,'По дням'!$G$2:$G$3662,0)+COUNTIF('По дням'!$G$2:$G$3662,146)-1))</f>
        <v/>
      </c>
      <c r="D152" s="9">
        <f>IF(B152="","",C152-B152+1)</f>
        <v/>
      </c>
      <c r="E152" s="13">
        <f>IF(B152="","",INDEX('По дням'!$D$2:$D$3662,MATCH(146,'По дням'!$G$2:$G$3662,0)))</f>
        <v/>
      </c>
      <c r="F152" s="9">
        <f>IF(B152="","",INDEX('По дням'!$B$2:$B$3662,MATCH(146,'По дням'!$G$2:$G$3662,0)))</f>
        <v/>
      </c>
      <c r="G152" s="9">
        <f>IF(B152="","",INDEX('По дням'!$C$2:$C$3662,MATCH(146,'По дням'!$G$2:$G$3662,0)))</f>
        <v/>
      </c>
      <c r="H152" s="13">
        <f>IF(OR(B152="",F152=""),"",IF(J152="да",0,ROUND(E152*F152/100*D152/G152,2)))</f>
        <v/>
      </c>
      <c r="I152" s="13">
        <f>IF(B152="","",SUMIF(Оплаты!$A$6:$A$505,C152,Оплаты!$B$6:$B$505))</f>
        <v/>
      </c>
      <c r="J152" s="9">
        <f>IF(B152="","",IF(INDEX('По дням'!$E$2:$E$3662,MATCH(146,'По дням'!$G$2:$G$3662,0))=1,"да",""))</f>
        <v/>
      </c>
    </row>
    <row r="153">
      <c r="A153" s="9">
        <f>IF(B153="","",147)</f>
        <v/>
      </c>
      <c r="B153" s="12">
        <f>IFERROR(INDEX('По дням'!$A$2:$A$3662,MATCH(147,'По дням'!$G$2:$G$3662,0)),"")</f>
        <v/>
      </c>
      <c r="C153" s="12">
        <f>IF(B153="","",INDEX('По дням'!$A$2:$A$3662,MATCH(147,'По дням'!$G$2:$G$3662,0)+COUNTIF('По дням'!$G$2:$G$3662,147)-1))</f>
        <v/>
      </c>
      <c r="D153" s="9">
        <f>IF(B153="","",C153-B153+1)</f>
        <v/>
      </c>
      <c r="E153" s="13">
        <f>IF(B153="","",INDEX('По дням'!$D$2:$D$3662,MATCH(147,'По дням'!$G$2:$G$3662,0)))</f>
        <v/>
      </c>
      <c r="F153" s="9">
        <f>IF(B153="","",INDEX('По дням'!$B$2:$B$3662,MATCH(147,'По дням'!$G$2:$G$3662,0)))</f>
        <v/>
      </c>
      <c r="G153" s="9">
        <f>IF(B153="","",INDEX('По дням'!$C$2:$C$3662,MATCH(147,'По дням'!$G$2:$G$3662,0)))</f>
        <v/>
      </c>
      <c r="H153" s="13">
        <f>IF(OR(B153="",F153=""),"",IF(J153="да",0,ROUND(E153*F153/100*D153/G153,2)))</f>
        <v/>
      </c>
      <c r="I153" s="13">
        <f>IF(B153="","",SUMIF(Оплаты!$A$6:$A$505,C153,Оплаты!$B$6:$B$505))</f>
        <v/>
      </c>
      <c r="J153" s="9">
        <f>IF(B153="","",IF(INDEX('По дням'!$E$2:$E$3662,MATCH(147,'По дням'!$G$2:$G$3662,0))=1,"да",""))</f>
        <v/>
      </c>
    </row>
    <row r="154">
      <c r="A154" s="9">
        <f>IF(B154="","",148)</f>
        <v/>
      </c>
      <c r="B154" s="12">
        <f>IFERROR(INDEX('По дням'!$A$2:$A$3662,MATCH(148,'По дням'!$G$2:$G$3662,0)),"")</f>
        <v/>
      </c>
      <c r="C154" s="12">
        <f>IF(B154="","",INDEX('По дням'!$A$2:$A$3662,MATCH(148,'По дням'!$G$2:$G$3662,0)+COUNTIF('По дням'!$G$2:$G$3662,148)-1))</f>
        <v/>
      </c>
      <c r="D154" s="9">
        <f>IF(B154="","",C154-B154+1)</f>
        <v/>
      </c>
      <c r="E154" s="13">
        <f>IF(B154="","",INDEX('По дням'!$D$2:$D$3662,MATCH(148,'По дням'!$G$2:$G$3662,0)))</f>
        <v/>
      </c>
      <c r="F154" s="9">
        <f>IF(B154="","",INDEX('По дням'!$B$2:$B$3662,MATCH(148,'По дням'!$G$2:$G$3662,0)))</f>
        <v/>
      </c>
      <c r="G154" s="9">
        <f>IF(B154="","",INDEX('По дням'!$C$2:$C$3662,MATCH(148,'По дням'!$G$2:$G$3662,0)))</f>
        <v/>
      </c>
      <c r="H154" s="13">
        <f>IF(OR(B154="",F154=""),"",IF(J154="да",0,ROUND(E154*F154/100*D154/G154,2)))</f>
        <v/>
      </c>
      <c r="I154" s="13">
        <f>IF(B154="","",SUMIF(Оплаты!$A$6:$A$505,C154,Оплаты!$B$6:$B$505))</f>
        <v/>
      </c>
      <c r="J154" s="9">
        <f>IF(B154="","",IF(INDEX('По дням'!$E$2:$E$3662,MATCH(148,'По дням'!$G$2:$G$3662,0))=1,"да",""))</f>
        <v/>
      </c>
    </row>
    <row r="155">
      <c r="A155" s="9">
        <f>IF(B155="","",149)</f>
        <v/>
      </c>
      <c r="B155" s="12">
        <f>IFERROR(INDEX('По дням'!$A$2:$A$3662,MATCH(149,'По дням'!$G$2:$G$3662,0)),"")</f>
        <v/>
      </c>
      <c r="C155" s="12">
        <f>IF(B155="","",INDEX('По дням'!$A$2:$A$3662,MATCH(149,'По дням'!$G$2:$G$3662,0)+COUNTIF('По дням'!$G$2:$G$3662,149)-1))</f>
        <v/>
      </c>
      <c r="D155" s="9">
        <f>IF(B155="","",C155-B155+1)</f>
        <v/>
      </c>
      <c r="E155" s="13">
        <f>IF(B155="","",INDEX('По дням'!$D$2:$D$3662,MATCH(149,'По дням'!$G$2:$G$3662,0)))</f>
        <v/>
      </c>
      <c r="F155" s="9">
        <f>IF(B155="","",INDEX('По дням'!$B$2:$B$3662,MATCH(149,'По дням'!$G$2:$G$3662,0)))</f>
        <v/>
      </c>
      <c r="G155" s="9">
        <f>IF(B155="","",INDEX('По дням'!$C$2:$C$3662,MATCH(149,'По дням'!$G$2:$G$3662,0)))</f>
        <v/>
      </c>
      <c r="H155" s="13">
        <f>IF(OR(B155="",F155=""),"",IF(J155="да",0,ROUND(E155*F155/100*D155/G155,2)))</f>
        <v/>
      </c>
      <c r="I155" s="13">
        <f>IF(B155="","",SUMIF(Оплаты!$A$6:$A$505,C155,Оплаты!$B$6:$B$505))</f>
        <v/>
      </c>
      <c r="J155" s="9">
        <f>IF(B155="","",IF(INDEX('По дням'!$E$2:$E$3662,MATCH(149,'По дням'!$G$2:$G$3662,0))=1,"да",""))</f>
        <v/>
      </c>
    </row>
    <row r="156">
      <c r="A156" s="9">
        <f>IF(B156="","",150)</f>
        <v/>
      </c>
      <c r="B156" s="12">
        <f>IFERROR(INDEX('По дням'!$A$2:$A$3662,MATCH(150,'По дням'!$G$2:$G$3662,0)),"")</f>
        <v/>
      </c>
      <c r="C156" s="12">
        <f>IF(B156="","",INDEX('По дням'!$A$2:$A$3662,MATCH(150,'По дням'!$G$2:$G$3662,0)+COUNTIF('По дням'!$G$2:$G$3662,150)-1))</f>
        <v/>
      </c>
      <c r="D156" s="9">
        <f>IF(B156="","",C156-B156+1)</f>
        <v/>
      </c>
      <c r="E156" s="13">
        <f>IF(B156="","",INDEX('По дням'!$D$2:$D$3662,MATCH(150,'По дням'!$G$2:$G$3662,0)))</f>
        <v/>
      </c>
      <c r="F156" s="9">
        <f>IF(B156="","",INDEX('По дням'!$B$2:$B$3662,MATCH(150,'По дням'!$G$2:$G$3662,0)))</f>
        <v/>
      </c>
      <c r="G156" s="9">
        <f>IF(B156="","",INDEX('По дням'!$C$2:$C$3662,MATCH(150,'По дням'!$G$2:$G$3662,0)))</f>
        <v/>
      </c>
      <c r="H156" s="13">
        <f>IF(OR(B156="",F156=""),"",IF(J156="да",0,ROUND(E156*F156/100*D156/G156,2)))</f>
        <v/>
      </c>
      <c r="I156" s="13">
        <f>IF(B156="","",SUMIF(Оплаты!$A$6:$A$505,C156,Оплаты!$B$6:$B$505))</f>
        <v/>
      </c>
      <c r="J156" s="9">
        <f>IF(B156="","",IF(INDEX('По дням'!$E$2:$E$3662,MATCH(150,'По дням'!$G$2:$G$3662,0))=1,"да",""))</f>
        <v/>
      </c>
    </row>
    <row r="157">
      <c r="A157" s="9">
        <f>IF(B157="","",151)</f>
        <v/>
      </c>
      <c r="B157" s="12">
        <f>IFERROR(INDEX('По дням'!$A$2:$A$3662,MATCH(151,'По дням'!$G$2:$G$3662,0)),"")</f>
        <v/>
      </c>
      <c r="C157" s="12">
        <f>IF(B157="","",INDEX('По дням'!$A$2:$A$3662,MATCH(151,'По дням'!$G$2:$G$3662,0)+COUNTIF('По дням'!$G$2:$G$3662,151)-1))</f>
        <v/>
      </c>
      <c r="D157" s="9">
        <f>IF(B157="","",C157-B157+1)</f>
        <v/>
      </c>
      <c r="E157" s="13">
        <f>IF(B157="","",INDEX('По дням'!$D$2:$D$3662,MATCH(151,'По дням'!$G$2:$G$3662,0)))</f>
        <v/>
      </c>
      <c r="F157" s="9">
        <f>IF(B157="","",INDEX('По дням'!$B$2:$B$3662,MATCH(151,'По дням'!$G$2:$G$3662,0)))</f>
        <v/>
      </c>
      <c r="G157" s="9">
        <f>IF(B157="","",INDEX('По дням'!$C$2:$C$3662,MATCH(151,'По дням'!$G$2:$G$3662,0)))</f>
        <v/>
      </c>
      <c r="H157" s="13">
        <f>IF(OR(B157="",F157=""),"",IF(J157="да",0,ROUND(E157*F157/100*D157/G157,2)))</f>
        <v/>
      </c>
      <c r="I157" s="13">
        <f>IF(B157="","",SUMIF(Оплаты!$A$6:$A$505,C157,Оплаты!$B$6:$B$505))</f>
        <v/>
      </c>
      <c r="J157" s="9">
        <f>IF(B157="","",IF(INDEX('По дням'!$E$2:$E$3662,MATCH(151,'По дням'!$G$2:$G$3662,0))=1,"да",""))</f>
        <v/>
      </c>
    </row>
    <row r="158">
      <c r="A158" s="9">
        <f>IF(B158="","",152)</f>
        <v/>
      </c>
      <c r="B158" s="12">
        <f>IFERROR(INDEX('По дням'!$A$2:$A$3662,MATCH(152,'По дням'!$G$2:$G$3662,0)),"")</f>
        <v/>
      </c>
      <c r="C158" s="12">
        <f>IF(B158="","",INDEX('По дням'!$A$2:$A$3662,MATCH(152,'По дням'!$G$2:$G$3662,0)+COUNTIF('По дням'!$G$2:$G$3662,152)-1))</f>
        <v/>
      </c>
      <c r="D158" s="9">
        <f>IF(B158="","",C158-B158+1)</f>
        <v/>
      </c>
      <c r="E158" s="13">
        <f>IF(B158="","",INDEX('По дням'!$D$2:$D$3662,MATCH(152,'По дням'!$G$2:$G$3662,0)))</f>
        <v/>
      </c>
      <c r="F158" s="9">
        <f>IF(B158="","",INDEX('По дням'!$B$2:$B$3662,MATCH(152,'По дням'!$G$2:$G$3662,0)))</f>
        <v/>
      </c>
      <c r="G158" s="9">
        <f>IF(B158="","",INDEX('По дням'!$C$2:$C$3662,MATCH(152,'По дням'!$G$2:$G$3662,0)))</f>
        <v/>
      </c>
      <c r="H158" s="13">
        <f>IF(OR(B158="",F158=""),"",IF(J158="да",0,ROUND(E158*F158/100*D158/G158,2)))</f>
        <v/>
      </c>
      <c r="I158" s="13">
        <f>IF(B158="","",SUMIF(Оплаты!$A$6:$A$505,C158,Оплаты!$B$6:$B$505))</f>
        <v/>
      </c>
      <c r="J158" s="9">
        <f>IF(B158="","",IF(INDEX('По дням'!$E$2:$E$3662,MATCH(152,'По дням'!$G$2:$G$3662,0))=1,"да",""))</f>
        <v/>
      </c>
    </row>
    <row r="159">
      <c r="A159" s="9">
        <f>IF(B159="","",153)</f>
        <v/>
      </c>
      <c r="B159" s="12">
        <f>IFERROR(INDEX('По дням'!$A$2:$A$3662,MATCH(153,'По дням'!$G$2:$G$3662,0)),"")</f>
        <v/>
      </c>
      <c r="C159" s="12">
        <f>IF(B159="","",INDEX('По дням'!$A$2:$A$3662,MATCH(153,'По дням'!$G$2:$G$3662,0)+COUNTIF('По дням'!$G$2:$G$3662,153)-1))</f>
        <v/>
      </c>
      <c r="D159" s="9">
        <f>IF(B159="","",C159-B159+1)</f>
        <v/>
      </c>
      <c r="E159" s="13">
        <f>IF(B159="","",INDEX('По дням'!$D$2:$D$3662,MATCH(153,'По дням'!$G$2:$G$3662,0)))</f>
        <v/>
      </c>
      <c r="F159" s="9">
        <f>IF(B159="","",INDEX('По дням'!$B$2:$B$3662,MATCH(153,'По дням'!$G$2:$G$3662,0)))</f>
        <v/>
      </c>
      <c r="G159" s="9">
        <f>IF(B159="","",INDEX('По дням'!$C$2:$C$3662,MATCH(153,'По дням'!$G$2:$G$3662,0)))</f>
        <v/>
      </c>
      <c r="H159" s="13">
        <f>IF(OR(B159="",F159=""),"",IF(J159="да",0,ROUND(E159*F159/100*D159/G159,2)))</f>
        <v/>
      </c>
      <c r="I159" s="13">
        <f>IF(B159="","",SUMIF(Оплаты!$A$6:$A$505,C159,Оплаты!$B$6:$B$505))</f>
        <v/>
      </c>
      <c r="J159" s="9">
        <f>IF(B159="","",IF(INDEX('По дням'!$E$2:$E$3662,MATCH(153,'По дням'!$G$2:$G$3662,0))=1,"да",""))</f>
        <v/>
      </c>
    </row>
    <row r="160">
      <c r="A160" s="9">
        <f>IF(B160="","",154)</f>
        <v/>
      </c>
      <c r="B160" s="12">
        <f>IFERROR(INDEX('По дням'!$A$2:$A$3662,MATCH(154,'По дням'!$G$2:$G$3662,0)),"")</f>
        <v/>
      </c>
      <c r="C160" s="12">
        <f>IF(B160="","",INDEX('По дням'!$A$2:$A$3662,MATCH(154,'По дням'!$G$2:$G$3662,0)+COUNTIF('По дням'!$G$2:$G$3662,154)-1))</f>
        <v/>
      </c>
      <c r="D160" s="9">
        <f>IF(B160="","",C160-B160+1)</f>
        <v/>
      </c>
      <c r="E160" s="13">
        <f>IF(B160="","",INDEX('По дням'!$D$2:$D$3662,MATCH(154,'По дням'!$G$2:$G$3662,0)))</f>
        <v/>
      </c>
      <c r="F160" s="9">
        <f>IF(B160="","",INDEX('По дням'!$B$2:$B$3662,MATCH(154,'По дням'!$G$2:$G$3662,0)))</f>
        <v/>
      </c>
      <c r="G160" s="9">
        <f>IF(B160="","",INDEX('По дням'!$C$2:$C$3662,MATCH(154,'По дням'!$G$2:$G$3662,0)))</f>
        <v/>
      </c>
      <c r="H160" s="13">
        <f>IF(OR(B160="",F160=""),"",IF(J160="да",0,ROUND(E160*F160/100*D160/G160,2)))</f>
        <v/>
      </c>
      <c r="I160" s="13">
        <f>IF(B160="","",SUMIF(Оплаты!$A$6:$A$505,C160,Оплаты!$B$6:$B$505))</f>
        <v/>
      </c>
      <c r="J160" s="9">
        <f>IF(B160="","",IF(INDEX('По дням'!$E$2:$E$3662,MATCH(154,'По дням'!$G$2:$G$3662,0))=1,"да",""))</f>
        <v/>
      </c>
    </row>
    <row r="161">
      <c r="A161" s="9">
        <f>IF(B161="","",155)</f>
        <v/>
      </c>
      <c r="B161" s="12">
        <f>IFERROR(INDEX('По дням'!$A$2:$A$3662,MATCH(155,'По дням'!$G$2:$G$3662,0)),"")</f>
        <v/>
      </c>
      <c r="C161" s="12">
        <f>IF(B161="","",INDEX('По дням'!$A$2:$A$3662,MATCH(155,'По дням'!$G$2:$G$3662,0)+COUNTIF('По дням'!$G$2:$G$3662,155)-1))</f>
        <v/>
      </c>
      <c r="D161" s="9">
        <f>IF(B161="","",C161-B161+1)</f>
        <v/>
      </c>
      <c r="E161" s="13">
        <f>IF(B161="","",INDEX('По дням'!$D$2:$D$3662,MATCH(155,'По дням'!$G$2:$G$3662,0)))</f>
        <v/>
      </c>
      <c r="F161" s="9">
        <f>IF(B161="","",INDEX('По дням'!$B$2:$B$3662,MATCH(155,'По дням'!$G$2:$G$3662,0)))</f>
        <v/>
      </c>
      <c r="G161" s="9">
        <f>IF(B161="","",INDEX('По дням'!$C$2:$C$3662,MATCH(155,'По дням'!$G$2:$G$3662,0)))</f>
        <v/>
      </c>
      <c r="H161" s="13">
        <f>IF(OR(B161="",F161=""),"",IF(J161="да",0,ROUND(E161*F161/100*D161/G161,2)))</f>
        <v/>
      </c>
      <c r="I161" s="13">
        <f>IF(B161="","",SUMIF(Оплаты!$A$6:$A$505,C161,Оплаты!$B$6:$B$505))</f>
        <v/>
      </c>
      <c r="J161" s="9">
        <f>IF(B161="","",IF(INDEX('По дням'!$E$2:$E$3662,MATCH(155,'По дням'!$G$2:$G$3662,0))=1,"да",""))</f>
        <v/>
      </c>
    </row>
    <row r="162">
      <c r="A162" s="9">
        <f>IF(B162="","",156)</f>
        <v/>
      </c>
      <c r="B162" s="12">
        <f>IFERROR(INDEX('По дням'!$A$2:$A$3662,MATCH(156,'По дням'!$G$2:$G$3662,0)),"")</f>
        <v/>
      </c>
      <c r="C162" s="12">
        <f>IF(B162="","",INDEX('По дням'!$A$2:$A$3662,MATCH(156,'По дням'!$G$2:$G$3662,0)+COUNTIF('По дням'!$G$2:$G$3662,156)-1))</f>
        <v/>
      </c>
      <c r="D162" s="9">
        <f>IF(B162="","",C162-B162+1)</f>
        <v/>
      </c>
      <c r="E162" s="13">
        <f>IF(B162="","",INDEX('По дням'!$D$2:$D$3662,MATCH(156,'По дням'!$G$2:$G$3662,0)))</f>
        <v/>
      </c>
      <c r="F162" s="9">
        <f>IF(B162="","",INDEX('По дням'!$B$2:$B$3662,MATCH(156,'По дням'!$G$2:$G$3662,0)))</f>
        <v/>
      </c>
      <c r="G162" s="9">
        <f>IF(B162="","",INDEX('По дням'!$C$2:$C$3662,MATCH(156,'По дням'!$G$2:$G$3662,0)))</f>
        <v/>
      </c>
      <c r="H162" s="13">
        <f>IF(OR(B162="",F162=""),"",IF(J162="да",0,ROUND(E162*F162/100*D162/G162,2)))</f>
        <v/>
      </c>
      <c r="I162" s="13">
        <f>IF(B162="","",SUMIF(Оплаты!$A$6:$A$505,C162,Оплаты!$B$6:$B$505))</f>
        <v/>
      </c>
      <c r="J162" s="9">
        <f>IF(B162="","",IF(INDEX('По дням'!$E$2:$E$3662,MATCH(156,'По дням'!$G$2:$G$3662,0))=1,"да",""))</f>
        <v/>
      </c>
    </row>
    <row r="163">
      <c r="A163" s="9">
        <f>IF(B163="","",157)</f>
        <v/>
      </c>
      <c r="B163" s="12">
        <f>IFERROR(INDEX('По дням'!$A$2:$A$3662,MATCH(157,'По дням'!$G$2:$G$3662,0)),"")</f>
        <v/>
      </c>
      <c r="C163" s="12">
        <f>IF(B163="","",INDEX('По дням'!$A$2:$A$3662,MATCH(157,'По дням'!$G$2:$G$3662,0)+COUNTIF('По дням'!$G$2:$G$3662,157)-1))</f>
        <v/>
      </c>
      <c r="D163" s="9">
        <f>IF(B163="","",C163-B163+1)</f>
        <v/>
      </c>
      <c r="E163" s="13">
        <f>IF(B163="","",INDEX('По дням'!$D$2:$D$3662,MATCH(157,'По дням'!$G$2:$G$3662,0)))</f>
        <v/>
      </c>
      <c r="F163" s="9">
        <f>IF(B163="","",INDEX('По дням'!$B$2:$B$3662,MATCH(157,'По дням'!$G$2:$G$3662,0)))</f>
        <v/>
      </c>
      <c r="G163" s="9">
        <f>IF(B163="","",INDEX('По дням'!$C$2:$C$3662,MATCH(157,'По дням'!$G$2:$G$3662,0)))</f>
        <v/>
      </c>
      <c r="H163" s="13">
        <f>IF(OR(B163="",F163=""),"",IF(J163="да",0,ROUND(E163*F163/100*D163/G163,2)))</f>
        <v/>
      </c>
      <c r="I163" s="13">
        <f>IF(B163="","",SUMIF(Оплаты!$A$6:$A$505,C163,Оплаты!$B$6:$B$505))</f>
        <v/>
      </c>
      <c r="J163" s="9">
        <f>IF(B163="","",IF(INDEX('По дням'!$E$2:$E$3662,MATCH(157,'По дням'!$G$2:$G$3662,0))=1,"да",""))</f>
        <v/>
      </c>
    </row>
    <row r="164">
      <c r="A164" s="9">
        <f>IF(B164="","",158)</f>
        <v/>
      </c>
      <c r="B164" s="12">
        <f>IFERROR(INDEX('По дням'!$A$2:$A$3662,MATCH(158,'По дням'!$G$2:$G$3662,0)),"")</f>
        <v/>
      </c>
      <c r="C164" s="12">
        <f>IF(B164="","",INDEX('По дням'!$A$2:$A$3662,MATCH(158,'По дням'!$G$2:$G$3662,0)+COUNTIF('По дням'!$G$2:$G$3662,158)-1))</f>
        <v/>
      </c>
      <c r="D164" s="9">
        <f>IF(B164="","",C164-B164+1)</f>
        <v/>
      </c>
      <c r="E164" s="13">
        <f>IF(B164="","",INDEX('По дням'!$D$2:$D$3662,MATCH(158,'По дням'!$G$2:$G$3662,0)))</f>
        <v/>
      </c>
      <c r="F164" s="9">
        <f>IF(B164="","",INDEX('По дням'!$B$2:$B$3662,MATCH(158,'По дням'!$G$2:$G$3662,0)))</f>
        <v/>
      </c>
      <c r="G164" s="9">
        <f>IF(B164="","",INDEX('По дням'!$C$2:$C$3662,MATCH(158,'По дням'!$G$2:$G$3662,0)))</f>
        <v/>
      </c>
      <c r="H164" s="13">
        <f>IF(OR(B164="",F164=""),"",IF(J164="да",0,ROUND(E164*F164/100*D164/G164,2)))</f>
        <v/>
      </c>
      <c r="I164" s="13">
        <f>IF(B164="","",SUMIF(Оплаты!$A$6:$A$505,C164,Оплаты!$B$6:$B$505))</f>
        <v/>
      </c>
      <c r="J164" s="9">
        <f>IF(B164="","",IF(INDEX('По дням'!$E$2:$E$3662,MATCH(158,'По дням'!$G$2:$G$3662,0))=1,"да",""))</f>
        <v/>
      </c>
    </row>
    <row r="165">
      <c r="A165" s="9">
        <f>IF(B165="","",159)</f>
        <v/>
      </c>
      <c r="B165" s="12">
        <f>IFERROR(INDEX('По дням'!$A$2:$A$3662,MATCH(159,'По дням'!$G$2:$G$3662,0)),"")</f>
        <v/>
      </c>
      <c r="C165" s="12">
        <f>IF(B165="","",INDEX('По дням'!$A$2:$A$3662,MATCH(159,'По дням'!$G$2:$G$3662,0)+COUNTIF('По дням'!$G$2:$G$3662,159)-1))</f>
        <v/>
      </c>
      <c r="D165" s="9">
        <f>IF(B165="","",C165-B165+1)</f>
        <v/>
      </c>
      <c r="E165" s="13">
        <f>IF(B165="","",INDEX('По дням'!$D$2:$D$3662,MATCH(159,'По дням'!$G$2:$G$3662,0)))</f>
        <v/>
      </c>
      <c r="F165" s="9">
        <f>IF(B165="","",INDEX('По дням'!$B$2:$B$3662,MATCH(159,'По дням'!$G$2:$G$3662,0)))</f>
        <v/>
      </c>
      <c r="G165" s="9">
        <f>IF(B165="","",INDEX('По дням'!$C$2:$C$3662,MATCH(159,'По дням'!$G$2:$G$3662,0)))</f>
        <v/>
      </c>
      <c r="H165" s="13">
        <f>IF(OR(B165="",F165=""),"",IF(J165="да",0,ROUND(E165*F165/100*D165/G165,2)))</f>
        <v/>
      </c>
      <c r="I165" s="13">
        <f>IF(B165="","",SUMIF(Оплаты!$A$6:$A$505,C165,Оплаты!$B$6:$B$505))</f>
        <v/>
      </c>
      <c r="J165" s="9">
        <f>IF(B165="","",IF(INDEX('По дням'!$E$2:$E$3662,MATCH(159,'По дням'!$G$2:$G$3662,0))=1,"да",""))</f>
        <v/>
      </c>
    </row>
    <row r="166">
      <c r="A166" s="9">
        <f>IF(B166="","",160)</f>
        <v/>
      </c>
      <c r="B166" s="12">
        <f>IFERROR(INDEX('По дням'!$A$2:$A$3662,MATCH(160,'По дням'!$G$2:$G$3662,0)),"")</f>
        <v/>
      </c>
      <c r="C166" s="12">
        <f>IF(B166="","",INDEX('По дням'!$A$2:$A$3662,MATCH(160,'По дням'!$G$2:$G$3662,0)+COUNTIF('По дням'!$G$2:$G$3662,160)-1))</f>
        <v/>
      </c>
      <c r="D166" s="9">
        <f>IF(B166="","",C166-B166+1)</f>
        <v/>
      </c>
      <c r="E166" s="13">
        <f>IF(B166="","",INDEX('По дням'!$D$2:$D$3662,MATCH(160,'По дням'!$G$2:$G$3662,0)))</f>
        <v/>
      </c>
      <c r="F166" s="9">
        <f>IF(B166="","",INDEX('По дням'!$B$2:$B$3662,MATCH(160,'По дням'!$G$2:$G$3662,0)))</f>
        <v/>
      </c>
      <c r="G166" s="9">
        <f>IF(B166="","",INDEX('По дням'!$C$2:$C$3662,MATCH(160,'По дням'!$G$2:$G$3662,0)))</f>
        <v/>
      </c>
      <c r="H166" s="13">
        <f>IF(OR(B166="",F166=""),"",IF(J166="да",0,ROUND(E166*F166/100*D166/G166,2)))</f>
        <v/>
      </c>
      <c r="I166" s="13">
        <f>IF(B166="","",SUMIF(Оплаты!$A$6:$A$505,C166,Оплаты!$B$6:$B$505))</f>
        <v/>
      </c>
      <c r="J166" s="9">
        <f>IF(B166="","",IF(INDEX('По дням'!$E$2:$E$3662,MATCH(160,'По дням'!$G$2:$G$3662,0))=1,"да",""))</f>
        <v/>
      </c>
    </row>
    <row r="167">
      <c r="A167" s="9">
        <f>IF(B167="","",161)</f>
        <v/>
      </c>
      <c r="B167" s="12">
        <f>IFERROR(INDEX('По дням'!$A$2:$A$3662,MATCH(161,'По дням'!$G$2:$G$3662,0)),"")</f>
        <v/>
      </c>
      <c r="C167" s="12">
        <f>IF(B167="","",INDEX('По дням'!$A$2:$A$3662,MATCH(161,'По дням'!$G$2:$G$3662,0)+COUNTIF('По дням'!$G$2:$G$3662,161)-1))</f>
        <v/>
      </c>
      <c r="D167" s="9">
        <f>IF(B167="","",C167-B167+1)</f>
        <v/>
      </c>
      <c r="E167" s="13">
        <f>IF(B167="","",INDEX('По дням'!$D$2:$D$3662,MATCH(161,'По дням'!$G$2:$G$3662,0)))</f>
        <v/>
      </c>
      <c r="F167" s="9">
        <f>IF(B167="","",INDEX('По дням'!$B$2:$B$3662,MATCH(161,'По дням'!$G$2:$G$3662,0)))</f>
        <v/>
      </c>
      <c r="G167" s="9">
        <f>IF(B167="","",INDEX('По дням'!$C$2:$C$3662,MATCH(161,'По дням'!$G$2:$G$3662,0)))</f>
        <v/>
      </c>
      <c r="H167" s="13">
        <f>IF(OR(B167="",F167=""),"",IF(J167="да",0,ROUND(E167*F167/100*D167/G167,2)))</f>
        <v/>
      </c>
      <c r="I167" s="13">
        <f>IF(B167="","",SUMIF(Оплаты!$A$6:$A$505,C167,Оплаты!$B$6:$B$505))</f>
        <v/>
      </c>
      <c r="J167" s="9">
        <f>IF(B167="","",IF(INDEX('По дням'!$E$2:$E$3662,MATCH(161,'По дням'!$G$2:$G$3662,0))=1,"да",""))</f>
        <v/>
      </c>
    </row>
    <row r="168">
      <c r="A168" s="9">
        <f>IF(B168="","",162)</f>
        <v/>
      </c>
      <c r="B168" s="12">
        <f>IFERROR(INDEX('По дням'!$A$2:$A$3662,MATCH(162,'По дням'!$G$2:$G$3662,0)),"")</f>
        <v/>
      </c>
      <c r="C168" s="12">
        <f>IF(B168="","",INDEX('По дням'!$A$2:$A$3662,MATCH(162,'По дням'!$G$2:$G$3662,0)+COUNTIF('По дням'!$G$2:$G$3662,162)-1))</f>
        <v/>
      </c>
      <c r="D168" s="9">
        <f>IF(B168="","",C168-B168+1)</f>
        <v/>
      </c>
      <c r="E168" s="13">
        <f>IF(B168="","",INDEX('По дням'!$D$2:$D$3662,MATCH(162,'По дням'!$G$2:$G$3662,0)))</f>
        <v/>
      </c>
      <c r="F168" s="9">
        <f>IF(B168="","",INDEX('По дням'!$B$2:$B$3662,MATCH(162,'По дням'!$G$2:$G$3662,0)))</f>
        <v/>
      </c>
      <c r="G168" s="9">
        <f>IF(B168="","",INDEX('По дням'!$C$2:$C$3662,MATCH(162,'По дням'!$G$2:$G$3662,0)))</f>
        <v/>
      </c>
      <c r="H168" s="13">
        <f>IF(OR(B168="",F168=""),"",IF(J168="да",0,ROUND(E168*F168/100*D168/G168,2)))</f>
        <v/>
      </c>
      <c r="I168" s="13">
        <f>IF(B168="","",SUMIF(Оплаты!$A$6:$A$505,C168,Оплаты!$B$6:$B$505))</f>
        <v/>
      </c>
      <c r="J168" s="9">
        <f>IF(B168="","",IF(INDEX('По дням'!$E$2:$E$3662,MATCH(162,'По дням'!$G$2:$G$3662,0))=1,"да",""))</f>
        <v/>
      </c>
    </row>
    <row r="169">
      <c r="A169" s="9">
        <f>IF(B169="","",163)</f>
        <v/>
      </c>
      <c r="B169" s="12">
        <f>IFERROR(INDEX('По дням'!$A$2:$A$3662,MATCH(163,'По дням'!$G$2:$G$3662,0)),"")</f>
        <v/>
      </c>
      <c r="C169" s="12">
        <f>IF(B169="","",INDEX('По дням'!$A$2:$A$3662,MATCH(163,'По дням'!$G$2:$G$3662,0)+COUNTIF('По дням'!$G$2:$G$3662,163)-1))</f>
        <v/>
      </c>
      <c r="D169" s="9">
        <f>IF(B169="","",C169-B169+1)</f>
        <v/>
      </c>
      <c r="E169" s="13">
        <f>IF(B169="","",INDEX('По дням'!$D$2:$D$3662,MATCH(163,'По дням'!$G$2:$G$3662,0)))</f>
        <v/>
      </c>
      <c r="F169" s="9">
        <f>IF(B169="","",INDEX('По дням'!$B$2:$B$3662,MATCH(163,'По дням'!$G$2:$G$3662,0)))</f>
        <v/>
      </c>
      <c r="G169" s="9">
        <f>IF(B169="","",INDEX('По дням'!$C$2:$C$3662,MATCH(163,'По дням'!$G$2:$G$3662,0)))</f>
        <v/>
      </c>
      <c r="H169" s="13">
        <f>IF(OR(B169="",F169=""),"",IF(J169="да",0,ROUND(E169*F169/100*D169/G169,2)))</f>
        <v/>
      </c>
      <c r="I169" s="13">
        <f>IF(B169="","",SUMIF(Оплаты!$A$6:$A$505,C169,Оплаты!$B$6:$B$505))</f>
        <v/>
      </c>
      <c r="J169" s="9">
        <f>IF(B169="","",IF(INDEX('По дням'!$E$2:$E$3662,MATCH(163,'По дням'!$G$2:$G$3662,0))=1,"да",""))</f>
        <v/>
      </c>
    </row>
    <row r="170">
      <c r="A170" s="9">
        <f>IF(B170="","",164)</f>
        <v/>
      </c>
      <c r="B170" s="12">
        <f>IFERROR(INDEX('По дням'!$A$2:$A$3662,MATCH(164,'По дням'!$G$2:$G$3662,0)),"")</f>
        <v/>
      </c>
      <c r="C170" s="12">
        <f>IF(B170="","",INDEX('По дням'!$A$2:$A$3662,MATCH(164,'По дням'!$G$2:$G$3662,0)+COUNTIF('По дням'!$G$2:$G$3662,164)-1))</f>
        <v/>
      </c>
      <c r="D170" s="9">
        <f>IF(B170="","",C170-B170+1)</f>
        <v/>
      </c>
      <c r="E170" s="13">
        <f>IF(B170="","",INDEX('По дням'!$D$2:$D$3662,MATCH(164,'По дням'!$G$2:$G$3662,0)))</f>
        <v/>
      </c>
      <c r="F170" s="9">
        <f>IF(B170="","",INDEX('По дням'!$B$2:$B$3662,MATCH(164,'По дням'!$G$2:$G$3662,0)))</f>
        <v/>
      </c>
      <c r="G170" s="9">
        <f>IF(B170="","",INDEX('По дням'!$C$2:$C$3662,MATCH(164,'По дням'!$G$2:$G$3662,0)))</f>
        <v/>
      </c>
      <c r="H170" s="13">
        <f>IF(OR(B170="",F170=""),"",IF(J170="да",0,ROUND(E170*F170/100*D170/G170,2)))</f>
        <v/>
      </c>
      <c r="I170" s="13">
        <f>IF(B170="","",SUMIF(Оплаты!$A$6:$A$505,C170,Оплаты!$B$6:$B$505))</f>
        <v/>
      </c>
      <c r="J170" s="9">
        <f>IF(B170="","",IF(INDEX('По дням'!$E$2:$E$3662,MATCH(164,'По дням'!$G$2:$G$3662,0))=1,"да",""))</f>
        <v/>
      </c>
    </row>
    <row r="171">
      <c r="A171" s="9">
        <f>IF(B171="","",165)</f>
        <v/>
      </c>
      <c r="B171" s="12">
        <f>IFERROR(INDEX('По дням'!$A$2:$A$3662,MATCH(165,'По дням'!$G$2:$G$3662,0)),"")</f>
        <v/>
      </c>
      <c r="C171" s="12">
        <f>IF(B171="","",INDEX('По дням'!$A$2:$A$3662,MATCH(165,'По дням'!$G$2:$G$3662,0)+COUNTIF('По дням'!$G$2:$G$3662,165)-1))</f>
        <v/>
      </c>
      <c r="D171" s="9">
        <f>IF(B171="","",C171-B171+1)</f>
        <v/>
      </c>
      <c r="E171" s="13">
        <f>IF(B171="","",INDEX('По дням'!$D$2:$D$3662,MATCH(165,'По дням'!$G$2:$G$3662,0)))</f>
        <v/>
      </c>
      <c r="F171" s="9">
        <f>IF(B171="","",INDEX('По дням'!$B$2:$B$3662,MATCH(165,'По дням'!$G$2:$G$3662,0)))</f>
        <v/>
      </c>
      <c r="G171" s="9">
        <f>IF(B171="","",INDEX('По дням'!$C$2:$C$3662,MATCH(165,'По дням'!$G$2:$G$3662,0)))</f>
        <v/>
      </c>
      <c r="H171" s="13">
        <f>IF(OR(B171="",F171=""),"",IF(J171="да",0,ROUND(E171*F171/100*D171/G171,2)))</f>
        <v/>
      </c>
      <c r="I171" s="13">
        <f>IF(B171="","",SUMIF(Оплаты!$A$6:$A$505,C171,Оплаты!$B$6:$B$505))</f>
        <v/>
      </c>
      <c r="J171" s="9">
        <f>IF(B171="","",IF(INDEX('По дням'!$E$2:$E$3662,MATCH(165,'По дням'!$G$2:$G$3662,0))=1,"да",""))</f>
        <v/>
      </c>
    </row>
    <row r="172">
      <c r="A172" s="9">
        <f>IF(B172="","",166)</f>
        <v/>
      </c>
      <c r="B172" s="12">
        <f>IFERROR(INDEX('По дням'!$A$2:$A$3662,MATCH(166,'По дням'!$G$2:$G$3662,0)),"")</f>
        <v/>
      </c>
      <c r="C172" s="12">
        <f>IF(B172="","",INDEX('По дням'!$A$2:$A$3662,MATCH(166,'По дням'!$G$2:$G$3662,0)+COUNTIF('По дням'!$G$2:$G$3662,166)-1))</f>
        <v/>
      </c>
      <c r="D172" s="9">
        <f>IF(B172="","",C172-B172+1)</f>
        <v/>
      </c>
      <c r="E172" s="13">
        <f>IF(B172="","",INDEX('По дням'!$D$2:$D$3662,MATCH(166,'По дням'!$G$2:$G$3662,0)))</f>
        <v/>
      </c>
      <c r="F172" s="9">
        <f>IF(B172="","",INDEX('По дням'!$B$2:$B$3662,MATCH(166,'По дням'!$G$2:$G$3662,0)))</f>
        <v/>
      </c>
      <c r="G172" s="9">
        <f>IF(B172="","",INDEX('По дням'!$C$2:$C$3662,MATCH(166,'По дням'!$G$2:$G$3662,0)))</f>
        <v/>
      </c>
      <c r="H172" s="13">
        <f>IF(OR(B172="",F172=""),"",IF(J172="да",0,ROUND(E172*F172/100*D172/G172,2)))</f>
        <v/>
      </c>
      <c r="I172" s="13">
        <f>IF(B172="","",SUMIF(Оплаты!$A$6:$A$505,C172,Оплаты!$B$6:$B$505))</f>
        <v/>
      </c>
      <c r="J172" s="9">
        <f>IF(B172="","",IF(INDEX('По дням'!$E$2:$E$3662,MATCH(166,'По дням'!$G$2:$G$3662,0))=1,"да",""))</f>
        <v/>
      </c>
    </row>
    <row r="173">
      <c r="A173" s="9">
        <f>IF(B173="","",167)</f>
        <v/>
      </c>
      <c r="B173" s="12">
        <f>IFERROR(INDEX('По дням'!$A$2:$A$3662,MATCH(167,'По дням'!$G$2:$G$3662,0)),"")</f>
        <v/>
      </c>
      <c r="C173" s="12">
        <f>IF(B173="","",INDEX('По дням'!$A$2:$A$3662,MATCH(167,'По дням'!$G$2:$G$3662,0)+COUNTIF('По дням'!$G$2:$G$3662,167)-1))</f>
        <v/>
      </c>
      <c r="D173" s="9">
        <f>IF(B173="","",C173-B173+1)</f>
        <v/>
      </c>
      <c r="E173" s="13">
        <f>IF(B173="","",INDEX('По дням'!$D$2:$D$3662,MATCH(167,'По дням'!$G$2:$G$3662,0)))</f>
        <v/>
      </c>
      <c r="F173" s="9">
        <f>IF(B173="","",INDEX('По дням'!$B$2:$B$3662,MATCH(167,'По дням'!$G$2:$G$3662,0)))</f>
        <v/>
      </c>
      <c r="G173" s="9">
        <f>IF(B173="","",INDEX('По дням'!$C$2:$C$3662,MATCH(167,'По дням'!$G$2:$G$3662,0)))</f>
        <v/>
      </c>
      <c r="H173" s="13">
        <f>IF(OR(B173="",F173=""),"",IF(J173="да",0,ROUND(E173*F173/100*D173/G173,2)))</f>
        <v/>
      </c>
      <c r="I173" s="13">
        <f>IF(B173="","",SUMIF(Оплаты!$A$6:$A$505,C173,Оплаты!$B$6:$B$505))</f>
        <v/>
      </c>
      <c r="J173" s="9">
        <f>IF(B173="","",IF(INDEX('По дням'!$E$2:$E$3662,MATCH(167,'По дням'!$G$2:$G$3662,0))=1,"да",""))</f>
        <v/>
      </c>
    </row>
    <row r="174">
      <c r="A174" s="9">
        <f>IF(B174="","",168)</f>
        <v/>
      </c>
      <c r="B174" s="12">
        <f>IFERROR(INDEX('По дням'!$A$2:$A$3662,MATCH(168,'По дням'!$G$2:$G$3662,0)),"")</f>
        <v/>
      </c>
      <c r="C174" s="12">
        <f>IF(B174="","",INDEX('По дням'!$A$2:$A$3662,MATCH(168,'По дням'!$G$2:$G$3662,0)+COUNTIF('По дням'!$G$2:$G$3662,168)-1))</f>
        <v/>
      </c>
      <c r="D174" s="9">
        <f>IF(B174="","",C174-B174+1)</f>
        <v/>
      </c>
      <c r="E174" s="13">
        <f>IF(B174="","",INDEX('По дням'!$D$2:$D$3662,MATCH(168,'По дням'!$G$2:$G$3662,0)))</f>
        <v/>
      </c>
      <c r="F174" s="9">
        <f>IF(B174="","",INDEX('По дням'!$B$2:$B$3662,MATCH(168,'По дням'!$G$2:$G$3662,0)))</f>
        <v/>
      </c>
      <c r="G174" s="9">
        <f>IF(B174="","",INDEX('По дням'!$C$2:$C$3662,MATCH(168,'По дням'!$G$2:$G$3662,0)))</f>
        <v/>
      </c>
      <c r="H174" s="13">
        <f>IF(OR(B174="",F174=""),"",IF(J174="да",0,ROUND(E174*F174/100*D174/G174,2)))</f>
        <v/>
      </c>
      <c r="I174" s="13">
        <f>IF(B174="","",SUMIF(Оплаты!$A$6:$A$505,C174,Оплаты!$B$6:$B$505))</f>
        <v/>
      </c>
      <c r="J174" s="9">
        <f>IF(B174="","",IF(INDEX('По дням'!$E$2:$E$3662,MATCH(168,'По дням'!$G$2:$G$3662,0))=1,"да",""))</f>
        <v/>
      </c>
    </row>
    <row r="175">
      <c r="A175" s="9">
        <f>IF(B175="","",169)</f>
        <v/>
      </c>
      <c r="B175" s="12">
        <f>IFERROR(INDEX('По дням'!$A$2:$A$3662,MATCH(169,'По дням'!$G$2:$G$3662,0)),"")</f>
        <v/>
      </c>
      <c r="C175" s="12">
        <f>IF(B175="","",INDEX('По дням'!$A$2:$A$3662,MATCH(169,'По дням'!$G$2:$G$3662,0)+COUNTIF('По дням'!$G$2:$G$3662,169)-1))</f>
        <v/>
      </c>
      <c r="D175" s="9">
        <f>IF(B175="","",C175-B175+1)</f>
        <v/>
      </c>
      <c r="E175" s="13">
        <f>IF(B175="","",INDEX('По дням'!$D$2:$D$3662,MATCH(169,'По дням'!$G$2:$G$3662,0)))</f>
        <v/>
      </c>
      <c r="F175" s="9">
        <f>IF(B175="","",INDEX('По дням'!$B$2:$B$3662,MATCH(169,'По дням'!$G$2:$G$3662,0)))</f>
        <v/>
      </c>
      <c r="G175" s="9">
        <f>IF(B175="","",INDEX('По дням'!$C$2:$C$3662,MATCH(169,'По дням'!$G$2:$G$3662,0)))</f>
        <v/>
      </c>
      <c r="H175" s="13">
        <f>IF(OR(B175="",F175=""),"",IF(J175="да",0,ROUND(E175*F175/100*D175/G175,2)))</f>
        <v/>
      </c>
      <c r="I175" s="13">
        <f>IF(B175="","",SUMIF(Оплаты!$A$6:$A$505,C175,Оплаты!$B$6:$B$505))</f>
        <v/>
      </c>
      <c r="J175" s="9">
        <f>IF(B175="","",IF(INDEX('По дням'!$E$2:$E$3662,MATCH(169,'По дням'!$G$2:$G$3662,0))=1,"да",""))</f>
        <v/>
      </c>
    </row>
    <row r="176">
      <c r="A176" s="9">
        <f>IF(B176="","",170)</f>
        <v/>
      </c>
      <c r="B176" s="12">
        <f>IFERROR(INDEX('По дням'!$A$2:$A$3662,MATCH(170,'По дням'!$G$2:$G$3662,0)),"")</f>
        <v/>
      </c>
      <c r="C176" s="12">
        <f>IF(B176="","",INDEX('По дням'!$A$2:$A$3662,MATCH(170,'По дням'!$G$2:$G$3662,0)+COUNTIF('По дням'!$G$2:$G$3662,170)-1))</f>
        <v/>
      </c>
      <c r="D176" s="9">
        <f>IF(B176="","",C176-B176+1)</f>
        <v/>
      </c>
      <c r="E176" s="13">
        <f>IF(B176="","",INDEX('По дням'!$D$2:$D$3662,MATCH(170,'По дням'!$G$2:$G$3662,0)))</f>
        <v/>
      </c>
      <c r="F176" s="9">
        <f>IF(B176="","",INDEX('По дням'!$B$2:$B$3662,MATCH(170,'По дням'!$G$2:$G$3662,0)))</f>
        <v/>
      </c>
      <c r="G176" s="9">
        <f>IF(B176="","",INDEX('По дням'!$C$2:$C$3662,MATCH(170,'По дням'!$G$2:$G$3662,0)))</f>
        <v/>
      </c>
      <c r="H176" s="13">
        <f>IF(OR(B176="",F176=""),"",IF(J176="да",0,ROUND(E176*F176/100*D176/G176,2)))</f>
        <v/>
      </c>
      <c r="I176" s="13">
        <f>IF(B176="","",SUMIF(Оплаты!$A$6:$A$505,C176,Оплаты!$B$6:$B$505))</f>
        <v/>
      </c>
      <c r="J176" s="9">
        <f>IF(B176="","",IF(INDEX('По дням'!$E$2:$E$3662,MATCH(170,'По дням'!$G$2:$G$3662,0))=1,"да",""))</f>
        <v/>
      </c>
    </row>
    <row r="177">
      <c r="A177" s="9">
        <f>IF(B177="","",171)</f>
        <v/>
      </c>
      <c r="B177" s="12">
        <f>IFERROR(INDEX('По дням'!$A$2:$A$3662,MATCH(171,'По дням'!$G$2:$G$3662,0)),"")</f>
        <v/>
      </c>
      <c r="C177" s="12">
        <f>IF(B177="","",INDEX('По дням'!$A$2:$A$3662,MATCH(171,'По дням'!$G$2:$G$3662,0)+COUNTIF('По дням'!$G$2:$G$3662,171)-1))</f>
        <v/>
      </c>
      <c r="D177" s="9">
        <f>IF(B177="","",C177-B177+1)</f>
        <v/>
      </c>
      <c r="E177" s="13">
        <f>IF(B177="","",INDEX('По дням'!$D$2:$D$3662,MATCH(171,'По дням'!$G$2:$G$3662,0)))</f>
        <v/>
      </c>
      <c r="F177" s="9">
        <f>IF(B177="","",INDEX('По дням'!$B$2:$B$3662,MATCH(171,'По дням'!$G$2:$G$3662,0)))</f>
        <v/>
      </c>
      <c r="G177" s="9">
        <f>IF(B177="","",INDEX('По дням'!$C$2:$C$3662,MATCH(171,'По дням'!$G$2:$G$3662,0)))</f>
        <v/>
      </c>
      <c r="H177" s="13">
        <f>IF(OR(B177="",F177=""),"",IF(J177="да",0,ROUND(E177*F177/100*D177/G177,2)))</f>
        <v/>
      </c>
      <c r="I177" s="13">
        <f>IF(B177="","",SUMIF(Оплаты!$A$6:$A$505,C177,Оплаты!$B$6:$B$505))</f>
        <v/>
      </c>
      <c r="J177" s="9">
        <f>IF(B177="","",IF(INDEX('По дням'!$E$2:$E$3662,MATCH(171,'По дням'!$G$2:$G$3662,0))=1,"да",""))</f>
        <v/>
      </c>
    </row>
    <row r="178">
      <c r="A178" s="9">
        <f>IF(B178="","",172)</f>
        <v/>
      </c>
      <c r="B178" s="12">
        <f>IFERROR(INDEX('По дням'!$A$2:$A$3662,MATCH(172,'По дням'!$G$2:$G$3662,0)),"")</f>
        <v/>
      </c>
      <c r="C178" s="12">
        <f>IF(B178="","",INDEX('По дням'!$A$2:$A$3662,MATCH(172,'По дням'!$G$2:$G$3662,0)+COUNTIF('По дням'!$G$2:$G$3662,172)-1))</f>
        <v/>
      </c>
      <c r="D178" s="9">
        <f>IF(B178="","",C178-B178+1)</f>
        <v/>
      </c>
      <c r="E178" s="13">
        <f>IF(B178="","",INDEX('По дням'!$D$2:$D$3662,MATCH(172,'По дням'!$G$2:$G$3662,0)))</f>
        <v/>
      </c>
      <c r="F178" s="9">
        <f>IF(B178="","",INDEX('По дням'!$B$2:$B$3662,MATCH(172,'По дням'!$G$2:$G$3662,0)))</f>
        <v/>
      </c>
      <c r="G178" s="9">
        <f>IF(B178="","",INDEX('По дням'!$C$2:$C$3662,MATCH(172,'По дням'!$G$2:$G$3662,0)))</f>
        <v/>
      </c>
      <c r="H178" s="13">
        <f>IF(OR(B178="",F178=""),"",IF(J178="да",0,ROUND(E178*F178/100*D178/G178,2)))</f>
        <v/>
      </c>
      <c r="I178" s="13">
        <f>IF(B178="","",SUMIF(Оплаты!$A$6:$A$505,C178,Оплаты!$B$6:$B$505))</f>
        <v/>
      </c>
      <c r="J178" s="9">
        <f>IF(B178="","",IF(INDEX('По дням'!$E$2:$E$3662,MATCH(172,'По дням'!$G$2:$G$3662,0))=1,"да",""))</f>
        <v/>
      </c>
    </row>
    <row r="179">
      <c r="A179" s="9">
        <f>IF(B179="","",173)</f>
        <v/>
      </c>
      <c r="B179" s="12">
        <f>IFERROR(INDEX('По дням'!$A$2:$A$3662,MATCH(173,'По дням'!$G$2:$G$3662,0)),"")</f>
        <v/>
      </c>
      <c r="C179" s="12">
        <f>IF(B179="","",INDEX('По дням'!$A$2:$A$3662,MATCH(173,'По дням'!$G$2:$G$3662,0)+COUNTIF('По дням'!$G$2:$G$3662,173)-1))</f>
        <v/>
      </c>
      <c r="D179" s="9">
        <f>IF(B179="","",C179-B179+1)</f>
        <v/>
      </c>
      <c r="E179" s="13">
        <f>IF(B179="","",INDEX('По дням'!$D$2:$D$3662,MATCH(173,'По дням'!$G$2:$G$3662,0)))</f>
        <v/>
      </c>
      <c r="F179" s="9">
        <f>IF(B179="","",INDEX('По дням'!$B$2:$B$3662,MATCH(173,'По дням'!$G$2:$G$3662,0)))</f>
        <v/>
      </c>
      <c r="G179" s="9">
        <f>IF(B179="","",INDEX('По дням'!$C$2:$C$3662,MATCH(173,'По дням'!$G$2:$G$3662,0)))</f>
        <v/>
      </c>
      <c r="H179" s="13">
        <f>IF(OR(B179="",F179=""),"",IF(J179="да",0,ROUND(E179*F179/100*D179/G179,2)))</f>
        <v/>
      </c>
      <c r="I179" s="13">
        <f>IF(B179="","",SUMIF(Оплаты!$A$6:$A$505,C179,Оплаты!$B$6:$B$505))</f>
        <v/>
      </c>
      <c r="J179" s="9">
        <f>IF(B179="","",IF(INDEX('По дням'!$E$2:$E$3662,MATCH(173,'По дням'!$G$2:$G$3662,0))=1,"да",""))</f>
        <v/>
      </c>
    </row>
    <row r="180">
      <c r="A180" s="9">
        <f>IF(B180="","",174)</f>
        <v/>
      </c>
      <c r="B180" s="12">
        <f>IFERROR(INDEX('По дням'!$A$2:$A$3662,MATCH(174,'По дням'!$G$2:$G$3662,0)),"")</f>
        <v/>
      </c>
      <c r="C180" s="12">
        <f>IF(B180="","",INDEX('По дням'!$A$2:$A$3662,MATCH(174,'По дням'!$G$2:$G$3662,0)+COUNTIF('По дням'!$G$2:$G$3662,174)-1))</f>
        <v/>
      </c>
      <c r="D180" s="9">
        <f>IF(B180="","",C180-B180+1)</f>
        <v/>
      </c>
      <c r="E180" s="13">
        <f>IF(B180="","",INDEX('По дням'!$D$2:$D$3662,MATCH(174,'По дням'!$G$2:$G$3662,0)))</f>
        <v/>
      </c>
      <c r="F180" s="9">
        <f>IF(B180="","",INDEX('По дням'!$B$2:$B$3662,MATCH(174,'По дням'!$G$2:$G$3662,0)))</f>
        <v/>
      </c>
      <c r="G180" s="9">
        <f>IF(B180="","",INDEX('По дням'!$C$2:$C$3662,MATCH(174,'По дням'!$G$2:$G$3662,0)))</f>
        <v/>
      </c>
      <c r="H180" s="13">
        <f>IF(OR(B180="",F180=""),"",IF(J180="да",0,ROUND(E180*F180/100*D180/G180,2)))</f>
        <v/>
      </c>
      <c r="I180" s="13">
        <f>IF(B180="","",SUMIF(Оплаты!$A$6:$A$505,C180,Оплаты!$B$6:$B$505))</f>
        <v/>
      </c>
      <c r="J180" s="9">
        <f>IF(B180="","",IF(INDEX('По дням'!$E$2:$E$3662,MATCH(174,'По дням'!$G$2:$G$3662,0))=1,"да",""))</f>
        <v/>
      </c>
    </row>
    <row r="181">
      <c r="A181" s="9">
        <f>IF(B181="","",175)</f>
        <v/>
      </c>
      <c r="B181" s="12">
        <f>IFERROR(INDEX('По дням'!$A$2:$A$3662,MATCH(175,'По дням'!$G$2:$G$3662,0)),"")</f>
        <v/>
      </c>
      <c r="C181" s="12">
        <f>IF(B181="","",INDEX('По дням'!$A$2:$A$3662,MATCH(175,'По дням'!$G$2:$G$3662,0)+COUNTIF('По дням'!$G$2:$G$3662,175)-1))</f>
        <v/>
      </c>
      <c r="D181" s="9">
        <f>IF(B181="","",C181-B181+1)</f>
        <v/>
      </c>
      <c r="E181" s="13">
        <f>IF(B181="","",INDEX('По дням'!$D$2:$D$3662,MATCH(175,'По дням'!$G$2:$G$3662,0)))</f>
        <v/>
      </c>
      <c r="F181" s="9">
        <f>IF(B181="","",INDEX('По дням'!$B$2:$B$3662,MATCH(175,'По дням'!$G$2:$G$3662,0)))</f>
        <v/>
      </c>
      <c r="G181" s="9">
        <f>IF(B181="","",INDEX('По дням'!$C$2:$C$3662,MATCH(175,'По дням'!$G$2:$G$3662,0)))</f>
        <v/>
      </c>
      <c r="H181" s="13">
        <f>IF(OR(B181="",F181=""),"",IF(J181="да",0,ROUND(E181*F181/100*D181/G181,2)))</f>
        <v/>
      </c>
      <c r="I181" s="13">
        <f>IF(B181="","",SUMIF(Оплаты!$A$6:$A$505,C181,Оплаты!$B$6:$B$505))</f>
        <v/>
      </c>
      <c r="J181" s="9">
        <f>IF(B181="","",IF(INDEX('По дням'!$E$2:$E$3662,MATCH(175,'По дням'!$G$2:$G$3662,0))=1,"да",""))</f>
        <v/>
      </c>
    </row>
    <row r="182">
      <c r="A182" s="9">
        <f>IF(B182="","",176)</f>
        <v/>
      </c>
      <c r="B182" s="12">
        <f>IFERROR(INDEX('По дням'!$A$2:$A$3662,MATCH(176,'По дням'!$G$2:$G$3662,0)),"")</f>
        <v/>
      </c>
      <c r="C182" s="12">
        <f>IF(B182="","",INDEX('По дням'!$A$2:$A$3662,MATCH(176,'По дням'!$G$2:$G$3662,0)+COUNTIF('По дням'!$G$2:$G$3662,176)-1))</f>
        <v/>
      </c>
      <c r="D182" s="9">
        <f>IF(B182="","",C182-B182+1)</f>
        <v/>
      </c>
      <c r="E182" s="13">
        <f>IF(B182="","",INDEX('По дням'!$D$2:$D$3662,MATCH(176,'По дням'!$G$2:$G$3662,0)))</f>
        <v/>
      </c>
      <c r="F182" s="9">
        <f>IF(B182="","",INDEX('По дням'!$B$2:$B$3662,MATCH(176,'По дням'!$G$2:$G$3662,0)))</f>
        <v/>
      </c>
      <c r="G182" s="9">
        <f>IF(B182="","",INDEX('По дням'!$C$2:$C$3662,MATCH(176,'По дням'!$G$2:$G$3662,0)))</f>
        <v/>
      </c>
      <c r="H182" s="13">
        <f>IF(OR(B182="",F182=""),"",IF(J182="да",0,ROUND(E182*F182/100*D182/G182,2)))</f>
        <v/>
      </c>
      <c r="I182" s="13">
        <f>IF(B182="","",SUMIF(Оплаты!$A$6:$A$505,C182,Оплаты!$B$6:$B$505))</f>
        <v/>
      </c>
      <c r="J182" s="9">
        <f>IF(B182="","",IF(INDEX('По дням'!$E$2:$E$3662,MATCH(176,'По дням'!$G$2:$G$3662,0))=1,"да",""))</f>
        <v/>
      </c>
    </row>
    <row r="183">
      <c r="A183" s="9">
        <f>IF(B183="","",177)</f>
        <v/>
      </c>
      <c r="B183" s="12">
        <f>IFERROR(INDEX('По дням'!$A$2:$A$3662,MATCH(177,'По дням'!$G$2:$G$3662,0)),"")</f>
        <v/>
      </c>
      <c r="C183" s="12">
        <f>IF(B183="","",INDEX('По дням'!$A$2:$A$3662,MATCH(177,'По дням'!$G$2:$G$3662,0)+COUNTIF('По дням'!$G$2:$G$3662,177)-1))</f>
        <v/>
      </c>
      <c r="D183" s="9">
        <f>IF(B183="","",C183-B183+1)</f>
        <v/>
      </c>
      <c r="E183" s="13">
        <f>IF(B183="","",INDEX('По дням'!$D$2:$D$3662,MATCH(177,'По дням'!$G$2:$G$3662,0)))</f>
        <v/>
      </c>
      <c r="F183" s="9">
        <f>IF(B183="","",INDEX('По дням'!$B$2:$B$3662,MATCH(177,'По дням'!$G$2:$G$3662,0)))</f>
        <v/>
      </c>
      <c r="G183" s="9">
        <f>IF(B183="","",INDEX('По дням'!$C$2:$C$3662,MATCH(177,'По дням'!$G$2:$G$3662,0)))</f>
        <v/>
      </c>
      <c r="H183" s="13">
        <f>IF(OR(B183="",F183=""),"",IF(J183="да",0,ROUND(E183*F183/100*D183/G183,2)))</f>
        <v/>
      </c>
      <c r="I183" s="13">
        <f>IF(B183="","",SUMIF(Оплаты!$A$6:$A$505,C183,Оплаты!$B$6:$B$505))</f>
        <v/>
      </c>
      <c r="J183" s="9">
        <f>IF(B183="","",IF(INDEX('По дням'!$E$2:$E$3662,MATCH(177,'По дням'!$G$2:$G$3662,0))=1,"да",""))</f>
        <v/>
      </c>
    </row>
    <row r="184">
      <c r="A184" s="9">
        <f>IF(B184="","",178)</f>
        <v/>
      </c>
      <c r="B184" s="12">
        <f>IFERROR(INDEX('По дням'!$A$2:$A$3662,MATCH(178,'По дням'!$G$2:$G$3662,0)),"")</f>
        <v/>
      </c>
      <c r="C184" s="12">
        <f>IF(B184="","",INDEX('По дням'!$A$2:$A$3662,MATCH(178,'По дням'!$G$2:$G$3662,0)+COUNTIF('По дням'!$G$2:$G$3662,178)-1))</f>
        <v/>
      </c>
      <c r="D184" s="9">
        <f>IF(B184="","",C184-B184+1)</f>
        <v/>
      </c>
      <c r="E184" s="13">
        <f>IF(B184="","",INDEX('По дням'!$D$2:$D$3662,MATCH(178,'По дням'!$G$2:$G$3662,0)))</f>
        <v/>
      </c>
      <c r="F184" s="9">
        <f>IF(B184="","",INDEX('По дням'!$B$2:$B$3662,MATCH(178,'По дням'!$G$2:$G$3662,0)))</f>
        <v/>
      </c>
      <c r="G184" s="9">
        <f>IF(B184="","",INDEX('По дням'!$C$2:$C$3662,MATCH(178,'По дням'!$G$2:$G$3662,0)))</f>
        <v/>
      </c>
      <c r="H184" s="13">
        <f>IF(OR(B184="",F184=""),"",IF(J184="да",0,ROUND(E184*F184/100*D184/G184,2)))</f>
        <v/>
      </c>
      <c r="I184" s="13">
        <f>IF(B184="","",SUMIF(Оплаты!$A$6:$A$505,C184,Оплаты!$B$6:$B$505))</f>
        <v/>
      </c>
      <c r="J184" s="9">
        <f>IF(B184="","",IF(INDEX('По дням'!$E$2:$E$3662,MATCH(178,'По дням'!$G$2:$G$3662,0))=1,"да",""))</f>
        <v/>
      </c>
    </row>
    <row r="185">
      <c r="A185" s="9">
        <f>IF(B185="","",179)</f>
        <v/>
      </c>
      <c r="B185" s="12">
        <f>IFERROR(INDEX('По дням'!$A$2:$A$3662,MATCH(179,'По дням'!$G$2:$G$3662,0)),"")</f>
        <v/>
      </c>
      <c r="C185" s="12">
        <f>IF(B185="","",INDEX('По дням'!$A$2:$A$3662,MATCH(179,'По дням'!$G$2:$G$3662,0)+COUNTIF('По дням'!$G$2:$G$3662,179)-1))</f>
        <v/>
      </c>
      <c r="D185" s="9">
        <f>IF(B185="","",C185-B185+1)</f>
        <v/>
      </c>
      <c r="E185" s="13">
        <f>IF(B185="","",INDEX('По дням'!$D$2:$D$3662,MATCH(179,'По дням'!$G$2:$G$3662,0)))</f>
        <v/>
      </c>
      <c r="F185" s="9">
        <f>IF(B185="","",INDEX('По дням'!$B$2:$B$3662,MATCH(179,'По дням'!$G$2:$G$3662,0)))</f>
        <v/>
      </c>
      <c r="G185" s="9">
        <f>IF(B185="","",INDEX('По дням'!$C$2:$C$3662,MATCH(179,'По дням'!$G$2:$G$3662,0)))</f>
        <v/>
      </c>
      <c r="H185" s="13">
        <f>IF(OR(B185="",F185=""),"",IF(J185="да",0,ROUND(E185*F185/100*D185/G185,2)))</f>
        <v/>
      </c>
      <c r="I185" s="13">
        <f>IF(B185="","",SUMIF(Оплаты!$A$6:$A$505,C185,Оплаты!$B$6:$B$505))</f>
        <v/>
      </c>
      <c r="J185" s="9">
        <f>IF(B185="","",IF(INDEX('По дням'!$E$2:$E$3662,MATCH(179,'По дням'!$G$2:$G$3662,0))=1,"да",""))</f>
        <v/>
      </c>
    </row>
    <row r="186">
      <c r="A186" s="9">
        <f>IF(B186="","",180)</f>
        <v/>
      </c>
      <c r="B186" s="12">
        <f>IFERROR(INDEX('По дням'!$A$2:$A$3662,MATCH(180,'По дням'!$G$2:$G$3662,0)),"")</f>
        <v/>
      </c>
      <c r="C186" s="12">
        <f>IF(B186="","",INDEX('По дням'!$A$2:$A$3662,MATCH(180,'По дням'!$G$2:$G$3662,0)+COUNTIF('По дням'!$G$2:$G$3662,180)-1))</f>
        <v/>
      </c>
      <c r="D186" s="9">
        <f>IF(B186="","",C186-B186+1)</f>
        <v/>
      </c>
      <c r="E186" s="13">
        <f>IF(B186="","",INDEX('По дням'!$D$2:$D$3662,MATCH(180,'По дням'!$G$2:$G$3662,0)))</f>
        <v/>
      </c>
      <c r="F186" s="9">
        <f>IF(B186="","",INDEX('По дням'!$B$2:$B$3662,MATCH(180,'По дням'!$G$2:$G$3662,0)))</f>
        <v/>
      </c>
      <c r="G186" s="9">
        <f>IF(B186="","",INDEX('По дням'!$C$2:$C$3662,MATCH(180,'По дням'!$G$2:$G$3662,0)))</f>
        <v/>
      </c>
      <c r="H186" s="13">
        <f>IF(OR(B186="",F186=""),"",IF(J186="да",0,ROUND(E186*F186/100*D186/G186,2)))</f>
        <v/>
      </c>
      <c r="I186" s="13">
        <f>IF(B186="","",SUMIF(Оплаты!$A$6:$A$505,C186,Оплаты!$B$6:$B$505))</f>
        <v/>
      </c>
      <c r="J186" s="9">
        <f>IF(B186="","",IF(INDEX('По дням'!$E$2:$E$3662,MATCH(180,'По дням'!$G$2:$G$3662,0))=1,"да",""))</f>
        <v/>
      </c>
    </row>
    <row r="187">
      <c r="A187" s="9">
        <f>IF(B187="","",181)</f>
        <v/>
      </c>
      <c r="B187" s="12">
        <f>IFERROR(INDEX('По дням'!$A$2:$A$3662,MATCH(181,'По дням'!$G$2:$G$3662,0)),"")</f>
        <v/>
      </c>
      <c r="C187" s="12">
        <f>IF(B187="","",INDEX('По дням'!$A$2:$A$3662,MATCH(181,'По дням'!$G$2:$G$3662,0)+COUNTIF('По дням'!$G$2:$G$3662,181)-1))</f>
        <v/>
      </c>
      <c r="D187" s="9">
        <f>IF(B187="","",C187-B187+1)</f>
        <v/>
      </c>
      <c r="E187" s="13">
        <f>IF(B187="","",INDEX('По дням'!$D$2:$D$3662,MATCH(181,'По дням'!$G$2:$G$3662,0)))</f>
        <v/>
      </c>
      <c r="F187" s="9">
        <f>IF(B187="","",INDEX('По дням'!$B$2:$B$3662,MATCH(181,'По дням'!$G$2:$G$3662,0)))</f>
        <v/>
      </c>
      <c r="G187" s="9">
        <f>IF(B187="","",INDEX('По дням'!$C$2:$C$3662,MATCH(181,'По дням'!$G$2:$G$3662,0)))</f>
        <v/>
      </c>
      <c r="H187" s="13">
        <f>IF(OR(B187="",F187=""),"",IF(J187="да",0,ROUND(E187*F187/100*D187/G187,2)))</f>
        <v/>
      </c>
      <c r="I187" s="13">
        <f>IF(B187="","",SUMIF(Оплаты!$A$6:$A$505,C187,Оплаты!$B$6:$B$505))</f>
        <v/>
      </c>
      <c r="J187" s="9">
        <f>IF(B187="","",IF(INDEX('По дням'!$E$2:$E$3662,MATCH(181,'По дням'!$G$2:$G$3662,0))=1,"да",""))</f>
        <v/>
      </c>
    </row>
    <row r="188">
      <c r="A188" s="9">
        <f>IF(B188="","",182)</f>
        <v/>
      </c>
      <c r="B188" s="12">
        <f>IFERROR(INDEX('По дням'!$A$2:$A$3662,MATCH(182,'По дням'!$G$2:$G$3662,0)),"")</f>
        <v/>
      </c>
      <c r="C188" s="12">
        <f>IF(B188="","",INDEX('По дням'!$A$2:$A$3662,MATCH(182,'По дням'!$G$2:$G$3662,0)+COUNTIF('По дням'!$G$2:$G$3662,182)-1))</f>
        <v/>
      </c>
      <c r="D188" s="9">
        <f>IF(B188="","",C188-B188+1)</f>
        <v/>
      </c>
      <c r="E188" s="13">
        <f>IF(B188="","",INDEX('По дням'!$D$2:$D$3662,MATCH(182,'По дням'!$G$2:$G$3662,0)))</f>
        <v/>
      </c>
      <c r="F188" s="9">
        <f>IF(B188="","",INDEX('По дням'!$B$2:$B$3662,MATCH(182,'По дням'!$G$2:$G$3662,0)))</f>
        <v/>
      </c>
      <c r="G188" s="9">
        <f>IF(B188="","",INDEX('По дням'!$C$2:$C$3662,MATCH(182,'По дням'!$G$2:$G$3662,0)))</f>
        <v/>
      </c>
      <c r="H188" s="13">
        <f>IF(OR(B188="",F188=""),"",IF(J188="да",0,ROUND(E188*F188/100*D188/G188,2)))</f>
        <v/>
      </c>
      <c r="I188" s="13">
        <f>IF(B188="","",SUMIF(Оплаты!$A$6:$A$505,C188,Оплаты!$B$6:$B$505))</f>
        <v/>
      </c>
      <c r="J188" s="9">
        <f>IF(B188="","",IF(INDEX('По дням'!$E$2:$E$3662,MATCH(182,'По дням'!$G$2:$G$3662,0))=1,"да",""))</f>
        <v/>
      </c>
    </row>
    <row r="189">
      <c r="A189" s="9">
        <f>IF(B189="","",183)</f>
        <v/>
      </c>
      <c r="B189" s="12">
        <f>IFERROR(INDEX('По дням'!$A$2:$A$3662,MATCH(183,'По дням'!$G$2:$G$3662,0)),"")</f>
        <v/>
      </c>
      <c r="C189" s="12">
        <f>IF(B189="","",INDEX('По дням'!$A$2:$A$3662,MATCH(183,'По дням'!$G$2:$G$3662,0)+COUNTIF('По дням'!$G$2:$G$3662,183)-1))</f>
        <v/>
      </c>
      <c r="D189" s="9">
        <f>IF(B189="","",C189-B189+1)</f>
        <v/>
      </c>
      <c r="E189" s="13">
        <f>IF(B189="","",INDEX('По дням'!$D$2:$D$3662,MATCH(183,'По дням'!$G$2:$G$3662,0)))</f>
        <v/>
      </c>
      <c r="F189" s="9">
        <f>IF(B189="","",INDEX('По дням'!$B$2:$B$3662,MATCH(183,'По дням'!$G$2:$G$3662,0)))</f>
        <v/>
      </c>
      <c r="G189" s="9">
        <f>IF(B189="","",INDEX('По дням'!$C$2:$C$3662,MATCH(183,'По дням'!$G$2:$G$3662,0)))</f>
        <v/>
      </c>
      <c r="H189" s="13">
        <f>IF(OR(B189="",F189=""),"",IF(J189="да",0,ROUND(E189*F189/100*D189/G189,2)))</f>
        <v/>
      </c>
      <c r="I189" s="13">
        <f>IF(B189="","",SUMIF(Оплаты!$A$6:$A$505,C189,Оплаты!$B$6:$B$505))</f>
        <v/>
      </c>
      <c r="J189" s="9">
        <f>IF(B189="","",IF(INDEX('По дням'!$E$2:$E$3662,MATCH(183,'По дням'!$G$2:$G$3662,0))=1,"да",""))</f>
        <v/>
      </c>
    </row>
    <row r="190">
      <c r="A190" s="9">
        <f>IF(B190="","",184)</f>
        <v/>
      </c>
      <c r="B190" s="12">
        <f>IFERROR(INDEX('По дням'!$A$2:$A$3662,MATCH(184,'По дням'!$G$2:$G$3662,0)),"")</f>
        <v/>
      </c>
      <c r="C190" s="12">
        <f>IF(B190="","",INDEX('По дням'!$A$2:$A$3662,MATCH(184,'По дням'!$G$2:$G$3662,0)+COUNTIF('По дням'!$G$2:$G$3662,184)-1))</f>
        <v/>
      </c>
      <c r="D190" s="9">
        <f>IF(B190="","",C190-B190+1)</f>
        <v/>
      </c>
      <c r="E190" s="13">
        <f>IF(B190="","",INDEX('По дням'!$D$2:$D$3662,MATCH(184,'По дням'!$G$2:$G$3662,0)))</f>
        <v/>
      </c>
      <c r="F190" s="9">
        <f>IF(B190="","",INDEX('По дням'!$B$2:$B$3662,MATCH(184,'По дням'!$G$2:$G$3662,0)))</f>
        <v/>
      </c>
      <c r="G190" s="9">
        <f>IF(B190="","",INDEX('По дням'!$C$2:$C$3662,MATCH(184,'По дням'!$G$2:$G$3662,0)))</f>
        <v/>
      </c>
      <c r="H190" s="13">
        <f>IF(OR(B190="",F190=""),"",IF(J190="да",0,ROUND(E190*F190/100*D190/G190,2)))</f>
        <v/>
      </c>
      <c r="I190" s="13">
        <f>IF(B190="","",SUMIF(Оплаты!$A$6:$A$505,C190,Оплаты!$B$6:$B$505))</f>
        <v/>
      </c>
      <c r="J190" s="9">
        <f>IF(B190="","",IF(INDEX('По дням'!$E$2:$E$3662,MATCH(184,'По дням'!$G$2:$G$3662,0))=1,"да",""))</f>
        <v/>
      </c>
    </row>
    <row r="191">
      <c r="A191" s="9">
        <f>IF(B191="","",185)</f>
        <v/>
      </c>
      <c r="B191" s="12">
        <f>IFERROR(INDEX('По дням'!$A$2:$A$3662,MATCH(185,'По дням'!$G$2:$G$3662,0)),"")</f>
        <v/>
      </c>
      <c r="C191" s="12">
        <f>IF(B191="","",INDEX('По дням'!$A$2:$A$3662,MATCH(185,'По дням'!$G$2:$G$3662,0)+COUNTIF('По дням'!$G$2:$G$3662,185)-1))</f>
        <v/>
      </c>
      <c r="D191" s="9">
        <f>IF(B191="","",C191-B191+1)</f>
        <v/>
      </c>
      <c r="E191" s="13">
        <f>IF(B191="","",INDEX('По дням'!$D$2:$D$3662,MATCH(185,'По дням'!$G$2:$G$3662,0)))</f>
        <v/>
      </c>
      <c r="F191" s="9">
        <f>IF(B191="","",INDEX('По дням'!$B$2:$B$3662,MATCH(185,'По дням'!$G$2:$G$3662,0)))</f>
        <v/>
      </c>
      <c r="G191" s="9">
        <f>IF(B191="","",INDEX('По дням'!$C$2:$C$3662,MATCH(185,'По дням'!$G$2:$G$3662,0)))</f>
        <v/>
      </c>
      <c r="H191" s="13">
        <f>IF(OR(B191="",F191=""),"",IF(J191="да",0,ROUND(E191*F191/100*D191/G191,2)))</f>
        <v/>
      </c>
      <c r="I191" s="13">
        <f>IF(B191="","",SUMIF(Оплаты!$A$6:$A$505,C191,Оплаты!$B$6:$B$505))</f>
        <v/>
      </c>
      <c r="J191" s="9">
        <f>IF(B191="","",IF(INDEX('По дням'!$E$2:$E$3662,MATCH(185,'По дням'!$G$2:$G$3662,0))=1,"да",""))</f>
        <v/>
      </c>
    </row>
    <row r="192">
      <c r="A192" s="9">
        <f>IF(B192="","",186)</f>
        <v/>
      </c>
      <c r="B192" s="12">
        <f>IFERROR(INDEX('По дням'!$A$2:$A$3662,MATCH(186,'По дням'!$G$2:$G$3662,0)),"")</f>
        <v/>
      </c>
      <c r="C192" s="12">
        <f>IF(B192="","",INDEX('По дням'!$A$2:$A$3662,MATCH(186,'По дням'!$G$2:$G$3662,0)+COUNTIF('По дням'!$G$2:$G$3662,186)-1))</f>
        <v/>
      </c>
      <c r="D192" s="9">
        <f>IF(B192="","",C192-B192+1)</f>
        <v/>
      </c>
      <c r="E192" s="13">
        <f>IF(B192="","",INDEX('По дням'!$D$2:$D$3662,MATCH(186,'По дням'!$G$2:$G$3662,0)))</f>
        <v/>
      </c>
      <c r="F192" s="9">
        <f>IF(B192="","",INDEX('По дням'!$B$2:$B$3662,MATCH(186,'По дням'!$G$2:$G$3662,0)))</f>
        <v/>
      </c>
      <c r="G192" s="9">
        <f>IF(B192="","",INDEX('По дням'!$C$2:$C$3662,MATCH(186,'По дням'!$G$2:$G$3662,0)))</f>
        <v/>
      </c>
      <c r="H192" s="13">
        <f>IF(OR(B192="",F192=""),"",IF(J192="да",0,ROUND(E192*F192/100*D192/G192,2)))</f>
        <v/>
      </c>
      <c r="I192" s="13">
        <f>IF(B192="","",SUMIF(Оплаты!$A$6:$A$505,C192,Оплаты!$B$6:$B$505))</f>
        <v/>
      </c>
      <c r="J192" s="9">
        <f>IF(B192="","",IF(INDEX('По дням'!$E$2:$E$3662,MATCH(186,'По дням'!$G$2:$G$3662,0))=1,"да",""))</f>
        <v/>
      </c>
    </row>
    <row r="193">
      <c r="A193" s="9">
        <f>IF(B193="","",187)</f>
        <v/>
      </c>
      <c r="B193" s="12">
        <f>IFERROR(INDEX('По дням'!$A$2:$A$3662,MATCH(187,'По дням'!$G$2:$G$3662,0)),"")</f>
        <v/>
      </c>
      <c r="C193" s="12">
        <f>IF(B193="","",INDEX('По дням'!$A$2:$A$3662,MATCH(187,'По дням'!$G$2:$G$3662,0)+COUNTIF('По дням'!$G$2:$G$3662,187)-1))</f>
        <v/>
      </c>
      <c r="D193" s="9">
        <f>IF(B193="","",C193-B193+1)</f>
        <v/>
      </c>
      <c r="E193" s="13">
        <f>IF(B193="","",INDEX('По дням'!$D$2:$D$3662,MATCH(187,'По дням'!$G$2:$G$3662,0)))</f>
        <v/>
      </c>
      <c r="F193" s="9">
        <f>IF(B193="","",INDEX('По дням'!$B$2:$B$3662,MATCH(187,'По дням'!$G$2:$G$3662,0)))</f>
        <v/>
      </c>
      <c r="G193" s="9">
        <f>IF(B193="","",INDEX('По дням'!$C$2:$C$3662,MATCH(187,'По дням'!$G$2:$G$3662,0)))</f>
        <v/>
      </c>
      <c r="H193" s="13">
        <f>IF(OR(B193="",F193=""),"",IF(J193="да",0,ROUND(E193*F193/100*D193/G193,2)))</f>
        <v/>
      </c>
      <c r="I193" s="13">
        <f>IF(B193="","",SUMIF(Оплаты!$A$6:$A$505,C193,Оплаты!$B$6:$B$505))</f>
        <v/>
      </c>
      <c r="J193" s="9">
        <f>IF(B193="","",IF(INDEX('По дням'!$E$2:$E$3662,MATCH(187,'По дням'!$G$2:$G$3662,0))=1,"да",""))</f>
        <v/>
      </c>
    </row>
    <row r="194">
      <c r="A194" s="9">
        <f>IF(B194="","",188)</f>
        <v/>
      </c>
      <c r="B194" s="12">
        <f>IFERROR(INDEX('По дням'!$A$2:$A$3662,MATCH(188,'По дням'!$G$2:$G$3662,0)),"")</f>
        <v/>
      </c>
      <c r="C194" s="12">
        <f>IF(B194="","",INDEX('По дням'!$A$2:$A$3662,MATCH(188,'По дням'!$G$2:$G$3662,0)+COUNTIF('По дням'!$G$2:$G$3662,188)-1))</f>
        <v/>
      </c>
      <c r="D194" s="9">
        <f>IF(B194="","",C194-B194+1)</f>
        <v/>
      </c>
      <c r="E194" s="13">
        <f>IF(B194="","",INDEX('По дням'!$D$2:$D$3662,MATCH(188,'По дням'!$G$2:$G$3662,0)))</f>
        <v/>
      </c>
      <c r="F194" s="9">
        <f>IF(B194="","",INDEX('По дням'!$B$2:$B$3662,MATCH(188,'По дням'!$G$2:$G$3662,0)))</f>
        <v/>
      </c>
      <c r="G194" s="9">
        <f>IF(B194="","",INDEX('По дням'!$C$2:$C$3662,MATCH(188,'По дням'!$G$2:$G$3662,0)))</f>
        <v/>
      </c>
      <c r="H194" s="13">
        <f>IF(OR(B194="",F194=""),"",IF(J194="да",0,ROUND(E194*F194/100*D194/G194,2)))</f>
        <v/>
      </c>
      <c r="I194" s="13">
        <f>IF(B194="","",SUMIF(Оплаты!$A$6:$A$505,C194,Оплаты!$B$6:$B$505))</f>
        <v/>
      </c>
      <c r="J194" s="9">
        <f>IF(B194="","",IF(INDEX('По дням'!$E$2:$E$3662,MATCH(188,'По дням'!$G$2:$G$3662,0))=1,"да",""))</f>
        <v/>
      </c>
    </row>
    <row r="195">
      <c r="A195" s="9">
        <f>IF(B195="","",189)</f>
        <v/>
      </c>
      <c r="B195" s="12">
        <f>IFERROR(INDEX('По дням'!$A$2:$A$3662,MATCH(189,'По дням'!$G$2:$G$3662,0)),"")</f>
        <v/>
      </c>
      <c r="C195" s="12">
        <f>IF(B195="","",INDEX('По дням'!$A$2:$A$3662,MATCH(189,'По дням'!$G$2:$G$3662,0)+COUNTIF('По дням'!$G$2:$G$3662,189)-1))</f>
        <v/>
      </c>
      <c r="D195" s="9">
        <f>IF(B195="","",C195-B195+1)</f>
        <v/>
      </c>
      <c r="E195" s="13">
        <f>IF(B195="","",INDEX('По дням'!$D$2:$D$3662,MATCH(189,'По дням'!$G$2:$G$3662,0)))</f>
        <v/>
      </c>
      <c r="F195" s="9">
        <f>IF(B195="","",INDEX('По дням'!$B$2:$B$3662,MATCH(189,'По дням'!$G$2:$G$3662,0)))</f>
        <v/>
      </c>
      <c r="G195" s="9">
        <f>IF(B195="","",INDEX('По дням'!$C$2:$C$3662,MATCH(189,'По дням'!$G$2:$G$3662,0)))</f>
        <v/>
      </c>
      <c r="H195" s="13">
        <f>IF(OR(B195="",F195=""),"",IF(J195="да",0,ROUND(E195*F195/100*D195/G195,2)))</f>
        <v/>
      </c>
      <c r="I195" s="13">
        <f>IF(B195="","",SUMIF(Оплаты!$A$6:$A$505,C195,Оплаты!$B$6:$B$505))</f>
        <v/>
      </c>
      <c r="J195" s="9">
        <f>IF(B195="","",IF(INDEX('По дням'!$E$2:$E$3662,MATCH(189,'По дням'!$G$2:$G$3662,0))=1,"да",""))</f>
        <v/>
      </c>
    </row>
    <row r="196">
      <c r="A196" s="9">
        <f>IF(B196="","",190)</f>
        <v/>
      </c>
      <c r="B196" s="12">
        <f>IFERROR(INDEX('По дням'!$A$2:$A$3662,MATCH(190,'По дням'!$G$2:$G$3662,0)),"")</f>
        <v/>
      </c>
      <c r="C196" s="12">
        <f>IF(B196="","",INDEX('По дням'!$A$2:$A$3662,MATCH(190,'По дням'!$G$2:$G$3662,0)+COUNTIF('По дням'!$G$2:$G$3662,190)-1))</f>
        <v/>
      </c>
      <c r="D196" s="9">
        <f>IF(B196="","",C196-B196+1)</f>
        <v/>
      </c>
      <c r="E196" s="13">
        <f>IF(B196="","",INDEX('По дням'!$D$2:$D$3662,MATCH(190,'По дням'!$G$2:$G$3662,0)))</f>
        <v/>
      </c>
      <c r="F196" s="9">
        <f>IF(B196="","",INDEX('По дням'!$B$2:$B$3662,MATCH(190,'По дням'!$G$2:$G$3662,0)))</f>
        <v/>
      </c>
      <c r="G196" s="9">
        <f>IF(B196="","",INDEX('По дням'!$C$2:$C$3662,MATCH(190,'По дням'!$G$2:$G$3662,0)))</f>
        <v/>
      </c>
      <c r="H196" s="13">
        <f>IF(OR(B196="",F196=""),"",IF(J196="да",0,ROUND(E196*F196/100*D196/G196,2)))</f>
        <v/>
      </c>
      <c r="I196" s="13">
        <f>IF(B196="","",SUMIF(Оплаты!$A$6:$A$505,C196,Оплаты!$B$6:$B$505))</f>
        <v/>
      </c>
      <c r="J196" s="9">
        <f>IF(B196="","",IF(INDEX('По дням'!$E$2:$E$3662,MATCH(190,'По дням'!$G$2:$G$3662,0))=1,"да",""))</f>
        <v/>
      </c>
    </row>
    <row r="197">
      <c r="A197" s="9">
        <f>IF(B197="","",191)</f>
        <v/>
      </c>
      <c r="B197" s="12">
        <f>IFERROR(INDEX('По дням'!$A$2:$A$3662,MATCH(191,'По дням'!$G$2:$G$3662,0)),"")</f>
        <v/>
      </c>
      <c r="C197" s="12">
        <f>IF(B197="","",INDEX('По дням'!$A$2:$A$3662,MATCH(191,'По дням'!$G$2:$G$3662,0)+COUNTIF('По дням'!$G$2:$G$3662,191)-1))</f>
        <v/>
      </c>
      <c r="D197" s="9">
        <f>IF(B197="","",C197-B197+1)</f>
        <v/>
      </c>
      <c r="E197" s="13">
        <f>IF(B197="","",INDEX('По дням'!$D$2:$D$3662,MATCH(191,'По дням'!$G$2:$G$3662,0)))</f>
        <v/>
      </c>
      <c r="F197" s="9">
        <f>IF(B197="","",INDEX('По дням'!$B$2:$B$3662,MATCH(191,'По дням'!$G$2:$G$3662,0)))</f>
        <v/>
      </c>
      <c r="G197" s="9">
        <f>IF(B197="","",INDEX('По дням'!$C$2:$C$3662,MATCH(191,'По дням'!$G$2:$G$3662,0)))</f>
        <v/>
      </c>
      <c r="H197" s="13">
        <f>IF(OR(B197="",F197=""),"",IF(J197="да",0,ROUND(E197*F197/100*D197/G197,2)))</f>
        <v/>
      </c>
      <c r="I197" s="13">
        <f>IF(B197="","",SUMIF(Оплаты!$A$6:$A$505,C197,Оплаты!$B$6:$B$505))</f>
        <v/>
      </c>
      <c r="J197" s="9">
        <f>IF(B197="","",IF(INDEX('По дням'!$E$2:$E$3662,MATCH(191,'По дням'!$G$2:$G$3662,0))=1,"да",""))</f>
        <v/>
      </c>
    </row>
    <row r="198">
      <c r="A198" s="9">
        <f>IF(B198="","",192)</f>
        <v/>
      </c>
      <c r="B198" s="12">
        <f>IFERROR(INDEX('По дням'!$A$2:$A$3662,MATCH(192,'По дням'!$G$2:$G$3662,0)),"")</f>
        <v/>
      </c>
      <c r="C198" s="12">
        <f>IF(B198="","",INDEX('По дням'!$A$2:$A$3662,MATCH(192,'По дням'!$G$2:$G$3662,0)+COUNTIF('По дням'!$G$2:$G$3662,192)-1))</f>
        <v/>
      </c>
      <c r="D198" s="9">
        <f>IF(B198="","",C198-B198+1)</f>
        <v/>
      </c>
      <c r="E198" s="13">
        <f>IF(B198="","",INDEX('По дням'!$D$2:$D$3662,MATCH(192,'По дням'!$G$2:$G$3662,0)))</f>
        <v/>
      </c>
      <c r="F198" s="9">
        <f>IF(B198="","",INDEX('По дням'!$B$2:$B$3662,MATCH(192,'По дням'!$G$2:$G$3662,0)))</f>
        <v/>
      </c>
      <c r="G198" s="9">
        <f>IF(B198="","",INDEX('По дням'!$C$2:$C$3662,MATCH(192,'По дням'!$G$2:$G$3662,0)))</f>
        <v/>
      </c>
      <c r="H198" s="13">
        <f>IF(OR(B198="",F198=""),"",IF(J198="да",0,ROUND(E198*F198/100*D198/G198,2)))</f>
        <v/>
      </c>
      <c r="I198" s="13">
        <f>IF(B198="","",SUMIF(Оплаты!$A$6:$A$505,C198,Оплаты!$B$6:$B$505))</f>
        <v/>
      </c>
      <c r="J198" s="9">
        <f>IF(B198="","",IF(INDEX('По дням'!$E$2:$E$3662,MATCH(192,'По дням'!$G$2:$G$3662,0))=1,"да",""))</f>
        <v/>
      </c>
    </row>
    <row r="199">
      <c r="A199" s="9">
        <f>IF(B199="","",193)</f>
        <v/>
      </c>
      <c r="B199" s="12">
        <f>IFERROR(INDEX('По дням'!$A$2:$A$3662,MATCH(193,'По дням'!$G$2:$G$3662,0)),"")</f>
        <v/>
      </c>
      <c r="C199" s="12">
        <f>IF(B199="","",INDEX('По дням'!$A$2:$A$3662,MATCH(193,'По дням'!$G$2:$G$3662,0)+COUNTIF('По дням'!$G$2:$G$3662,193)-1))</f>
        <v/>
      </c>
      <c r="D199" s="9">
        <f>IF(B199="","",C199-B199+1)</f>
        <v/>
      </c>
      <c r="E199" s="13">
        <f>IF(B199="","",INDEX('По дням'!$D$2:$D$3662,MATCH(193,'По дням'!$G$2:$G$3662,0)))</f>
        <v/>
      </c>
      <c r="F199" s="9">
        <f>IF(B199="","",INDEX('По дням'!$B$2:$B$3662,MATCH(193,'По дням'!$G$2:$G$3662,0)))</f>
        <v/>
      </c>
      <c r="G199" s="9">
        <f>IF(B199="","",INDEX('По дням'!$C$2:$C$3662,MATCH(193,'По дням'!$G$2:$G$3662,0)))</f>
        <v/>
      </c>
      <c r="H199" s="13">
        <f>IF(OR(B199="",F199=""),"",IF(J199="да",0,ROUND(E199*F199/100*D199/G199,2)))</f>
        <v/>
      </c>
      <c r="I199" s="13">
        <f>IF(B199="","",SUMIF(Оплаты!$A$6:$A$505,C199,Оплаты!$B$6:$B$505))</f>
        <v/>
      </c>
      <c r="J199" s="9">
        <f>IF(B199="","",IF(INDEX('По дням'!$E$2:$E$3662,MATCH(193,'По дням'!$G$2:$G$3662,0))=1,"да",""))</f>
        <v/>
      </c>
    </row>
    <row r="200">
      <c r="A200" s="9">
        <f>IF(B200="","",194)</f>
        <v/>
      </c>
      <c r="B200" s="12">
        <f>IFERROR(INDEX('По дням'!$A$2:$A$3662,MATCH(194,'По дням'!$G$2:$G$3662,0)),"")</f>
        <v/>
      </c>
      <c r="C200" s="12">
        <f>IF(B200="","",INDEX('По дням'!$A$2:$A$3662,MATCH(194,'По дням'!$G$2:$G$3662,0)+COUNTIF('По дням'!$G$2:$G$3662,194)-1))</f>
        <v/>
      </c>
      <c r="D200" s="9">
        <f>IF(B200="","",C200-B200+1)</f>
        <v/>
      </c>
      <c r="E200" s="13">
        <f>IF(B200="","",INDEX('По дням'!$D$2:$D$3662,MATCH(194,'По дням'!$G$2:$G$3662,0)))</f>
        <v/>
      </c>
      <c r="F200" s="9">
        <f>IF(B200="","",INDEX('По дням'!$B$2:$B$3662,MATCH(194,'По дням'!$G$2:$G$3662,0)))</f>
        <v/>
      </c>
      <c r="G200" s="9">
        <f>IF(B200="","",INDEX('По дням'!$C$2:$C$3662,MATCH(194,'По дням'!$G$2:$G$3662,0)))</f>
        <v/>
      </c>
      <c r="H200" s="13">
        <f>IF(OR(B200="",F200=""),"",IF(J200="да",0,ROUND(E200*F200/100*D200/G200,2)))</f>
        <v/>
      </c>
      <c r="I200" s="13">
        <f>IF(B200="","",SUMIF(Оплаты!$A$6:$A$505,C200,Оплаты!$B$6:$B$505))</f>
        <v/>
      </c>
      <c r="J200" s="9">
        <f>IF(B200="","",IF(INDEX('По дням'!$E$2:$E$3662,MATCH(194,'По дням'!$G$2:$G$3662,0))=1,"да",""))</f>
        <v/>
      </c>
    </row>
    <row r="201">
      <c r="A201" s="9">
        <f>IF(B201="","",195)</f>
        <v/>
      </c>
      <c r="B201" s="12">
        <f>IFERROR(INDEX('По дням'!$A$2:$A$3662,MATCH(195,'По дням'!$G$2:$G$3662,0)),"")</f>
        <v/>
      </c>
      <c r="C201" s="12">
        <f>IF(B201="","",INDEX('По дням'!$A$2:$A$3662,MATCH(195,'По дням'!$G$2:$G$3662,0)+COUNTIF('По дням'!$G$2:$G$3662,195)-1))</f>
        <v/>
      </c>
      <c r="D201" s="9">
        <f>IF(B201="","",C201-B201+1)</f>
        <v/>
      </c>
      <c r="E201" s="13">
        <f>IF(B201="","",INDEX('По дням'!$D$2:$D$3662,MATCH(195,'По дням'!$G$2:$G$3662,0)))</f>
        <v/>
      </c>
      <c r="F201" s="9">
        <f>IF(B201="","",INDEX('По дням'!$B$2:$B$3662,MATCH(195,'По дням'!$G$2:$G$3662,0)))</f>
        <v/>
      </c>
      <c r="G201" s="9">
        <f>IF(B201="","",INDEX('По дням'!$C$2:$C$3662,MATCH(195,'По дням'!$G$2:$G$3662,0)))</f>
        <v/>
      </c>
      <c r="H201" s="13">
        <f>IF(OR(B201="",F201=""),"",IF(J201="да",0,ROUND(E201*F201/100*D201/G201,2)))</f>
        <v/>
      </c>
      <c r="I201" s="13">
        <f>IF(B201="","",SUMIF(Оплаты!$A$6:$A$505,C201,Оплаты!$B$6:$B$505))</f>
        <v/>
      </c>
      <c r="J201" s="9">
        <f>IF(B201="","",IF(INDEX('По дням'!$E$2:$E$3662,MATCH(195,'По дням'!$G$2:$G$3662,0))=1,"да",""))</f>
        <v/>
      </c>
    </row>
    <row r="202">
      <c r="A202" s="9">
        <f>IF(B202="","",196)</f>
        <v/>
      </c>
      <c r="B202" s="12">
        <f>IFERROR(INDEX('По дням'!$A$2:$A$3662,MATCH(196,'По дням'!$G$2:$G$3662,0)),"")</f>
        <v/>
      </c>
      <c r="C202" s="12">
        <f>IF(B202="","",INDEX('По дням'!$A$2:$A$3662,MATCH(196,'По дням'!$G$2:$G$3662,0)+COUNTIF('По дням'!$G$2:$G$3662,196)-1))</f>
        <v/>
      </c>
      <c r="D202" s="9">
        <f>IF(B202="","",C202-B202+1)</f>
        <v/>
      </c>
      <c r="E202" s="13">
        <f>IF(B202="","",INDEX('По дням'!$D$2:$D$3662,MATCH(196,'По дням'!$G$2:$G$3662,0)))</f>
        <v/>
      </c>
      <c r="F202" s="9">
        <f>IF(B202="","",INDEX('По дням'!$B$2:$B$3662,MATCH(196,'По дням'!$G$2:$G$3662,0)))</f>
        <v/>
      </c>
      <c r="G202" s="9">
        <f>IF(B202="","",INDEX('По дням'!$C$2:$C$3662,MATCH(196,'По дням'!$G$2:$G$3662,0)))</f>
        <v/>
      </c>
      <c r="H202" s="13">
        <f>IF(OR(B202="",F202=""),"",IF(J202="да",0,ROUND(E202*F202/100*D202/G202,2)))</f>
        <v/>
      </c>
      <c r="I202" s="13">
        <f>IF(B202="","",SUMIF(Оплаты!$A$6:$A$505,C202,Оплаты!$B$6:$B$505))</f>
        <v/>
      </c>
      <c r="J202" s="9">
        <f>IF(B202="","",IF(INDEX('По дням'!$E$2:$E$3662,MATCH(196,'По дням'!$G$2:$G$3662,0))=1,"да",""))</f>
        <v/>
      </c>
    </row>
    <row r="203">
      <c r="A203" s="9">
        <f>IF(B203="","",197)</f>
        <v/>
      </c>
      <c r="B203" s="12">
        <f>IFERROR(INDEX('По дням'!$A$2:$A$3662,MATCH(197,'По дням'!$G$2:$G$3662,0)),"")</f>
        <v/>
      </c>
      <c r="C203" s="12">
        <f>IF(B203="","",INDEX('По дням'!$A$2:$A$3662,MATCH(197,'По дням'!$G$2:$G$3662,0)+COUNTIF('По дням'!$G$2:$G$3662,197)-1))</f>
        <v/>
      </c>
      <c r="D203" s="9">
        <f>IF(B203="","",C203-B203+1)</f>
        <v/>
      </c>
      <c r="E203" s="13">
        <f>IF(B203="","",INDEX('По дням'!$D$2:$D$3662,MATCH(197,'По дням'!$G$2:$G$3662,0)))</f>
        <v/>
      </c>
      <c r="F203" s="9">
        <f>IF(B203="","",INDEX('По дням'!$B$2:$B$3662,MATCH(197,'По дням'!$G$2:$G$3662,0)))</f>
        <v/>
      </c>
      <c r="G203" s="9">
        <f>IF(B203="","",INDEX('По дням'!$C$2:$C$3662,MATCH(197,'По дням'!$G$2:$G$3662,0)))</f>
        <v/>
      </c>
      <c r="H203" s="13">
        <f>IF(OR(B203="",F203=""),"",IF(J203="да",0,ROUND(E203*F203/100*D203/G203,2)))</f>
        <v/>
      </c>
      <c r="I203" s="13">
        <f>IF(B203="","",SUMIF(Оплаты!$A$6:$A$505,C203,Оплаты!$B$6:$B$505))</f>
        <v/>
      </c>
      <c r="J203" s="9">
        <f>IF(B203="","",IF(INDEX('По дням'!$E$2:$E$3662,MATCH(197,'По дням'!$G$2:$G$3662,0))=1,"да",""))</f>
        <v/>
      </c>
    </row>
    <row r="204">
      <c r="A204" s="9">
        <f>IF(B204="","",198)</f>
        <v/>
      </c>
      <c r="B204" s="12">
        <f>IFERROR(INDEX('По дням'!$A$2:$A$3662,MATCH(198,'По дням'!$G$2:$G$3662,0)),"")</f>
        <v/>
      </c>
      <c r="C204" s="12">
        <f>IF(B204="","",INDEX('По дням'!$A$2:$A$3662,MATCH(198,'По дням'!$G$2:$G$3662,0)+COUNTIF('По дням'!$G$2:$G$3662,198)-1))</f>
        <v/>
      </c>
      <c r="D204" s="9">
        <f>IF(B204="","",C204-B204+1)</f>
        <v/>
      </c>
      <c r="E204" s="13">
        <f>IF(B204="","",INDEX('По дням'!$D$2:$D$3662,MATCH(198,'По дням'!$G$2:$G$3662,0)))</f>
        <v/>
      </c>
      <c r="F204" s="9">
        <f>IF(B204="","",INDEX('По дням'!$B$2:$B$3662,MATCH(198,'По дням'!$G$2:$G$3662,0)))</f>
        <v/>
      </c>
      <c r="G204" s="9">
        <f>IF(B204="","",INDEX('По дням'!$C$2:$C$3662,MATCH(198,'По дням'!$G$2:$G$3662,0)))</f>
        <v/>
      </c>
      <c r="H204" s="13">
        <f>IF(OR(B204="",F204=""),"",IF(J204="да",0,ROUND(E204*F204/100*D204/G204,2)))</f>
        <v/>
      </c>
      <c r="I204" s="13">
        <f>IF(B204="","",SUMIF(Оплаты!$A$6:$A$505,C204,Оплаты!$B$6:$B$505))</f>
        <v/>
      </c>
      <c r="J204" s="9">
        <f>IF(B204="","",IF(INDEX('По дням'!$E$2:$E$3662,MATCH(198,'По дням'!$G$2:$G$3662,0))=1,"да",""))</f>
        <v/>
      </c>
    </row>
    <row r="205">
      <c r="A205" s="9">
        <f>IF(B205="","",199)</f>
        <v/>
      </c>
      <c r="B205" s="12">
        <f>IFERROR(INDEX('По дням'!$A$2:$A$3662,MATCH(199,'По дням'!$G$2:$G$3662,0)),"")</f>
        <v/>
      </c>
      <c r="C205" s="12">
        <f>IF(B205="","",INDEX('По дням'!$A$2:$A$3662,MATCH(199,'По дням'!$G$2:$G$3662,0)+COUNTIF('По дням'!$G$2:$G$3662,199)-1))</f>
        <v/>
      </c>
      <c r="D205" s="9">
        <f>IF(B205="","",C205-B205+1)</f>
        <v/>
      </c>
      <c r="E205" s="13">
        <f>IF(B205="","",INDEX('По дням'!$D$2:$D$3662,MATCH(199,'По дням'!$G$2:$G$3662,0)))</f>
        <v/>
      </c>
      <c r="F205" s="9">
        <f>IF(B205="","",INDEX('По дням'!$B$2:$B$3662,MATCH(199,'По дням'!$G$2:$G$3662,0)))</f>
        <v/>
      </c>
      <c r="G205" s="9">
        <f>IF(B205="","",INDEX('По дням'!$C$2:$C$3662,MATCH(199,'По дням'!$G$2:$G$3662,0)))</f>
        <v/>
      </c>
      <c r="H205" s="13">
        <f>IF(OR(B205="",F205=""),"",IF(J205="да",0,ROUND(E205*F205/100*D205/G205,2)))</f>
        <v/>
      </c>
      <c r="I205" s="13">
        <f>IF(B205="","",SUMIF(Оплаты!$A$6:$A$505,C205,Оплаты!$B$6:$B$505))</f>
        <v/>
      </c>
      <c r="J205" s="9">
        <f>IF(B205="","",IF(INDEX('По дням'!$E$2:$E$3662,MATCH(199,'По дням'!$G$2:$G$3662,0))=1,"да",""))</f>
        <v/>
      </c>
    </row>
    <row r="206">
      <c r="A206" s="9">
        <f>IF(B206="","",200)</f>
        <v/>
      </c>
      <c r="B206" s="12">
        <f>IFERROR(INDEX('По дням'!$A$2:$A$3662,MATCH(200,'По дням'!$G$2:$G$3662,0)),"")</f>
        <v/>
      </c>
      <c r="C206" s="12">
        <f>IF(B206="","",INDEX('По дням'!$A$2:$A$3662,MATCH(200,'По дням'!$G$2:$G$3662,0)+COUNTIF('По дням'!$G$2:$G$3662,200)-1))</f>
        <v/>
      </c>
      <c r="D206" s="9">
        <f>IF(B206="","",C206-B206+1)</f>
        <v/>
      </c>
      <c r="E206" s="13">
        <f>IF(B206="","",INDEX('По дням'!$D$2:$D$3662,MATCH(200,'По дням'!$G$2:$G$3662,0)))</f>
        <v/>
      </c>
      <c r="F206" s="9">
        <f>IF(B206="","",INDEX('По дням'!$B$2:$B$3662,MATCH(200,'По дням'!$G$2:$G$3662,0)))</f>
        <v/>
      </c>
      <c r="G206" s="9">
        <f>IF(B206="","",INDEX('По дням'!$C$2:$C$3662,MATCH(200,'По дням'!$G$2:$G$3662,0)))</f>
        <v/>
      </c>
      <c r="H206" s="13">
        <f>IF(OR(B206="",F206=""),"",IF(J206="да",0,ROUND(E206*F206/100*D206/G206,2)))</f>
        <v/>
      </c>
      <c r="I206" s="13">
        <f>IF(B206="","",SUMIF(Оплаты!$A$6:$A$505,C206,Оплаты!$B$6:$B$505))</f>
        <v/>
      </c>
      <c r="J206" s="9">
        <f>IF(B206="","",IF(INDEX('По дням'!$E$2:$E$3662,MATCH(200,'По дням'!$G$2:$G$3662,0))=1,"да",""))</f>
        <v/>
      </c>
    </row>
    <row r="207">
      <c r="A207" s="9">
        <f>IF(B207="","",201)</f>
        <v/>
      </c>
      <c r="B207" s="12">
        <f>IFERROR(INDEX('По дням'!$A$2:$A$3662,MATCH(201,'По дням'!$G$2:$G$3662,0)),"")</f>
        <v/>
      </c>
      <c r="C207" s="12">
        <f>IF(B207="","",INDEX('По дням'!$A$2:$A$3662,MATCH(201,'По дням'!$G$2:$G$3662,0)+COUNTIF('По дням'!$G$2:$G$3662,201)-1))</f>
        <v/>
      </c>
      <c r="D207" s="9">
        <f>IF(B207="","",C207-B207+1)</f>
        <v/>
      </c>
      <c r="E207" s="13">
        <f>IF(B207="","",INDEX('По дням'!$D$2:$D$3662,MATCH(201,'По дням'!$G$2:$G$3662,0)))</f>
        <v/>
      </c>
      <c r="F207" s="9">
        <f>IF(B207="","",INDEX('По дням'!$B$2:$B$3662,MATCH(201,'По дням'!$G$2:$G$3662,0)))</f>
        <v/>
      </c>
      <c r="G207" s="9">
        <f>IF(B207="","",INDEX('По дням'!$C$2:$C$3662,MATCH(201,'По дням'!$G$2:$G$3662,0)))</f>
        <v/>
      </c>
      <c r="H207" s="13">
        <f>IF(OR(B207="",F207=""),"",IF(J207="да",0,ROUND(E207*F207/100*D207/G207,2)))</f>
        <v/>
      </c>
      <c r="I207" s="13">
        <f>IF(B207="","",SUMIF(Оплаты!$A$6:$A$505,C207,Оплаты!$B$6:$B$505))</f>
        <v/>
      </c>
      <c r="J207" s="9">
        <f>IF(B207="","",IF(INDEX('По дням'!$E$2:$E$3662,MATCH(201,'По дням'!$G$2:$G$3662,0))=1,"да",""))</f>
        <v/>
      </c>
    </row>
    <row r="208">
      <c r="A208" s="9">
        <f>IF(B208="","",202)</f>
        <v/>
      </c>
      <c r="B208" s="12">
        <f>IFERROR(INDEX('По дням'!$A$2:$A$3662,MATCH(202,'По дням'!$G$2:$G$3662,0)),"")</f>
        <v/>
      </c>
      <c r="C208" s="12">
        <f>IF(B208="","",INDEX('По дням'!$A$2:$A$3662,MATCH(202,'По дням'!$G$2:$G$3662,0)+COUNTIF('По дням'!$G$2:$G$3662,202)-1))</f>
        <v/>
      </c>
      <c r="D208" s="9">
        <f>IF(B208="","",C208-B208+1)</f>
        <v/>
      </c>
      <c r="E208" s="13">
        <f>IF(B208="","",INDEX('По дням'!$D$2:$D$3662,MATCH(202,'По дням'!$G$2:$G$3662,0)))</f>
        <v/>
      </c>
      <c r="F208" s="9">
        <f>IF(B208="","",INDEX('По дням'!$B$2:$B$3662,MATCH(202,'По дням'!$G$2:$G$3662,0)))</f>
        <v/>
      </c>
      <c r="G208" s="9">
        <f>IF(B208="","",INDEX('По дням'!$C$2:$C$3662,MATCH(202,'По дням'!$G$2:$G$3662,0)))</f>
        <v/>
      </c>
      <c r="H208" s="13">
        <f>IF(OR(B208="",F208=""),"",IF(J208="да",0,ROUND(E208*F208/100*D208/G208,2)))</f>
        <v/>
      </c>
      <c r="I208" s="13">
        <f>IF(B208="","",SUMIF(Оплаты!$A$6:$A$505,C208,Оплаты!$B$6:$B$505))</f>
        <v/>
      </c>
      <c r="J208" s="9">
        <f>IF(B208="","",IF(INDEX('По дням'!$E$2:$E$3662,MATCH(202,'По дням'!$G$2:$G$3662,0))=1,"да",""))</f>
        <v/>
      </c>
    </row>
    <row r="209">
      <c r="A209" s="9">
        <f>IF(B209="","",203)</f>
        <v/>
      </c>
      <c r="B209" s="12">
        <f>IFERROR(INDEX('По дням'!$A$2:$A$3662,MATCH(203,'По дням'!$G$2:$G$3662,0)),"")</f>
        <v/>
      </c>
      <c r="C209" s="12">
        <f>IF(B209="","",INDEX('По дням'!$A$2:$A$3662,MATCH(203,'По дням'!$G$2:$G$3662,0)+COUNTIF('По дням'!$G$2:$G$3662,203)-1))</f>
        <v/>
      </c>
      <c r="D209" s="9">
        <f>IF(B209="","",C209-B209+1)</f>
        <v/>
      </c>
      <c r="E209" s="13">
        <f>IF(B209="","",INDEX('По дням'!$D$2:$D$3662,MATCH(203,'По дням'!$G$2:$G$3662,0)))</f>
        <v/>
      </c>
      <c r="F209" s="9">
        <f>IF(B209="","",INDEX('По дням'!$B$2:$B$3662,MATCH(203,'По дням'!$G$2:$G$3662,0)))</f>
        <v/>
      </c>
      <c r="G209" s="9">
        <f>IF(B209="","",INDEX('По дням'!$C$2:$C$3662,MATCH(203,'По дням'!$G$2:$G$3662,0)))</f>
        <v/>
      </c>
      <c r="H209" s="13">
        <f>IF(OR(B209="",F209=""),"",IF(J209="да",0,ROUND(E209*F209/100*D209/G209,2)))</f>
        <v/>
      </c>
      <c r="I209" s="13">
        <f>IF(B209="","",SUMIF(Оплаты!$A$6:$A$505,C209,Оплаты!$B$6:$B$505))</f>
        <v/>
      </c>
      <c r="J209" s="9">
        <f>IF(B209="","",IF(INDEX('По дням'!$E$2:$E$3662,MATCH(203,'По дням'!$G$2:$G$3662,0))=1,"да",""))</f>
        <v/>
      </c>
    </row>
    <row r="210">
      <c r="A210" s="9">
        <f>IF(B210="","",204)</f>
        <v/>
      </c>
      <c r="B210" s="12">
        <f>IFERROR(INDEX('По дням'!$A$2:$A$3662,MATCH(204,'По дням'!$G$2:$G$3662,0)),"")</f>
        <v/>
      </c>
      <c r="C210" s="12">
        <f>IF(B210="","",INDEX('По дням'!$A$2:$A$3662,MATCH(204,'По дням'!$G$2:$G$3662,0)+COUNTIF('По дням'!$G$2:$G$3662,204)-1))</f>
        <v/>
      </c>
      <c r="D210" s="9">
        <f>IF(B210="","",C210-B210+1)</f>
        <v/>
      </c>
      <c r="E210" s="13">
        <f>IF(B210="","",INDEX('По дням'!$D$2:$D$3662,MATCH(204,'По дням'!$G$2:$G$3662,0)))</f>
        <v/>
      </c>
      <c r="F210" s="9">
        <f>IF(B210="","",INDEX('По дням'!$B$2:$B$3662,MATCH(204,'По дням'!$G$2:$G$3662,0)))</f>
        <v/>
      </c>
      <c r="G210" s="9">
        <f>IF(B210="","",INDEX('По дням'!$C$2:$C$3662,MATCH(204,'По дням'!$G$2:$G$3662,0)))</f>
        <v/>
      </c>
      <c r="H210" s="13">
        <f>IF(OR(B210="",F210=""),"",IF(J210="да",0,ROUND(E210*F210/100*D210/G210,2)))</f>
        <v/>
      </c>
      <c r="I210" s="13">
        <f>IF(B210="","",SUMIF(Оплаты!$A$6:$A$505,C210,Оплаты!$B$6:$B$505))</f>
        <v/>
      </c>
      <c r="J210" s="9">
        <f>IF(B210="","",IF(INDEX('По дням'!$E$2:$E$3662,MATCH(204,'По дням'!$G$2:$G$3662,0))=1,"да",""))</f>
        <v/>
      </c>
    </row>
    <row r="211">
      <c r="A211" s="9">
        <f>IF(B211="","",205)</f>
        <v/>
      </c>
      <c r="B211" s="12">
        <f>IFERROR(INDEX('По дням'!$A$2:$A$3662,MATCH(205,'По дням'!$G$2:$G$3662,0)),"")</f>
        <v/>
      </c>
      <c r="C211" s="12">
        <f>IF(B211="","",INDEX('По дням'!$A$2:$A$3662,MATCH(205,'По дням'!$G$2:$G$3662,0)+COUNTIF('По дням'!$G$2:$G$3662,205)-1))</f>
        <v/>
      </c>
      <c r="D211" s="9">
        <f>IF(B211="","",C211-B211+1)</f>
        <v/>
      </c>
      <c r="E211" s="13">
        <f>IF(B211="","",INDEX('По дням'!$D$2:$D$3662,MATCH(205,'По дням'!$G$2:$G$3662,0)))</f>
        <v/>
      </c>
      <c r="F211" s="9">
        <f>IF(B211="","",INDEX('По дням'!$B$2:$B$3662,MATCH(205,'По дням'!$G$2:$G$3662,0)))</f>
        <v/>
      </c>
      <c r="G211" s="9">
        <f>IF(B211="","",INDEX('По дням'!$C$2:$C$3662,MATCH(205,'По дням'!$G$2:$G$3662,0)))</f>
        <v/>
      </c>
      <c r="H211" s="13">
        <f>IF(OR(B211="",F211=""),"",IF(J211="да",0,ROUND(E211*F211/100*D211/G211,2)))</f>
        <v/>
      </c>
      <c r="I211" s="13">
        <f>IF(B211="","",SUMIF(Оплаты!$A$6:$A$505,C211,Оплаты!$B$6:$B$505))</f>
        <v/>
      </c>
      <c r="J211" s="9">
        <f>IF(B211="","",IF(INDEX('По дням'!$E$2:$E$3662,MATCH(205,'По дням'!$G$2:$G$3662,0))=1,"да",""))</f>
        <v/>
      </c>
    </row>
    <row r="212">
      <c r="A212" s="9">
        <f>IF(B212="","",206)</f>
        <v/>
      </c>
      <c r="B212" s="12">
        <f>IFERROR(INDEX('По дням'!$A$2:$A$3662,MATCH(206,'По дням'!$G$2:$G$3662,0)),"")</f>
        <v/>
      </c>
      <c r="C212" s="12">
        <f>IF(B212="","",INDEX('По дням'!$A$2:$A$3662,MATCH(206,'По дням'!$G$2:$G$3662,0)+COUNTIF('По дням'!$G$2:$G$3662,206)-1))</f>
        <v/>
      </c>
      <c r="D212" s="9">
        <f>IF(B212="","",C212-B212+1)</f>
        <v/>
      </c>
      <c r="E212" s="13">
        <f>IF(B212="","",INDEX('По дням'!$D$2:$D$3662,MATCH(206,'По дням'!$G$2:$G$3662,0)))</f>
        <v/>
      </c>
      <c r="F212" s="9">
        <f>IF(B212="","",INDEX('По дням'!$B$2:$B$3662,MATCH(206,'По дням'!$G$2:$G$3662,0)))</f>
        <v/>
      </c>
      <c r="G212" s="9">
        <f>IF(B212="","",INDEX('По дням'!$C$2:$C$3662,MATCH(206,'По дням'!$G$2:$G$3662,0)))</f>
        <v/>
      </c>
      <c r="H212" s="13">
        <f>IF(OR(B212="",F212=""),"",IF(J212="да",0,ROUND(E212*F212/100*D212/G212,2)))</f>
        <v/>
      </c>
      <c r="I212" s="13">
        <f>IF(B212="","",SUMIF(Оплаты!$A$6:$A$505,C212,Оплаты!$B$6:$B$505))</f>
        <v/>
      </c>
      <c r="J212" s="9">
        <f>IF(B212="","",IF(INDEX('По дням'!$E$2:$E$3662,MATCH(206,'По дням'!$G$2:$G$3662,0))=1,"да",""))</f>
        <v/>
      </c>
    </row>
    <row r="213">
      <c r="A213" s="9">
        <f>IF(B213="","",207)</f>
        <v/>
      </c>
      <c r="B213" s="12">
        <f>IFERROR(INDEX('По дням'!$A$2:$A$3662,MATCH(207,'По дням'!$G$2:$G$3662,0)),"")</f>
        <v/>
      </c>
      <c r="C213" s="12">
        <f>IF(B213="","",INDEX('По дням'!$A$2:$A$3662,MATCH(207,'По дням'!$G$2:$G$3662,0)+COUNTIF('По дням'!$G$2:$G$3662,207)-1))</f>
        <v/>
      </c>
      <c r="D213" s="9">
        <f>IF(B213="","",C213-B213+1)</f>
        <v/>
      </c>
      <c r="E213" s="13">
        <f>IF(B213="","",INDEX('По дням'!$D$2:$D$3662,MATCH(207,'По дням'!$G$2:$G$3662,0)))</f>
        <v/>
      </c>
      <c r="F213" s="9">
        <f>IF(B213="","",INDEX('По дням'!$B$2:$B$3662,MATCH(207,'По дням'!$G$2:$G$3662,0)))</f>
        <v/>
      </c>
      <c r="G213" s="9">
        <f>IF(B213="","",INDEX('По дням'!$C$2:$C$3662,MATCH(207,'По дням'!$G$2:$G$3662,0)))</f>
        <v/>
      </c>
      <c r="H213" s="13">
        <f>IF(OR(B213="",F213=""),"",IF(J213="да",0,ROUND(E213*F213/100*D213/G213,2)))</f>
        <v/>
      </c>
      <c r="I213" s="13">
        <f>IF(B213="","",SUMIF(Оплаты!$A$6:$A$505,C213,Оплаты!$B$6:$B$505))</f>
        <v/>
      </c>
      <c r="J213" s="9">
        <f>IF(B213="","",IF(INDEX('По дням'!$E$2:$E$3662,MATCH(207,'По дням'!$G$2:$G$3662,0))=1,"да",""))</f>
        <v/>
      </c>
    </row>
    <row r="214">
      <c r="A214" s="9">
        <f>IF(B214="","",208)</f>
        <v/>
      </c>
      <c r="B214" s="12">
        <f>IFERROR(INDEX('По дням'!$A$2:$A$3662,MATCH(208,'По дням'!$G$2:$G$3662,0)),"")</f>
        <v/>
      </c>
      <c r="C214" s="12">
        <f>IF(B214="","",INDEX('По дням'!$A$2:$A$3662,MATCH(208,'По дням'!$G$2:$G$3662,0)+COUNTIF('По дням'!$G$2:$G$3662,208)-1))</f>
        <v/>
      </c>
      <c r="D214" s="9">
        <f>IF(B214="","",C214-B214+1)</f>
        <v/>
      </c>
      <c r="E214" s="13">
        <f>IF(B214="","",INDEX('По дням'!$D$2:$D$3662,MATCH(208,'По дням'!$G$2:$G$3662,0)))</f>
        <v/>
      </c>
      <c r="F214" s="9">
        <f>IF(B214="","",INDEX('По дням'!$B$2:$B$3662,MATCH(208,'По дням'!$G$2:$G$3662,0)))</f>
        <v/>
      </c>
      <c r="G214" s="9">
        <f>IF(B214="","",INDEX('По дням'!$C$2:$C$3662,MATCH(208,'По дням'!$G$2:$G$3662,0)))</f>
        <v/>
      </c>
      <c r="H214" s="13">
        <f>IF(OR(B214="",F214=""),"",IF(J214="да",0,ROUND(E214*F214/100*D214/G214,2)))</f>
        <v/>
      </c>
      <c r="I214" s="13">
        <f>IF(B214="","",SUMIF(Оплаты!$A$6:$A$505,C214,Оплаты!$B$6:$B$505))</f>
        <v/>
      </c>
      <c r="J214" s="9">
        <f>IF(B214="","",IF(INDEX('По дням'!$E$2:$E$3662,MATCH(208,'По дням'!$G$2:$G$3662,0))=1,"да",""))</f>
        <v/>
      </c>
    </row>
    <row r="215">
      <c r="A215" s="9">
        <f>IF(B215="","",209)</f>
        <v/>
      </c>
      <c r="B215" s="12">
        <f>IFERROR(INDEX('По дням'!$A$2:$A$3662,MATCH(209,'По дням'!$G$2:$G$3662,0)),"")</f>
        <v/>
      </c>
      <c r="C215" s="12">
        <f>IF(B215="","",INDEX('По дням'!$A$2:$A$3662,MATCH(209,'По дням'!$G$2:$G$3662,0)+COUNTIF('По дням'!$G$2:$G$3662,209)-1))</f>
        <v/>
      </c>
      <c r="D215" s="9">
        <f>IF(B215="","",C215-B215+1)</f>
        <v/>
      </c>
      <c r="E215" s="13">
        <f>IF(B215="","",INDEX('По дням'!$D$2:$D$3662,MATCH(209,'По дням'!$G$2:$G$3662,0)))</f>
        <v/>
      </c>
      <c r="F215" s="9">
        <f>IF(B215="","",INDEX('По дням'!$B$2:$B$3662,MATCH(209,'По дням'!$G$2:$G$3662,0)))</f>
        <v/>
      </c>
      <c r="G215" s="9">
        <f>IF(B215="","",INDEX('По дням'!$C$2:$C$3662,MATCH(209,'По дням'!$G$2:$G$3662,0)))</f>
        <v/>
      </c>
      <c r="H215" s="13">
        <f>IF(OR(B215="",F215=""),"",IF(J215="да",0,ROUND(E215*F215/100*D215/G215,2)))</f>
        <v/>
      </c>
      <c r="I215" s="13">
        <f>IF(B215="","",SUMIF(Оплаты!$A$6:$A$505,C215,Оплаты!$B$6:$B$505))</f>
        <v/>
      </c>
      <c r="J215" s="9">
        <f>IF(B215="","",IF(INDEX('По дням'!$E$2:$E$3662,MATCH(209,'По дням'!$G$2:$G$3662,0))=1,"да",""))</f>
        <v/>
      </c>
    </row>
    <row r="216">
      <c r="A216" s="9">
        <f>IF(B216="","",210)</f>
        <v/>
      </c>
      <c r="B216" s="12">
        <f>IFERROR(INDEX('По дням'!$A$2:$A$3662,MATCH(210,'По дням'!$G$2:$G$3662,0)),"")</f>
        <v/>
      </c>
      <c r="C216" s="12">
        <f>IF(B216="","",INDEX('По дням'!$A$2:$A$3662,MATCH(210,'По дням'!$G$2:$G$3662,0)+COUNTIF('По дням'!$G$2:$G$3662,210)-1))</f>
        <v/>
      </c>
      <c r="D216" s="9">
        <f>IF(B216="","",C216-B216+1)</f>
        <v/>
      </c>
      <c r="E216" s="13">
        <f>IF(B216="","",INDEX('По дням'!$D$2:$D$3662,MATCH(210,'По дням'!$G$2:$G$3662,0)))</f>
        <v/>
      </c>
      <c r="F216" s="9">
        <f>IF(B216="","",INDEX('По дням'!$B$2:$B$3662,MATCH(210,'По дням'!$G$2:$G$3662,0)))</f>
        <v/>
      </c>
      <c r="G216" s="9">
        <f>IF(B216="","",INDEX('По дням'!$C$2:$C$3662,MATCH(210,'По дням'!$G$2:$G$3662,0)))</f>
        <v/>
      </c>
      <c r="H216" s="13">
        <f>IF(OR(B216="",F216=""),"",IF(J216="да",0,ROUND(E216*F216/100*D216/G216,2)))</f>
        <v/>
      </c>
      <c r="I216" s="13">
        <f>IF(B216="","",SUMIF(Оплаты!$A$6:$A$505,C216,Оплаты!$B$6:$B$505))</f>
        <v/>
      </c>
      <c r="J216" s="9">
        <f>IF(B216="","",IF(INDEX('По дням'!$E$2:$E$3662,MATCH(210,'По дням'!$G$2:$G$3662,0))=1,"да",""))</f>
        <v/>
      </c>
    </row>
    <row r="217">
      <c r="A217" s="9">
        <f>IF(B217="","",211)</f>
        <v/>
      </c>
      <c r="B217" s="12">
        <f>IFERROR(INDEX('По дням'!$A$2:$A$3662,MATCH(211,'По дням'!$G$2:$G$3662,0)),"")</f>
        <v/>
      </c>
      <c r="C217" s="12">
        <f>IF(B217="","",INDEX('По дням'!$A$2:$A$3662,MATCH(211,'По дням'!$G$2:$G$3662,0)+COUNTIF('По дням'!$G$2:$G$3662,211)-1))</f>
        <v/>
      </c>
      <c r="D217" s="9">
        <f>IF(B217="","",C217-B217+1)</f>
        <v/>
      </c>
      <c r="E217" s="13">
        <f>IF(B217="","",INDEX('По дням'!$D$2:$D$3662,MATCH(211,'По дням'!$G$2:$G$3662,0)))</f>
        <v/>
      </c>
      <c r="F217" s="9">
        <f>IF(B217="","",INDEX('По дням'!$B$2:$B$3662,MATCH(211,'По дням'!$G$2:$G$3662,0)))</f>
        <v/>
      </c>
      <c r="G217" s="9">
        <f>IF(B217="","",INDEX('По дням'!$C$2:$C$3662,MATCH(211,'По дням'!$G$2:$G$3662,0)))</f>
        <v/>
      </c>
      <c r="H217" s="13">
        <f>IF(OR(B217="",F217=""),"",IF(J217="да",0,ROUND(E217*F217/100*D217/G217,2)))</f>
        <v/>
      </c>
      <c r="I217" s="13">
        <f>IF(B217="","",SUMIF(Оплаты!$A$6:$A$505,C217,Оплаты!$B$6:$B$505))</f>
        <v/>
      </c>
      <c r="J217" s="9">
        <f>IF(B217="","",IF(INDEX('По дням'!$E$2:$E$3662,MATCH(211,'По дням'!$G$2:$G$3662,0))=1,"да",""))</f>
        <v/>
      </c>
    </row>
    <row r="218">
      <c r="A218" s="9">
        <f>IF(B218="","",212)</f>
        <v/>
      </c>
      <c r="B218" s="12">
        <f>IFERROR(INDEX('По дням'!$A$2:$A$3662,MATCH(212,'По дням'!$G$2:$G$3662,0)),"")</f>
        <v/>
      </c>
      <c r="C218" s="12">
        <f>IF(B218="","",INDEX('По дням'!$A$2:$A$3662,MATCH(212,'По дням'!$G$2:$G$3662,0)+COUNTIF('По дням'!$G$2:$G$3662,212)-1))</f>
        <v/>
      </c>
      <c r="D218" s="9">
        <f>IF(B218="","",C218-B218+1)</f>
        <v/>
      </c>
      <c r="E218" s="13">
        <f>IF(B218="","",INDEX('По дням'!$D$2:$D$3662,MATCH(212,'По дням'!$G$2:$G$3662,0)))</f>
        <v/>
      </c>
      <c r="F218" s="9">
        <f>IF(B218="","",INDEX('По дням'!$B$2:$B$3662,MATCH(212,'По дням'!$G$2:$G$3662,0)))</f>
        <v/>
      </c>
      <c r="G218" s="9">
        <f>IF(B218="","",INDEX('По дням'!$C$2:$C$3662,MATCH(212,'По дням'!$G$2:$G$3662,0)))</f>
        <v/>
      </c>
      <c r="H218" s="13">
        <f>IF(OR(B218="",F218=""),"",IF(J218="да",0,ROUND(E218*F218/100*D218/G218,2)))</f>
        <v/>
      </c>
      <c r="I218" s="13">
        <f>IF(B218="","",SUMIF(Оплаты!$A$6:$A$505,C218,Оплаты!$B$6:$B$505))</f>
        <v/>
      </c>
      <c r="J218" s="9">
        <f>IF(B218="","",IF(INDEX('По дням'!$E$2:$E$3662,MATCH(212,'По дням'!$G$2:$G$3662,0))=1,"да",""))</f>
        <v/>
      </c>
    </row>
    <row r="219">
      <c r="A219" s="9">
        <f>IF(B219="","",213)</f>
        <v/>
      </c>
      <c r="B219" s="12">
        <f>IFERROR(INDEX('По дням'!$A$2:$A$3662,MATCH(213,'По дням'!$G$2:$G$3662,0)),"")</f>
        <v/>
      </c>
      <c r="C219" s="12">
        <f>IF(B219="","",INDEX('По дням'!$A$2:$A$3662,MATCH(213,'По дням'!$G$2:$G$3662,0)+COUNTIF('По дням'!$G$2:$G$3662,213)-1))</f>
        <v/>
      </c>
      <c r="D219" s="9">
        <f>IF(B219="","",C219-B219+1)</f>
        <v/>
      </c>
      <c r="E219" s="13">
        <f>IF(B219="","",INDEX('По дням'!$D$2:$D$3662,MATCH(213,'По дням'!$G$2:$G$3662,0)))</f>
        <v/>
      </c>
      <c r="F219" s="9">
        <f>IF(B219="","",INDEX('По дням'!$B$2:$B$3662,MATCH(213,'По дням'!$G$2:$G$3662,0)))</f>
        <v/>
      </c>
      <c r="G219" s="9">
        <f>IF(B219="","",INDEX('По дням'!$C$2:$C$3662,MATCH(213,'По дням'!$G$2:$G$3662,0)))</f>
        <v/>
      </c>
      <c r="H219" s="13">
        <f>IF(OR(B219="",F219=""),"",IF(J219="да",0,ROUND(E219*F219/100*D219/G219,2)))</f>
        <v/>
      </c>
      <c r="I219" s="13">
        <f>IF(B219="","",SUMIF(Оплаты!$A$6:$A$505,C219,Оплаты!$B$6:$B$505))</f>
        <v/>
      </c>
      <c r="J219" s="9">
        <f>IF(B219="","",IF(INDEX('По дням'!$E$2:$E$3662,MATCH(213,'По дням'!$G$2:$G$3662,0))=1,"да",""))</f>
        <v/>
      </c>
    </row>
    <row r="220">
      <c r="A220" s="9">
        <f>IF(B220="","",214)</f>
        <v/>
      </c>
      <c r="B220" s="12">
        <f>IFERROR(INDEX('По дням'!$A$2:$A$3662,MATCH(214,'По дням'!$G$2:$G$3662,0)),"")</f>
        <v/>
      </c>
      <c r="C220" s="12">
        <f>IF(B220="","",INDEX('По дням'!$A$2:$A$3662,MATCH(214,'По дням'!$G$2:$G$3662,0)+COUNTIF('По дням'!$G$2:$G$3662,214)-1))</f>
        <v/>
      </c>
      <c r="D220" s="9">
        <f>IF(B220="","",C220-B220+1)</f>
        <v/>
      </c>
      <c r="E220" s="13">
        <f>IF(B220="","",INDEX('По дням'!$D$2:$D$3662,MATCH(214,'По дням'!$G$2:$G$3662,0)))</f>
        <v/>
      </c>
      <c r="F220" s="9">
        <f>IF(B220="","",INDEX('По дням'!$B$2:$B$3662,MATCH(214,'По дням'!$G$2:$G$3662,0)))</f>
        <v/>
      </c>
      <c r="G220" s="9">
        <f>IF(B220="","",INDEX('По дням'!$C$2:$C$3662,MATCH(214,'По дням'!$G$2:$G$3662,0)))</f>
        <v/>
      </c>
      <c r="H220" s="13">
        <f>IF(OR(B220="",F220=""),"",IF(J220="да",0,ROUND(E220*F220/100*D220/G220,2)))</f>
        <v/>
      </c>
      <c r="I220" s="13">
        <f>IF(B220="","",SUMIF(Оплаты!$A$6:$A$505,C220,Оплаты!$B$6:$B$505))</f>
        <v/>
      </c>
      <c r="J220" s="9">
        <f>IF(B220="","",IF(INDEX('По дням'!$E$2:$E$3662,MATCH(214,'По дням'!$G$2:$G$3662,0))=1,"да",""))</f>
        <v/>
      </c>
    </row>
    <row r="221">
      <c r="A221" s="9">
        <f>IF(B221="","",215)</f>
        <v/>
      </c>
      <c r="B221" s="12">
        <f>IFERROR(INDEX('По дням'!$A$2:$A$3662,MATCH(215,'По дням'!$G$2:$G$3662,0)),"")</f>
        <v/>
      </c>
      <c r="C221" s="12">
        <f>IF(B221="","",INDEX('По дням'!$A$2:$A$3662,MATCH(215,'По дням'!$G$2:$G$3662,0)+COUNTIF('По дням'!$G$2:$G$3662,215)-1))</f>
        <v/>
      </c>
      <c r="D221" s="9">
        <f>IF(B221="","",C221-B221+1)</f>
        <v/>
      </c>
      <c r="E221" s="13">
        <f>IF(B221="","",INDEX('По дням'!$D$2:$D$3662,MATCH(215,'По дням'!$G$2:$G$3662,0)))</f>
        <v/>
      </c>
      <c r="F221" s="9">
        <f>IF(B221="","",INDEX('По дням'!$B$2:$B$3662,MATCH(215,'По дням'!$G$2:$G$3662,0)))</f>
        <v/>
      </c>
      <c r="G221" s="9">
        <f>IF(B221="","",INDEX('По дням'!$C$2:$C$3662,MATCH(215,'По дням'!$G$2:$G$3662,0)))</f>
        <v/>
      </c>
      <c r="H221" s="13">
        <f>IF(OR(B221="",F221=""),"",IF(J221="да",0,ROUND(E221*F221/100*D221/G221,2)))</f>
        <v/>
      </c>
      <c r="I221" s="13">
        <f>IF(B221="","",SUMIF(Оплаты!$A$6:$A$505,C221,Оплаты!$B$6:$B$505))</f>
        <v/>
      </c>
      <c r="J221" s="9">
        <f>IF(B221="","",IF(INDEX('По дням'!$E$2:$E$3662,MATCH(215,'По дням'!$G$2:$G$3662,0))=1,"да",""))</f>
        <v/>
      </c>
    </row>
    <row r="222">
      <c r="A222" s="9">
        <f>IF(B222="","",216)</f>
        <v/>
      </c>
      <c r="B222" s="12">
        <f>IFERROR(INDEX('По дням'!$A$2:$A$3662,MATCH(216,'По дням'!$G$2:$G$3662,0)),"")</f>
        <v/>
      </c>
      <c r="C222" s="12">
        <f>IF(B222="","",INDEX('По дням'!$A$2:$A$3662,MATCH(216,'По дням'!$G$2:$G$3662,0)+COUNTIF('По дням'!$G$2:$G$3662,216)-1))</f>
        <v/>
      </c>
      <c r="D222" s="9">
        <f>IF(B222="","",C222-B222+1)</f>
        <v/>
      </c>
      <c r="E222" s="13">
        <f>IF(B222="","",INDEX('По дням'!$D$2:$D$3662,MATCH(216,'По дням'!$G$2:$G$3662,0)))</f>
        <v/>
      </c>
      <c r="F222" s="9">
        <f>IF(B222="","",INDEX('По дням'!$B$2:$B$3662,MATCH(216,'По дням'!$G$2:$G$3662,0)))</f>
        <v/>
      </c>
      <c r="G222" s="9">
        <f>IF(B222="","",INDEX('По дням'!$C$2:$C$3662,MATCH(216,'По дням'!$G$2:$G$3662,0)))</f>
        <v/>
      </c>
      <c r="H222" s="13">
        <f>IF(OR(B222="",F222=""),"",IF(J222="да",0,ROUND(E222*F222/100*D222/G222,2)))</f>
        <v/>
      </c>
      <c r="I222" s="13">
        <f>IF(B222="","",SUMIF(Оплаты!$A$6:$A$505,C222,Оплаты!$B$6:$B$505))</f>
        <v/>
      </c>
      <c r="J222" s="9">
        <f>IF(B222="","",IF(INDEX('По дням'!$E$2:$E$3662,MATCH(216,'По дням'!$G$2:$G$3662,0))=1,"да",""))</f>
        <v/>
      </c>
    </row>
    <row r="223">
      <c r="A223" s="9">
        <f>IF(B223="","",217)</f>
        <v/>
      </c>
      <c r="B223" s="12">
        <f>IFERROR(INDEX('По дням'!$A$2:$A$3662,MATCH(217,'По дням'!$G$2:$G$3662,0)),"")</f>
        <v/>
      </c>
      <c r="C223" s="12">
        <f>IF(B223="","",INDEX('По дням'!$A$2:$A$3662,MATCH(217,'По дням'!$G$2:$G$3662,0)+COUNTIF('По дням'!$G$2:$G$3662,217)-1))</f>
        <v/>
      </c>
      <c r="D223" s="9">
        <f>IF(B223="","",C223-B223+1)</f>
        <v/>
      </c>
      <c r="E223" s="13">
        <f>IF(B223="","",INDEX('По дням'!$D$2:$D$3662,MATCH(217,'По дням'!$G$2:$G$3662,0)))</f>
        <v/>
      </c>
      <c r="F223" s="9">
        <f>IF(B223="","",INDEX('По дням'!$B$2:$B$3662,MATCH(217,'По дням'!$G$2:$G$3662,0)))</f>
        <v/>
      </c>
      <c r="G223" s="9">
        <f>IF(B223="","",INDEX('По дням'!$C$2:$C$3662,MATCH(217,'По дням'!$G$2:$G$3662,0)))</f>
        <v/>
      </c>
      <c r="H223" s="13">
        <f>IF(OR(B223="",F223=""),"",IF(J223="да",0,ROUND(E223*F223/100*D223/G223,2)))</f>
        <v/>
      </c>
      <c r="I223" s="13">
        <f>IF(B223="","",SUMIF(Оплаты!$A$6:$A$505,C223,Оплаты!$B$6:$B$505))</f>
        <v/>
      </c>
      <c r="J223" s="9">
        <f>IF(B223="","",IF(INDEX('По дням'!$E$2:$E$3662,MATCH(217,'По дням'!$G$2:$G$3662,0))=1,"да",""))</f>
        <v/>
      </c>
    </row>
    <row r="224">
      <c r="A224" s="9">
        <f>IF(B224="","",218)</f>
        <v/>
      </c>
      <c r="B224" s="12">
        <f>IFERROR(INDEX('По дням'!$A$2:$A$3662,MATCH(218,'По дням'!$G$2:$G$3662,0)),"")</f>
        <v/>
      </c>
      <c r="C224" s="12">
        <f>IF(B224="","",INDEX('По дням'!$A$2:$A$3662,MATCH(218,'По дням'!$G$2:$G$3662,0)+COUNTIF('По дням'!$G$2:$G$3662,218)-1))</f>
        <v/>
      </c>
      <c r="D224" s="9">
        <f>IF(B224="","",C224-B224+1)</f>
        <v/>
      </c>
      <c r="E224" s="13">
        <f>IF(B224="","",INDEX('По дням'!$D$2:$D$3662,MATCH(218,'По дням'!$G$2:$G$3662,0)))</f>
        <v/>
      </c>
      <c r="F224" s="9">
        <f>IF(B224="","",INDEX('По дням'!$B$2:$B$3662,MATCH(218,'По дням'!$G$2:$G$3662,0)))</f>
        <v/>
      </c>
      <c r="G224" s="9">
        <f>IF(B224="","",INDEX('По дням'!$C$2:$C$3662,MATCH(218,'По дням'!$G$2:$G$3662,0)))</f>
        <v/>
      </c>
      <c r="H224" s="13">
        <f>IF(OR(B224="",F224=""),"",IF(J224="да",0,ROUND(E224*F224/100*D224/G224,2)))</f>
        <v/>
      </c>
      <c r="I224" s="13">
        <f>IF(B224="","",SUMIF(Оплаты!$A$6:$A$505,C224,Оплаты!$B$6:$B$505))</f>
        <v/>
      </c>
      <c r="J224" s="9">
        <f>IF(B224="","",IF(INDEX('По дням'!$E$2:$E$3662,MATCH(218,'По дням'!$G$2:$G$3662,0))=1,"да",""))</f>
        <v/>
      </c>
    </row>
    <row r="225">
      <c r="A225" s="9">
        <f>IF(B225="","",219)</f>
        <v/>
      </c>
      <c r="B225" s="12">
        <f>IFERROR(INDEX('По дням'!$A$2:$A$3662,MATCH(219,'По дням'!$G$2:$G$3662,0)),"")</f>
        <v/>
      </c>
      <c r="C225" s="12">
        <f>IF(B225="","",INDEX('По дням'!$A$2:$A$3662,MATCH(219,'По дням'!$G$2:$G$3662,0)+COUNTIF('По дням'!$G$2:$G$3662,219)-1))</f>
        <v/>
      </c>
      <c r="D225" s="9">
        <f>IF(B225="","",C225-B225+1)</f>
        <v/>
      </c>
      <c r="E225" s="13">
        <f>IF(B225="","",INDEX('По дням'!$D$2:$D$3662,MATCH(219,'По дням'!$G$2:$G$3662,0)))</f>
        <v/>
      </c>
      <c r="F225" s="9">
        <f>IF(B225="","",INDEX('По дням'!$B$2:$B$3662,MATCH(219,'По дням'!$G$2:$G$3662,0)))</f>
        <v/>
      </c>
      <c r="G225" s="9">
        <f>IF(B225="","",INDEX('По дням'!$C$2:$C$3662,MATCH(219,'По дням'!$G$2:$G$3662,0)))</f>
        <v/>
      </c>
      <c r="H225" s="13">
        <f>IF(OR(B225="",F225=""),"",IF(J225="да",0,ROUND(E225*F225/100*D225/G225,2)))</f>
        <v/>
      </c>
      <c r="I225" s="13">
        <f>IF(B225="","",SUMIF(Оплаты!$A$6:$A$505,C225,Оплаты!$B$6:$B$505))</f>
        <v/>
      </c>
      <c r="J225" s="9">
        <f>IF(B225="","",IF(INDEX('По дням'!$E$2:$E$3662,MATCH(219,'По дням'!$G$2:$G$3662,0))=1,"да",""))</f>
        <v/>
      </c>
    </row>
    <row r="226">
      <c r="A226" s="9">
        <f>IF(B226="","",220)</f>
        <v/>
      </c>
      <c r="B226" s="12">
        <f>IFERROR(INDEX('По дням'!$A$2:$A$3662,MATCH(220,'По дням'!$G$2:$G$3662,0)),"")</f>
        <v/>
      </c>
      <c r="C226" s="12">
        <f>IF(B226="","",INDEX('По дням'!$A$2:$A$3662,MATCH(220,'По дням'!$G$2:$G$3662,0)+COUNTIF('По дням'!$G$2:$G$3662,220)-1))</f>
        <v/>
      </c>
      <c r="D226" s="9">
        <f>IF(B226="","",C226-B226+1)</f>
        <v/>
      </c>
      <c r="E226" s="13">
        <f>IF(B226="","",INDEX('По дням'!$D$2:$D$3662,MATCH(220,'По дням'!$G$2:$G$3662,0)))</f>
        <v/>
      </c>
      <c r="F226" s="9">
        <f>IF(B226="","",INDEX('По дням'!$B$2:$B$3662,MATCH(220,'По дням'!$G$2:$G$3662,0)))</f>
        <v/>
      </c>
      <c r="G226" s="9">
        <f>IF(B226="","",INDEX('По дням'!$C$2:$C$3662,MATCH(220,'По дням'!$G$2:$G$3662,0)))</f>
        <v/>
      </c>
      <c r="H226" s="13">
        <f>IF(OR(B226="",F226=""),"",IF(J226="да",0,ROUND(E226*F226/100*D226/G226,2)))</f>
        <v/>
      </c>
      <c r="I226" s="13">
        <f>IF(B226="","",SUMIF(Оплаты!$A$6:$A$505,C226,Оплаты!$B$6:$B$505))</f>
        <v/>
      </c>
      <c r="J226" s="9">
        <f>IF(B226="","",IF(INDEX('По дням'!$E$2:$E$3662,MATCH(220,'По дням'!$G$2:$G$3662,0))=1,"да",""))</f>
        <v/>
      </c>
    </row>
    <row r="227">
      <c r="A227" s="9">
        <f>IF(B227="","",221)</f>
        <v/>
      </c>
      <c r="B227" s="12">
        <f>IFERROR(INDEX('По дням'!$A$2:$A$3662,MATCH(221,'По дням'!$G$2:$G$3662,0)),"")</f>
        <v/>
      </c>
      <c r="C227" s="12">
        <f>IF(B227="","",INDEX('По дням'!$A$2:$A$3662,MATCH(221,'По дням'!$G$2:$G$3662,0)+COUNTIF('По дням'!$G$2:$G$3662,221)-1))</f>
        <v/>
      </c>
      <c r="D227" s="9">
        <f>IF(B227="","",C227-B227+1)</f>
        <v/>
      </c>
      <c r="E227" s="13">
        <f>IF(B227="","",INDEX('По дням'!$D$2:$D$3662,MATCH(221,'По дням'!$G$2:$G$3662,0)))</f>
        <v/>
      </c>
      <c r="F227" s="9">
        <f>IF(B227="","",INDEX('По дням'!$B$2:$B$3662,MATCH(221,'По дням'!$G$2:$G$3662,0)))</f>
        <v/>
      </c>
      <c r="G227" s="9">
        <f>IF(B227="","",INDEX('По дням'!$C$2:$C$3662,MATCH(221,'По дням'!$G$2:$G$3662,0)))</f>
        <v/>
      </c>
      <c r="H227" s="13">
        <f>IF(OR(B227="",F227=""),"",IF(J227="да",0,ROUND(E227*F227/100*D227/G227,2)))</f>
        <v/>
      </c>
      <c r="I227" s="13">
        <f>IF(B227="","",SUMIF(Оплаты!$A$6:$A$505,C227,Оплаты!$B$6:$B$505))</f>
        <v/>
      </c>
      <c r="J227" s="9">
        <f>IF(B227="","",IF(INDEX('По дням'!$E$2:$E$3662,MATCH(221,'По дням'!$G$2:$G$3662,0))=1,"да",""))</f>
        <v/>
      </c>
    </row>
    <row r="228">
      <c r="A228" s="9">
        <f>IF(B228="","",222)</f>
        <v/>
      </c>
      <c r="B228" s="12">
        <f>IFERROR(INDEX('По дням'!$A$2:$A$3662,MATCH(222,'По дням'!$G$2:$G$3662,0)),"")</f>
        <v/>
      </c>
      <c r="C228" s="12">
        <f>IF(B228="","",INDEX('По дням'!$A$2:$A$3662,MATCH(222,'По дням'!$G$2:$G$3662,0)+COUNTIF('По дням'!$G$2:$G$3662,222)-1))</f>
        <v/>
      </c>
      <c r="D228" s="9">
        <f>IF(B228="","",C228-B228+1)</f>
        <v/>
      </c>
      <c r="E228" s="13">
        <f>IF(B228="","",INDEX('По дням'!$D$2:$D$3662,MATCH(222,'По дням'!$G$2:$G$3662,0)))</f>
        <v/>
      </c>
      <c r="F228" s="9">
        <f>IF(B228="","",INDEX('По дням'!$B$2:$B$3662,MATCH(222,'По дням'!$G$2:$G$3662,0)))</f>
        <v/>
      </c>
      <c r="G228" s="9">
        <f>IF(B228="","",INDEX('По дням'!$C$2:$C$3662,MATCH(222,'По дням'!$G$2:$G$3662,0)))</f>
        <v/>
      </c>
      <c r="H228" s="13">
        <f>IF(OR(B228="",F228=""),"",IF(J228="да",0,ROUND(E228*F228/100*D228/G228,2)))</f>
        <v/>
      </c>
      <c r="I228" s="13">
        <f>IF(B228="","",SUMIF(Оплаты!$A$6:$A$505,C228,Оплаты!$B$6:$B$505))</f>
        <v/>
      </c>
      <c r="J228" s="9">
        <f>IF(B228="","",IF(INDEX('По дням'!$E$2:$E$3662,MATCH(222,'По дням'!$G$2:$G$3662,0))=1,"да",""))</f>
        <v/>
      </c>
    </row>
    <row r="229">
      <c r="A229" s="9">
        <f>IF(B229="","",223)</f>
        <v/>
      </c>
      <c r="B229" s="12">
        <f>IFERROR(INDEX('По дням'!$A$2:$A$3662,MATCH(223,'По дням'!$G$2:$G$3662,0)),"")</f>
        <v/>
      </c>
      <c r="C229" s="12">
        <f>IF(B229="","",INDEX('По дням'!$A$2:$A$3662,MATCH(223,'По дням'!$G$2:$G$3662,0)+COUNTIF('По дням'!$G$2:$G$3662,223)-1))</f>
        <v/>
      </c>
      <c r="D229" s="9">
        <f>IF(B229="","",C229-B229+1)</f>
        <v/>
      </c>
      <c r="E229" s="13">
        <f>IF(B229="","",INDEX('По дням'!$D$2:$D$3662,MATCH(223,'По дням'!$G$2:$G$3662,0)))</f>
        <v/>
      </c>
      <c r="F229" s="9">
        <f>IF(B229="","",INDEX('По дням'!$B$2:$B$3662,MATCH(223,'По дням'!$G$2:$G$3662,0)))</f>
        <v/>
      </c>
      <c r="G229" s="9">
        <f>IF(B229="","",INDEX('По дням'!$C$2:$C$3662,MATCH(223,'По дням'!$G$2:$G$3662,0)))</f>
        <v/>
      </c>
      <c r="H229" s="13">
        <f>IF(OR(B229="",F229=""),"",IF(J229="да",0,ROUND(E229*F229/100*D229/G229,2)))</f>
        <v/>
      </c>
      <c r="I229" s="13">
        <f>IF(B229="","",SUMIF(Оплаты!$A$6:$A$505,C229,Оплаты!$B$6:$B$505))</f>
        <v/>
      </c>
      <c r="J229" s="9">
        <f>IF(B229="","",IF(INDEX('По дням'!$E$2:$E$3662,MATCH(223,'По дням'!$G$2:$G$3662,0))=1,"да",""))</f>
        <v/>
      </c>
    </row>
    <row r="230">
      <c r="A230" s="9">
        <f>IF(B230="","",224)</f>
        <v/>
      </c>
      <c r="B230" s="12">
        <f>IFERROR(INDEX('По дням'!$A$2:$A$3662,MATCH(224,'По дням'!$G$2:$G$3662,0)),"")</f>
        <v/>
      </c>
      <c r="C230" s="12">
        <f>IF(B230="","",INDEX('По дням'!$A$2:$A$3662,MATCH(224,'По дням'!$G$2:$G$3662,0)+COUNTIF('По дням'!$G$2:$G$3662,224)-1))</f>
        <v/>
      </c>
      <c r="D230" s="9">
        <f>IF(B230="","",C230-B230+1)</f>
        <v/>
      </c>
      <c r="E230" s="13">
        <f>IF(B230="","",INDEX('По дням'!$D$2:$D$3662,MATCH(224,'По дням'!$G$2:$G$3662,0)))</f>
        <v/>
      </c>
      <c r="F230" s="9">
        <f>IF(B230="","",INDEX('По дням'!$B$2:$B$3662,MATCH(224,'По дням'!$G$2:$G$3662,0)))</f>
        <v/>
      </c>
      <c r="G230" s="9">
        <f>IF(B230="","",INDEX('По дням'!$C$2:$C$3662,MATCH(224,'По дням'!$G$2:$G$3662,0)))</f>
        <v/>
      </c>
      <c r="H230" s="13">
        <f>IF(OR(B230="",F230=""),"",IF(J230="да",0,ROUND(E230*F230/100*D230/G230,2)))</f>
        <v/>
      </c>
      <c r="I230" s="13">
        <f>IF(B230="","",SUMIF(Оплаты!$A$6:$A$505,C230,Оплаты!$B$6:$B$505))</f>
        <v/>
      </c>
      <c r="J230" s="9">
        <f>IF(B230="","",IF(INDEX('По дням'!$E$2:$E$3662,MATCH(224,'По дням'!$G$2:$G$3662,0))=1,"да",""))</f>
        <v/>
      </c>
    </row>
    <row r="231">
      <c r="A231" s="9">
        <f>IF(B231="","",225)</f>
        <v/>
      </c>
      <c r="B231" s="12">
        <f>IFERROR(INDEX('По дням'!$A$2:$A$3662,MATCH(225,'По дням'!$G$2:$G$3662,0)),"")</f>
        <v/>
      </c>
      <c r="C231" s="12">
        <f>IF(B231="","",INDEX('По дням'!$A$2:$A$3662,MATCH(225,'По дням'!$G$2:$G$3662,0)+COUNTIF('По дням'!$G$2:$G$3662,225)-1))</f>
        <v/>
      </c>
      <c r="D231" s="9">
        <f>IF(B231="","",C231-B231+1)</f>
        <v/>
      </c>
      <c r="E231" s="13">
        <f>IF(B231="","",INDEX('По дням'!$D$2:$D$3662,MATCH(225,'По дням'!$G$2:$G$3662,0)))</f>
        <v/>
      </c>
      <c r="F231" s="9">
        <f>IF(B231="","",INDEX('По дням'!$B$2:$B$3662,MATCH(225,'По дням'!$G$2:$G$3662,0)))</f>
        <v/>
      </c>
      <c r="G231" s="9">
        <f>IF(B231="","",INDEX('По дням'!$C$2:$C$3662,MATCH(225,'По дням'!$G$2:$G$3662,0)))</f>
        <v/>
      </c>
      <c r="H231" s="13">
        <f>IF(OR(B231="",F231=""),"",IF(J231="да",0,ROUND(E231*F231/100*D231/G231,2)))</f>
        <v/>
      </c>
      <c r="I231" s="13">
        <f>IF(B231="","",SUMIF(Оплаты!$A$6:$A$505,C231,Оплаты!$B$6:$B$505))</f>
        <v/>
      </c>
      <c r="J231" s="9">
        <f>IF(B231="","",IF(INDEX('По дням'!$E$2:$E$3662,MATCH(225,'По дням'!$G$2:$G$3662,0))=1,"да",""))</f>
        <v/>
      </c>
    </row>
    <row r="232">
      <c r="A232" s="9">
        <f>IF(B232="","",226)</f>
        <v/>
      </c>
      <c r="B232" s="12">
        <f>IFERROR(INDEX('По дням'!$A$2:$A$3662,MATCH(226,'По дням'!$G$2:$G$3662,0)),"")</f>
        <v/>
      </c>
      <c r="C232" s="12">
        <f>IF(B232="","",INDEX('По дням'!$A$2:$A$3662,MATCH(226,'По дням'!$G$2:$G$3662,0)+COUNTIF('По дням'!$G$2:$G$3662,226)-1))</f>
        <v/>
      </c>
      <c r="D232" s="9">
        <f>IF(B232="","",C232-B232+1)</f>
        <v/>
      </c>
      <c r="E232" s="13">
        <f>IF(B232="","",INDEX('По дням'!$D$2:$D$3662,MATCH(226,'По дням'!$G$2:$G$3662,0)))</f>
        <v/>
      </c>
      <c r="F232" s="9">
        <f>IF(B232="","",INDEX('По дням'!$B$2:$B$3662,MATCH(226,'По дням'!$G$2:$G$3662,0)))</f>
        <v/>
      </c>
      <c r="G232" s="9">
        <f>IF(B232="","",INDEX('По дням'!$C$2:$C$3662,MATCH(226,'По дням'!$G$2:$G$3662,0)))</f>
        <v/>
      </c>
      <c r="H232" s="13">
        <f>IF(OR(B232="",F232=""),"",IF(J232="да",0,ROUND(E232*F232/100*D232/G232,2)))</f>
        <v/>
      </c>
      <c r="I232" s="13">
        <f>IF(B232="","",SUMIF(Оплаты!$A$6:$A$505,C232,Оплаты!$B$6:$B$505))</f>
        <v/>
      </c>
      <c r="J232" s="9">
        <f>IF(B232="","",IF(INDEX('По дням'!$E$2:$E$3662,MATCH(226,'По дням'!$G$2:$G$3662,0))=1,"да",""))</f>
        <v/>
      </c>
    </row>
    <row r="233">
      <c r="A233" s="9">
        <f>IF(B233="","",227)</f>
        <v/>
      </c>
      <c r="B233" s="12">
        <f>IFERROR(INDEX('По дням'!$A$2:$A$3662,MATCH(227,'По дням'!$G$2:$G$3662,0)),"")</f>
        <v/>
      </c>
      <c r="C233" s="12">
        <f>IF(B233="","",INDEX('По дням'!$A$2:$A$3662,MATCH(227,'По дням'!$G$2:$G$3662,0)+COUNTIF('По дням'!$G$2:$G$3662,227)-1))</f>
        <v/>
      </c>
      <c r="D233" s="9">
        <f>IF(B233="","",C233-B233+1)</f>
        <v/>
      </c>
      <c r="E233" s="13">
        <f>IF(B233="","",INDEX('По дням'!$D$2:$D$3662,MATCH(227,'По дням'!$G$2:$G$3662,0)))</f>
        <v/>
      </c>
      <c r="F233" s="9">
        <f>IF(B233="","",INDEX('По дням'!$B$2:$B$3662,MATCH(227,'По дням'!$G$2:$G$3662,0)))</f>
        <v/>
      </c>
      <c r="G233" s="9">
        <f>IF(B233="","",INDEX('По дням'!$C$2:$C$3662,MATCH(227,'По дням'!$G$2:$G$3662,0)))</f>
        <v/>
      </c>
      <c r="H233" s="13">
        <f>IF(OR(B233="",F233=""),"",IF(J233="да",0,ROUND(E233*F233/100*D233/G233,2)))</f>
        <v/>
      </c>
      <c r="I233" s="13">
        <f>IF(B233="","",SUMIF(Оплаты!$A$6:$A$505,C233,Оплаты!$B$6:$B$505))</f>
        <v/>
      </c>
      <c r="J233" s="9">
        <f>IF(B233="","",IF(INDEX('По дням'!$E$2:$E$3662,MATCH(227,'По дням'!$G$2:$G$3662,0))=1,"да",""))</f>
        <v/>
      </c>
    </row>
    <row r="234">
      <c r="A234" s="9">
        <f>IF(B234="","",228)</f>
        <v/>
      </c>
      <c r="B234" s="12">
        <f>IFERROR(INDEX('По дням'!$A$2:$A$3662,MATCH(228,'По дням'!$G$2:$G$3662,0)),"")</f>
        <v/>
      </c>
      <c r="C234" s="12">
        <f>IF(B234="","",INDEX('По дням'!$A$2:$A$3662,MATCH(228,'По дням'!$G$2:$G$3662,0)+COUNTIF('По дням'!$G$2:$G$3662,228)-1))</f>
        <v/>
      </c>
      <c r="D234" s="9">
        <f>IF(B234="","",C234-B234+1)</f>
        <v/>
      </c>
      <c r="E234" s="13">
        <f>IF(B234="","",INDEX('По дням'!$D$2:$D$3662,MATCH(228,'По дням'!$G$2:$G$3662,0)))</f>
        <v/>
      </c>
      <c r="F234" s="9">
        <f>IF(B234="","",INDEX('По дням'!$B$2:$B$3662,MATCH(228,'По дням'!$G$2:$G$3662,0)))</f>
        <v/>
      </c>
      <c r="G234" s="9">
        <f>IF(B234="","",INDEX('По дням'!$C$2:$C$3662,MATCH(228,'По дням'!$G$2:$G$3662,0)))</f>
        <v/>
      </c>
      <c r="H234" s="13">
        <f>IF(OR(B234="",F234=""),"",IF(J234="да",0,ROUND(E234*F234/100*D234/G234,2)))</f>
        <v/>
      </c>
      <c r="I234" s="13">
        <f>IF(B234="","",SUMIF(Оплаты!$A$6:$A$505,C234,Оплаты!$B$6:$B$505))</f>
        <v/>
      </c>
      <c r="J234" s="9">
        <f>IF(B234="","",IF(INDEX('По дням'!$E$2:$E$3662,MATCH(228,'По дням'!$G$2:$G$3662,0))=1,"да",""))</f>
        <v/>
      </c>
    </row>
    <row r="235">
      <c r="A235" s="9">
        <f>IF(B235="","",229)</f>
        <v/>
      </c>
      <c r="B235" s="12">
        <f>IFERROR(INDEX('По дням'!$A$2:$A$3662,MATCH(229,'По дням'!$G$2:$G$3662,0)),"")</f>
        <v/>
      </c>
      <c r="C235" s="12">
        <f>IF(B235="","",INDEX('По дням'!$A$2:$A$3662,MATCH(229,'По дням'!$G$2:$G$3662,0)+COUNTIF('По дням'!$G$2:$G$3662,229)-1))</f>
        <v/>
      </c>
      <c r="D235" s="9">
        <f>IF(B235="","",C235-B235+1)</f>
        <v/>
      </c>
      <c r="E235" s="13">
        <f>IF(B235="","",INDEX('По дням'!$D$2:$D$3662,MATCH(229,'По дням'!$G$2:$G$3662,0)))</f>
        <v/>
      </c>
      <c r="F235" s="9">
        <f>IF(B235="","",INDEX('По дням'!$B$2:$B$3662,MATCH(229,'По дням'!$G$2:$G$3662,0)))</f>
        <v/>
      </c>
      <c r="G235" s="9">
        <f>IF(B235="","",INDEX('По дням'!$C$2:$C$3662,MATCH(229,'По дням'!$G$2:$G$3662,0)))</f>
        <v/>
      </c>
      <c r="H235" s="13">
        <f>IF(OR(B235="",F235=""),"",IF(J235="да",0,ROUND(E235*F235/100*D235/G235,2)))</f>
        <v/>
      </c>
      <c r="I235" s="13">
        <f>IF(B235="","",SUMIF(Оплаты!$A$6:$A$505,C235,Оплаты!$B$6:$B$505))</f>
        <v/>
      </c>
      <c r="J235" s="9">
        <f>IF(B235="","",IF(INDEX('По дням'!$E$2:$E$3662,MATCH(229,'По дням'!$G$2:$G$3662,0))=1,"да",""))</f>
        <v/>
      </c>
    </row>
    <row r="236">
      <c r="A236" s="9">
        <f>IF(B236="","",230)</f>
        <v/>
      </c>
      <c r="B236" s="12">
        <f>IFERROR(INDEX('По дням'!$A$2:$A$3662,MATCH(230,'По дням'!$G$2:$G$3662,0)),"")</f>
        <v/>
      </c>
      <c r="C236" s="12">
        <f>IF(B236="","",INDEX('По дням'!$A$2:$A$3662,MATCH(230,'По дням'!$G$2:$G$3662,0)+COUNTIF('По дням'!$G$2:$G$3662,230)-1))</f>
        <v/>
      </c>
      <c r="D236" s="9">
        <f>IF(B236="","",C236-B236+1)</f>
        <v/>
      </c>
      <c r="E236" s="13">
        <f>IF(B236="","",INDEX('По дням'!$D$2:$D$3662,MATCH(230,'По дням'!$G$2:$G$3662,0)))</f>
        <v/>
      </c>
      <c r="F236" s="9">
        <f>IF(B236="","",INDEX('По дням'!$B$2:$B$3662,MATCH(230,'По дням'!$G$2:$G$3662,0)))</f>
        <v/>
      </c>
      <c r="G236" s="9">
        <f>IF(B236="","",INDEX('По дням'!$C$2:$C$3662,MATCH(230,'По дням'!$G$2:$G$3662,0)))</f>
        <v/>
      </c>
      <c r="H236" s="13">
        <f>IF(OR(B236="",F236=""),"",IF(J236="да",0,ROUND(E236*F236/100*D236/G236,2)))</f>
        <v/>
      </c>
      <c r="I236" s="13">
        <f>IF(B236="","",SUMIF(Оплаты!$A$6:$A$505,C236,Оплаты!$B$6:$B$505))</f>
        <v/>
      </c>
      <c r="J236" s="9">
        <f>IF(B236="","",IF(INDEX('По дням'!$E$2:$E$3662,MATCH(230,'По дням'!$G$2:$G$3662,0))=1,"да",""))</f>
        <v/>
      </c>
    </row>
    <row r="237">
      <c r="A237" s="9">
        <f>IF(B237="","",231)</f>
        <v/>
      </c>
      <c r="B237" s="12">
        <f>IFERROR(INDEX('По дням'!$A$2:$A$3662,MATCH(231,'По дням'!$G$2:$G$3662,0)),"")</f>
        <v/>
      </c>
      <c r="C237" s="12">
        <f>IF(B237="","",INDEX('По дням'!$A$2:$A$3662,MATCH(231,'По дням'!$G$2:$G$3662,0)+COUNTIF('По дням'!$G$2:$G$3662,231)-1))</f>
        <v/>
      </c>
      <c r="D237" s="9">
        <f>IF(B237="","",C237-B237+1)</f>
        <v/>
      </c>
      <c r="E237" s="13">
        <f>IF(B237="","",INDEX('По дням'!$D$2:$D$3662,MATCH(231,'По дням'!$G$2:$G$3662,0)))</f>
        <v/>
      </c>
      <c r="F237" s="9">
        <f>IF(B237="","",INDEX('По дням'!$B$2:$B$3662,MATCH(231,'По дням'!$G$2:$G$3662,0)))</f>
        <v/>
      </c>
      <c r="G237" s="9">
        <f>IF(B237="","",INDEX('По дням'!$C$2:$C$3662,MATCH(231,'По дням'!$G$2:$G$3662,0)))</f>
        <v/>
      </c>
      <c r="H237" s="13">
        <f>IF(OR(B237="",F237=""),"",IF(J237="да",0,ROUND(E237*F237/100*D237/G237,2)))</f>
        <v/>
      </c>
      <c r="I237" s="13">
        <f>IF(B237="","",SUMIF(Оплаты!$A$6:$A$505,C237,Оплаты!$B$6:$B$505))</f>
        <v/>
      </c>
      <c r="J237" s="9">
        <f>IF(B237="","",IF(INDEX('По дням'!$E$2:$E$3662,MATCH(231,'По дням'!$G$2:$G$3662,0))=1,"да",""))</f>
        <v/>
      </c>
    </row>
    <row r="238">
      <c r="A238" s="9">
        <f>IF(B238="","",232)</f>
        <v/>
      </c>
      <c r="B238" s="12">
        <f>IFERROR(INDEX('По дням'!$A$2:$A$3662,MATCH(232,'По дням'!$G$2:$G$3662,0)),"")</f>
        <v/>
      </c>
      <c r="C238" s="12">
        <f>IF(B238="","",INDEX('По дням'!$A$2:$A$3662,MATCH(232,'По дням'!$G$2:$G$3662,0)+COUNTIF('По дням'!$G$2:$G$3662,232)-1))</f>
        <v/>
      </c>
      <c r="D238" s="9">
        <f>IF(B238="","",C238-B238+1)</f>
        <v/>
      </c>
      <c r="E238" s="13">
        <f>IF(B238="","",INDEX('По дням'!$D$2:$D$3662,MATCH(232,'По дням'!$G$2:$G$3662,0)))</f>
        <v/>
      </c>
      <c r="F238" s="9">
        <f>IF(B238="","",INDEX('По дням'!$B$2:$B$3662,MATCH(232,'По дням'!$G$2:$G$3662,0)))</f>
        <v/>
      </c>
      <c r="G238" s="9">
        <f>IF(B238="","",INDEX('По дням'!$C$2:$C$3662,MATCH(232,'По дням'!$G$2:$G$3662,0)))</f>
        <v/>
      </c>
      <c r="H238" s="13">
        <f>IF(OR(B238="",F238=""),"",IF(J238="да",0,ROUND(E238*F238/100*D238/G238,2)))</f>
        <v/>
      </c>
      <c r="I238" s="13">
        <f>IF(B238="","",SUMIF(Оплаты!$A$6:$A$505,C238,Оплаты!$B$6:$B$505))</f>
        <v/>
      </c>
      <c r="J238" s="9">
        <f>IF(B238="","",IF(INDEX('По дням'!$E$2:$E$3662,MATCH(232,'По дням'!$G$2:$G$3662,0))=1,"да",""))</f>
        <v/>
      </c>
    </row>
    <row r="239">
      <c r="A239" s="9">
        <f>IF(B239="","",233)</f>
        <v/>
      </c>
      <c r="B239" s="12">
        <f>IFERROR(INDEX('По дням'!$A$2:$A$3662,MATCH(233,'По дням'!$G$2:$G$3662,0)),"")</f>
        <v/>
      </c>
      <c r="C239" s="12">
        <f>IF(B239="","",INDEX('По дням'!$A$2:$A$3662,MATCH(233,'По дням'!$G$2:$G$3662,0)+COUNTIF('По дням'!$G$2:$G$3662,233)-1))</f>
        <v/>
      </c>
      <c r="D239" s="9">
        <f>IF(B239="","",C239-B239+1)</f>
        <v/>
      </c>
      <c r="E239" s="13">
        <f>IF(B239="","",INDEX('По дням'!$D$2:$D$3662,MATCH(233,'По дням'!$G$2:$G$3662,0)))</f>
        <v/>
      </c>
      <c r="F239" s="9">
        <f>IF(B239="","",INDEX('По дням'!$B$2:$B$3662,MATCH(233,'По дням'!$G$2:$G$3662,0)))</f>
        <v/>
      </c>
      <c r="G239" s="9">
        <f>IF(B239="","",INDEX('По дням'!$C$2:$C$3662,MATCH(233,'По дням'!$G$2:$G$3662,0)))</f>
        <v/>
      </c>
      <c r="H239" s="13">
        <f>IF(OR(B239="",F239=""),"",IF(J239="да",0,ROUND(E239*F239/100*D239/G239,2)))</f>
        <v/>
      </c>
      <c r="I239" s="13">
        <f>IF(B239="","",SUMIF(Оплаты!$A$6:$A$505,C239,Оплаты!$B$6:$B$505))</f>
        <v/>
      </c>
      <c r="J239" s="9">
        <f>IF(B239="","",IF(INDEX('По дням'!$E$2:$E$3662,MATCH(233,'По дням'!$G$2:$G$3662,0))=1,"да",""))</f>
        <v/>
      </c>
    </row>
    <row r="240">
      <c r="A240" s="9">
        <f>IF(B240="","",234)</f>
        <v/>
      </c>
      <c r="B240" s="12">
        <f>IFERROR(INDEX('По дням'!$A$2:$A$3662,MATCH(234,'По дням'!$G$2:$G$3662,0)),"")</f>
        <v/>
      </c>
      <c r="C240" s="12">
        <f>IF(B240="","",INDEX('По дням'!$A$2:$A$3662,MATCH(234,'По дням'!$G$2:$G$3662,0)+COUNTIF('По дням'!$G$2:$G$3662,234)-1))</f>
        <v/>
      </c>
      <c r="D240" s="9">
        <f>IF(B240="","",C240-B240+1)</f>
        <v/>
      </c>
      <c r="E240" s="13">
        <f>IF(B240="","",INDEX('По дням'!$D$2:$D$3662,MATCH(234,'По дням'!$G$2:$G$3662,0)))</f>
        <v/>
      </c>
      <c r="F240" s="9">
        <f>IF(B240="","",INDEX('По дням'!$B$2:$B$3662,MATCH(234,'По дням'!$G$2:$G$3662,0)))</f>
        <v/>
      </c>
      <c r="G240" s="9">
        <f>IF(B240="","",INDEX('По дням'!$C$2:$C$3662,MATCH(234,'По дням'!$G$2:$G$3662,0)))</f>
        <v/>
      </c>
      <c r="H240" s="13">
        <f>IF(OR(B240="",F240=""),"",IF(J240="да",0,ROUND(E240*F240/100*D240/G240,2)))</f>
        <v/>
      </c>
      <c r="I240" s="13">
        <f>IF(B240="","",SUMIF(Оплаты!$A$6:$A$505,C240,Оплаты!$B$6:$B$505))</f>
        <v/>
      </c>
      <c r="J240" s="9">
        <f>IF(B240="","",IF(INDEX('По дням'!$E$2:$E$3662,MATCH(234,'По дням'!$G$2:$G$3662,0))=1,"да",""))</f>
        <v/>
      </c>
    </row>
    <row r="241">
      <c r="A241" s="9">
        <f>IF(B241="","",235)</f>
        <v/>
      </c>
      <c r="B241" s="12">
        <f>IFERROR(INDEX('По дням'!$A$2:$A$3662,MATCH(235,'По дням'!$G$2:$G$3662,0)),"")</f>
        <v/>
      </c>
      <c r="C241" s="12">
        <f>IF(B241="","",INDEX('По дням'!$A$2:$A$3662,MATCH(235,'По дням'!$G$2:$G$3662,0)+COUNTIF('По дням'!$G$2:$G$3662,235)-1))</f>
        <v/>
      </c>
      <c r="D241" s="9">
        <f>IF(B241="","",C241-B241+1)</f>
        <v/>
      </c>
      <c r="E241" s="13">
        <f>IF(B241="","",INDEX('По дням'!$D$2:$D$3662,MATCH(235,'По дням'!$G$2:$G$3662,0)))</f>
        <v/>
      </c>
      <c r="F241" s="9">
        <f>IF(B241="","",INDEX('По дням'!$B$2:$B$3662,MATCH(235,'По дням'!$G$2:$G$3662,0)))</f>
        <v/>
      </c>
      <c r="G241" s="9">
        <f>IF(B241="","",INDEX('По дням'!$C$2:$C$3662,MATCH(235,'По дням'!$G$2:$G$3662,0)))</f>
        <v/>
      </c>
      <c r="H241" s="13">
        <f>IF(OR(B241="",F241=""),"",IF(J241="да",0,ROUND(E241*F241/100*D241/G241,2)))</f>
        <v/>
      </c>
      <c r="I241" s="13">
        <f>IF(B241="","",SUMIF(Оплаты!$A$6:$A$505,C241,Оплаты!$B$6:$B$505))</f>
        <v/>
      </c>
      <c r="J241" s="9">
        <f>IF(B241="","",IF(INDEX('По дням'!$E$2:$E$3662,MATCH(235,'По дням'!$G$2:$G$3662,0))=1,"да",""))</f>
        <v/>
      </c>
    </row>
    <row r="242">
      <c r="A242" s="9">
        <f>IF(B242="","",236)</f>
        <v/>
      </c>
      <c r="B242" s="12">
        <f>IFERROR(INDEX('По дням'!$A$2:$A$3662,MATCH(236,'По дням'!$G$2:$G$3662,0)),"")</f>
        <v/>
      </c>
      <c r="C242" s="12">
        <f>IF(B242="","",INDEX('По дням'!$A$2:$A$3662,MATCH(236,'По дням'!$G$2:$G$3662,0)+COUNTIF('По дням'!$G$2:$G$3662,236)-1))</f>
        <v/>
      </c>
      <c r="D242" s="9">
        <f>IF(B242="","",C242-B242+1)</f>
        <v/>
      </c>
      <c r="E242" s="13">
        <f>IF(B242="","",INDEX('По дням'!$D$2:$D$3662,MATCH(236,'По дням'!$G$2:$G$3662,0)))</f>
        <v/>
      </c>
      <c r="F242" s="9">
        <f>IF(B242="","",INDEX('По дням'!$B$2:$B$3662,MATCH(236,'По дням'!$G$2:$G$3662,0)))</f>
        <v/>
      </c>
      <c r="G242" s="9">
        <f>IF(B242="","",INDEX('По дням'!$C$2:$C$3662,MATCH(236,'По дням'!$G$2:$G$3662,0)))</f>
        <v/>
      </c>
      <c r="H242" s="13">
        <f>IF(OR(B242="",F242=""),"",IF(J242="да",0,ROUND(E242*F242/100*D242/G242,2)))</f>
        <v/>
      </c>
      <c r="I242" s="13">
        <f>IF(B242="","",SUMIF(Оплаты!$A$6:$A$505,C242,Оплаты!$B$6:$B$505))</f>
        <v/>
      </c>
      <c r="J242" s="9">
        <f>IF(B242="","",IF(INDEX('По дням'!$E$2:$E$3662,MATCH(236,'По дням'!$G$2:$G$3662,0))=1,"да",""))</f>
        <v/>
      </c>
    </row>
    <row r="243">
      <c r="A243" s="9">
        <f>IF(B243="","",237)</f>
        <v/>
      </c>
      <c r="B243" s="12">
        <f>IFERROR(INDEX('По дням'!$A$2:$A$3662,MATCH(237,'По дням'!$G$2:$G$3662,0)),"")</f>
        <v/>
      </c>
      <c r="C243" s="12">
        <f>IF(B243="","",INDEX('По дням'!$A$2:$A$3662,MATCH(237,'По дням'!$G$2:$G$3662,0)+COUNTIF('По дням'!$G$2:$G$3662,237)-1))</f>
        <v/>
      </c>
      <c r="D243" s="9">
        <f>IF(B243="","",C243-B243+1)</f>
        <v/>
      </c>
      <c r="E243" s="13">
        <f>IF(B243="","",INDEX('По дням'!$D$2:$D$3662,MATCH(237,'По дням'!$G$2:$G$3662,0)))</f>
        <v/>
      </c>
      <c r="F243" s="9">
        <f>IF(B243="","",INDEX('По дням'!$B$2:$B$3662,MATCH(237,'По дням'!$G$2:$G$3662,0)))</f>
        <v/>
      </c>
      <c r="G243" s="9">
        <f>IF(B243="","",INDEX('По дням'!$C$2:$C$3662,MATCH(237,'По дням'!$G$2:$G$3662,0)))</f>
        <v/>
      </c>
      <c r="H243" s="13">
        <f>IF(OR(B243="",F243=""),"",IF(J243="да",0,ROUND(E243*F243/100*D243/G243,2)))</f>
        <v/>
      </c>
      <c r="I243" s="13">
        <f>IF(B243="","",SUMIF(Оплаты!$A$6:$A$505,C243,Оплаты!$B$6:$B$505))</f>
        <v/>
      </c>
      <c r="J243" s="9">
        <f>IF(B243="","",IF(INDEX('По дням'!$E$2:$E$3662,MATCH(237,'По дням'!$G$2:$G$3662,0))=1,"да",""))</f>
        <v/>
      </c>
    </row>
    <row r="244">
      <c r="A244" s="9">
        <f>IF(B244="","",238)</f>
        <v/>
      </c>
      <c r="B244" s="12">
        <f>IFERROR(INDEX('По дням'!$A$2:$A$3662,MATCH(238,'По дням'!$G$2:$G$3662,0)),"")</f>
        <v/>
      </c>
      <c r="C244" s="12">
        <f>IF(B244="","",INDEX('По дням'!$A$2:$A$3662,MATCH(238,'По дням'!$G$2:$G$3662,0)+COUNTIF('По дням'!$G$2:$G$3662,238)-1))</f>
        <v/>
      </c>
      <c r="D244" s="9">
        <f>IF(B244="","",C244-B244+1)</f>
        <v/>
      </c>
      <c r="E244" s="13">
        <f>IF(B244="","",INDEX('По дням'!$D$2:$D$3662,MATCH(238,'По дням'!$G$2:$G$3662,0)))</f>
        <v/>
      </c>
      <c r="F244" s="9">
        <f>IF(B244="","",INDEX('По дням'!$B$2:$B$3662,MATCH(238,'По дням'!$G$2:$G$3662,0)))</f>
        <v/>
      </c>
      <c r="G244" s="9">
        <f>IF(B244="","",INDEX('По дням'!$C$2:$C$3662,MATCH(238,'По дням'!$G$2:$G$3662,0)))</f>
        <v/>
      </c>
      <c r="H244" s="13">
        <f>IF(OR(B244="",F244=""),"",IF(J244="да",0,ROUND(E244*F244/100*D244/G244,2)))</f>
        <v/>
      </c>
      <c r="I244" s="13">
        <f>IF(B244="","",SUMIF(Оплаты!$A$6:$A$505,C244,Оплаты!$B$6:$B$505))</f>
        <v/>
      </c>
      <c r="J244" s="9">
        <f>IF(B244="","",IF(INDEX('По дням'!$E$2:$E$3662,MATCH(238,'По дням'!$G$2:$G$3662,0))=1,"да",""))</f>
        <v/>
      </c>
    </row>
    <row r="245">
      <c r="A245" s="9">
        <f>IF(B245="","",239)</f>
        <v/>
      </c>
      <c r="B245" s="12">
        <f>IFERROR(INDEX('По дням'!$A$2:$A$3662,MATCH(239,'По дням'!$G$2:$G$3662,0)),"")</f>
        <v/>
      </c>
      <c r="C245" s="12">
        <f>IF(B245="","",INDEX('По дням'!$A$2:$A$3662,MATCH(239,'По дням'!$G$2:$G$3662,0)+COUNTIF('По дням'!$G$2:$G$3662,239)-1))</f>
        <v/>
      </c>
      <c r="D245" s="9">
        <f>IF(B245="","",C245-B245+1)</f>
        <v/>
      </c>
      <c r="E245" s="13">
        <f>IF(B245="","",INDEX('По дням'!$D$2:$D$3662,MATCH(239,'По дням'!$G$2:$G$3662,0)))</f>
        <v/>
      </c>
      <c r="F245" s="9">
        <f>IF(B245="","",INDEX('По дням'!$B$2:$B$3662,MATCH(239,'По дням'!$G$2:$G$3662,0)))</f>
        <v/>
      </c>
      <c r="G245" s="9">
        <f>IF(B245="","",INDEX('По дням'!$C$2:$C$3662,MATCH(239,'По дням'!$G$2:$G$3662,0)))</f>
        <v/>
      </c>
      <c r="H245" s="13">
        <f>IF(OR(B245="",F245=""),"",IF(J245="да",0,ROUND(E245*F245/100*D245/G245,2)))</f>
        <v/>
      </c>
      <c r="I245" s="13">
        <f>IF(B245="","",SUMIF(Оплаты!$A$6:$A$505,C245,Оплаты!$B$6:$B$505))</f>
        <v/>
      </c>
      <c r="J245" s="9">
        <f>IF(B245="","",IF(INDEX('По дням'!$E$2:$E$3662,MATCH(239,'По дням'!$G$2:$G$3662,0))=1,"да",""))</f>
        <v/>
      </c>
    </row>
    <row r="246">
      <c r="A246" s="9">
        <f>IF(B246="","",240)</f>
        <v/>
      </c>
      <c r="B246" s="12">
        <f>IFERROR(INDEX('По дням'!$A$2:$A$3662,MATCH(240,'По дням'!$G$2:$G$3662,0)),"")</f>
        <v/>
      </c>
      <c r="C246" s="12">
        <f>IF(B246="","",INDEX('По дням'!$A$2:$A$3662,MATCH(240,'По дням'!$G$2:$G$3662,0)+COUNTIF('По дням'!$G$2:$G$3662,240)-1))</f>
        <v/>
      </c>
      <c r="D246" s="9">
        <f>IF(B246="","",C246-B246+1)</f>
        <v/>
      </c>
      <c r="E246" s="13">
        <f>IF(B246="","",INDEX('По дням'!$D$2:$D$3662,MATCH(240,'По дням'!$G$2:$G$3662,0)))</f>
        <v/>
      </c>
      <c r="F246" s="9">
        <f>IF(B246="","",INDEX('По дням'!$B$2:$B$3662,MATCH(240,'По дням'!$G$2:$G$3662,0)))</f>
        <v/>
      </c>
      <c r="G246" s="9">
        <f>IF(B246="","",INDEX('По дням'!$C$2:$C$3662,MATCH(240,'По дням'!$G$2:$G$3662,0)))</f>
        <v/>
      </c>
      <c r="H246" s="13">
        <f>IF(OR(B246="",F246=""),"",IF(J246="да",0,ROUND(E246*F246/100*D246/G246,2)))</f>
        <v/>
      </c>
      <c r="I246" s="13">
        <f>IF(B246="","",SUMIF(Оплаты!$A$6:$A$505,C246,Оплаты!$B$6:$B$505))</f>
        <v/>
      </c>
      <c r="J246" s="9">
        <f>IF(B246="","",IF(INDEX('По дням'!$E$2:$E$3662,MATCH(240,'По дням'!$G$2:$G$3662,0))=1,"да",""))</f>
        <v/>
      </c>
    </row>
    <row r="247">
      <c r="A247" s="9">
        <f>IF(B247="","",241)</f>
        <v/>
      </c>
      <c r="B247" s="12">
        <f>IFERROR(INDEX('По дням'!$A$2:$A$3662,MATCH(241,'По дням'!$G$2:$G$3662,0)),"")</f>
        <v/>
      </c>
      <c r="C247" s="12">
        <f>IF(B247="","",INDEX('По дням'!$A$2:$A$3662,MATCH(241,'По дням'!$G$2:$G$3662,0)+COUNTIF('По дням'!$G$2:$G$3662,241)-1))</f>
        <v/>
      </c>
      <c r="D247" s="9">
        <f>IF(B247="","",C247-B247+1)</f>
        <v/>
      </c>
      <c r="E247" s="13">
        <f>IF(B247="","",INDEX('По дням'!$D$2:$D$3662,MATCH(241,'По дням'!$G$2:$G$3662,0)))</f>
        <v/>
      </c>
      <c r="F247" s="9">
        <f>IF(B247="","",INDEX('По дням'!$B$2:$B$3662,MATCH(241,'По дням'!$G$2:$G$3662,0)))</f>
        <v/>
      </c>
      <c r="G247" s="9">
        <f>IF(B247="","",INDEX('По дням'!$C$2:$C$3662,MATCH(241,'По дням'!$G$2:$G$3662,0)))</f>
        <v/>
      </c>
      <c r="H247" s="13">
        <f>IF(OR(B247="",F247=""),"",IF(J247="да",0,ROUND(E247*F247/100*D247/G247,2)))</f>
        <v/>
      </c>
      <c r="I247" s="13">
        <f>IF(B247="","",SUMIF(Оплаты!$A$6:$A$505,C247,Оплаты!$B$6:$B$505))</f>
        <v/>
      </c>
      <c r="J247" s="9">
        <f>IF(B247="","",IF(INDEX('По дням'!$E$2:$E$3662,MATCH(241,'По дням'!$G$2:$G$3662,0))=1,"да",""))</f>
        <v/>
      </c>
    </row>
    <row r="248">
      <c r="A248" s="9">
        <f>IF(B248="","",242)</f>
        <v/>
      </c>
      <c r="B248" s="12">
        <f>IFERROR(INDEX('По дням'!$A$2:$A$3662,MATCH(242,'По дням'!$G$2:$G$3662,0)),"")</f>
        <v/>
      </c>
      <c r="C248" s="12">
        <f>IF(B248="","",INDEX('По дням'!$A$2:$A$3662,MATCH(242,'По дням'!$G$2:$G$3662,0)+COUNTIF('По дням'!$G$2:$G$3662,242)-1))</f>
        <v/>
      </c>
      <c r="D248" s="9">
        <f>IF(B248="","",C248-B248+1)</f>
        <v/>
      </c>
      <c r="E248" s="13">
        <f>IF(B248="","",INDEX('По дням'!$D$2:$D$3662,MATCH(242,'По дням'!$G$2:$G$3662,0)))</f>
        <v/>
      </c>
      <c r="F248" s="9">
        <f>IF(B248="","",INDEX('По дням'!$B$2:$B$3662,MATCH(242,'По дням'!$G$2:$G$3662,0)))</f>
        <v/>
      </c>
      <c r="G248" s="9">
        <f>IF(B248="","",INDEX('По дням'!$C$2:$C$3662,MATCH(242,'По дням'!$G$2:$G$3662,0)))</f>
        <v/>
      </c>
      <c r="H248" s="13">
        <f>IF(OR(B248="",F248=""),"",IF(J248="да",0,ROUND(E248*F248/100*D248/G248,2)))</f>
        <v/>
      </c>
      <c r="I248" s="13">
        <f>IF(B248="","",SUMIF(Оплаты!$A$6:$A$505,C248,Оплаты!$B$6:$B$505))</f>
        <v/>
      </c>
      <c r="J248" s="9">
        <f>IF(B248="","",IF(INDEX('По дням'!$E$2:$E$3662,MATCH(242,'По дням'!$G$2:$G$3662,0))=1,"да",""))</f>
        <v/>
      </c>
    </row>
    <row r="249">
      <c r="A249" s="9">
        <f>IF(B249="","",243)</f>
        <v/>
      </c>
      <c r="B249" s="12">
        <f>IFERROR(INDEX('По дням'!$A$2:$A$3662,MATCH(243,'По дням'!$G$2:$G$3662,0)),"")</f>
        <v/>
      </c>
      <c r="C249" s="12">
        <f>IF(B249="","",INDEX('По дням'!$A$2:$A$3662,MATCH(243,'По дням'!$G$2:$G$3662,0)+COUNTIF('По дням'!$G$2:$G$3662,243)-1))</f>
        <v/>
      </c>
      <c r="D249" s="9">
        <f>IF(B249="","",C249-B249+1)</f>
        <v/>
      </c>
      <c r="E249" s="13">
        <f>IF(B249="","",INDEX('По дням'!$D$2:$D$3662,MATCH(243,'По дням'!$G$2:$G$3662,0)))</f>
        <v/>
      </c>
      <c r="F249" s="9">
        <f>IF(B249="","",INDEX('По дням'!$B$2:$B$3662,MATCH(243,'По дням'!$G$2:$G$3662,0)))</f>
        <v/>
      </c>
      <c r="G249" s="9">
        <f>IF(B249="","",INDEX('По дням'!$C$2:$C$3662,MATCH(243,'По дням'!$G$2:$G$3662,0)))</f>
        <v/>
      </c>
      <c r="H249" s="13">
        <f>IF(OR(B249="",F249=""),"",IF(J249="да",0,ROUND(E249*F249/100*D249/G249,2)))</f>
        <v/>
      </c>
      <c r="I249" s="13">
        <f>IF(B249="","",SUMIF(Оплаты!$A$6:$A$505,C249,Оплаты!$B$6:$B$505))</f>
        <v/>
      </c>
      <c r="J249" s="9">
        <f>IF(B249="","",IF(INDEX('По дням'!$E$2:$E$3662,MATCH(243,'По дням'!$G$2:$G$3662,0))=1,"да",""))</f>
        <v/>
      </c>
    </row>
    <row r="250">
      <c r="A250" s="9">
        <f>IF(B250="","",244)</f>
        <v/>
      </c>
      <c r="B250" s="12">
        <f>IFERROR(INDEX('По дням'!$A$2:$A$3662,MATCH(244,'По дням'!$G$2:$G$3662,0)),"")</f>
        <v/>
      </c>
      <c r="C250" s="12">
        <f>IF(B250="","",INDEX('По дням'!$A$2:$A$3662,MATCH(244,'По дням'!$G$2:$G$3662,0)+COUNTIF('По дням'!$G$2:$G$3662,244)-1))</f>
        <v/>
      </c>
      <c r="D250" s="9">
        <f>IF(B250="","",C250-B250+1)</f>
        <v/>
      </c>
      <c r="E250" s="13">
        <f>IF(B250="","",INDEX('По дням'!$D$2:$D$3662,MATCH(244,'По дням'!$G$2:$G$3662,0)))</f>
        <v/>
      </c>
      <c r="F250" s="9">
        <f>IF(B250="","",INDEX('По дням'!$B$2:$B$3662,MATCH(244,'По дням'!$G$2:$G$3662,0)))</f>
        <v/>
      </c>
      <c r="G250" s="9">
        <f>IF(B250="","",INDEX('По дням'!$C$2:$C$3662,MATCH(244,'По дням'!$G$2:$G$3662,0)))</f>
        <v/>
      </c>
      <c r="H250" s="13">
        <f>IF(OR(B250="",F250=""),"",IF(J250="да",0,ROUND(E250*F250/100*D250/G250,2)))</f>
        <v/>
      </c>
      <c r="I250" s="13">
        <f>IF(B250="","",SUMIF(Оплаты!$A$6:$A$505,C250,Оплаты!$B$6:$B$505))</f>
        <v/>
      </c>
      <c r="J250" s="9">
        <f>IF(B250="","",IF(INDEX('По дням'!$E$2:$E$3662,MATCH(244,'По дням'!$G$2:$G$3662,0))=1,"да",""))</f>
        <v/>
      </c>
    </row>
    <row r="251">
      <c r="A251" s="9">
        <f>IF(B251="","",245)</f>
        <v/>
      </c>
      <c r="B251" s="12">
        <f>IFERROR(INDEX('По дням'!$A$2:$A$3662,MATCH(245,'По дням'!$G$2:$G$3662,0)),"")</f>
        <v/>
      </c>
      <c r="C251" s="12">
        <f>IF(B251="","",INDEX('По дням'!$A$2:$A$3662,MATCH(245,'По дням'!$G$2:$G$3662,0)+COUNTIF('По дням'!$G$2:$G$3662,245)-1))</f>
        <v/>
      </c>
      <c r="D251" s="9">
        <f>IF(B251="","",C251-B251+1)</f>
        <v/>
      </c>
      <c r="E251" s="13">
        <f>IF(B251="","",INDEX('По дням'!$D$2:$D$3662,MATCH(245,'По дням'!$G$2:$G$3662,0)))</f>
        <v/>
      </c>
      <c r="F251" s="9">
        <f>IF(B251="","",INDEX('По дням'!$B$2:$B$3662,MATCH(245,'По дням'!$G$2:$G$3662,0)))</f>
        <v/>
      </c>
      <c r="G251" s="9">
        <f>IF(B251="","",INDEX('По дням'!$C$2:$C$3662,MATCH(245,'По дням'!$G$2:$G$3662,0)))</f>
        <v/>
      </c>
      <c r="H251" s="13">
        <f>IF(OR(B251="",F251=""),"",IF(J251="да",0,ROUND(E251*F251/100*D251/G251,2)))</f>
        <v/>
      </c>
      <c r="I251" s="13">
        <f>IF(B251="","",SUMIF(Оплаты!$A$6:$A$505,C251,Оплаты!$B$6:$B$505))</f>
        <v/>
      </c>
      <c r="J251" s="9">
        <f>IF(B251="","",IF(INDEX('По дням'!$E$2:$E$3662,MATCH(245,'По дням'!$G$2:$G$3662,0))=1,"да",""))</f>
        <v/>
      </c>
    </row>
    <row r="252">
      <c r="A252" s="9">
        <f>IF(B252="","",246)</f>
        <v/>
      </c>
      <c r="B252" s="12">
        <f>IFERROR(INDEX('По дням'!$A$2:$A$3662,MATCH(246,'По дням'!$G$2:$G$3662,0)),"")</f>
        <v/>
      </c>
      <c r="C252" s="12">
        <f>IF(B252="","",INDEX('По дням'!$A$2:$A$3662,MATCH(246,'По дням'!$G$2:$G$3662,0)+COUNTIF('По дням'!$G$2:$G$3662,246)-1))</f>
        <v/>
      </c>
      <c r="D252" s="9">
        <f>IF(B252="","",C252-B252+1)</f>
        <v/>
      </c>
      <c r="E252" s="13">
        <f>IF(B252="","",INDEX('По дням'!$D$2:$D$3662,MATCH(246,'По дням'!$G$2:$G$3662,0)))</f>
        <v/>
      </c>
      <c r="F252" s="9">
        <f>IF(B252="","",INDEX('По дням'!$B$2:$B$3662,MATCH(246,'По дням'!$G$2:$G$3662,0)))</f>
        <v/>
      </c>
      <c r="G252" s="9">
        <f>IF(B252="","",INDEX('По дням'!$C$2:$C$3662,MATCH(246,'По дням'!$G$2:$G$3662,0)))</f>
        <v/>
      </c>
      <c r="H252" s="13">
        <f>IF(OR(B252="",F252=""),"",IF(J252="да",0,ROUND(E252*F252/100*D252/G252,2)))</f>
        <v/>
      </c>
      <c r="I252" s="13">
        <f>IF(B252="","",SUMIF(Оплаты!$A$6:$A$505,C252,Оплаты!$B$6:$B$505))</f>
        <v/>
      </c>
      <c r="J252" s="9">
        <f>IF(B252="","",IF(INDEX('По дням'!$E$2:$E$3662,MATCH(246,'По дням'!$G$2:$G$3662,0))=1,"да",""))</f>
        <v/>
      </c>
    </row>
    <row r="253">
      <c r="A253" s="9">
        <f>IF(B253="","",247)</f>
        <v/>
      </c>
      <c r="B253" s="12">
        <f>IFERROR(INDEX('По дням'!$A$2:$A$3662,MATCH(247,'По дням'!$G$2:$G$3662,0)),"")</f>
        <v/>
      </c>
      <c r="C253" s="12">
        <f>IF(B253="","",INDEX('По дням'!$A$2:$A$3662,MATCH(247,'По дням'!$G$2:$G$3662,0)+COUNTIF('По дням'!$G$2:$G$3662,247)-1))</f>
        <v/>
      </c>
      <c r="D253" s="9">
        <f>IF(B253="","",C253-B253+1)</f>
        <v/>
      </c>
      <c r="E253" s="13">
        <f>IF(B253="","",INDEX('По дням'!$D$2:$D$3662,MATCH(247,'По дням'!$G$2:$G$3662,0)))</f>
        <v/>
      </c>
      <c r="F253" s="9">
        <f>IF(B253="","",INDEX('По дням'!$B$2:$B$3662,MATCH(247,'По дням'!$G$2:$G$3662,0)))</f>
        <v/>
      </c>
      <c r="G253" s="9">
        <f>IF(B253="","",INDEX('По дням'!$C$2:$C$3662,MATCH(247,'По дням'!$G$2:$G$3662,0)))</f>
        <v/>
      </c>
      <c r="H253" s="13">
        <f>IF(OR(B253="",F253=""),"",IF(J253="да",0,ROUND(E253*F253/100*D253/G253,2)))</f>
        <v/>
      </c>
      <c r="I253" s="13">
        <f>IF(B253="","",SUMIF(Оплаты!$A$6:$A$505,C253,Оплаты!$B$6:$B$505))</f>
        <v/>
      </c>
      <c r="J253" s="9">
        <f>IF(B253="","",IF(INDEX('По дням'!$E$2:$E$3662,MATCH(247,'По дням'!$G$2:$G$3662,0))=1,"да",""))</f>
        <v/>
      </c>
    </row>
    <row r="254">
      <c r="A254" s="9">
        <f>IF(B254="","",248)</f>
        <v/>
      </c>
      <c r="B254" s="12">
        <f>IFERROR(INDEX('По дням'!$A$2:$A$3662,MATCH(248,'По дням'!$G$2:$G$3662,0)),"")</f>
        <v/>
      </c>
      <c r="C254" s="12">
        <f>IF(B254="","",INDEX('По дням'!$A$2:$A$3662,MATCH(248,'По дням'!$G$2:$G$3662,0)+COUNTIF('По дням'!$G$2:$G$3662,248)-1))</f>
        <v/>
      </c>
      <c r="D254" s="9">
        <f>IF(B254="","",C254-B254+1)</f>
        <v/>
      </c>
      <c r="E254" s="13">
        <f>IF(B254="","",INDEX('По дням'!$D$2:$D$3662,MATCH(248,'По дням'!$G$2:$G$3662,0)))</f>
        <v/>
      </c>
      <c r="F254" s="9">
        <f>IF(B254="","",INDEX('По дням'!$B$2:$B$3662,MATCH(248,'По дням'!$G$2:$G$3662,0)))</f>
        <v/>
      </c>
      <c r="G254" s="9">
        <f>IF(B254="","",INDEX('По дням'!$C$2:$C$3662,MATCH(248,'По дням'!$G$2:$G$3662,0)))</f>
        <v/>
      </c>
      <c r="H254" s="13">
        <f>IF(OR(B254="",F254=""),"",IF(J254="да",0,ROUND(E254*F254/100*D254/G254,2)))</f>
        <v/>
      </c>
      <c r="I254" s="13">
        <f>IF(B254="","",SUMIF(Оплаты!$A$6:$A$505,C254,Оплаты!$B$6:$B$505))</f>
        <v/>
      </c>
      <c r="J254" s="9">
        <f>IF(B254="","",IF(INDEX('По дням'!$E$2:$E$3662,MATCH(248,'По дням'!$G$2:$G$3662,0))=1,"да",""))</f>
        <v/>
      </c>
    </row>
    <row r="255">
      <c r="A255" s="9">
        <f>IF(B255="","",249)</f>
        <v/>
      </c>
      <c r="B255" s="12">
        <f>IFERROR(INDEX('По дням'!$A$2:$A$3662,MATCH(249,'По дням'!$G$2:$G$3662,0)),"")</f>
        <v/>
      </c>
      <c r="C255" s="12">
        <f>IF(B255="","",INDEX('По дням'!$A$2:$A$3662,MATCH(249,'По дням'!$G$2:$G$3662,0)+COUNTIF('По дням'!$G$2:$G$3662,249)-1))</f>
        <v/>
      </c>
      <c r="D255" s="9">
        <f>IF(B255="","",C255-B255+1)</f>
        <v/>
      </c>
      <c r="E255" s="13">
        <f>IF(B255="","",INDEX('По дням'!$D$2:$D$3662,MATCH(249,'По дням'!$G$2:$G$3662,0)))</f>
        <v/>
      </c>
      <c r="F255" s="9">
        <f>IF(B255="","",INDEX('По дням'!$B$2:$B$3662,MATCH(249,'По дням'!$G$2:$G$3662,0)))</f>
        <v/>
      </c>
      <c r="G255" s="9">
        <f>IF(B255="","",INDEX('По дням'!$C$2:$C$3662,MATCH(249,'По дням'!$G$2:$G$3662,0)))</f>
        <v/>
      </c>
      <c r="H255" s="13">
        <f>IF(OR(B255="",F255=""),"",IF(J255="да",0,ROUND(E255*F255/100*D255/G255,2)))</f>
        <v/>
      </c>
      <c r="I255" s="13">
        <f>IF(B255="","",SUMIF(Оплаты!$A$6:$A$505,C255,Оплаты!$B$6:$B$505))</f>
        <v/>
      </c>
      <c r="J255" s="9">
        <f>IF(B255="","",IF(INDEX('По дням'!$E$2:$E$3662,MATCH(249,'По дням'!$G$2:$G$3662,0))=1,"да",""))</f>
        <v/>
      </c>
    </row>
    <row r="256">
      <c r="A256" s="9">
        <f>IF(B256="","",250)</f>
        <v/>
      </c>
      <c r="B256" s="12">
        <f>IFERROR(INDEX('По дням'!$A$2:$A$3662,MATCH(250,'По дням'!$G$2:$G$3662,0)),"")</f>
        <v/>
      </c>
      <c r="C256" s="12">
        <f>IF(B256="","",INDEX('По дням'!$A$2:$A$3662,MATCH(250,'По дням'!$G$2:$G$3662,0)+COUNTIF('По дням'!$G$2:$G$3662,250)-1))</f>
        <v/>
      </c>
      <c r="D256" s="9">
        <f>IF(B256="","",C256-B256+1)</f>
        <v/>
      </c>
      <c r="E256" s="13">
        <f>IF(B256="","",INDEX('По дням'!$D$2:$D$3662,MATCH(250,'По дням'!$G$2:$G$3662,0)))</f>
        <v/>
      </c>
      <c r="F256" s="9">
        <f>IF(B256="","",INDEX('По дням'!$B$2:$B$3662,MATCH(250,'По дням'!$G$2:$G$3662,0)))</f>
        <v/>
      </c>
      <c r="G256" s="9">
        <f>IF(B256="","",INDEX('По дням'!$C$2:$C$3662,MATCH(250,'По дням'!$G$2:$G$3662,0)))</f>
        <v/>
      </c>
      <c r="H256" s="13">
        <f>IF(OR(B256="",F256=""),"",IF(J256="да",0,ROUND(E256*F256/100*D256/G256,2)))</f>
        <v/>
      </c>
      <c r="I256" s="13">
        <f>IF(B256="","",SUMIF(Оплаты!$A$6:$A$505,C256,Оплаты!$B$6:$B$505))</f>
        <v/>
      </c>
      <c r="J256" s="9">
        <f>IF(B256="","",IF(INDEX('По дням'!$E$2:$E$3662,MATCH(250,'По дням'!$G$2:$G$3662,0))=1,"да",""))</f>
        <v/>
      </c>
    </row>
    <row r="257">
      <c r="A257" s="9">
        <f>IF(B257="","",251)</f>
        <v/>
      </c>
      <c r="B257" s="12">
        <f>IFERROR(INDEX('По дням'!$A$2:$A$3662,MATCH(251,'По дням'!$G$2:$G$3662,0)),"")</f>
        <v/>
      </c>
      <c r="C257" s="12">
        <f>IF(B257="","",INDEX('По дням'!$A$2:$A$3662,MATCH(251,'По дням'!$G$2:$G$3662,0)+COUNTIF('По дням'!$G$2:$G$3662,251)-1))</f>
        <v/>
      </c>
      <c r="D257" s="9">
        <f>IF(B257="","",C257-B257+1)</f>
        <v/>
      </c>
      <c r="E257" s="13">
        <f>IF(B257="","",INDEX('По дням'!$D$2:$D$3662,MATCH(251,'По дням'!$G$2:$G$3662,0)))</f>
        <v/>
      </c>
      <c r="F257" s="9">
        <f>IF(B257="","",INDEX('По дням'!$B$2:$B$3662,MATCH(251,'По дням'!$G$2:$G$3662,0)))</f>
        <v/>
      </c>
      <c r="G257" s="9">
        <f>IF(B257="","",INDEX('По дням'!$C$2:$C$3662,MATCH(251,'По дням'!$G$2:$G$3662,0)))</f>
        <v/>
      </c>
      <c r="H257" s="13">
        <f>IF(OR(B257="",F257=""),"",IF(J257="да",0,ROUND(E257*F257/100*D257/G257,2)))</f>
        <v/>
      </c>
      <c r="I257" s="13">
        <f>IF(B257="","",SUMIF(Оплаты!$A$6:$A$505,C257,Оплаты!$B$6:$B$505))</f>
        <v/>
      </c>
      <c r="J257" s="9">
        <f>IF(B257="","",IF(INDEX('По дням'!$E$2:$E$3662,MATCH(251,'По дням'!$G$2:$G$3662,0))=1,"да",""))</f>
        <v/>
      </c>
    </row>
    <row r="258">
      <c r="A258" s="9">
        <f>IF(B258="","",252)</f>
        <v/>
      </c>
      <c r="B258" s="12">
        <f>IFERROR(INDEX('По дням'!$A$2:$A$3662,MATCH(252,'По дням'!$G$2:$G$3662,0)),"")</f>
        <v/>
      </c>
      <c r="C258" s="12">
        <f>IF(B258="","",INDEX('По дням'!$A$2:$A$3662,MATCH(252,'По дням'!$G$2:$G$3662,0)+COUNTIF('По дням'!$G$2:$G$3662,252)-1))</f>
        <v/>
      </c>
      <c r="D258" s="9">
        <f>IF(B258="","",C258-B258+1)</f>
        <v/>
      </c>
      <c r="E258" s="13">
        <f>IF(B258="","",INDEX('По дням'!$D$2:$D$3662,MATCH(252,'По дням'!$G$2:$G$3662,0)))</f>
        <v/>
      </c>
      <c r="F258" s="9">
        <f>IF(B258="","",INDEX('По дням'!$B$2:$B$3662,MATCH(252,'По дням'!$G$2:$G$3662,0)))</f>
        <v/>
      </c>
      <c r="G258" s="9">
        <f>IF(B258="","",INDEX('По дням'!$C$2:$C$3662,MATCH(252,'По дням'!$G$2:$G$3662,0)))</f>
        <v/>
      </c>
      <c r="H258" s="13">
        <f>IF(OR(B258="",F258=""),"",IF(J258="да",0,ROUND(E258*F258/100*D258/G258,2)))</f>
        <v/>
      </c>
      <c r="I258" s="13">
        <f>IF(B258="","",SUMIF(Оплаты!$A$6:$A$505,C258,Оплаты!$B$6:$B$505))</f>
        <v/>
      </c>
      <c r="J258" s="9">
        <f>IF(B258="","",IF(INDEX('По дням'!$E$2:$E$3662,MATCH(252,'По дням'!$G$2:$G$3662,0))=1,"да",""))</f>
        <v/>
      </c>
    </row>
    <row r="259">
      <c r="A259" s="9">
        <f>IF(B259="","",253)</f>
        <v/>
      </c>
      <c r="B259" s="12">
        <f>IFERROR(INDEX('По дням'!$A$2:$A$3662,MATCH(253,'По дням'!$G$2:$G$3662,0)),"")</f>
        <v/>
      </c>
      <c r="C259" s="12">
        <f>IF(B259="","",INDEX('По дням'!$A$2:$A$3662,MATCH(253,'По дням'!$G$2:$G$3662,0)+COUNTIF('По дням'!$G$2:$G$3662,253)-1))</f>
        <v/>
      </c>
      <c r="D259" s="9">
        <f>IF(B259="","",C259-B259+1)</f>
        <v/>
      </c>
      <c r="E259" s="13">
        <f>IF(B259="","",INDEX('По дням'!$D$2:$D$3662,MATCH(253,'По дням'!$G$2:$G$3662,0)))</f>
        <v/>
      </c>
      <c r="F259" s="9">
        <f>IF(B259="","",INDEX('По дням'!$B$2:$B$3662,MATCH(253,'По дням'!$G$2:$G$3662,0)))</f>
        <v/>
      </c>
      <c r="G259" s="9">
        <f>IF(B259="","",INDEX('По дням'!$C$2:$C$3662,MATCH(253,'По дням'!$G$2:$G$3662,0)))</f>
        <v/>
      </c>
      <c r="H259" s="13">
        <f>IF(OR(B259="",F259=""),"",IF(J259="да",0,ROUND(E259*F259/100*D259/G259,2)))</f>
        <v/>
      </c>
      <c r="I259" s="13">
        <f>IF(B259="","",SUMIF(Оплаты!$A$6:$A$505,C259,Оплаты!$B$6:$B$505))</f>
        <v/>
      </c>
      <c r="J259" s="9">
        <f>IF(B259="","",IF(INDEX('По дням'!$E$2:$E$3662,MATCH(253,'По дням'!$G$2:$G$3662,0))=1,"да",""))</f>
        <v/>
      </c>
    </row>
    <row r="260">
      <c r="A260" s="9">
        <f>IF(B260="","",254)</f>
        <v/>
      </c>
      <c r="B260" s="12">
        <f>IFERROR(INDEX('По дням'!$A$2:$A$3662,MATCH(254,'По дням'!$G$2:$G$3662,0)),"")</f>
        <v/>
      </c>
      <c r="C260" s="12">
        <f>IF(B260="","",INDEX('По дням'!$A$2:$A$3662,MATCH(254,'По дням'!$G$2:$G$3662,0)+COUNTIF('По дням'!$G$2:$G$3662,254)-1))</f>
        <v/>
      </c>
      <c r="D260" s="9">
        <f>IF(B260="","",C260-B260+1)</f>
        <v/>
      </c>
      <c r="E260" s="13">
        <f>IF(B260="","",INDEX('По дням'!$D$2:$D$3662,MATCH(254,'По дням'!$G$2:$G$3662,0)))</f>
        <v/>
      </c>
      <c r="F260" s="9">
        <f>IF(B260="","",INDEX('По дням'!$B$2:$B$3662,MATCH(254,'По дням'!$G$2:$G$3662,0)))</f>
        <v/>
      </c>
      <c r="G260" s="9">
        <f>IF(B260="","",INDEX('По дням'!$C$2:$C$3662,MATCH(254,'По дням'!$G$2:$G$3662,0)))</f>
        <v/>
      </c>
      <c r="H260" s="13">
        <f>IF(OR(B260="",F260=""),"",IF(J260="да",0,ROUND(E260*F260/100*D260/G260,2)))</f>
        <v/>
      </c>
      <c r="I260" s="13">
        <f>IF(B260="","",SUMIF(Оплаты!$A$6:$A$505,C260,Оплаты!$B$6:$B$505))</f>
        <v/>
      </c>
      <c r="J260" s="9">
        <f>IF(B260="","",IF(INDEX('По дням'!$E$2:$E$3662,MATCH(254,'По дням'!$G$2:$G$3662,0))=1,"да",""))</f>
        <v/>
      </c>
    </row>
    <row r="261">
      <c r="A261" s="9">
        <f>IF(B261="","",255)</f>
        <v/>
      </c>
      <c r="B261" s="12">
        <f>IFERROR(INDEX('По дням'!$A$2:$A$3662,MATCH(255,'По дням'!$G$2:$G$3662,0)),"")</f>
        <v/>
      </c>
      <c r="C261" s="12">
        <f>IF(B261="","",INDEX('По дням'!$A$2:$A$3662,MATCH(255,'По дням'!$G$2:$G$3662,0)+COUNTIF('По дням'!$G$2:$G$3662,255)-1))</f>
        <v/>
      </c>
      <c r="D261" s="9">
        <f>IF(B261="","",C261-B261+1)</f>
        <v/>
      </c>
      <c r="E261" s="13">
        <f>IF(B261="","",INDEX('По дням'!$D$2:$D$3662,MATCH(255,'По дням'!$G$2:$G$3662,0)))</f>
        <v/>
      </c>
      <c r="F261" s="9">
        <f>IF(B261="","",INDEX('По дням'!$B$2:$B$3662,MATCH(255,'По дням'!$G$2:$G$3662,0)))</f>
        <v/>
      </c>
      <c r="G261" s="9">
        <f>IF(B261="","",INDEX('По дням'!$C$2:$C$3662,MATCH(255,'По дням'!$G$2:$G$3662,0)))</f>
        <v/>
      </c>
      <c r="H261" s="13">
        <f>IF(OR(B261="",F261=""),"",IF(J261="да",0,ROUND(E261*F261/100*D261/G261,2)))</f>
        <v/>
      </c>
      <c r="I261" s="13">
        <f>IF(B261="","",SUMIF(Оплаты!$A$6:$A$505,C261,Оплаты!$B$6:$B$505))</f>
        <v/>
      </c>
      <c r="J261" s="9">
        <f>IF(B261="","",IF(INDEX('По дням'!$E$2:$E$3662,MATCH(255,'По дням'!$G$2:$G$3662,0))=1,"да",""))</f>
        <v/>
      </c>
    </row>
    <row r="262">
      <c r="A262" s="9">
        <f>IF(B262="","",256)</f>
        <v/>
      </c>
      <c r="B262" s="12">
        <f>IFERROR(INDEX('По дням'!$A$2:$A$3662,MATCH(256,'По дням'!$G$2:$G$3662,0)),"")</f>
        <v/>
      </c>
      <c r="C262" s="12">
        <f>IF(B262="","",INDEX('По дням'!$A$2:$A$3662,MATCH(256,'По дням'!$G$2:$G$3662,0)+COUNTIF('По дням'!$G$2:$G$3662,256)-1))</f>
        <v/>
      </c>
      <c r="D262" s="9">
        <f>IF(B262="","",C262-B262+1)</f>
        <v/>
      </c>
      <c r="E262" s="13">
        <f>IF(B262="","",INDEX('По дням'!$D$2:$D$3662,MATCH(256,'По дням'!$G$2:$G$3662,0)))</f>
        <v/>
      </c>
      <c r="F262" s="9">
        <f>IF(B262="","",INDEX('По дням'!$B$2:$B$3662,MATCH(256,'По дням'!$G$2:$G$3662,0)))</f>
        <v/>
      </c>
      <c r="G262" s="9">
        <f>IF(B262="","",INDEX('По дням'!$C$2:$C$3662,MATCH(256,'По дням'!$G$2:$G$3662,0)))</f>
        <v/>
      </c>
      <c r="H262" s="13">
        <f>IF(OR(B262="",F262=""),"",IF(J262="да",0,ROUND(E262*F262/100*D262/G262,2)))</f>
        <v/>
      </c>
      <c r="I262" s="13">
        <f>IF(B262="","",SUMIF(Оплаты!$A$6:$A$505,C262,Оплаты!$B$6:$B$505))</f>
        <v/>
      </c>
      <c r="J262" s="9">
        <f>IF(B262="","",IF(INDEX('По дням'!$E$2:$E$3662,MATCH(256,'По дням'!$G$2:$G$3662,0))=1,"да",""))</f>
        <v/>
      </c>
    </row>
    <row r="263">
      <c r="A263" s="9">
        <f>IF(B263="","",257)</f>
        <v/>
      </c>
      <c r="B263" s="12">
        <f>IFERROR(INDEX('По дням'!$A$2:$A$3662,MATCH(257,'По дням'!$G$2:$G$3662,0)),"")</f>
        <v/>
      </c>
      <c r="C263" s="12">
        <f>IF(B263="","",INDEX('По дням'!$A$2:$A$3662,MATCH(257,'По дням'!$G$2:$G$3662,0)+COUNTIF('По дням'!$G$2:$G$3662,257)-1))</f>
        <v/>
      </c>
      <c r="D263" s="9">
        <f>IF(B263="","",C263-B263+1)</f>
        <v/>
      </c>
      <c r="E263" s="13">
        <f>IF(B263="","",INDEX('По дням'!$D$2:$D$3662,MATCH(257,'По дням'!$G$2:$G$3662,0)))</f>
        <v/>
      </c>
      <c r="F263" s="9">
        <f>IF(B263="","",INDEX('По дням'!$B$2:$B$3662,MATCH(257,'По дням'!$G$2:$G$3662,0)))</f>
        <v/>
      </c>
      <c r="G263" s="9">
        <f>IF(B263="","",INDEX('По дням'!$C$2:$C$3662,MATCH(257,'По дням'!$G$2:$G$3662,0)))</f>
        <v/>
      </c>
      <c r="H263" s="13">
        <f>IF(OR(B263="",F263=""),"",IF(J263="да",0,ROUND(E263*F263/100*D263/G263,2)))</f>
        <v/>
      </c>
      <c r="I263" s="13">
        <f>IF(B263="","",SUMIF(Оплаты!$A$6:$A$505,C263,Оплаты!$B$6:$B$505))</f>
        <v/>
      </c>
      <c r="J263" s="9">
        <f>IF(B263="","",IF(INDEX('По дням'!$E$2:$E$3662,MATCH(257,'По дням'!$G$2:$G$3662,0))=1,"да",""))</f>
        <v/>
      </c>
    </row>
    <row r="264">
      <c r="A264" s="9">
        <f>IF(B264="","",258)</f>
        <v/>
      </c>
      <c r="B264" s="12">
        <f>IFERROR(INDEX('По дням'!$A$2:$A$3662,MATCH(258,'По дням'!$G$2:$G$3662,0)),"")</f>
        <v/>
      </c>
      <c r="C264" s="12">
        <f>IF(B264="","",INDEX('По дням'!$A$2:$A$3662,MATCH(258,'По дням'!$G$2:$G$3662,0)+COUNTIF('По дням'!$G$2:$G$3662,258)-1))</f>
        <v/>
      </c>
      <c r="D264" s="9">
        <f>IF(B264="","",C264-B264+1)</f>
        <v/>
      </c>
      <c r="E264" s="13">
        <f>IF(B264="","",INDEX('По дням'!$D$2:$D$3662,MATCH(258,'По дням'!$G$2:$G$3662,0)))</f>
        <v/>
      </c>
      <c r="F264" s="9">
        <f>IF(B264="","",INDEX('По дням'!$B$2:$B$3662,MATCH(258,'По дням'!$G$2:$G$3662,0)))</f>
        <v/>
      </c>
      <c r="G264" s="9">
        <f>IF(B264="","",INDEX('По дням'!$C$2:$C$3662,MATCH(258,'По дням'!$G$2:$G$3662,0)))</f>
        <v/>
      </c>
      <c r="H264" s="13">
        <f>IF(OR(B264="",F264=""),"",IF(J264="да",0,ROUND(E264*F264/100*D264/G264,2)))</f>
        <v/>
      </c>
      <c r="I264" s="13">
        <f>IF(B264="","",SUMIF(Оплаты!$A$6:$A$505,C264,Оплаты!$B$6:$B$505))</f>
        <v/>
      </c>
      <c r="J264" s="9">
        <f>IF(B264="","",IF(INDEX('По дням'!$E$2:$E$3662,MATCH(258,'По дням'!$G$2:$G$3662,0))=1,"да",""))</f>
        <v/>
      </c>
    </row>
    <row r="265">
      <c r="A265" s="9">
        <f>IF(B265="","",259)</f>
        <v/>
      </c>
      <c r="B265" s="12">
        <f>IFERROR(INDEX('По дням'!$A$2:$A$3662,MATCH(259,'По дням'!$G$2:$G$3662,0)),"")</f>
        <v/>
      </c>
      <c r="C265" s="12">
        <f>IF(B265="","",INDEX('По дням'!$A$2:$A$3662,MATCH(259,'По дням'!$G$2:$G$3662,0)+COUNTIF('По дням'!$G$2:$G$3662,259)-1))</f>
        <v/>
      </c>
      <c r="D265" s="9">
        <f>IF(B265="","",C265-B265+1)</f>
        <v/>
      </c>
      <c r="E265" s="13">
        <f>IF(B265="","",INDEX('По дням'!$D$2:$D$3662,MATCH(259,'По дням'!$G$2:$G$3662,0)))</f>
        <v/>
      </c>
      <c r="F265" s="9">
        <f>IF(B265="","",INDEX('По дням'!$B$2:$B$3662,MATCH(259,'По дням'!$G$2:$G$3662,0)))</f>
        <v/>
      </c>
      <c r="G265" s="9">
        <f>IF(B265="","",INDEX('По дням'!$C$2:$C$3662,MATCH(259,'По дням'!$G$2:$G$3662,0)))</f>
        <v/>
      </c>
      <c r="H265" s="13">
        <f>IF(OR(B265="",F265=""),"",IF(J265="да",0,ROUND(E265*F265/100*D265/G265,2)))</f>
        <v/>
      </c>
      <c r="I265" s="13">
        <f>IF(B265="","",SUMIF(Оплаты!$A$6:$A$505,C265,Оплаты!$B$6:$B$505))</f>
        <v/>
      </c>
      <c r="J265" s="9">
        <f>IF(B265="","",IF(INDEX('По дням'!$E$2:$E$3662,MATCH(259,'По дням'!$G$2:$G$3662,0))=1,"да",""))</f>
        <v/>
      </c>
    </row>
    <row r="266">
      <c r="A266" s="9">
        <f>IF(B266="","",260)</f>
        <v/>
      </c>
      <c r="B266" s="12">
        <f>IFERROR(INDEX('По дням'!$A$2:$A$3662,MATCH(260,'По дням'!$G$2:$G$3662,0)),"")</f>
        <v/>
      </c>
      <c r="C266" s="12">
        <f>IF(B266="","",INDEX('По дням'!$A$2:$A$3662,MATCH(260,'По дням'!$G$2:$G$3662,0)+COUNTIF('По дням'!$G$2:$G$3662,260)-1))</f>
        <v/>
      </c>
      <c r="D266" s="9">
        <f>IF(B266="","",C266-B266+1)</f>
        <v/>
      </c>
      <c r="E266" s="13">
        <f>IF(B266="","",INDEX('По дням'!$D$2:$D$3662,MATCH(260,'По дням'!$G$2:$G$3662,0)))</f>
        <v/>
      </c>
      <c r="F266" s="9">
        <f>IF(B266="","",INDEX('По дням'!$B$2:$B$3662,MATCH(260,'По дням'!$G$2:$G$3662,0)))</f>
        <v/>
      </c>
      <c r="G266" s="9">
        <f>IF(B266="","",INDEX('По дням'!$C$2:$C$3662,MATCH(260,'По дням'!$G$2:$G$3662,0)))</f>
        <v/>
      </c>
      <c r="H266" s="13">
        <f>IF(OR(B266="",F266=""),"",IF(J266="да",0,ROUND(E266*F266/100*D266/G266,2)))</f>
        <v/>
      </c>
      <c r="I266" s="13">
        <f>IF(B266="","",SUMIF(Оплаты!$A$6:$A$505,C266,Оплаты!$B$6:$B$505))</f>
        <v/>
      </c>
      <c r="J266" s="9">
        <f>IF(B266="","",IF(INDEX('По дням'!$E$2:$E$3662,MATCH(260,'По дням'!$G$2:$G$3662,0))=1,"да",""))</f>
        <v/>
      </c>
    </row>
    <row r="267">
      <c r="A267" s="9">
        <f>IF(B267="","",261)</f>
        <v/>
      </c>
      <c r="B267" s="12">
        <f>IFERROR(INDEX('По дням'!$A$2:$A$3662,MATCH(261,'По дням'!$G$2:$G$3662,0)),"")</f>
        <v/>
      </c>
      <c r="C267" s="12">
        <f>IF(B267="","",INDEX('По дням'!$A$2:$A$3662,MATCH(261,'По дням'!$G$2:$G$3662,0)+COUNTIF('По дням'!$G$2:$G$3662,261)-1))</f>
        <v/>
      </c>
      <c r="D267" s="9">
        <f>IF(B267="","",C267-B267+1)</f>
        <v/>
      </c>
      <c r="E267" s="13">
        <f>IF(B267="","",INDEX('По дням'!$D$2:$D$3662,MATCH(261,'По дням'!$G$2:$G$3662,0)))</f>
        <v/>
      </c>
      <c r="F267" s="9">
        <f>IF(B267="","",INDEX('По дням'!$B$2:$B$3662,MATCH(261,'По дням'!$G$2:$G$3662,0)))</f>
        <v/>
      </c>
      <c r="G267" s="9">
        <f>IF(B267="","",INDEX('По дням'!$C$2:$C$3662,MATCH(261,'По дням'!$G$2:$G$3662,0)))</f>
        <v/>
      </c>
      <c r="H267" s="13">
        <f>IF(OR(B267="",F267=""),"",IF(J267="да",0,ROUND(E267*F267/100*D267/G267,2)))</f>
        <v/>
      </c>
      <c r="I267" s="13">
        <f>IF(B267="","",SUMIF(Оплаты!$A$6:$A$505,C267,Оплаты!$B$6:$B$505))</f>
        <v/>
      </c>
      <c r="J267" s="9">
        <f>IF(B267="","",IF(INDEX('По дням'!$E$2:$E$3662,MATCH(261,'По дням'!$G$2:$G$3662,0))=1,"да",""))</f>
        <v/>
      </c>
    </row>
    <row r="268">
      <c r="A268" s="9">
        <f>IF(B268="","",262)</f>
        <v/>
      </c>
      <c r="B268" s="12">
        <f>IFERROR(INDEX('По дням'!$A$2:$A$3662,MATCH(262,'По дням'!$G$2:$G$3662,0)),"")</f>
        <v/>
      </c>
      <c r="C268" s="12">
        <f>IF(B268="","",INDEX('По дням'!$A$2:$A$3662,MATCH(262,'По дням'!$G$2:$G$3662,0)+COUNTIF('По дням'!$G$2:$G$3662,262)-1))</f>
        <v/>
      </c>
      <c r="D268" s="9">
        <f>IF(B268="","",C268-B268+1)</f>
        <v/>
      </c>
      <c r="E268" s="13">
        <f>IF(B268="","",INDEX('По дням'!$D$2:$D$3662,MATCH(262,'По дням'!$G$2:$G$3662,0)))</f>
        <v/>
      </c>
      <c r="F268" s="9">
        <f>IF(B268="","",INDEX('По дням'!$B$2:$B$3662,MATCH(262,'По дням'!$G$2:$G$3662,0)))</f>
        <v/>
      </c>
      <c r="G268" s="9">
        <f>IF(B268="","",INDEX('По дням'!$C$2:$C$3662,MATCH(262,'По дням'!$G$2:$G$3662,0)))</f>
        <v/>
      </c>
      <c r="H268" s="13">
        <f>IF(OR(B268="",F268=""),"",IF(J268="да",0,ROUND(E268*F268/100*D268/G268,2)))</f>
        <v/>
      </c>
      <c r="I268" s="13">
        <f>IF(B268="","",SUMIF(Оплаты!$A$6:$A$505,C268,Оплаты!$B$6:$B$505))</f>
        <v/>
      </c>
      <c r="J268" s="9">
        <f>IF(B268="","",IF(INDEX('По дням'!$E$2:$E$3662,MATCH(262,'По дням'!$G$2:$G$3662,0))=1,"да",""))</f>
        <v/>
      </c>
    </row>
    <row r="269">
      <c r="A269" s="9">
        <f>IF(B269="","",263)</f>
        <v/>
      </c>
      <c r="B269" s="12">
        <f>IFERROR(INDEX('По дням'!$A$2:$A$3662,MATCH(263,'По дням'!$G$2:$G$3662,0)),"")</f>
        <v/>
      </c>
      <c r="C269" s="12">
        <f>IF(B269="","",INDEX('По дням'!$A$2:$A$3662,MATCH(263,'По дням'!$G$2:$G$3662,0)+COUNTIF('По дням'!$G$2:$G$3662,263)-1))</f>
        <v/>
      </c>
      <c r="D269" s="9">
        <f>IF(B269="","",C269-B269+1)</f>
        <v/>
      </c>
      <c r="E269" s="13">
        <f>IF(B269="","",INDEX('По дням'!$D$2:$D$3662,MATCH(263,'По дням'!$G$2:$G$3662,0)))</f>
        <v/>
      </c>
      <c r="F269" s="9">
        <f>IF(B269="","",INDEX('По дням'!$B$2:$B$3662,MATCH(263,'По дням'!$G$2:$G$3662,0)))</f>
        <v/>
      </c>
      <c r="G269" s="9">
        <f>IF(B269="","",INDEX('По дням'!$C$2:$C$3662,MATCH(263,'По дням'!$G$2:$G$3662,0)))</f>
        <v/>
      </c>
      <c r="H269" s="13">
        <f>IF(OR(B269="",F269=""),"",IF(J269="да",0,ROUND(E269*F269/100*D269/G269,2)))</f>
        <v/>
      </c>
      <c r="I269" s="13">
        <f>IF(B269="","",SUMIF(Оплаты!$A$6:$A$505,C269,Оплаты!$B$6:$B$505))</f>
        <v/>
      </c>
      <c r="J269" s="9">
        <f>IF(B269="","",IF(INDEX('По дням'!$E$2:$E$3662,MATCH(263,'По дням'!$G$2:$G$3662,0))=1,"да",""))</f>
        <v/>
      </c>
    </row>
    <row r="270">
      <c r="A270" s="9">
        <f>IF(B270="","",264)</f>
        <v/>
      </c>
      <c r="B270" s="12">
        <f>IFERROR(INDEX('По дням'!$A$2:$A$3662,MATCH(264,'По дням'!$G$2:$G$3662,0)),"")</f>
        <v/>
      </c>
      <c r="C270" s="12">
        <f>IF(B270="","",INDEX('По дням'!$A$2:$A$3662,MATCH(264,'По дням'!$G$2:$G$3662,0)+COUNTIF('По дням'!$G$2:$G$3662,264)-1))</f>
        <v/>
      </c>
      <c r="D270" s="9">
        <f>IF(B270="","",C270-B270+1)</f>
        <v/>
      </c>
      <c r="E270" s="13">
        <f>IF(B270="","",INDEX('По дням'!$D$2:$D$3662,MATCH(264,'По дням'!$G$2:$G$3662,0)))</f>
        <v/>
      </c>
      <c r="F270" s="9">
        <f>IF(B270="","",INDEX('По дням'!$B$2:$B$3662,MATCH(264,'По дням'!$G$2:$G$3662,0)))</f>
        <v/>
      </c>
      <c r="G270" s="9">
        <f>IF(B270="","",INDEX('По дням'!$C$2:$C$3662,MATCH(264,'По дням'!$G$2:$G$3662,0)))</f>
        <v/>
      </c>
      <c r="H270" s="13">
        <f>IF(OR(B270="",F270=""),"",IF(J270="да",0,ROUND(E270*F270/100*D270/G270,2)))</f>
        <v/>
      </c>
      <c r="I270" s="13">
        <f>IF(B270="","",SUMIF(Оплаты!$A$6:$A$505,C270,Оплаты!$B$6:$B$505))</f>
        <v/>
      </c>
      <c r="J270" s="9">
        <f>IF(B270="","",IF(INDEX('По дням'!$E$2:$E$3662,MATCH(264,'По дням'!$G$2:$G$3662,0))=1,"да",""))</f>
        <v/>
      </c>
    </row>
    <row r="271">
      <c r="A271" s="9">
        <f>IF(B271="","",265)</f>
        <v/>
      </c>
      <c r="B271" s="12">
        <f>IFERROR(INDEX('По дням'!$A$2:$A$3662,MATCH(265,'По дням'!$G$2:$G$3662,0)),"")</f>
        <v/>
      </c>
      <c r="C271" s="12">
        <f>IF(B271="","",INDEX('По дням'!$A$2:$A$3662,MATCH(265,'По дням'!$G$2:$G$3662,0)+COUNTIF('По дням'!$G$2:$G$3662,265)-1))</f>
        <v/>
      </c>
      <c r="D271" s="9">
        <f>IF(B271="","",C271-B271+1)</f>
        <v/>
      </c>
      <c r="E271" s="13">
        <f>IF(B271="","",INDEX('По дням'!$D$2:$D$3662,MATCH(265,'По дням'!$G$2:$G$3662,0)))</f>
        <v/>
      </c>
      <c r="F271" s="9">
        <f>IF(B271="","",INDEX('По дням'!$B$2:$B$3662,MATCH(265,'По дням'!$G$2:$G$3662,0)))</f>
        <v/>
      </c>
      <c r="G271" s="9">
        <f>IF(B271="","",INDEX('По дням'!$C$2:$C$3662,MATCH(265,'По дням'!$G$2:$G$3662,0)))</f>
        <v/>
      </c>
      <c r="H271" s="13">
        <f>IF(OR(B271="",F271=""),"",IF(J271="да",0,ROUND(E271*F271/100*D271/G271,2)))</f>
        <v/>
      </c>
      <c r="I271" s="13">
        <f>IF(B271="","",SUMIF(Оплаты!$A$6:$A$505,C271,Оплаты!$B$6:$B$505))</f>
        <v/>
      </c>
      <c r="J271" s="9">
        <f>IF(B271="","",IF(INDEX('По дням'!$E$2:$E$3662,MATCH(265,'По дням'!$G$2:$G$3662,0))=1,"да",""))</f>
        <v/>
      </c>
    </row>
    <row r="272">
      <c r="A272" s="9">
        <f>IF(B272="","",266)</f>
        <v/>
      </c>
      <c r="B272" s="12">
        <f>IFERROR(INDEX('По дням'!$A$2:$A$3662,MATCH(266,'По дням'!$G$2:$G$3662,0)),"")</f>
        <v/>
      </c>
      <c r="C272" s="12">
        <f>IF(B272="","",INDEX('По дням'!$A$2:$A$3662,MATCH(266,'По дням'!$G$2:$G$3662,0)+COUNTIF('По дням'!$G$2:$G$3662,266)-1))</f>
        <v/>
      </c>
      <c r="D272" s="9">
        <f>IF(B272="","",C272-B272+1)</f>
        <v/>
      </c>
      <c r="E272" s="13">
        <f>IF(B272="","",INDEX('По дням'!$D$2:$D$3662,MATCH(266,'По дням'!$G$2:$G$3662,0)))</f>
        <v/>
      </c>
      <c r="F272" s="9">
        <f>IF(B272="","",INDEX('По дням'!$B$2:$B$3662,MATCH(266,'По дням'!$G$2:$G$3662,0)))</f>
        <v/>
      </c>
      <c r="G272" s="9">
        <f>IF(B272="","",INDEX('По дням'!$C$2:$C$3662,MATCH(266,'По дням'!$G$2:$G$3662,0)))</f>
        <v/>
      </c>
      <c r="H272" s="13">
        <f>IF(OR(B272="",F272=""),"",IF(J272="да",0,ROUND(E272*F272/100*D272/G272,2)))</f>
        <v/>
      </c>
      <c r="I272" s="13">
        <f>IF(B272="","",SUMIF(Оплаты!$A$6:$A$505,C272,Оплаты!$B$6:$B$505))</f>
        <v/>
      </c>
      <c r="J272" s="9">
        <f>IF(B272="","",IF(INDEX('По дням'!$E$2:$E$3662,MATCH(266,'По дням'!$G$2:$G$3662,0))=1,"да",""))</f>
        <v/>
      </c>
    </row>
    <row r="273">
      <c r="A273" s="9">
        <f>IF(B273="","",267)</f>
        <v/>
      </c>
      <c r="B273" s="12">
        <f>IFERROR(INDEX('По дням'!$A$2:$A$3662,MATCH(267,'По дням'!$G$2:$G$3662,0)),"")</f>
        <v/>
      </c>
      <c r="C273" s="12">
        <f>IF(B273="","",INDEX('По дням'!$A$2:$A$3662,MATCH(267,'По дням'!$G$2:$G$3662,0)+COUNTIF('По дням'!$G$2:$G$3662,267)-1))</f>
        <v/>
      </c>
      <c r="D273" s="9">
        <f>IF(B273="","",C273-B273+1)</f>
        <v/>
      </c>
      <c r="E273" s="13">
        <f>IF(B273="","",INDEX('По дням'!$D$2:$D$3662,MATCH(267,'По дням'!$G$2:$G$3662,0)))</f>
        <v/>
      </c>
      <c r="F273" s="9">
        <f>IF(B273="","",INDEX('По дням'!$B$2:$B$3662,MATCH(267,'По дням'!$G$2:$G$3662,0)))</f>
        <v/>
      </c>
      <c r="G273" s="9">
        <f>IF(B273="","",INDEX('По дням'!$C$2:$C$3662,MATCH(267,'По дням'!$G$2:$G$3662,0)))</f>
        <v/>
      </c>
      <c r="H273" s="13">
        <f>IF(OR(B273="",F273=""),"",IF(J273="да",0,ROUND(E273*F273/100*D273/G273,2)))</f>
        <v/>
      </c>
      <c r="I273" s="13">
        <f>IF(B273="","",SUMIF(Оплаты!$A$6:$A$505,C273,Оплаты!$B$6:$B$505))</f>
        <v/>
      </c>
      <c r="J273" s="9">
        <f>IF(B273="","",IF(INDEX('По дням'!$E$2:$E$3662,MATCH(267,'По дням'!$G$2:$G$3662,0))=1,"да",""))</f>
        <v/>
      </c>
    </row>
    <row r="274">
      <c r="A274" s="9">
        <f>IF(B274="","",268)</f>
        <v/>
      </c>
      <c r="B274" s="12">
        <f>IFERROR(INDEX('По дням'!$A$2:$A$3662,MATCH(268,'По дням'!$G$2:$G$3662,0)),"")</f>
        <v/>
      </c>
      <c r="C274" s="12">
        <f>IF(B274="","",INDEX('По дням'!$A$2:$A$3662,MATCH(268,'По дням'!$G$2:$G$3662,0)+COUNTIF('По дням'!$G$2:$G$3662,268)-1))</f>
        <v/>
      </c>
      <c r="D274" s="9">
        <f>IF(B274="","",C274-B274+1)</f>
        <v/>
      </c>
      <c r="E274" s="13">
        <f>IF(B274="","",INDEX('По дням'!$D$2:$D$3662,MATCH(268,'По дням'!$G$2:$G$3662,0)))</f>
        <v/>
      </c>
      <c r="F274" s="9">
        <f>IF(B274="","",INDEX('По дням'!$B$2:$B$3662,MATCH(268,'По дням'!$G$2:$G$3662,0)))</f>
        <v/>
      </c>
      <c r="G274" s="9">
        <f>IF(B274="","",INDEX('По дням'!$C$2:$C$3662,MATCH(268,'По дням'!$G$2:$G$3662,0)))</f>
        <v/>
      </c>
      <c r="H274" s="13">
        <f>IF(OR(B274="",F274=""),"",IF(J274="да",0,ROUND(E274*F274/100*D274/G274,2)))</f>
        <v/>
      </c>
      <c r="I274" s="13">
        <f>IF(B274="","",SUMIF(Оплаты!$A$6:$A$505,C274,Оплаты!$B$6:$B$505))</f>
        <v/>
      </c>
      <c r="J274" s="9">
        <f>IF(B274="","",IF(INDEX('По дням'!$E$2:$E$3662,MATCH(268,'По дням'!$G$2:$G$3662,0))=1,"да",""))</f>
        <v/>
      </c>
    </row>
    <row r="275">
      <c r="A275" s="9">
        <f>IF(B275="","",269)</f>
        <v/>
      </c>
      <c r="B275" s="12">
        <f>IFERROR(INDEX('По дням'!$A$2:$A$3662,MATCH(269,'По дням'!$G$2:$G$3662,0)),"")</f>
        <v/>
      </c>
      <c r="C275" s="12">
        <f>IF(B275="","",INDEX('По дням'!$A$2:$A$3662,MATCH(269,'По дням'!$G$2:$G$3662,0)+COUNTIF('По дням'!$G$2:$G$3662,269)-1))</f>
        <v/>
      </c>
      <c r="D275" s="9">
        <f>IF(B275="","",C275-B275+1)</f>
        <v/>
      </c>
      <c r="E275" s="13">
        <f>IF(B275="","",INDEX('По дням'!$D$2:$D$3662,MATCH(269,'По дням'!$G$2:$G$3662,0)))</f>
        <v/>
      </c>
      <c r="F275" s="9">
        <f>IF(B275="","",INDEX('По дням'!$B$2:$B$3662,MATCH(269,'По дням'!$G$2:$G$3662,0)))</f>
        <v/>
      </c>
      <c r="G275" s="9">
        <f>IF(B275="","",INDEX('По дням'!$C$2:$C$3662,MATCH(269,'По дням'!$G$2:$G$3662,0)))</f>
        <v/>
      </c>
      <c r="H275" s="13">
        <f>IF(OR(B275="",F275=""),"",IF(J275="да",0,ROUND(E275*F275/100*D275/G275,2)))</f>
        <v/>
      </c>
      <c r="I275" s="13">
        <f>IF(B275="","",SUMIF(Оплаты!$A$6:$A$505,C275,Оплаты!$B$6:$B$505))</f>
        <v/>
      </c>
      <c r="J275" s="9">
        <f>IF(B275="","",IF(INDEX('По дням'!$E$2:$E$3662,MATCH(269,'По дням'!$G$2:$G$3662,0))=1,"да",""))</f>
        <v/>
      </c>
    </row>
    <row r="276">
      <c r="A276" s="9">
        <f>IF(B276="","",270)</f>
        <v/>
      </c>
      <c r="B276" s="12">
        <f>IFERROR(INDEX('По дням'!$A$2:$A$3662,MATCH(270,'По дням'!$G$2:$G$3662,0)),"")</f>
        <v/>
      </c>
      <c r="C276" s="12">
        <f>IF(B276="","",INDEX('По дням'!$A$2:$A$3662,MATCH(270,'По дням'!$G$2:$G$3662,0)+COUNTIF('По дням'!$G$2:$G$3662,270)-1))</f>
        <v/>
      </c>
      <c r="D276" s="9">
        <f>IF(B276="","",C276-B276+1)</f>
        <v/>
      </c>
      <c r="E276" s="13">
        <f>IF(B276="","",INDEX('По дням'!$D$2:$D$3662,MATCH(270,'По дням'!$G$2:$G$3662,0)))</f>
        <v/>
      </c>
      <c r="F276" s="9">
        <f>IF(B276="","",INDEX('По дням'!$B$2:$B$3662,MATCH(270,'По дням'!$G$2:$G$3662,0)))</f>
        <v/>
      </c>
      <c r="G276" s="9">
        <f>IF(B276="","",INDEX('По дням'!$C$2:$C$3662,MATCH(270,'По дням'!$G$2:$G$3662,0)))</f>
        <v/>
      </c>
      <c r="H276" s="13">
        <f>IF(OR(B276="",F276=""),"",IF(J276="да",0,ROUND(E276*F276/100*D276/G276,2)))</f>
        <v/>
      </c>
      <c r="I276" s="13">
        <f>IF(B276="","",SUMIF(Оплаты!$A$6:$A$505,C276,Оплаты!$B$6:$B$505))</f>
        <v/>
      </c>
      <c r="J276" s="9">
        <f>IF(B276="","",IF(INDEX('По дням'!$E$2:$E$3662,MATCH(270,'По дням'!$G$2:$G$3662,0))=1,"да",""))</f>
        <v/>
      </c>
    </row>
    <row r="277">
      <c r="A277" s="9">
        <f>IF(B277="","",271)</f>
        <v/>
      </c>
      <c r="B277" s="12">
        <f>IFERROR(INDEX('По дням'!$A$2:$A$3662,MATCH(271,'По дням'!$G$2:$G$3662,0)),"")</f>
        <v/>
      </c>
      <c r="C277" s="12">
        <f>IF(B277="","",INDEX('По дням'!$A$2:$A$3662,MATCH(271,'По дням'!$G$2:$G$3662,0)+COUNTIF('По дням'!$G$2:$G$3662,271)-1))</f>
        <v/>
      </c>
      <c r="D277" s="9">
        <f>IF(B277="","",C277-B277+1)</f>
        <v/>
      </c>
      <c r="E277" s="13">
        <f>IF(B277="","",INDEX('По дням'!$D$2:$D$3662,MATCH(271,'По дням'!$G$2:$G$3662,0)))</f>
        <v/>
      </c>
      <c r="F277" s="9">
        <f>IF(B277="","",INDEX('По дням'!$B$2:$B$3662,MATCH(271,'По дням'!$G$2:$G$3662,0)))</f>
        <v/>
      </c>
      <c r="G277" s="9">
        <f>IF(B277="","",INDEX('По дням'!$C$2:$C$3662,MATCH(271,'По дням'!$G$2:$G$3662,0)))</f>
        <v/>
      </c>
      <c r="H277" s="13">
        <f>IF(OR(B277="",F277=""),"",IF(J277="да",0,ROUND(E277*F277/100*D277/G277,2)))</f>
        <v/>
      </c>
      <c r="I277" s="13">
        <f>IF(B277="","",SUMIF(Оплаты!$A$6:$A$505,C277,Оплаты!$B$6:$B$505))</f>
        <v/>
      </c>
      <c r="J277" s="9">
        <f>IF(B277="","",IF(INDEX('По дням'!$E$2:$E$3662,MATCH(271,'По дням'!$G$2:$G$3662,0))=1,"да",""))</f>
        <v/>
      </c>
    </row>
    <row r="278">
      <c r="A278" s="9">
        <f>IF(B278="","",272)</f>
        <v/>
      </c>
      <c r="B278" s="12">
        <f>IFERROR(INDEX('По дням'!$A$2:$A$3662,MATCH(272,'По дням'!$G$2:$G$3662,0)),"")</f>
        <v/>
      </c>
      <c r="C278" s="12">
        <f>IF(B278="","",INDEX('По дням'!$A$2:$A$3662,MATCH(272,'По дням'!$G$2:$G$3662,0)+COUNTIF('По дням'!$G$2:$G$3662,272)-1))</f>
        <v/>
      </c>
      <c r="D278" s="9">
        <f>IF(B278="","",C278-B278+1)</f>
        <v/>
      </c>
      <c r="E278" s="13">
        <f>IF(B278="","",INDEX('По дням'!$D$2:$D$3662,MATCH(272,'По дням'!$G$2:$G$3662,0)))</f>
        <v/>
      </c>
      <c r="F278" s="9">
        <f>IF(B278="","",INDEX('По дням'!$B$2:$B$3662,MATCH(272,'По дням'!$G$2:$G$3662,0)))</f>
        <v/>
      </c>
      <c r="G278" s="9">
        <f>IF(B278="","",INDEX('По дням'!$C$2:$C$3662,MATCH(272,'По дням'!$G$2:$G$3662,0)))</f>
        <v/>
      </c>
      <c r="H278" s="13">
        <f>IF(OR(B278="",F278=""),"",IF(J278="да",0,ROUND(E278*F278/100*D278/G278,2)))</f>
        <v/>
      </c>
      <c r="I278" s="13">
        <f>IF(B278="","",SUMIF(Оплаты!$A$6:$A$505,C278,Оплаты!$B$6:$B$505))</f>
        <v/>
      </c>
      <c r="J278" s="9">
        <f>IF(B278="","",IF(INDEX('По дням'!$E$2:$E$3662,MATCH(272,'По дням'!$G$2:$G$3662,0))=1,"да",""))</f>
        <v/>
      </c>
    </row>
    <row r="279">
      <c r="A279" s="9">
        <f>IF(B279="","",273)</f>
        <v/>
      </c>
      <c r="B279" s="12">
        <f>IFERROR(INDEX('По дням'!$A$2:$A$3662,MATCH(273,'По дням'!$G$2:$G$3662,0)),"")</f>
        <v/>
      </c>
      <c r="C279" s="12">
        <f>IF(B279="","",INDEX('По дням'!$A$2:$A$3662,MATCH(273,'По дням'!$G$2:$G$3662,0)+COUNTIF('По дням'!$G$2:$G$3662,273)-1))</f>
        <v/>
      </c>
      <c r="D279" s="9">
        <f>IF(B279="","",C279-B279+1)</f>
        <v/>
      </c>
      <c r="E279" s="13">
        <f>IF(B279="","",INDEX('По дням'!$D$2:$D$3662,MATCH(273,'По дням'!$G$2:$G$3662,0)))</f>
        <v/>
      </c>
      <c r="F279" s="9">
        <f>IF(B279="","",INDEX('По дням'!$B$2:$B$3662,MATCH(273,'По дням'!$G$2:$G$3662,0)))</f>
        <v/>
      </c>
      <c r="G279" s="9">
        <f>IF(B279="","",INDEX('По дням'!$C$2:$C$3662,MATCH(273,'По дням'!$G$2:$G$3662,0)))</f>
        <v/>
      </c>
      <c r="H279" s="13">
        <f>IF(OR(B279="",F279=""),"",IF(J279="да",0,ROUND(E279*F279/100*D279/G279,2)))</f>
        <v/>
      </c>
      <c r="I279" s="13">
        <f>IF(B279="","",SUMIF(Оплаты!$A$6:$A$505,C279,Оплаты!$B$6:$B$505))</f>
        <v/>
      </c>
      <c r="J279" s="9">
        <f>IF(B279="","",IF(INDEX('По дням'!$E$2:$E$3662,MATCH(273,'По дням'!$G$2:$G$3662,0))=1,"да",""))</f>
        <v/>
      </c>
    </row>
    <row r="280">
      <c r="A280" s="9">
        <f>IF(B280="","",274)</f>
        <v/>
      </c>
      <c r="B280" s="12">
        <f>IFERROR(INDEX('По дням'!$A$2:$A$3662,MATCH(274,'По дням'!$G$2:$G$3662,0)),"")</f>
        <v/>
      </c>
      <c r="C280" s="12">
        <f>IF(B280="","",INDEX('По дням'!$A$2:$A$3662,MATCH(274,'По дням'!$G$2:$G$3662,0)+COUNTIF('По дням'!$G$2:$G$3662,274)-1))</f>
        <v/>
      </c>
      <c r="D280" s="9">
        <f>IF(B280="","",C280-B280+1)</f>
        <v/>
      </c>
      <c r="E280" s="13">
        <f>IF(B280="","",INDEX('По дням'!$D$2:$D$3662,MATCH(274,'По дням'!$G$2:$G$3662,0)))</f>
        <v/>
      </c>
      <c r="F280" s="9">
        <f>IF(B280="","",INDEX('По дням'!$B$2:$B$3662,MATCH(274,'По дням'!$G$2:$G$3662,0)))</f>
        <v/>
      </c>
      <c r="G280" s="9">
        <f>IF(B280="","",INDEX('По дням'!$C$2:$C$3662,MATCH(274,'По дням'!$G$2:$G$3662,0)))</f>
        <v/>
      </c>
      <c r="H280" s="13">
        <f>IF(OR(B280="",F280=""),"",IF(J280="да",0,ROUND(E280*F280/100*D280/G280,2)))</f>
        <v/>
      </c>
      <c r="I280" s="13">
        <f>IF(B280="","",SUMIF(Оплаты!$A$6:$A$505,C280,Оплаты!$B$6:$B$505))</f>
        <v/>
      </c>
      <c r="J280" s="9">
        <f>IF(B280="","",IF(INDEX('По дням'!$E$2:$E$3662,MATCH(274,'По дням'!$G$2:$G$3662,0))=1,"да",""))</f>
        <v/>
      </c>
    </row>
    <row r="281">
      <c r="A281" s="9">
        <f>IF(B281="","",275)</f>
        <v/>
      </c>
      <c r="B281" s="12">
        <f>IFERROR(INDEX('По дням'!$A$2:$A$3662,MATCH(275,'По дням'!$G$2:$G$3662,0)),"")</f>
        <v/>
      </c>
      <c r="C281" s="12">
        <f>IF(B281="","",INDEX('По дням'!$A$2:$A$3662,MATCH(275,'По дням'!$G$2:$G$3662,0)+COUNTIF('По дням'!$G$2:$G$3662,275)-1))</f>
        <v/>
      </c>
      <c r="D281" s="9">
        <f>IF(B281="","",C281-B281+1)</f>
        <v/>
      </c>
      <c r="E281" s="13">
        <f>IF(B281="","",INDEX('По дням'!$D$2:$D$3662,MATCH(275,'По дням'!$G$2:$G$3662,0)))</f>
        <v/>
      </c>
      <c r="F281" s="9">
        <f>IF(B281="","",INDEX('По дням'!$B$2:$B$3662,MATCH(275,'По дням'!$G$2:$G$3662,0)))</f>
        <v/>
      </c>
      <c r="G281" s="9">
        <f>IF(B281="","",INDEX('По дням'!$C$2:$C$3662,MATCH(275,'По дням'!$G$2:$G$3662,0)))</f>
        <v/>
      </c>
      <c r="H281" s="13">
        <f>IF(OR(B281="",F281=""),"",IF(J281="да",0,ROUND(E281*F281/100*D281/G281,2)))</f>
        <v/>
      </c>
      <c r="I281" s="13">
        <f>IF(B281="","",SUMIF(Оплаты!$A$6:$A$505,C281,Оплаты!$B$6:$B$505))</f>
        <v/>
      </c>
      <c r="J281" s="9">
        <f>IF(B281="","",IF(INDEX('По дням'!$E$2:$E$3662,MATCH(275,'По дням'!$G$2:$G$3662,0))=1,"да",""))</f>
        <v/>
      </c>
    </row>
    <row r="282">
      <c r="A282" s="9">
        <f>IF(B282="","",276)</f>
        <v/>
      </c>
      <c r="B282" s="12">
        <f>IFERROR(INDEX('По дням'!$A$2:$A$3662,MATCH(276,'По дням'!$G$2:$G$3662,0)),"")</f>
        <v/>
      </c>
      <c r="C282" s="12">
        <f>IF(B282="","",INDEX('По дням'!$A$2:$A$3662,MATCH(276,'По дням'!$G$2:$G$3662,0)+COUNTIF('По дням'!$G$2:$G$3662,276)-1))</f>
        <v/>
      </c>
      <c r="D282" s="9">
        <f>IF(B282="","",C282-B282+1)</f>
        <v/>
      </c>
      <c r="E282" s="13">
        <f>IF(B282="","",INDEX('По дням'!$D$2:$D$3662,MATCH(276,'По дням'!$G$2:$G$3662,0)))</f>
        <v/>
      </c>
      <c r="F282" s="9">
        <f>IF(B282="","",INDEX('По дням'!$B$2:$B$3662,MATCH(276,'По дням'!$G$2:$G$3662,0)))</f>
        <v/>
      </c>
      <c r="G282" s="9">
        <f>IF(B282="","",INDEX('По дням'!$C$2:$C$3662,MATCH(276,'По дням'!$G$2:$G$3662,0)))</f>
        <v/>
      </c>
      <c r="H282" s="13">
        <f>IF(OR(B282="",F282=""),"",IF(J282="да",0,ROUND(E282*F282/100*D282/G282,2)))</f>
        <v/>
      </c>
      <c r="I282" s="13">
        <f>IF(B282="","",SUMIF(Оплаты!$A$6:$A$505,C282,Оплаты!$B$6:$B$505))</f>
        <v/>
      </c>
      <c r="J282" s="9">
        <f>IF(B282="","",IF(INDEX('По дням'!$E$2:$E$3662,MATCH(276,'По дням'!$G$2:$G$3662,0))=1,"да",""))</f>
        <v/>
      </c>
    </row>
    <row r="283">
      <c r="A283" s="9">
        <f>IF(B283="","",277)</f>
        <v/>
      </c>
      <c r="B283" s="12">
        <f>IFERROR(INDEX('По дням'!$A$2:$A$3662,MATCH(277,'По дням'!$G$2:$G$3662,0)),"")</f>
        <v/>
      </c>
      <c r="C283" s="12">
        <f>IF(B283="","",INDEX('По дням'!$A$2:$A$3662,MATCH(277,'По дням'!$G$2:$G$3662,0)+COUNTIF('По дням'!$G$2:$G$3662,277)-1))</f>
        <v/>
      </c>
      <c r="D283" s="9">
        <f>IF(B283="","",C283-B283+1)</f>
        <v/>
      </c>
      <c r="E283" s="13">
        <f>IF(B283="","",INDEX('По дням'!$D$2:$D$3662,MATCH(277,'По дням'!$G$2:$G$3662,0)))</f>
        <v/>
      </c>
      <c r="F283" s="9">
        <f>IF(B283="","",INDEX('По дням'!$B$2:$B$3662,MATCH(277,'По дням'!$G$2:$G$3662,0)))</f>
        <v/>
      </c>
      <c r="G283" s="9">
        <f>IF(B283="","",INDEX('По дням'!$C$2:$C$3662,MATCH(277,'По дням'!$G$2:$G$3662,0)))</f>
        <v/>
      </c>
      <c r="H283" s="13">
        <f>IF(OR(B283="",F283=""),"",IF(J283="да",0,ROUND(E283*F283/100*D283/G283,2)))</f>
        <v/>
      </c>
      <c r="I283" s="13">
        <f>IF(B283="","",SUMIF(Оплаты!$A$6:$A$505,C283,Оплаты!$B$6:$B$505))</f>
        <v/>
      </c>
      <c r="J283" s="9">
        <f>IF(B283="","",IF(INDEX('По дням'!$E$2:$E$3662,MATCH(277,'По дням'!$G$2:$G$3662,0))=1,"да",""))</f>
        <v/>
      </c>
    </row>
    <row r="284">
      <c r="A284" s="9">
        <f>IF(B284="","",278)</f>
        <v/>
      </c>
      <c r="B284" s="12">
        <f>IFERROR(INDEX('По дням'!$A$2:$A$3662,MATCH(278,'По дням'!$G$2:$G$3662,0)),"")</f>
        <v/>
      </c>
      <c r="C284" s="12">
        <f>IF(B284="","",INDEX('По дням'!$A$2:$A$3662,MATCH(278,'По дням'!$G$2:$G$3662,0)+COUNTIF('По дням'!$G$2:$G$3662,278)-1))</f>
        <v/>
      </c>
      <c r="D284" s="9">
        <f>IF(B284="","",C284-B284+1)</f>
        <v/>
      </c>
      <c r="E284" s="13">
        <f>IF(B284="","",INDEX('По дням'!$D$2:$D$3662,MATCH(278,'По дням'!$G$2:$G$3662,0)))</f>
        <v/>
      </c>
      <c r="F284" s="9">
        <f>IF(B284="","",INDEX('По дням'!$B$2:$B$3662,MATCH(278,'По дням'!$G$2:$G$3662,0)))</f>
        <v/>
      </c>
      <c r="G284" s="9">
        <f>IF(B284="","",INDEX('По дням'!$C$2:$C$3662,MATCH(278,'По дням'!$G$2:$G$3662,0)))</f>
        <v/>
      </c>
      <c r="H284" s="13">
        <f>IF(OR(B284="",F284=""),"",IF(J284="да",0,ROUND(E284*F284/100*D284/G284,2)))</f>
        <v/>
      </c>
      <c r="I284" s="13">
        <f>IF(B284="","",SUMIF(Оплаты!$A$6:$A$505,C284,Оплаты!$B$6:$B$505))</f>
        <v/>
      </c>
      <c r="J284" s="9">
        <f>IF(B284="","",IF(INDEX('По дням'!$E$2:$E$3662,MATCH(278,'По дням'!$G$2:$G$3662,0))=1,"да",""))</f>
        <v/>
      </c>
    </row>
    <row r="285">
      <c r="A285" s="9">
        <f>IF(B285="","",279)</f>
        <v/>
      </c>
      <c r="B285" s="12">
        <f>IFERROR(INDEX('По дням'!$A$2:$A$3662,MATCH(279,'По дням'!$G$2:$G$3662,0)),"")</f>
        <v/>
      </c>
      <c r="C285" s="12">
        <f>IF(B285="","",INDEX('По дням'!$A$2:$A$3662,MATCH(279,'По дням'!$G$2:$G$3662,0)+COUNTIF('По дням'!$G$2:$G$3662,279)-1))</f>
        <v/>
      </c>
      <c r="D285" s="9">
        <f>IF(B285="","",C285-B285+1)</f>
        <v/>
      </c>
      <c r="E285" s="13">
        <f>IF(B285="","",INDEX('По дням'!$D$2:$D$3662,MATCH(279,'По дням'!$G$2:$G$3662,0)))</f>
        <v/>
      </c>
      <c r="F285" s="9">
        <f>IF(B285="","",INDEX('По дням'!$B$2:$B$3662,MATCH(279,'По дням'!$G$2:$G$3662,0)))</f>
        <v/>
      </c>
      <c r="G285" s="9">
        <f>IF(B285="","",INDEX('По дням'!$C$2:$C$3662,MATCH(279,'По дням'!$G$2:$G$3662,0)))</f>
        <v/>
      </c>
      <c r="H285" s="13">
        <f>IF(OR(B285="",F285=""),"",IF(J285="да",0,ROUND(E285*F285/100*D285/G285,2)))</f>
        <v/>
      </c>
      <c r="I285" s="13">
        <f>IF(B285="","",SUMIF(Оплаты!$A$6:$A$505,C285,Оплаты!$B$6:$B$505))</f>
        <v/>
      </c>
      <c r="J285" s="9">
        <f>IF(B285="","",IF(INDEX('По дням'!$E$2:$E$3662,MATCH(279,'По дням'!$G$2:$G$3662,0))=1,"да",""))</f>
        <v/>
      </c>
    </row>
    <row r="286">
      <c r="A286" s="9">
        <f>IF(B286="","",280)</f>
        <v/>
      </c>
      <c r="B286" s="12">
        <f>IFERROR(INDEX('По дням'!$A$2:$A$3662,MATCH(280,'По дням'!$G$2:$G$3662,0)),"")</f>
        <v/>
      </c>
      <c r="C286" s="12">
        <f>IF(B286="","",INDEX('По дням'!$A$2:$A$3662,MATCH(280,'По дням'!$G$2:$G$3662,0)+COUNTIF('По дням'!$G$2:$G$3662,280)-1))</f>
        <v/>
      </c>
      <c r="D286" s="9">
        <f>IF(B286="","",C286-B286+1)</f>
        <v/>
      </c>
      <c r="E286" s="13">
        <f>IF(B286="","",INDEX('По дням'!$D$2:$D$3662,MATCH(280,'По дням'!$G$2:$G$3662,0)))</f>
        <v/>
      </c>
      <c r="F286" s="9">
        <f>IF(B286="","",INDEX('По дням'!$B$2:$B$3662,MATCH(280,'По дням'!$G$2:$G$3662,0)))</f>
        <v/>
      </c>
      <c r="G286" s="9">
        <f>IF(B286="","",INDEX('По дням'!$C$2:$C$3662,MATCH(280,'По дням'!$G$2:$G$3662,0)))</f>
        <v/>
      </c>
      <c r="H286" s="13">
        <f>IF(OR(B286="",F286=""),"",IF(J286="да",0,ROUND(E286*F286/100*D286/G286,2)))</f>
        <v/>
      </c>
      <c r="I286" s="13">
        <f>IF(B286="","",SUMIF(Оплаты!$A$6:$A$505,C286,Оплаты!$B$6:$B$505))</f>
        <v/>
      </c>
      <c r="J286" s="9">
        <f>IF(B286="","",IF(INDEX('По дням'!$E$2:$E$3662,MATCH(280,'По дням'!$G$2:$G$3662,0))=1,"да",""))</f>
        <v/>
      </c>
    </row>
    <row r="287">
      <c r="A287" s="9">
        <f>IF(B287="","",281)</f>
        <v/>
      </c>
      <c r="B287" s="12">
        <f>IFERROR(INDEX('По дням'!$A$2:$A$3662,MATCH(281,'По дням'!$G$2:$G$3662,0)),"")</f>
        <v/>
      </c>
      <c r="C287" s="12">
        <f>IF(B287="","",INDEX('По дням'!$A$2:$A$3662,MATCH(281,'По дням'!$G$2:$G$3662,0)+COUNTIF('По дням'!$G$2:$G$3662,281)-1))</f>
        <v/>
      </c>
      <c r="D287" s="9">
        <f>IF(B287="","",C287-B287+1)</f>
        <v/>
      </c>
      <c r="E287" s="13">
        <f>IF(B287="","",INDEX('По дням'!$D$2:$D$3662,MATCH(281,'По дням'!$G$2:$G$3662,0)))</f>
        <v/>
      </c>
      <c r="F287" s="9">
        <f>IF(B287="","",INDEX('По дням'!$B$2:$B$3662,MATCH(281,'По дням'!$G$2:$G$3662,0)))</f>
        <v/>
      </c>
      <c r="G287" s="9">
        <f>IF(B287="","",INDEX('По дням'!$C$2:$C$3662,MATCH(281,'По дням'!$G$2:$G$3662,0)))</f>
        <v/>
      </c>
      <c r="H287" s="13">
        <f>IF(OR(B287="",F287=""),"",IF(J287="да",0,ROUND(E287*F287/100*D287/G287,2)))</f>
        <v/>
      </c>
      <c r="I287" s="13">
        <f>IF(B287="","",SUMIF(Оплаты!$A$6:$A$505,C287,Оплаты!$B$6:$B$505))</f>
        <v/>
      </c>
      <c r="J287" s="9">
        <f>IF(B287="","",IF(INDEX('По дням'!$E$2:$E$3662,MATCH(281,'По дням'!$G$2:$G$3662,0))=1,"да",""))</f>
        <v/>
      </c>
    </row>
    <row r="288">
      <c r="A288" s="9">
        <f>IF(B288="","",282)</f>
        <v/>
      </c>
      <c r="B288" s="12">
        <f>IFERROR(INDEX('По дням'!$A$2:$A$3662,MATCH(282,'По дням'!$G$2:$G$3662,0)),"")</f>
        <v/>
      </c>
      <c r="C288" s="12">
        <f>IF(B288="","",INDEX('По дням'!$A$2:$A$3662,MATCH(282,'По дням'!$G$2:$G$3662,0)+COUNTIF('По дням'!$G$2:$G$3662,282)-1))</f>
        <v/>
      </c>
      <c r="D288" s="9">
        <f>IF(B288="","",C288-B288+1)</f>
        <v/>
      </c>
      <c r="E288" s="13">
        <f>IF(B288="","",INDEX('По дням'!$D$2:$D$3662,MATCH(282,'По дням'!$G$2:$G$3662,0)))</f>
        <v/>
      </c>
      <c r="F288" s="9">
        <f>IF(B288="","",INDEX('По дням'!$B$2:$B$3662,MATCH(282,'По дням'!$G$2:$G$3662,0)))</f>
        <v/>
      </c>
      <c r="G288" s="9">
        <f>IF(B288="","",INDEX('По дням'!$C$2:$C$3662,MATCH(282,'По дням'!$G$2:$G$3662,0)))</f>
        <v/>
      </c>
      <c r="H288" s="13">
        <f>IF(OR(B288="",F288=""),"",IF(J288="да",0,ROUND(E288*F288/100*D288/G288,2)))</f>
        <v/>
      </c>
      <c r="I288" s="13">
        <f>IF(B288="","",SUMIF(Оплаты!$A$6:$A$505,C288,Оплаты!$B$6:$B$505))</f>
        <v/>
      </c>
      <c r="J288" s="9">
        <f>IF(B288="","",IF(INDEX('По дням'!$E$2:$E$3662,MATCH(282,'По дням'!$G$2:$G$3662,0))=1,"да",""))</f>
        <v/>
      </c>
    </row>
    <row r="289">
      <c r="A289" s="9">
        <f>IF(B289="","",283)</f>
        <v/>
      </c>
      <c r="B289" s="12">
        <f>IFERROR(INDEX('По дням'!$A$2:$A$3662,MATCH(283,'По дням'!$G$2:$G$3662,0)),"")</f>
        <v/>
      </c>
      <c r="C289" s="12">
        <f>IF(B289="","",INDEX('По дням'!$A$2:$A$3662,MATCH(283,'По дням'!$G$2:$G$3662,0)+COUNTIF('По дням'!$G$2:$G$3662,283)-1))</f>
        <v/>
      </c>
      <c r="D289" s="9">
        <f>IF(B289="","",C289-B289+1)</f>
        <v/>
      </c>
      <c r="E289" s="13">
        <f>IF(B289="","",INDEX('По дням'!$D$2:$D$3662,MATCH(283,'По дням'!$G$2:$G$3662,0)))</f>
        <v/>
      </c>
      <c r="F289" s="9">
        <f>IF(B289="","",INDEX('По дням'!$B$2:$B$3662,MATCH(283,'По дням'!$G$2:$G$3662,0)))</f>
        <v/>
      </c>
      <c r="G289" s="9">
        <f>IF(B289="","",INDEX('По дням'!$C$2:$C$3662,MATCH(283,'По дням'!$G$2:$G$3662,0)))</f>
        <v/>
      </c>
      <c r="H289" s="13">
        <f>IF(OR(B289="",F289=""),"",IF(J289="да",0,ROUND(E289*F289/100*D289/G289,2)))</f>
        <v/>
      </c>
      <c r="I289" s="13">
        <f>IF(B289="","",SUMIF(Оплаты!$A$6:$A$505,C289,Оплаты!$B$6:$B$505))</f>
        <v/>
      </c>
      <c r="J289" s="9">
        <f>IF(B289="","",IF(INDEX('По дням'!$E$2:$E$3662,MATCH(283,'По дням'!$G$2:$G$3662,0))=1,"да",""))</f>
        <v/>
      </c>
    </row>
    <row r="290">
      <c r="A290" s="9">
        <f>IF(B290="","",284)</f>
        <v/>
      </c>
      <c r="B290" s="12">
        <f>IFERROR(INDEX('По дням'!$A$2:$A$3662,MATCH(284,'По дням'!$G$2:$G$3662,0)),"")</f>
        <v/>
      </c>
      <c r="C290" s="12">
        <f>IF(B290="","",INDEX('По дням'!$A$2:$A$3662,MATCH(284,'По дням'!$G$2:$G$3662,0)+COUNTIF('По дням'!$G$2:$G$3662,284)-1))</f>
        <v/>
      </c>
      <c r="D290" s="9">
        <f>IF(B290="","",C290-B290+1)</f>
        <v/>
      </c>
      <c r="E290" s="13">
        <f>IF(B290="","",INDEX('По дням'!$D$2:$D$3662,MATCH(284,'По дням'!$G$2:$G$3662,0)))</f>
        <v/>
      </c>
      <c r="F290" s="9">
        <f>IF(B290="","",INDEX('По дням'!$B$2:$B$3662,MATCH(284,'По дням'!$G$2:$G$3662,0)))</f>
        <v/>
      </c>
      <c r="G290" s="9">
        <f>IF(B290="","",INDEX('По дням'!$C$2:$C$3662,MATCH(284,'По дням'!$G$2:$G$3662,0)))</f>
        <v/>
      </c>
      <c r="H290" s="13">
        <f>IF(OR(B290="",F290=""),"",IF(J290="да",0,ROUND(E290*F290/100*D290/G290,2)))</f>
        <v/>
      </c>
      <c r="I290" s="13">
        <f>IF(B290="","",SUMIF(Оплаты!$A$6:$A$505,C290,Оплаты!$B$6:$B$505))</f>
        <v/>
      </c>
      <c r="J290" s="9">
        <f>IF(B290="","",IF(INDEX('По дням'!$E$2:$E$3662,MATCH(284,'По дням'!$G$2:$G$3662,0))=1,"да",""))</f>
        <v/>
      </c>
    </row>
    <row r="291">
      <c r="A291" s="9">
        <f>IF(B291="","",285)</f>
        <v/>
      </c>
      <c r="B291" s="12">
        <f>IFERROR(INDEX('По дням'!$A$2:$A$3662,MATCH(285,'По дням'!$G$2:$G$3662,0)),"")</f>
        <v/>
      </c>
      <c r="C291" s="12">
        <f>IF(B291="","",INDEX('По дням'!$A$2:$A$3662,MATCH(285,'По дням'!$G$2:$G$3662,0)+COUNTIF('По дням'!$G$2:$G$3662,285)-1))</f>
        <v/>
      </c>
      <c r="D291" s="9">
        <f>IF(B291="","",C291-B291+1)</f>
        <v/>
      </c>
      <c r="E291" s="13">
        <f>IF(B291="","",INDEX('По дням'!$D$2:$D$3662,MATCH(285,'По дням'!$G$2:$G$3662,0)))</f>
        <v/>
      </c>
      <c r="F291" s="9">
        <f>IF(B291="","",INDEX('По дням'!$B$2:$B$3662,MATCH(285,'По дням'!$G$2:$G$3662,0)))</f>
        <v/>
      </c>
      <c r="G291" s="9">
        <f>IF(B291="","",INDEX('По дням'!$C$2:$C$3662,MATCH(285,'По дням'!$G$2:$G$3662,0)))</f>
        <v/>
      </c>
      <c r="H291" s="13">
        <f>IF(OR(B291="",F291=""),"",IF(J291="да",0,ROUND(E291*F291/100*D291/G291,2)))</f>
        <v/>
      </c>
      <c r="I291" s="13">
        <f>IF(B291="","",SUMIF(Оплаты!$A$6:$A$505,C291,Оплаты!$B$6:$B$505))</f>
        <v/>
      </c>
      <c r="J291" s="9">
        <f>IF(B291="","",IF(INDEX('По дням'!$E$2:$E$3662,MATCH(285,'По дням'!$G$2:$G$3662,0))=1,"да",""))</f>
        <v/>
      </c>
    </row>
    <row r="292">
      <c r="A292" s="9">
        <f>IF(B292="","",286)</f>
        <v/>
      </c>
      <c r="B292" s="12">
        <f>IFERROR(INDEX('По дням'!$A$2:$A$3662,MATCH(286,'По дням'!$G$2:$G$3662,0)),"")</f>
        <v/>
      </c>
      <c r="C292" s="12">
        <f>IF(B292="","",INDEX('По дням'!$A$2:$A$3662,MATCH(286,'По дням'!$G$2:$G$3662,0)+COUNTIF('По дням'!$G$2:$G$3662,286)-1))</f>
        <v/>
      </c>
      <c r="D292" s="9">
        <f>IF(B292="","",C292-B292+1)</f>
        <v/>
      </c>
      <c r="E292" s="13">
        <f>IF(B292="","",INDEX('По дням'!$D$2:$D$3662,MATCH(286,'По дням'!$G$2:$G$3662,0)))</f>
        <v/>
      </c>
      <c r="F292" s="9">
        <f>IF(B292="","",INDEX('По дням'!$B$2:$B$3662,MATCH(286,'По дням'!$G$2:$G$3662,0)))</f>
        <v/>
      </c>
      <c r="G292" s="9">
        <f>IF(B292="","",INDEX('По дням'!$C$2:$C$3662,MATCH(286,'По дням'!$G$2:$G$3662,0)))</f>
        <v/>
      </c>
      <c r="H292" s="13">
        <f>IF(OR(B292="",F292=""),"",IF(J292="да",0,ROUND(E292*F292/100*D292/G292,2)))</f>
        <v/>
      </c>
      <c r="I292" s="13">
        <f>IF(B292="","",SUMIF(Оплаты!$A$6:$A$505,C292,Оплаты!$B$6:$B$505))</f>
        <v/>
      </c>
      <c r="J292" s="9">
        <f>IF(B292="","",IF(INDEX('По дням'!$E$2:$E$3662,MATCH(286,'По дням'!$G$2:$G$3662,0))=1,"да",""))</f>
        <v/>
      </c>
    </row>
    <row r="293">
      <c r="A293" s="9">
        <f>IF(B293="","",287)</f>
        <v/>
      </c>
      <c r="B293" s="12">
        <f>IFERROR(INDEX('По дням'!$A$2:$A$3662,MATCH(287,'По дням'!$G$2:$G$3662,0)),"")</f>
        <v/>
      </c>
      <c r="C293" s="12">
        <f>IF(B293="","",INDEX('По дням'!$A$2:$A$3662,MATCH(287,'По дням'!$G$2:$G$3662,0)+COUNTIF('По дням'!$G$2:$G$3662,287)-1))</f>
        <v/>
      </c>
      <c r="D293" s="9">
        <f>IF(B293="","",C293-B293+1)</f>
        <v/>
      </c>
      <c r="E293" s="13">
        <f>IF(B293="","",INDEX('По дням'!$D$2:$D$3662,MATCH(287,'По дням'!$G$2:$G$3662,0)))</f>
        <v/>
      </c>
      <c r="F293" s="9">
        <f>IF(B293="","",INDEX('По дням'!$B$2:$B$3662,MATCH(287,'По дням'!$G$2:$G$3662,0)))</f>
        <v/>
      </c>
      <c r="G293" s="9">
        <f>IF(B293="","",INDEX('По дням'!$C$2:$C$3662,MATCH(287,'По дням'!$G$2:$G$3662,0)))</f>
        <v/>
      </c>
      <c r="H293" s="13">
        <f>IF(OR(B293="",F293=""),"",IF(J293="да",0,ROUND(E293*F293/100*D293/G293,2)))</f>
        <v/>
      </c>
      <c r="I293" s="13">
        <f>IF(B293="","",SUMIF(Оплаты!$A$6:$A$505,C293,Оплаты!$B$6:$B$505))</f>
        <v/>
      </c>
      <c r="J293" s="9">
        <f>IF(B293="","",IF(INDEX('По дням'!$E$2:$E$3662,MATCH(287,'По дням'!$G$2:$G$3662,0))=1,"да",""))</f>
        <v/>
      </c>
    </row>
    <row r="294">
      <c r="A294" s="9">
        <f>IF(B294="","",288)</f>
        <v/>
      </c>
      <c r="B294" s="12">
        <f>IFERROR(INDEX('По дням'!$A$2:$A$3662,MATCH(288,'По дням'!$G$2:$G$3662,0)),"")</f>
        <v/>
      </c>
      <c r="C294" s="12">
        <f>IF(B294="","",INDEX('По дням'!$A$2:$A$3662,MATCH(288,'По дням'!$G$2:$G$3662,0)+COUNTIF('По дням'!$G$2:$G$3662,288)-1))</f>
        <v/>
      </c>
      <c r="D294" s="9">
        <f>IF(B294="","",C294-B294+1)</f>
        <v/>
      </c>
      <c r="E294" s="13">
        <f>IF(B294="","",INDEX('По дням'!$D$2:$D$3662,MATCH(288,'По дням'!$G$2:$G$3662,0)))</f>
        <v/>
      </c>
      <c r="F294" s="9">
        <f>IF(B294="","",INDEX('По дням'!$B$2:$B$3662,MATCH(288,'По дням'!$G$2:$G$3662,0)))</f>
        <v/>
      </c>
      <c r="G294" s="9">
        <f>IF(B294="","",INDEX('По дням'!$C$2:$C$3662,MATCH(288,'По дням'!$G$2:$G$3662,0)))</f>
        <v/>
      </c>
      <c r="H294" s="13">
        <f>IF(OR(B294="",F294=""),"",IF(J294="да",0,ROUND(E294*F294/100*D294/G294,2)))</f>
        <v/>
      </c>
      <c r="I294" s="13">
        <f>IF(B294="","",SUMIF(Оплаты!$A$6:$A$505,C294,Оплаты!$B$6:$B$505))</f>
        <v/>
      </c>
      <c r="J294" s="9">
        <f>IF(B294="","",IF(INDEX('По дням'!$E$2:$E$3662,MATCH(288,'По дням'!$G$2:$G$3662,0))=1,"да",""))</f>
        <v/>
      </c>
    </row>
    <row r="295">
      <c r="A295" s="9">
        <f>IF(B295="","",289)</f>
        <v/>
      </c>
      <c r="B295" s="12">
        <f>IFERROR(INDEX('По дням'!$A$2:$A$3662,MATCH(289,'По дням'!$G$2:$G$3662,0)),"")</f>
        <v/>
      </c>
      <c r="C295" s="12">
        <f>IF(B295="","",INDEX('По дням'!$A$2:$A$3662,MATCH(289,'По дням'!$G$2:$G$3662,0)+COUNTIF('По дням'!$G$2:$G$3662,289)-1))</f>
        <v/>
      </c>
      <c r="D295" s="9">
        <f>IF(B295="","",C295-B295+1)</f>
        <v/>
      </c>
      <c r="E295" s="13">
        <f>IF(B295="","",INDEX('По дням'!$D$2:$D$3662,MATCH(289,'По дням'!$G$2:$G$3662,0)))</f>
        <v/>
      </c>
      <c r="F295" s="9">
        <f>IF(B295="","",INDEX('По дням'!$B$2:$B$3662,MATCH(289,'По дням'!$G$2:$G$3662,0)))</f>
        <v/>
      </c>
      <c r="G295" s="9">
        <f>IF(B295="","",INDEX('По дням'!$C$2:$C$3662,MATCH(289,'По дням'!$G$2:$G$3662,0)))</f>
        <v/>
      </c>
      <c r="H295" s="13">
        <f>IF(OR(B295="",F295=""),"",IF(J295="да",0,ROUND(E295*F295/100*D295/G295,2)))</f>
        <v/>
      </c>
      <c r="I295" s="13">
        <f>IF(B295="","",SUMIF(Оплаты!$A$6:$A$505,C295,Оплаты!$B$6:$B$505))</f>
        <v/>
      </c>
      <c r="J295" s="9">
        <f>IF(B295="","",IF(INDEX('По дням'!$E$2:$E$3662,MATCH(289,'По дням'!$G$2:$G$3662,0))=1,"да",""))</f>
        <v/>
      </c>
    </row>
    <row r="296">
      <c r="A296" s="9">
        <f>IF(B296="","",290)</f>
        <v/>
      </c>
      <c r="B296" s="12">
        <f>IFERROR(INDEX('По дням'!$A$2:$A$3662,MATCH(290,'По дням'!$G$2:$G$3662,0)),"")</f>
        <v/>
      </c>
      <c r="C296" s="12">
        <f>IF(B296="","",INDEX('По дням'!$A$2:$A$3662,MATCH(290,'По дням'!$G$2:$G$3662,0)+COUNTIF('По дням'!$G$2:$G$3662,290)-1))</f>
        <v/>
      </c>
      <c r="D296" s="9">
        <f>IF(B296="","",C296-B296+1)</f>
        <v/>
      </c>
      <c r="E296" s="13">
        <f>IF(B296="","",INDEX('По дням'!$D$2:$D$3662,MATCH(290,'По дням'!$G$2:$G$3662,0)))</f>
        <v/>
      </c>
      <c r="F296" s="9">
        <f>IF(B296="","",INDEX('По дням'!$B$2:$B$3662,MATCH(290,'По дням'!$G$2:$G$3662,0)))</f>
        <v/>
      </c>
      <c r="G296" s="9">
        <f>IF(B296="","",INDEX('По дням'!$C$2:$C$3662,MATCH(290,'По дням'!$G$2:$G$3662,0)))</f>
        <v/>
      </c>
      <c r="H296" s="13">
        <f>IF(OR(B296="",F296=""),"",IF(J296="да",0,ROUND(E296*F296/100*D296/G296,2)))</f>
        <v/>
      </c>
      <c r="I296" s="13">
        <f>IF(B296="","",SUMIF(Оплаты!$A$6:$A$505,C296,Оплаты!$B$6:$B$505))</f>
        <v/>
      </c>
      <c r="J296" s="9">
        <f>IF(B296="","",IF(INDEX('По дням'!$E$2:$E$3662,MATCH(290,'По дням'!$G$2:$G$3662,0))=1,"да",""))</f>
        <v/>
      </c>
    </row>
    <row r="297">
      <c r="A297" s="9">
        <f>IF(B297="","",291)</f>
        <v/>
      </c>
      <c r="B297" s="12">
        <f>IFERROR(INDEX('По дням'!$A$2:$A$3662,MATCH(291,'По дням'!$G$2:$G$3662,0)),"")</f>
        <v/>
      </c>
      <c r="C297" s="12">
        <f>IF(B297="","",INDEX('По дням'!$A$2:$A$3662,MATCH(291,'По дням'!$G$2:$G$3662,0)+COUNTIF('По дням'!$G$2:$G$3662,291)-1))</f>
        <v/>
      </c>
      <c r="D297" s="9">
        <f>IF(B297="","",C297-B297+1)</f>
        <v/>
      </c>
      <c r="E297" s="13">
        <f>IF(B297="","",INDEX('По дням'!$D$2:$D$3662,MATCH(291,'По дням'!$G$2:$G$3662,0)))</f>
        <v/>
      </c>
      <c r="F297" s="9">
        <f>IF(B297="","",INDEX('По дням'!$B$2:$B$3662,MATCH(291,'По дням'!$G$2:$G$3662,0)))</f>
        <v/>
      </c>
      <c r="G297" s="9">
        <f>IF(B297="","",INDEX('По дням'!$C$2:$C$3662,MATCH(291,'По дням'!$G$2:$G$3662,0)))</f>
        <v/>
      </c>
      <c r="H297" s="13">
        <f>IF(OR(B297="",F297=""),"",IF(J297="да",0,ROUND(E297*F297/100*D297/G297,2)))</f>
        <v/>
      </c>
      <c r="I297" s="13">
        <f>IF(B297="","",SUMIF(Оплаты!$A$6:$A$505,C297,Оплаты!$B$6:$B$505))</f>
        <v/>
      </c>
      <c r="J297" s="9">
        <f>IF(B297="","",IF(INDEX('По дням'!$E$2:$E$3662,MATCH(291,'По дням'!$G$2:$G$3662,0))=1,"да",""))</f>
        <v/>
      </c>
    </row>
    <row r="298">
      <c r="A298" s="9">
        <f>IF(B298="","",292)</f>
        <v/>
      </c>
      <c r="B298" s="12">
        <f>IFERROR(INDEX('По дням'!$A$2:$A$3662,MATCH(292,'По дням'!$G$2:$G$3662,0)),"")</f>
        <v/>
      </c>
      <c r="C298" s="12">
        <f>IF(B298="","",INDEX('По дням'!$A$2:$A$3662,MATCH(292,'По дням'!$G$2:$G$3662,0)+COUNTIF('По дням'!$G$2:$G$3662,292)-1))</f>
        <v/>
      </c>
      <c r="D298" s="9">
        <f>IF(B298="","",C298-B298+1)</f>
        <v/>
      </c>
      <c r="E298" s="13">
        <f>IF(B298="","",INDEX('По дням'!$D$2:$D$3662,MATCH(292,'По дням'!$G$2:$G$3662,0)))</f>
        <v/>
      </c>
      <c r="F298" s="9">
        <f>IF(B298="","",INDEX('По дням'!$B$2:$B$3662,MATCH(292,'По дням'!$G$2:$G$3662,0)))</f>
        <v/>
      </c>
      <c r="G298" s="9">
        <f>IF(B298="","",INDEX('По дням'!$C$2:$C$3662,MATCH(292,'По дням'!$G$2:$G$3662,0)))</f>
        <v/>
      </c>
      <c r="H298" s="13">
        <f>IF(OR(B298="",F298=""),"",IF(J298="да",0,ROUND(E298*F298/100*D298/G298,2)))</f>
        <v/>
      </c>
      <c r="I298" s="13">
        <f>IF(B298="","",SUMIF(Оплаты!$A$6:$A$505,C298,Оплаты!$B$6:$B$505))</f>
        <v/>
      </c>
      <c r="J298" s="9">
        <f>IF(B298="","",IF(INDEX('По дням'!$E$2:$E$3662,MATCH(292,'По дням'!$G$2:$G$3662,0))=1,"да",""))</f>
        <v/>
      </c>
    </row>
    <row r="299">
      <c r="A299" s="9">
        <f>IF(B299="","",293)</f>
        <v/>
      </c>
      <c r="B299" s="12">
        <f>IFERROR(INDEX('По дням'!$A$2:$A$3662,MATCH(293,'По дням'!$G$2:$G$3662,0)),"")</f>
        <v/>
      </c>
      <c r="C299" s="12">
        <f>IF(B299="","",INDEX('По дням'!$A$2:$A$3662,MATCH(293,'По дням'!$G$2:$G$3662,0)+COUNTIF('По дням'!$G$2:$G$3662,293)-1))</f>
        <v/>
      </c>
      <c r="D299" s="9">
        <f>IF(B299="","",C299-B299+1)</f>
        <v/>
      </c>
      <c r="E299" s="13">
        <f>IF(B299="","",INDEX('По дням'!$D$2:$D$3662,MATCH(293,'По дням'!$G$2:$G$3662,0)))</f>
        <v/>
      </c>
      <c r="F299" s="9">
        <f>IF(B299="","",INDEX('По дням'!$B$2:$B$3662,MATCH(293,'По дням'!$G$2:$G$3662,0)))</f>
        <v/>
      </c>
      <c r="G299" s="9">
        <f>IF(B299="","",INDEX('По дням'!$C$2:$C$3662,MATCH(293,'По дням'!$G$2:$G$3662,0)))</f>
        <v/>
      </c>
      <c r="H299" s="13">
        <f>IF(OR(B299="",F299=""),"",IF(J299="да",0,ROUND(E299*F299/100*D299/G299,2)))</f>
        <v/>
      </c>
      <c r="I299" s="13">
        <f>IF(B299="","",SUMIF(Оплаты!$A$6:$A$505,C299,Оплаты!$B$6:$B$505))</f>
        <v/>
      </c>
      <c r="J299" s="9">
        <f>IF(B299="","",IF(INDEX('По дням'!$E$2:$E$3662,MATCH(293,'По дням'!$G$2:$G$3662,0))=1,"да",""))</f>
        <v/>
      </c>
    </row>
    <row r="300">
      <c r="A300" s="9">
        <f>IF(B300="","",294)</f>
        <v/>
      </c>
      <c r="B300" s="12">
        <f>IFERROR(INDEX('По дням'!$A$2:$A$3662,MATCH(294,'По дням'!$G$2:$G$3662,0)),"")</f>
        <v/>
      </c>
      <c r="C300" s="12">
        <f>IF(B300="","",INDEX('По дням'!$A$2:$A$3662,MATCH(294,'По дням'!$G$2:$G$3662,0)+COUNTIF('По дням'!$G$2:$G$3662,294)-1))</f>
        <v/>
      </c>
      <c r="D300" s="9">
        <f>IF(B300="","",C300-B300+1)</f>
        <v/>
      </c>
      <c r="E300" s="13">
        <f>IF(B300="","",INDEX('По дням'!$D$2:$D$3662,MATCH(294,'По дням'!$G$2:$G$3662,0)))</f>
        <v/>
      </c>
      <c r="F300" s="9">
        <f>IF(B300="","",INDEX('По дням'!$B$2:$B$3662,MATCH(294,'По дням'!$G$2:$G$3662,0)))</f>
        <v/>
      </c>
      <c r="G300" s="9">
        <f>IF(B300="","",INDEX('По дням'!$C$2:$C$3662,MATCH(294,'По дням'!$G$2:$G$3662,0)))</f>
        <v/>
      </c>
      <c r="H300" s="13">
        <f>IF(OR(B300="",F300=""),"",IF(J300="да",0,ROUND(E300*F300/100*D300/G300,2)))</f>
        <v/>
      </c>
      <c r="I300" s="13">
        <f>IF(B300="","",SUMIF(Оплаты!$A$6:$A$505,C300,Оплаты!$B$6:$B$505))</f>
        <v/>
      </c>
      <c r="J300" s="9">
        <f>IF(B300="","",IF(INDEX('По дням'!$E$2:$E$3662,MATCH(294,'По дням'!$G$2:$G$3662,0))=1,"да",""))</f>
        <v/>
      </c>
    </row>
    <row r="301">
      <c r="A301" s="9">
        <f>IF(B301="","",295)</f>
        <v/>
      </c>
      <c r="B301" s="12">
        <f>IFERROR(INDEX('По дням'!$A$2:$A$3662,MATCH(295,'По дням'!$G$2:$G$3662,0)),"")</f>
        <v/>
      </c>
      <c r="C301" s="12">
        <f>IF(B301="","",INDEX('По дням'!$A$2:$A$3662,MATCH(295,'По дням'!$G$2:$G$3662,0)+COUNTIF('По дням'!$G$2:$G$3662,295)-1))</f>
        <v/>
      </c>
      <c r="D301" s="9">
        <f>IF(B301="","",C301-B301+1)</f>
        <v/>
      </c>
      <c r="E301" s="13">
        <f>IF(B301="","",INDEX('По дням'!$D$2:$D$3662,MATCH(295,'По дням'!$G$2:$G$3662,0)))</f>
        <v/>
      </c>
      <c r="F301" s="9">
        <f>IF(B301="","",INDEX('По дням'!$B$2:$B$3662,MATCH(295,'По дням'!$G$2:$G$3662,0)))</f>
        <v/>
      </c>
      <c r="G301" s="9">
        <f>IF(B301="","",INDEX('По дням'!$C$2:$C$3662,MATCH(295,'По дням'!$G$2:$G$3662,0)))</f>
        <v/>
      </c>
      <c r="H301" s="13">
        <f>IF(OR(B301="",F301=""),"",IF(J301="да",0,ROUND(E301*F301/100*D301/G301,2)))</f>
        <v/>
      </c>
      <c r="I301" s="13">
        <f>IF(B301="","",SUMIF(Оплаты!$A$6:$A$505,C301,Оплаты!$B$6:$B$505))</f>
        <v/>
      </c>
      <c r="J301" s="9">
        <f>IF(B301="","",IF(INDEX('По дням'!$E$2:$E$3662,MATCH(295,'По дням'!$G$2:$G$3662,0))=1,"да",""))</f>
        <v/>
      </c>
    </row>
    <row r="302">
      <c r="A302" s="9">
        <f>IF(B302="","",296)</f>
        <v/>
      </c>
      <c r="B302" s="12">
        <f>IFERROR(INDEX('По дням'!$A$2:$A$3662,MATCH(296,'По дням'!$G$2:$G$3662,0)),"")</f>
        <v/>
      </c>
      <c r="C302" s="12">
        <f>IF(B302="","",INDEX('По дням'!$A$2:$A$3662,MATCH(296,'По дням'!$G$2:$G$3662,0)+COUNTIF('По дням'!$G$2:$G$3662,296)-1))</f>
        <v/>
      </c>
      <c r="D302" s="9">
        <f>IF(B302="","",C302-B302+1)</f>
        <v/>
      </c>
      <c r="E302" s="13">
        <f>IF(B302="","",INDEX('По дням'!$D$2:$D$3662,MATCH(296,'По дням'!$G$2:$G$3662,0)))</f>
        <v/>
      </c>
      <c r="F302" s="9">
        <f>IF(B302="","",INDEX('По дням'!$B$2:$B$3662,MATCH(296,'По дням'!$G$2:$G$3662,0)))</f>
        <v/>
      </c>
      <c r="G302" s="9">
        <f>IF(B302="","",INDEX('По дням'!$C$2:$C$3662,MATCH(296,'По дням'!$G$2:$G$3662,0)))</f>
        <v/>
      </c>
      <c r="H302" s="13">
        <f>IF(OR(B302="",F302=""),"",IF(J302="да",0,ROUND(E302*F302/100*D302/G302,2)))</f>
        <v/>
      </c>
      <c r="I302" s="13">
        <f>IF(B302="","",SUMIF(Оплаты!$A$6:$A$505,C302,Оплаты!$B$6:$B$505))</f>
        <v/>
      </c>
      <c r="J302" s="9">
        <f>IF(B302="","",IF(INDEX('По дням'!$E$2:$E$3662,MATCH(296,'По дням'!$G$2:$G$3662,0))=1,"да",""))</f>
        <v/>
      </c>
    </row>
    <row r="303">
      <c r="A303" s="9">
        <f>IF(B303="","",297)</f>
        <v/>
      </c>
      <c r="B303" s="12">
        <f>IFERROR(INDEX('По дням'!$A$2:$A$3662,MATCH(297,'По дням'!$G$2:$G$3662,0)),"")</f>
        <v/>
      </c>
      <c r="C303" s="12">
        <f>IF(B303="","",INDEX('По дням'!$A$2:$A$3662,MATCH(297,'По дням'!$G$2:$G$3662,0)+COUNTIF('По дням'!$G$2:$G$3662,297)-1))</f>
        <v/>
      </c>
      <c r="D303" s="9">
        <f>IF(B303="","",C303-B303+1)</f>
        <v/>
      </c>
      <c r="E303" s="13">
        <f>IF(B303="","",INDEX('По дням'!$D$2:$D$3662,MATCH(297,'По дням'!$G$2:$G$3662,0)))</f>
        <v/>
      </c>
      <c r="F303" s="9">
        <f>IF(B303="","",INDEX('По дням'!$B$2:$B$3662,MATCH(297,'По дням'!$G$2:$G$3662,0)))</f>
        <v/>
      </c>
      <c r="G303" s="9">
        <f>IF(B303="","",INDEX('По дням'!$C$2:$C$3662,MATCH(297,'По дням'!$G$2:$G$3662,0)))</f>
        <v/>
      </c>
      <c r="H303" s="13">
        <f>IF(OR(B303="",F303=""),"",IF(J303="да",0,ROUND(E303*F303/100*D303/G303,2)))</f>
        <v/>
      </c>
      <c r="I303" s="13">
        <f>IF(B303="","",SUMIF(Оплаты!$A$6:$A$505,C303,Оплаты!$B$6:$B$505))</f>
        <v/>
      </c>
      <c r="J303" s="9">
        <f>IF(B303="","",IF(INDEX('По дням'!$E$2:$E$3662,MATCH(297,'По дням'!$G$2:$G$3662,0))=1,"да",""))</f>
        <v/>
      </c>
    </row>
    <row r="304">
      <c r="A304" s="9">
        <f>IF(B304="","",298)</f>
        <v/>
      </c>
      <c r="B304" s="12">
        <f>IFERROR(INDEX('По дням'!$A$2:$A$3662,MATCH(298,'По дням'!$G$2:$G$3662,0)),"")</f>
        <v/>
      </c>
      <c r="C304" s="12">
        <f>IF(B304="","",INDEX('По дням'!$A$2:$A$3662,MATCH(298,'По дням'!$G$2:$G$3662,0)+COUNTIF('По дням'!$G$2:$G$3662,298)-1))</f>
        <v/>
      </c>
      <c r="D304" s="9">
        <f>IF(B304="","",C304-B304+1)</f>
        <v/>
      </c>
      <c r="E304" s="13">
        <f>IF(B304="","",INDEX('По дням'!$D$2:$D$3662,MATCH(298,'По дням'!$G$2:$G$3662,0)))</f>
        <v/>
      </c>
      <c r="F304" s="9">
        <f>IF(B304="","",INDEX('По дням'!$B$2:$B$3662,MATCH(298,'По дням'!$G$2:$G$3662,0)))</f>
        <v/>
      </c>
      <c r="G304" s="9">
        <f>IF(B304="","",INDEX('По дням'!$C$2:$C$3662,MATCH(298,'По дням'!$G$2:$G$3662,0)))</f>
        <v/>
      </c>
      <c r="H304" s="13">
        <f>IF(OR(B304="",F304=""),"",IF(J304="да",0,ROUND(E304*F304/100*D304/G304,2)))</f>
        <v/>
      </c>
      <c r="I304" s="13">
        <f>IF(B304="","",SUMIF(Оплаты!$A$6:$A$505,C304,Оплаты!$B$6:$B$505))</f>
        <v/>
      </c>
      <c r="J304" s="9">
        <f>IF(B304="","",IF(INDEX('По дням'!$E$2:$E$3662,MATCH(298,'По дням'!$G$2:$G$3662,0))=1,"да",""))</f>
        <v/>
      </c>
    </row>
    <row r="305">
      <c r="A305" s="9">
        <f>IF(B305="","",299)</f>
        <v/>
      </c>
      <c r="B305" s="12">
        <f>IFERROR(INDEX('По дням'!$A$2:$A$3662,MATCH(299,'По дням'!$G$2:$G$3662,0)),"")</f>
        <v/>
      </c>
      <c r="C305" s="12">
        <f>IF(B305="","",INDEX('По дням'!$A$2:$A$3662,MATCH(299,'По дням'!$G$2:$G$3662,0)+COUNTIF('По дням'!$G$2:$G$3662,299)-1))</f>
        <v/>
      </c>
      <c r="D305" s="9">
        <f>IF(B305="","",C305-B305+1)</f>
        <v/>
      </c>
      <c r="E305" s="13">
        <f>IF(B305="","",INDEX('По дням'!$D$2:$D$3662,MATCH(299,'По дням'!$G$2:$G$3662,0)))</f>
        <v/>
      </c>
      <c r="F305" s="9">
        <f>IF(B305="","",INDEX('По дням'!$B$2:$B$3662,MATCH(299,'По дням'!$G$2:$G$3662,0)))</f>
        <v/>
      </c>
      <c r="G305" s="9">
        <f>IF(B305="","",INDEX('По дням'!$C$2:$C$3662,MATCH(299,'По дням'!$G$2:$G$3662,0)))</f>
        <v/>
      </c>
      <c r="H305" s="13">
        <f>IF(OR(B305="",F305=""),"",IF(J305="да",0,ROUND(E305*F305/100*D305/G305,2)))</f>
        <v/>
      </c>
      <c r="I305" s="13">
        <f>IF(B305="","",SUMIF(Оплаты!$A$6:$A$505,C305,Оплаты!$B$6:$B$505))</f>
        <v/>
      </c>
      <c r="J305" s="9">
        <f>IF(B305="","",IF(INDEX('По дням'!$E$2:$E$3662,MATCH(299,'По дням'!$G$2:$G$3662,0))=1,"да",""))</f>
        <v/>
      </c>
    </row>
    <row r="306">
      <c r="A306" s="9">
        <f>IF(B306="","",300)</f>
        <v/>
      </c>
      <c r="B306" s="12">
        <f>IFERROR(INDEX('По дням'!$A$2:$A$3662,MATCH(300,'По дням'!$G$2:$G$3662,0)),"")</f>
        <v/>
      </c>
      <c r="C306" s="12">
        <f>IF(B306="","",INDEX('По дням'!$A$2:$A$3662,MATCH(300,'По дням'!$G$2:$G$3662,0)+COUNTIF('По дням'!$G$2:$G$3662,300)-1))</f>
        <v/>
      </c>
      <c r="D306" s="9">
        <f>IF(B306="","",C306-B306+1)</f>
        <v/>
      </c>
      <c r="E306" s="13">
        <f>IF(B306="","",INDEX('По дням'!$D$2:$D$3662,MATCH(300,'По дням'!$G$2:$G$3662,0)))</f>
        <v/>
      </c>
      <c r="F306" s="9">
        <f>IF(B306="","",INDEX('По дням'!$B$2:$B$3662,MATCH(300,'По дням'!$G$2:$G$3662,0)))</f>
        <v/>
      </c>
      <c r="G306" s="9">
        <f>IF(B306="","",INDEX('По дням'!$C$2:$C$3662,MATCH(300,'По дням'!$G$2:$G$3662,0)))</f>
        <v/>
      </c>
      <c r="H306" s="13">
        <f>IF(OR(B306="",F306=""),"",IF(J306="да",0,ROUND(E306*F306/100*D306/G306,2)))</f>
        <v/>
      </c>
      <c r="I306" s="13">
        <f>IF(B306="","",SUMIF(Оплаты!$A$6:$A$505,C306,Оплаты!$B$6:$B$505))</f>
        <v/>
      </c>
      <c r="J306" s="9">
        <f>IF(B306="","",IF(INDEX('По дням'!$E$2:$E$3662,MATCH(300,'По дням'!$G$2:$G$3662,0))=1,"да",""))</f>
        <v/>
      </c>
    </row>
    <row r="307">
      <c r="A307" s="9">
        <f>IF(B307="","",301)</f>
        <v/>
      </c>
      <c r="B307" s="12">
        <f>IFERROR(INDEX('По дням'!$A$2:$A$3662,MATCH(301,'По дням'!$G$2:$G$3662,0)),"")</f>
        <v/>
      </c>
      <c r="C307" s="12">
        <f>IF(B307="","",INDEX('По дням'!$A$2:$A$3662,MATCH(301,'По дням'!$G$2:$G$3662,0)+COUNTIF('По дням'!$G$2:$G$3662,301)-1))</f>
        <v/>
      </c>
      <c r="D307" s="9">
        <f>IF(B307="","",C307-B307+1)</f>
        <v/>
      </c>
      <c r="E307" s="13">
        <f>IF(B307="","",INDEX('По дням'!$D$2:$D$3662,MATCH(301,'По дням'!$G$2:$G$3662,0)))</f>
        <v/>
      </c>
      <c r="F307" s="9">
        <f>IF(B307="","",INDEX('По дням'!$B$2:$B$3662,MATCH(301,'По дням'!$G$2:$G$3662,0)))</f>
        <v/>
      </c>
      <c r="G307" s="9">
        <f>IF(B307="","",INDEX('По дням'!$C$2:$C$3662,MATCH(301,'По дням'!$G$2:$G$3662,0)))</f>
        <v/>
      </c>
      <c r="H307" s="13">
        <f>IF(OR(B307="",F307=""),"",IF(J307="да",0,ROUND(E307*F307/100*D307/G307,2)))</f>
        <v/>
      </c>
      <c r="I307" s="13">
        <f>IF(B307="","",SUMIF(Оплаты!$A$6:$A$505,C307,Оплаты!$B$6:$B$505))</f>
        <v/>
      </c>
      <c r="J307" s="9">
        <f>IF(B307="","",IF(INDEX('По дням'!$E$2:$E$3662,MATCH(301,'По дням'!$G$2:$G$3662,0))=1,"да",""))</f>
        <v/>
      </c>
    </row>
    <row r="308">
      <c r="A308" s="9">
        <f>IF(B308="","",302)</f>
        <v/>
      </c>
      <c r="B308" s="12">
        <f>IFERROR(INDEX('По дням'!$A$2:$A$3662,MATCH(302,'По дням'!$G$2:$G$3662,0)),"")</f>
        <v/>
      </c>
      <c r="C308" s="12">
        <f>IF(B308="","",INDEX('По дням'!$A$2:$A$3662,MATCH(302,'По дням'!$G$2:$G$3662,0)+COUNTIF('По дням'!$G$2:$G$3662,302)-1))</f>
        <v/>
      </c>
      <c r="D308" s="9">
        <f>IF(B308="","",C308-B308+1)</f>
        <v/>
      </c>
      <c r="E308" s="13">
        <f>IF(B308="","",INDEX('По дням'!$D$2:$D$3662,MATCH(302,'По дням'!$G$2:$G$3662,0)))</f>
        <v/>
      </c>
      <c r="F308" s="9">
        <f>IF(B308="","",INDEX('По дням'!$B$2:$B$3662,MATCH(302,'По дням'!$G$2:$G$3662,0)))</f>
        <v/>
      </c>
      <c r="G308" s="9">
        <f>IF(B308="","",INDEX('По дням'!$C$2:$C$3662,MATCH(302,'По дням'!$G$2:$G$3662,0)))</f>
        <v/>
      </c>
      <c r="H308" s="13">
        <f>IF(OR(B308="",F308=""),"",IF(J308="да",0,ROUND(E308*F308/100*D308/G308,2)))</f>
        <v/>
      </c>
      <c r="I308" s="13">
        <f>IF(B308="","",SUMIF(Оплаты!$A$6:$A$505,C308,Оплаты!$B$6:$B$505))</f>
        <v/>
      </c>
      <c r="J308" s="9">
        <f>IF(B308="","",IF(INDEX('По дням'!$E$2:$E$3662,MATCH(302,'По дням'!$G$2:$G$3662,0))=1,"да",""))</f>
        <v/>
      </c>
    </row>
    <row r="309">
      <c r="A309" s="9">
        <f>IF(B309="","",303)</f>
        <v/>
      </c>
      <c r="B309" s="12">
        <f>IFERROR(INDEX('По дням'!$A$2:$A$3662,MATCH(303,'По дням'!$G$2:$G$3662,0)),"")</f>
        <v/>
      </c>
      <c r="C309" s="12">
        <f>IF(B309="","",INDEX('По дням'!$A$2:$A$3662,MATCH(303,'По дням'!$G$2:$G$3662,0)+COUNTIF('По дням'!$G$2:$G$3662,303)-1))</f>
        <v/>
      </c>
      <c r="D309" s="9">
        <f>IF(B309="","",C309-B309+1)</f>
        <v/>
      </c>
      <c r="E309" s="13">
        <f>IF(B309="","",INDEX('По дням'!$D$2:$D$3662,MATCH(303,'По дням'!$G$2:$G$3662,0)))</f>
        <v/>
      </c>
      <c r="F309" s="9">
        <f>IF(B309="","",INDEX('По дням'!$B$2:$B$3662,MATCH(303,'По дням'!$G$2:$G$3662,0)))</f>
        <v/>
      </c>
      <c r="G309" s="9">
        <f>IF(B309="","",INDEX('По дням'!$C$2:$C$3662,MATCH(303,'По дням'!$G$2:$G$3662,0)))</f>
        <v/>
      </c>
      <c r="H309" s="13">
        <f>IF(OR(B309="",F309=""),"",IF(J309="да",0,ROUND(E309*F309/100*D309/G309,2)))</f>
        <v/>
      </c>
      <c r="I309" s="13">
        <f>IF(B309="","",SUMIF(Оплаты!$A$6:$A$505,C309,Оплаты!$B$6:$B$505))</f>
        <v/>
      </c>
      <c r="J309" s="9">
        <f>IF(B309="","",IF(INDEX('По дням'!$E$2:$E$3662,MATCH(303,'По дням'!$G$2:$G$3662,0))=1,"да",""))</f>
        <v/>
      </c>
    </row>
    <row r="310">
      <c r="A310" s="9">
        <f>IF(B310="","",304)</f>
        <v/>
      </c>
      <c r="B310" s="12">
        <f>IFERROR(INDEX('По дням'!$A$2:$A$3662,MATCH(304,'По дням'!$G$2:$G$3662,0)),"")</f>
        <v/>
      </c>
      <c r="C310" s="12">
        <f>IF(B310="","",INDEX('По дням'!$A$2:$A$3662,MATCH(304,'По дням'!$G$2:$G$3662,0)+COUNTIF('По дням'!$G$2:$G$3662,304)-1))</f>
        <v/>
      </c>
      <c r="D310" s="9">
        <f>IF(B310="","",C310-B310+1)</f>
        <v/>
      </c>
      <c r="E310" s="13">
        <f>IF(B310="","",INDEX('По дням'!$D$2:$D$3662,MATCH(304,'По дням'!$G$2:$G$3662,0)))</f>
        <v/>
      </c>
      <c r="F310" s="9">
        <f>IF(B310="","",INDEX('По дням'!$B$2:$B$3662,MATCH(304,'По дням'!$G$2:$G$3662,0)))</f>
        <v/>
      </c>
      <c r="G310" s="9">
        <f>IF(B310="","",INDEX('По дням'!$C$2:$C$3662,MATCH(304,'По дням'!$G$2:$G$3662,0)))</f>
        <v/>
      </c>
      <c r="H310" s="13">
        <f>IF(OR(B310="",F310=""),"",IF(J310="да",0,ROUND(E310*F310/100*D310/G310,2)))</f>
        <v/>
      </c>
      <c r="I310" s="13">
        <f>IF(B310="","",SUMIF(Оплаты!$A$6:$A$505,C310,Оплаты!$B$6:$B$505))</f>
        <v/>
      </c>
      <c r="J310" s="9">
        <f>IF(B310="","",IF(INDEX('По дням'!$E$2:$E$3662,MATCH(304,'По дням'!$G$2:$G$3662,0))=1,"да",""))</f>
        <v/>
      </c>
    </row>
    <row r="311">
      <c r="A311" s="9">
        <f>IF(B311="","",305)</f>
        <v/>
      </c>
      <c r="B311" s="12">
        <f>IFERROR(INDEX('По дням'!$A$2:$A$3662,MATCH(305,'По дням'!$G$2:$G$3662,0)),"")</f>
        <v/>
      </c>
      <c r="C311" s="12">
        <f>IF(B311="","",INDEX('По дням'!$A$2:$A$3662,MATCH(305,'По дням'!$G$2:$G$3662,0)+COUNTIF('По дням'!$G$2:$G$3662,305)-1))</f>
        <v/>
      </c>
      <c r="D311" s="9">
        <f>IF(B311="","",C311-B311+1)</f>
        <v/>
      </c>
      <c r="E311" s="13">
        <f>IF(B311="","",INDEX('По дням'!$D$2:$D$3662,MATCH(305,'По дням'!$G$2:$G$3662,0)))</f>
        <v/>
      </c>
      <c r="F311" s="9">
        <f>IF(B311="","",INDEX('По дням'!$B$2:$B$3662,MATCH(305,'По дням'!$G$2:$G$3662,0)))</f>
        <v/>
      </c>
      <c r="G311" s="9">
        <f>IF(B311="","",INDEX('По дням'!$C$2:$C$3662,MATCH(305,'По дням'!$G$2:$G$3662,0)))</f>
        <v/>
      </c>
      <c r="H311" s="13">
        <f>IF(OR(B311="",F311=""),"",IF(J311="да",0,ROUND(E311*F311/100*D311/G311,2)))</f>
        <v/>
      </c>
      <c r="I311" s="13">
        <f>IF(B311="","",SUMIF(Оплаты!$A$6:$A$505,C311,Оплаты!$B$6:$B$505))</f>
        <v/>
      </c>
      <c r="J311" s="9">
        <f>IF(B311="","",IF(INDEX('По дням'!$E$2:$E$3662,MATCH(305,'По дням'!$G$2:$G$3662,0))=1,"да",""))</f>
        <v/>
      </c>
    </row>
    <row r="312">
      <c r="A312" s="9">
        <f>IF(B312="","",306)</f>
        <v/>
      </c>
      <c r="B312" s="12">
        <f>IFERROR(INDEX('По дням'!$A$2:$A$3662,MATCH(306,'По дням'!$G$2:$G$3662,0)),"")</f>
        <v/>
      </c>
      <c r="C312" s="12">
        <f>IF(B312="","",INDEX('По дням'!$A$2:$A$3662,MATCH(306,'По дням'!$G$2:$G$3662,0)+COUNTIF('По дням'!$G$2:$G$3662,306)-1))</f>
        <v/>
      </c>
      <c r="D312" s="9">
        <f>IF(B312="","",C312-B312+1)</f>
        <v/>
      </c>
      <c r="E312" s="13">
        <f>IF(B312="","",INDEX('По дням'!$D$2:$D$3662,MATCH(306,'По дням'!$G$2:$G$3662,0)))</f>
        <v/>
      </c>
      <c r="F312" s="9">
        <f>IF(B312="","",INDEX('По дням'!$B$2:$B$3662,MATCH(306,'По дням'!$G$2:$G$3662,0)))</f>
        <v/>
      </c>
      <c r="G312" s="9">
        <f>IF(B312="","",INDEX('По дням'!$C$2:$C$3662,MATCH(306,'По дням'!$G$2:$G$3662,0)))</f>
        <v/>
      </c>
      <c r="H312" s="13">
        <f>IF(OR(B312="",F312=""),"",IF(J312="да",0,ROUND(E312*F312/100*D312/G312,2)))</f>
        <v/>
      </c>
      <c r="I312" s="13">
        <f>IF(B312="","",SUMIF(Оплаты!$A$6:$A$505,C312,Оплаты!$B$6:$B$505))</f>
        <v/>
      </c>
      <c r="J312" s="9">
        <f>IF(B312="","",IF(INDEX('По дням'!$E$2:$E$3662,MATCH(306,'По дням'!$G$2:$G$3662,0))=1,"да",""))</f>
        <v/>
      </c>
    </row>
    <row r="313">
      <c r="A313" s="9">
        <f>IF(B313="","",307)</f>
        <v/>
      </c>
      <c r="B313" s="12">
        <f>IFERROR(INDEX('По дням'!$A$2:$A$3662,MATCH(307,'По дням'!$G$2:$G$3662,0)),"")</f>
        <v/>
      </c>
      <c r="C313" s="12">
        <f>IF(B313="","",INDEX('По дням'!$A$2:$A$3662,MATCH(307,'По дням'!$G$2:$G$3662,0)+COUNTIF('По дням'!$G$2:$G$3662,307)-1))</f>
        <v/>
      </c>
      <c r="D313" s="9">
        <f>IF(B313="","",C313-B313+1)</f>
        <v/>
      </c>
      <c r="E313" s="13">
        <f>IF(B313="","",INDEX('По дням'!$D$2:$D$3662,MATCH(307,'По дням'!$G$2:$G$3662,0)))</f>
        <v/>
      </c>
      <c r="F313" s="9">
        <f>IF(B313="","",INDEX('По дням'!$B$2:$B$3662,MATCH(307,'По дням'!$G$2:$G$3662,0)))</f>
        <v/>
      </c>
      <c r="G313" s="9">
        <f>IF(B313="","",INDEX('По дням'!$C$2:$C$3662,MATCH(307,'По дням'!$G$2:$G$3662,0)))</f>
        <v/>
      </c>
      <c r="H313" s="13">
        <f>IF(OR(B313="",F313=""),"",IF(J313="да",0,ROUND(E313*F313/100*D313/G313,2)))</f>
        <v/>
      </c>
      <c r="I313" s="13">
        <f>IF(B313="","",SUMIF(Оплаты!$A$6:$A$505,C313,Оплаты!$B$6:$B$505))</f>
        <v/>
      </c>
      <c r="J313" s="9">
        <f>IF(B313="","",IF(INDEX('По дням'!$E$2:$E$3662,MATCH(307,'По дням'!$G$2:$G$3662,0))=1,"да",""))</f>
        <v/>
      </c>
    </row>
    <row r="314">
      <c r="A314" s="9">
        <f>IF(B314="","",308)</f>
        <v/>
      </c>
      <c r="B314" s="12">
        <f>IFERROR(INDEX('По дням'!$A$2:$A$3662,MATCH(308,'По дням'!$G$2:$G$3662,0)),"")</f>
        <v/>
      </c>
      <c r="C314" s="12">
        <f>IF(B314="","",INDEX('По дням'!$A$2:$A$3662,MATCH(308,'По дням'!$G$2:$G$3662,0)+COUNTIF('По дням'!$G$2:$G$3662,308)-1))</f>
        <v/>
      </c>
      <c r="D314" s="9">
        <f>IF(B314="","",C314-B314+1)</f>
        <v/>
      </c>
      <c r="E314" s="13">
        <f>IF(B314="","",INDEX('По дням'!$D$2:$D$3662,MATCH(308,'По дням'!$G$2:$G$3662,0)))</f>
        <v/>
      </c>
      <c r="F314" s="9">
        <f>IF(B314="","",INDEX('По дням'!$B$2:$B$3662,MATCH(308,'По дням'!$G$2:$G$3662,0)))</f>
        <v/>
      </c>
      <c r="G314" s="9">
        <f>IF(B314="","",INDEX('По дням'!$C$2:$C$3662,MATCH(308,'По дням'!$G$2:$G$3662,0)))</f>
        <v/>
      </c>
      <c r="H314" s="13">
        <f>IF(OR(B314="",F314=""),"",IF(J314="да",0,ROUND(E314*F314/100*D314/G314,2)))</f>
        <v/>
      </c>
      <c r="I314" s="13">
        <f>IF(B314="","",SUMIF(Оплаты!$A$6:$A$505,C314,Оплаты!$B$6:$B$505))</f>
        <v/>
      </c>
      <c r="J314" s="9">
        <f>IF(B314="","",IF(INDEX('По дням'!$E$2:$E$3662,MATCH(308,'По дням'!$G$2:$G$3662,0))=1,"да",""))</f>
        <v/>
      </c>
    </row>
    <row r="315">
      <c r="A315" s="9">
        <f>IF(B315="","",309)</f>
        <v/>
      </c>
      <c r="B315" s="12">
        <f>IFERROR(INDEX('По дням'!$A$2:$A$3662,MATCH(309,'По дням'!$G$2:$G$3662,0)),"")</f>
        <v/>
      </c>
      <c r="C315" s="12">
        <f>IF(B315="","",INDEX('По дням'!$A$2:$A$3662,MATCH(309,'По дням'!$G$2:$G$3662,0)+COUNTIF('По дням'!$G$2:$G$3662,309)-1))</f>
        <v/>
      </c>
      <c r="D315" s="9">
        <f>IF(B315="","",C315-B315+1)</f>
        <v/>
      </c>
      <c r="E315" s="13">
        <f>IF(B315="","",INDEX('По дням'!$D$2:$D$3662,MATCH(309,'По дням'!$G$2:$G$3662,0)))</f>
        <v/>
      </c>
      <c r="F315" s="9">
        <f>IF(B315="","",INDEX('По дням'!$B$2:$B$3662,MATCH(309,'По дням'!$G$2:$G$3662,0)))</f>
        <v/>
      </c>
      <c r="G315" s="9">
        <f>IF(B315="","",INDEX('По дням'!$C$2:$C$3662,MATCH(309,'По дням'!$G$2:$G$3662,0)))</f>
        <v/>
      </c>
      <c r="H315" s="13">
        <f>IF(OR(B315="",F315=""),"",IF(J315="да",0,ROUND(E315*F315/100*D315/G315,2)))</f>
        <v/>
      </c>
      <c r="I315" s="13">
        <f>IF(B315="","",SUMIF(Оплаты!$A$6:$A$505,C315,Оплаты!$B$6:$B$505))</f>
        <v/>
      </c>
      <c r="J315" s="9">
        <f>IF(B315="","",IF(INDEX('По дням'!$E$2:$E$3662,MATCH(309,'По дням'!$G$2:$G$3662,0))=1,"да",""))</f>
        <v/>
      </c>
    </row>
    <row r="316">
      <c r="A316" s="9">
        <f>IF(B316="","",310)</f>
        <v/>
      </c>
      <c r="B316" s="12">
        <f>IFERROR(INDEX('По дням'!$A$2:$A$3662,MATCH(310,'По дням'!$G$2:$G$3662,0)),"")</f>
        <v/>
      </c>
      <c r="C316" s="12">
        <f>IF(B316="","",INDEX('По дням'!$A$2:$A$3662,MATCH(310,'По дням'!$G$2:$G$3662,0)+COUNTIF('По дням'!$G$2:$G$3662,310)-1))</f>
        <v/>
      </c>
      <c r="D316" s="9">
        <f>IF(B316="","",C316-B316+1)</f>
        <v/>
      </c>
      <c r="E316" s="13">
        <f>IF(B316="","",INDEX('По дням'!$D$2:$D$3662,MATCH(310,'По дням'!$G$2:$G$3662,0)))</f>
        <v/>
      </c>
      <c r="F316" s="9">
        <f>IF(B316="","",INDEX('По дням'!$B$2:$B$3662,MATCH(310,'По дням'!$G$2:$G$3662,0)))</f>
        <v/>
      </c>
      <c r="G316" s="9">
        <f>IF(B316="","",INDEX('По дням'!$C$2:$C$3662,MATCH(310,'По дням'!$G$2:$G$3662,0)))</f>
        <v/>
      </c>
      <c r="H316" s="13">
        <f>IF(OR(B316="",F316=""),"",IF(J316="да",0,ROUND(E316*F316/100*D316/G316,2)))</f>
        <v/>
      </c>
      <c r="I316" s="13">
        <f>IF(B316="","",SUMIF(Оплаты!$A$6:$A$505,C316,Оплаты!$B$6:$B$505))</f>
        <v/>
      </c>
      <c r="J316" s="9">
        <f>IF(B316="","",IF(INDEX('По дням'!$E$2:$E$3662,MATCH(310,'По дням'!$G$2:$G$3662,0))=1,"да",""))</f>
        <v/>
      </c>
    </row>
    <row r="317">
      <c r="A317" s="9">
        <f>IF(B317="","",311)</f>
        <v/>
      </c>
      <c r="B317" s="12">
        <f>IFERROR(INDEX('По дням'!$A$2:$A$3662,MATCH(311,'По дням'!$G$2:$G$3662,0)),"")</f>
        <v/>
      </c>
      <c r="C317" s="12">
        <f>IF(B317="","",INDEX('По дням'!$A$2:$A$3662,MATCH(311,'По дням'!$G$2:$G$3662,0)+COUNTIF('По дням'!$G$2:$G$3662,311)-1))</f>
        <v/>
      </c>
      <c r="D317" s="9">
        <f>IF(B317="","",C317-B317+1)</f>
        <v/>
      </c>
      <c r="E317" s="13">
        <f>IF(B317="","",INDEX('По дням'!$D$2:$D$3662,MATCH(311,'По дням'!$G$2:$G$3662,0)))</f>
        <v/>
      </c>
      <c r="F317" s="9">
        <f>IF(B317="","",INDEX('По дням'!$B$2:$B$3662,MATCH(311,'По дням'!$G$2:$G$3662,0)))</f>
        <v/>
      </c>
      <c r="G317" s="9">
        <f>IF(B317="","",INDEX('По дням'!$C$2:$C$3662,MATCH(311,'По дням'!$G$2:$G$3662,0)))</f>
        <v/>
      </c>
      <c r="H317" s="13">
        <f>IF(OR(B317="",F317=""),"",IF(J317="да",0,ROUND(E317*F317/100*D317/G317,2)))</f>
        <v/>
      </c>
      <c r="I317" s="13">
        <f>IF(B317="","",SUMIF(Оплаты!$A$6:$A$505,C317,Оплаты!$B$6:$B$505))</f>
        <v/>
      </c>
      <c r="J317" s="9">
        <f>IF(B317="","",IF(INDEX('По дням'!$E$2:$E$3662,MATCH(311,'По дням'!$G$2:$G$3662,0))=1,"да",""))</f>
        <v/>
      </c>
    </row>
    <row r="318">
      <c r="A318" s="9">
        <f>IF(B318="","",312)</f>
        <v/>
      </c>
      <c r="B318" s="12">
        <f>IFERROR(INDEX('По дням'!$A$2:$A$3662,MATCH(312,'По дням'!$G$2:$G$3662,0)),"")</f>
        <v/>
      </c>
      <c r="C318" s="12">
        <f>IF(B318="","",INDEX('По дням'!$A$2:$A$3662,MATCH(312,'По дням'!$G$2:$G$3662,0)+COUNTIF('По дням'!$G$2:$G$3662,312)-1))</f>
        <v/>
      </c>
      <c r="D318" s="9">
        <f>IF(B318="","",C318-B318+1)</f>
        <v/>
      </c>
      <c r="E318" s="13">
        <f>IF(B318="","",INDEX('По дням'!$D$2:$D$3662,MATCH(312,'По дням'!$G$2:$G$3662,0)))</f>
        <v/>
      </c>
      <c r="F318" s="9">
        <f>IF(B318="","",INDEX('По дням'!$B$2:$B$3662,MATCH(312,'По дням'!$G$2:$G$3662,0)))</f>
        <v/>
      </c>
      <c r="G318" s="9">
        <f>IF(B318="","",INDEX('По дням'!$C$2:$C$3662,MATCH(312,'По дням'!$G$2:$G$3662,0)))</f>
        <v/>
      </c>
      <c r="H318" s="13">
        <f>IF(OR(B318="",F318=""),"",IF(J318="да",0,ROUND(E318*F318/100*D318/G318,2)))</f>
        <v/>
      </c>
      <c r="I318" s="13">
        <f>IF(B318="","",SUMIF(Оплаты!$A$6:$A$505,C318,Оплаты!$B$6:$B$505))</f>
        <v/>
      </c>
      <c r="J318" s="9">
        <f>IF(B318="","",IF(INDEX('По дням'!$E$2:$E$3662,MATCH(312,'По дням'!$G$2:$G$3662,0))=1,"да",""))</f>
        <v/>
      </c>
    </row>
    <row r="319">
      <c r="A319" s="9">
        <f>IF(B319="","",313)</f>
        <v/>
      </c>
      <c r="B319" s="12">
        <f>IFERROR(INDEX('По дням'!$A$2:$A$3662,MATCH(313,'По дням'!$G$2:$G$3662,0)),"")</f>
        <v/>
      </c>
      <c r="C319" s="12">
        <f>IF(B319="","",INDEX('По дням'!$A$2:$A$3662,MATCH(313,'По дням'!$G$2:$G$3662,0)+COUNTIF('По дням'!$G$2:$G$3662,313)-1))</f>
        <v/>
      </c>
      <c r="D319" s="9">
        <f>IF(B319="","",C319-B319+1)</f>
        <v/>
      </c>
      <c r="E319" s="13">
        <f>IF(B319="","",INDEX('По дням'!$D$2:$D$3662,MATCH(313,'По дням'!$G$2:$G$3662,0)))</f>
        <v/>
      </c>
      <c r="F319" s="9">
        <f>IF(B319="","",INDEX('По дням'!$B$2:$B$3662,MATCH(313,'По дням'!$G$2:$G$3662,0)))</f>
        <v/>
      </c>
      <c r="G319" s="9">
        <f>IF(B319="","",INDEX('По дням'!$C$2:$C$3662,MATCH(313,'По дням'!$G$2:$G$3662,0)))</f>
        <v/>
      </c>
      <c r="H319" s="13">
        <f>IF(OR(B319="",F319=""),"",IF(J319="да",0,ROUND(E319*F319/100*D319/G319,2)))</f>
        <v/>
      </c>
      <c r="I319" s="13">
        <f>IF(B319="","",SUMIF(Оплаты!$A$6:$A$505,C319,Оплаты!$B$6:$B$505))</f>
        <v/>
      </c>
      <c r="J319" s="9">
        <f>IF(B319="","",IF(INDEX('По дням'!$E$2:$E$3662,MATCH(313,'По дням'!$G$2:$G$3662,0))=1,"да",""))</f>
        <v/>
      </c>
    </row>
    <row r="320">
      <c r="A320" s="9">
        <f>IF(B320="","",314)</f>
        <v/>
      </c>
      <c r="B320" s="12">
        <f>IFERROR(INDEX('По дням'!$A$2:$A$3662,MATCH(314,'По дням'!$G$2:$G$3662,0)),"")</f>
        <v/>
      </c>
      <c r="C320" s="12">
        <f>IF(B320="","",INDEX('По дням'!$A$2:$A$3662,MATCH(314,'По дням'!$G$2:$G$3662,0)+COUNTIF('По дням'!$G$2:$G$3662,314)-1))</f>
        <v/>
      </c>
      <c r="D320" s="9">
        <f>IF(B320="","",C320-B320+1)</f>
        <v/>
      </c>
      <c r="E320" s="13">
        <f>IF(B320="","",INDEX('По дням'!$D$2:$D$3662,MATCH(314,'По дням'!$G$2:$G$3662,0)))</f>
        <v/>
      </c>
      <c r="F320" s="9">
        <f>IF(B320="","",INDEX('По дням'!$B$2:$B$3662,MATCH(314,'По дням'!$G$2:$G$3662,0)))</f>
        <v/>
      </c>
      <c r="G320" s="9">
        <f>IF(B320="","",INDEX('По дням'!$C$2:$C$3662,MATCH(314,'По дням'!$G$2:$G$3662,0)))</f>
        <v/>
      </c>
      <c r="H320" s="13">
        <f>IF(OR(B320="",F320=""),"",IF(J320="да",0,ROUND(E320*F320/100*D320/G320,2)))</f>
        <v/>
      </c>
      <c r="I320" s="13">
        <f>IF(B320="","",SUMIF(Оплаты!$A$6:$A$505,C320,Оплаты!$B$6:$B$505))</f>
        <v/>
      </c>
      <c r="J320" s="9">
        <f>IF(B320="","",IF(INDEX('По дням'!$E$2:$E$3662,MATCH(314,'По дням'!$G$2:$G$3662,0))=1,"да",""))</f>
        <v/>
      </c>
    </row>
    <row r="321">
      <c r="A321" s="9">
        <f>IF(B321="","",315)</f>
        <v/>
      </c>
      <c r="B321" s="12">
        <f>IFERROR(INDEX('По дням'!$A$2:$A$3662,MATCH(315,'По дням'!$G$2:$G$3662,0)),"")</f>
        <v/>
      </c>
      <c r="C321" s="12">
        <f>IF(B321="","",INDEX('По дням'!$A$2:$A$3662,MATCH(315,'По дням'!$G$2:$G$3662,0)+COUNTIF('По дням'!$G$2:$G$3662,315)-1))</f>
        <v/>
      </c>
      <c r="D321" s="9">
        <f>IF(B321="","",C321-B321+1)</f>
        <v/>
      </c>
      <c r="E321" s="13">
        <f>IF(B321="","",INDEX('По дням'!$D$2:$D$3662,MATCH(315,'По дням'!$G$2:$G$3662,0)))</f>
        <v/>
      </c>
      <c r="F321" s="9">
        <f>IF(B321="","",INDEX('По дням'!$B$2:$B$3662,MATCH(315,'По дням'!$G$2:$G$3662,0)))</f>
        <v/>
      </c>
      <c r="G321" s="9">
        <f>IF(B321="","",INDEX('По дням'!$C$2:$C$3662,MATCH(315,'По дням'!$G$2:$G$3662,0)))</f>
        <v/>
      </c>
      <c r="H321" s="13">
        <f>IF(OR(B321="",F321=""),"",IF(J321="да",0,ROUND(E321*F321/100*D321/G321,2)))</f>
        <v/>
      </c>
      <c r="I321" s="13">
        <f>IF(B321="","",SUMIF(Оплаты!$A$6:$A$505,C321,Оплаты!$B$6:$B$505))</f>
        <v/>
      </c>
      <c r="J321" s="9">
        <f>IF(B321="","",IF(INDEX('По дням'!$E$2:$E$3662,MATCH(315,'По дням'!$G$2:$G$3662,0))=1,"да",""))</f>
        <v/>
      </c>
    </row>
    <row r="322">
      <c r="A322" s="9">
        <f>IF(B322="","",316)</f>
        <v/>
      </c>
      <c r="B322" s="12">
        <f>IFERROR(INDEX('По дням'!$A$2:$A$3662,MATCH(316,'По дням'!$G$2:$G$3662,0)),"")</f>
        <v/>
      </c>
      <c r="C322" s="12">
        <f>IF(B322="","",INDEX('По дням'!$A$2:$A$3662,MATCH(316,'По дням'!$G$2:$G$3662,0)+COUNTIF('По дням'!$G$2:$G$3662,316)-1))</f>
        <v/>
      </c>
      <c r="D322" s="9">
        <f>IF(B322="","",C322-B322+1)</f>
        <v/>
      </c>
      <c r="E322" s="13">
        <f>IF(B322="","",INDEX('По дням'!$D$2:$D$3662,MATCH(316,'По дням'!$G$2:$G$3662,0)))</f>
        <v/>
      </c>
      <c r="F322" s="9">
        <f>IF(B322="","",INDEX('По дням'!$B$2:$B$3662,MATCH(316,'По дням'!$G$2:$G$3662,0)))</f>
        <v/>
      </c>
      <c r="G322" s="9">
        <f>IF(B322="","",INDEX('По дням'!$C$2:$C$3662,MATCH(316,'По дням'!$G$2:$G$3662,0)))</f>
        <v/>
      </c>
      <c r="H322" s="13">
        <f>IF(OR(B322="",F322=""),"",IF(J322="да",0,ROUND(E322*F322/100*D322/G322,2)))</f>
        <v/>
      </c>
      <c r="I322" s="13">
        <f>IF(B322="","",SUMIF(Оплаты!$A$6:$A$505,C322,Оплаты!$B$6:$B$505))</f>
        <v/>
      </c>
      <c r="J322" s="9">
        <f>IF(B322="","",IF(INDEX('По дням'!$E$2:$E$3662,MATCH(316,'По дням'!$G$2:$G$3662,0))=1,"да",""))</f>
        <v/>
      </c>
    </row>
    <row r="323">
      <c r="A323" s="9">
        <f>IF(B323="","",317)</f>
        <v/>
      </c>
      <c r="B323" s="12">
        <f>IFERROR(INDEX('По дням'!$A$2:$A$3662,MATCH(317,'По дням'!$G$2:$G$3662,0)),"")</f>
        <v/>
      </c>
      <c r="C323" s="12">
        <f>IF(B323="","",INDEX('По дням'!$A$2:$A$3662,MATCH(317,'По дням'!$G$2:$G$3662,0)+COUNTIF('По дням'!$G$2:$G$3662,317)-1))</f>
        <v/>
      </c>
      <c r="D323" s="9">
        <f>IF(B323="","",C323-B323+1)</f>
        <v/>
      </c>
      <c r="E323" s="13">
        <f>IF(B323="","",INDEX('По дням'!$D$2:$D$3662,MATCH(317,'По дням'!$G$2:$G$3662,0)))</f>
        <v/>
      </c>
      <c r="F323" s="9">
        <f>IF(B323="","",INDEX('По дням'!$B$2:$B$3662,MATCH(317,'По дням'!$G$2:$G$3662,0)))</f>
        <v/>
      </c>
      <c r="G323" s="9">
        <f>IF(B323="","",INDEX('По дням'!$C$2:$C$3662,MATCH(317,'По дням'!$G$2:$G$3662,0)))</f>
        <v/>
      </c>
      <c r="H323" s="13">
        <f>IF(OR(B323="",F323=""),"",IF(J323="да",0,ROUND(E323*F323/100*D323/G323,2)))</f>
        <v/>
      </c>
      <c r="I323" s="13">
        <f>IF(B323="","",SUMIF(Оплаты!$A$6:$A$505,C323,Оплаты!$B$6:$B$505))</f>
        <v/>
      </c>
      <c r="J323" s="9">
        <f>IF(B323="","",IF(INDEX('По дням'!$E$2:$E$3662,MATCH(317,'По дням'!$G$2:$G$3662,0))=1,"да",""))</f>
        <v/>
      </c>
    </row>
    <row r="324">
      <c r="A324" s="9">
        <f>IF(B324="","",318)</f>
        <v/>
      </c>
      <c r="B324" s="12">
        <f>IFERROR(INDEX('По дням'!$A$2:$A$3662,MATCH(318,'По дням'!$G$2:$G$3662,0)),"")</f>
        <v/>
      </c>
      <c r="C324" s="12">
        <f>IF(B324="","",INDEX('По дням'!$A$2:$A$3662,MATCH(318,'По дням'!$G$2:$G$3662,0)+COUNTIF('По дням'!$G$2:$G$3662,318)-1))</f>
        <v/>
      </c>
      <c r="D324" s="9">
        <f>IF(B324="","",C324-B324+1)</f>
        <v/>
      </c>
      <c r="E324" s="13">
        <f>IF(B324="","",INDEX('По дням'!$D$2:$D$3662,MATCH(318,'По дням'!$G$2:$G$3662,0)))</f>
        <v/>
      </c>
      <c r="F324" s="9">
        <f>IF(B324="","",INDEX('По дням'!$B$2:$B$3662,MATCH(318,'По дням'!$G$2:$G$3662,0)))</f>
        <v/>
      </c>
      <c r="G324" s="9">
        <f>IF(B324="","",INDEX('По дням'!$C$2:$C$3662,MATCH(318,'По дням'!$G$2:$G$3662,0)))</f>
        <v/>
      </c>
      <c r="H324" s="13">
        <f>IF(OR(B324="",F324=""),"",IF(J324="да",0,ROUND(E324*F324/100*D324/G324,2)))</f>
        <v/>
      </c>
      <c r="I324" s="13">
        <f>IF(B324="","",SUMIF(Оплаты!$A$6:$A$505,C324,Оплаты!$B$6:$B$505))</f>
        <v/>
      </c>
      <c r="J324" s="9">
        <f>IF(B324="","",IF(INDEX('По дням'!$E$2:$E$3662,MATCH(318,'По дням'!$G$2:$G$3662,0))=1,"да",""))</f>
        <v/>
      </c>
    </row>
    <row r="325">
      <c r="A325" s="9">
        <f>IF(B325="","",319)</f>
        <v/>
      </c>
      <c r="B325" s="12">
        <f>IFERROR(INDEX('По дням'!$A$2:$A$3662,MATCH(319,'По дням'!$G$2:$G$3662,0)),"")</f>
        <v/>
      </c>
      <c r="C325" s="12">
        <f>IF(B325="","",INDEX('По дням'!$A$2:$A$3662,MATCH(319,'По дням'!$G$2:$G$3662,0)+COUNTIF('По дням'!$G$2:$G$3662,319)-1))</f>
        <v/>
      </c>
      <c r="D325" s="9">
        <f>IF(B325="","",C325-B325+1)</f>
        <v/>
      </c>
      <c r="E325" s="13">
        <f>IF(B325="","",INDEX('По дням'!$D$2:$D$3662,MATCH(319,'По дням'!$G$2:$G$3662,0)))</f>
        <v/>
      </c>
      <c r="F325" s="9">
        <f>IF(B325="","",INDEX('По дням'!$B$2:$B$3662,MATCH(319,'По дням'!$G$2:$G$3662,0)))</f>
        <v/>
      </c>
      <c r="G325" s="9">
        <f>IF(B325="","",INDEX('По дням'!$C$2:$C$3662,MATCH(319,'По дням'!$G$2:$G$3662,0)))</f>
        <v/>
      </c>
      <c r="H325" s="13">
        <f>IF(OR(B325="",F325=""),"",IF(J325="да",0,ROUND(E325*F325/100*D325/G325,2)))</f>
        <v/>
      </c>
      <c r="I325" s="13">
        <f>IF(B325="","",SUMIF(Оплаты!$A$6:$A$505,C325,Оплаты!$B$6:$B$505))</f>
        <v/>
      </c>
      <c r="J325" s="9">
        <f>IF(B325="","",IF(INDEX('По дням'!$E$2:$E$3662,MATCH(319,'По дням'!$G$2:$G$3662,0))=1,"да",""))</f>
        <v/>
      </c>
    </row>
    <row r="326">
      <c r="A326" s="9">
        <f>IF(B326="","",320)</f>
        <v/>
      </c>
      <c r="B326" s="12">
        <f>IFERROR(INDEX('По дням'!$A$2:$A$3662,MATCH(320,'По дням'!$G$2:$G$3662,0)),"")</f>
        <v/>
      </c>
      <c r="C326" s="12">
        <f>IF(B326="","",INDEX('По дням'!$A$2:$A$3662,MATCH(320,'По дням'!$G$2:$G$3662,0)+COUNTIF('По дням'!$G$2:$G$3662,320)-1))</f>
        <v/>
      </c>
      <c r="D326" s="9">
        <f>IF(B326="","",C326-B326+1)</f>
        <v/>
      </c>
      <c r="E326" s="13">
        <f>IF(B326="","",INDEX('По дням'!$D$2:$D$3662,MATCH(320,'По дням'!$G$2:$G$3662,0)))</f>
        <v/>
      </c>
      <c r="F326" s="9">
        <f>IF(B326="","",INDEX('По дням'!$B$2:$B$3662,MATCH(320,'По дням'!$G$2:$G$3662,0)))</f>
        <v/>
      </c>
      <c r="G326" s="9">
        <f>IF(B326="","",INDEX('По дням'!$C$2:$C$3662,MATCH(320,'По дням'!$G$2:$G$3662,0)))</f>
        <v/>
      </c>
      <c r="H326" s="13">
        <f>IF(OR(B326="",F326=""),"",IF(J326="да",0,ROUND(E326*F326/100*D326/G326,2)))</f>
        <v/>
      </c>
      <c r="I326" s="13">
        <f>IF(B326="","",SUMIF(Оплаты!$A$6:$A$505,C326,Оплаты!$B$6:$B$505))</f>
        <v/>
      </c>
      <c r="J326" s="9">
        <f>IF(B326="","",IF(INDEX('По дням'!$E$2:$E$3662,MATCH(320,'По дням'!$G$2:$G$3662,0))=1,"да",""))</f>
        <v/>
      </c>
    </row>
    <row r="327">
      <c r="A327" s="9">
        <f>IF(B327="","",321)</f>
        <v/>
      </c>
      <c r="B327" s="12">
        <f>IFERROR(INDEX('По дням'!$A$2:$A$3662,MATCH(321,'По дням'!$G$2:$G$3662,0)),"")</f>
        <v/>
      </c>
      <c r="C327" s="12">
        <f>IF(B327="","",INDEX('По дням'!$A$2:$A$3662,MATCH(321,'По дням'!$G$2:$G$3662,0)+COUNTIF('По дням'!$G$2:$G$3662,321)-1))</f>
        <v/>
      </c>
      <c r="D327" s="9">
        <f>IF(B327="","",C327-B327+1)</f>
        <v/>
      </c>
      <c r="E327" s="13">
        <f>IF(B327="","",INDEX('По дням'!$D$2:$D$3662,MATCH(321,'По дням'!$G$2:$G$3662,0)))</f>
        <v/>
      </c>
      <c r="F327" s="9">
        <f>IF(B327="","",INDEX('По дням'!$B$2:$B$3662,MATCH(321,'По дням'!$G$2:$G$3662,0)))</f>
        <v/>
      </c>
      <c r="G327" s="9">
        <f>IF(B327="","",INDEX('По дням'!$C$2:$C$3662,MATCH(321,'По дням'!$G$2:$G$3662,0)))</f>
        <v/>
      </c>
      <c r="H327" s="13">
        <f>IF(OR(B327="",F327=""),"",IF(J327="да",0,ROUND(E327*F327/100*D327/G327,2)))</f>
        <v/>
      </c>
      <c r="I327" s="13">
        <f>IF(B327="","",SUMIF(Оплаты!$A$6:$A$505,C327,Оплаты!$B$6:$B$505))</f>
        <v/>
      </c>
      <c r="J327" s="9">
        <f>IF(B327="","",IF(INDEX('По дням'!$E$2:$E$3662,MATCH(321,'По дням'!$G$2:$G$3662,0))=1,"да",""))</f>
        <v/>
      </c>
    </row>
    <row r="328">
      <c r="A328" s="9">
        <f>IF(B328="","",322)</f>
        <v/>
      </c>
      <c r="B328" s="12">
        <f>IFERROR(INDEX('По дням'!$A$2:$A$3662,MATCH(322,'По дням'!$G$2:$G$3662,0)),"")</f>
        <v/>
      </c>
      <c r="C328" s="12">
        <f>IF(B328="","",INDEX('По дням'!$A$2:$A$3662,MATCH(322,'По дням'!$G$2:$G$3662,0)+COUNTIF('По дням'!$G$2:$G$3662,322)-1))</f>
        <v/>
      </c>
      <c r="D328" s="9">
        <f>IF(B328="","",C328-B328+1)</f>
        <v/>
      </c>
      <c r="E328" s="13">
        <f>IF(B328="","",INDEX('По дням'!$D$2:$D$3662,MATCH(322,'По дням'!$G$2:$G$3662,0)))</f>
        <v/>
      </c>
      <c r="F328" s="9">
        <f>IF(B328="","",INDEX('По дням'!$B$2:$B$3662,MATCH(322,'По дням'!$G$2:$G$3662,0)))</f>
        <v/>
      </c>
      <c r="G328" s="9">
        <f>IF(B328="","",INDEX('По дням'!$C$2:$C$3662,MATCH(322,'По дням'!$G$2:$G$3662,0)))</f>
        <v/>
      </c>
      <c r="H328" s="13">
        <f>IF(OR(B328="",F328=""),"",IF(J328="да",0,ROUND(E328*F328/100*D328/G328,2)))</f>
        <v/>
      </c>
      <c r="I328" s="13">
        <f>IF(B328="","",SUMIF(Оплаты!$A$6:$A$505,C328,Оплаты!$B$6:$B$505))</f>
        <v/>
      </c>
      <c r="J328" s="9">
        <f>IF(B328="","",IF(INDEX('По дням'!$E$2:$E$3662,MATCH(322,'По дням'!$G$2:$G$3662,0))=1,"да",""))</f>
        <v/>
      </c>
    </row>
    <row r="329">
      <c r="A329" s="9">
        <f>IF(B329="","",323)</f>
        <v/>
      </c>
      <c r="B329" s="12">
        <f>IFERROR(INDEX('По дням'!$A$2:$A$3662,MATCH(323,'По дням'!$G$2:$G$3662,0)),"")</f>
        <v/>
      </c>
      <c r="C329" s="12">
        <f>IF(B329="","",INDEX('По дням'!$A$2:$A$3662,MATCH(323,'По дням'!$G$2:$G$3662,0)+COUNTIF('По дням'!$G$2:$G$3662,323)-1))</f>
        <v/>
      </c>
      <c r="D329" s="9">
        <f>IF(B329="","",C329-B329+1)</f>
        <v/>
      </c>
      <c r="E329" s="13">
        <f>IF(B329="","",INDEX('По дням'!$D$2:$D$3662,MATCH(323,'По дням'!$G$2:$G$3662,0)))</f>
        <v/>
      </c>
      <c r="F329" s="9">
        <f>IF(B329="","",INDEX('По дням'!$B$2:$B$3662,MATCH(323,'По дням'!$G$2:$G$3662,0)))</f>
        <v/>
      </c>
      <c r="G329" s="9">
        <f>IF(B329="","",INDEX('По дням'!$C$2:$C$3662,MATCH(323,'По дням'!$G$2:$G$3662,0)))</f>
        <v/>
      </c>
      <c r="H329" s="13">
        <f>IF(OR(B329="",F329=""),"",IF(J329="да",0,ROUND(E329*F329/100*D329/G329,2)))</f>
        <v/>
      </c>
      <c r="I329" s="13">
        <f>IF(B329="","",SUMIF(Оплаты!$A$6:$A$505,C329,Оплаты!$B$6:$B$505))</f>
        <v/>
      </c>
      <c r="J329" s="9">
        <f>IF(B329="","",IF(INDEX('По дням'!$E$2:$E$3662,MATCH(323,'По дням'!$G$2:$G$3662,0))=1,"да",""))</f>
        <v/>
      </c>
    </row>
    <row r="330">
      <c r="A330" s="9">
        <f>IF(B330="","",324)</f>
        <v/>
      </c>
      <c r="B330" s="12">
        <f>IFERROR(INDEX('По дням'!$A$2:$A$3662,MATCH(324,'По дням'!$G$2:$G$3662,0)),"")</f>
        <v/>
      </c>
      <c r="C330" s="12">
        <f>IF(B330="","",INDEX('По дням'!$A$2:$A$3662,MATCH(324,'По дням'!$G$2:$G$3662,0)+COUNTIF('По дням'!$G$2:$G$3662,324)-1))</f>
        <v/>
      </c>
      <c r="D330" s="9">
        <f>IF(B330="","",C330-B330+1)</f>
        <v/>
      </c>
      <c r="E330" s="13">
        <f>IF(B330="","",INDEX('По дням'!$D$2:$D$3662,MATCH(324,'По дням'!$G$2:$G$3662,0)))</f>
        <v/>
      </c>
      <c r="F330" s="9">
        <f>IF(B330="","",INDEX('По дням'!$B$2:$B$3662,MATCH(324,'По дням'!$G$2:$G$3662,0)))</f>
        <v/>
      </c>
      <c r="G330" s="9">
        <f>IF(B330="","",INDEX('По дням'!$C$2:$C$3662,MATCH(324,'По дням'!$G$2:$G$3662,0)))</f>
        <v/>
      </c>
      <c r="H330" s="13">
        <f>IF(OR(B330="",F330=""),"",IF(J330="да",0,ROUND(E330*F330/100*D330/G330,2)))</f>
        <v/>
      </c>
      <c r="I330" s="13">
        <f>IF(B330="","",SUMIF(Оплаты!$A$6:$A$505,C330,Оплаты!$B$6:$B$505))</f>
        <v/>
      </c>
      <c r="J330" s="9">
        <f>IF(B330="","",IF(INDEX('По дням'!$E$2:$E$3662,MATCH(324,'По дням'!$G$2:$G$3662,0))=1,"да",""))</f>
        <v/>
      </c>
    </row>
    <row r="331">
      <c r="A331" s="9">
        <f>IF(B331="","",325)</f>
        <v/>
      </c>
      <c r="B331" s="12">
        <f>IFERROR(INDEX('По дням'!$A$2:$A$3662,MATCH(325,'По дням'!$G$2:$G$3662,0)),"")</f>
        <v/>
      </c>
      <c r="C331" s="12">
        <f>IF(B331="","",INDEX('По дням'!$A$2:$A$3662,MATCH(325,'По дням'!$G$2:$G$3662,0)+COUNTIF('По дням'!$G$2:$G$3662,325)-1))</f>
        <v/>
      </c>
      <c r="D331" s="9">
        <f>IF(B331="","",C331-B331+1)</f>
        <v/>
      </c>
      <c r="E331" s="13">
        <f>IF(B331="","",INDEX('По дням'!$D$2:$D$3662,MATCH(325,'По дням'!$G$2:$G$3662,0)))</f>
        <v/>
      </c>
      <c r="F331" s="9">
        <f>IF(B331="","",INDEX('По дням'!$B$2:$B$3662,MATCH(325,'По дням'!$G$2:$G$3662,0)))</f>
        <v/>
      </c>
      <c r="G331" s="9">
        <f>IF(B331="","",INDEX('По дням'!$C$2:$C$3662,MATCH(325,'По дням'!$G$2:$G$3662,0)))</f>
        <v/>
      </c>
      <c r="H331" s="13">
        <f>IF(OR(B331="",F331=""),"",IF(J331="да",0,ROUND(E331*F331/100*D331/G331,2)))</f>
        <v/>
      </c>
      <c r="I331" s="13">
        <f>IF(B331="","",SUMIF(Оплаты!$A$6:$A$505,C331,Оплаты!$B$6:$B$505))</f>
        <v/>
      </c>
      <c r="J331" s="9">
        <f>IF(B331="","",IF(INDEX('По дням'!$E$2:$E$3662,MATCH(325,'По дням'!$G$2:$G$3662,0))=1,"да",""))</f>
        <v/>
      </c>
    </row>
    <row r="332">
      <c r="A332" s="9">
        <f>IF(B332="","",326)</f>
        <v/>
      </c>
      <c r="B332" s="12">
        <f>IFERROR(INDEX('По дням'!$A$2:$A$3662,MATCH(326,'По дням'!$G$2:$G$3662,0)),"")</f>
        <v/>
      </c>
      <c r="C332" s="12">
        <f>IF(B332="","",INDEX('По дням'!$A$2:$A$3662,MATCH(326,'По дням'!$G$2:$G$3662,0)+COUNTIF('По дням'!$G$2:$G$3662,326)-1))</f>
        <v/>
      </c>
      <c r="D332" s="9">
        <f>IF(B332="","",C332-B332+1)</f>
        <v/>
      </c>
      <c r="E332" s="13">
        <f>IF(B332="","",INDEX('По дням'!$D$2:$D$3662,MATCH(326,'По дням'!$G$2:$G$3662,0)))</f>
        <v/>
      </c>
      <c r="F332" s="9">
        <f>IF(B332="","",INDEX('По дням'!$B$2:$B$3662,MATCH(326,'По дням'!$G$2:$G$3662,0)))</f>
        <v/>
      </c>
      <c r="G332" s="9">
        <f>IF(B332="","",INDEX('По дням'!$C$2:$C$3662,MATCH(326,'По дням'!$G$2:$G$3662,0)))</f>
        <v/>
      </c>
      <c r="H332" s="13">
        <f>IF(OR(B332="",F332=""),"",IF(J332="да",0,ROUND(E332*F332/100*D332/G332,2)))</f>
        <v/>
      </c>
      <c r="I332" s="13">
        <f>IF(B332="","",SUMIF(Оплаты!$A$6:$A$505,C332,Оплаты!$B$6:$B$505))</f>
        <v/>
      </c>
      <c r="J332" s="9">
        <f>IF(B332="","",IF(INDEX('По дням'!$E$2:$E$3662,MATCH(326,'По дням'!$G$2:$G$3662,0))=1,"да",""))</f>
        <v/>
      </c>
    </row>
    <row r="333">
      <c r="A333" s="9">
        <f>IF(B333="","",327)</f>
        <v/>
      </c>
      <c r="B333" s="12">
        <f>IFERROR(INDEX('По дням'!$A$2:$A$3662,MATCH(327,'По дням'!$G$2:$G$3662,0)),"")</f>
        <v/>
      </c>
      <c r="C333" s="12">
        <f>IF(B333="","",INDEX('По дням'!$A$2:$A$3662,MATCH(327,'По дням'!$G$2:$G$3662,0)+COUNTIF('По дням'!$G$2:$G$3662,327)-1))</f>
        <v/>
      </c>
      <c r="D333" s="9">
        <f>IF(B333="","",C333-B333+1)</f>
        <v/>
      </c>
      <c r="E333" s="13">
        <f>IF(B333="","",INDEX('По дням'!$D$2:$D$3662,MATCH(327,'По дням'!$G$2:$G$3662,0)))</f>
        <v/>
      </c>
      <c r="F333" s="9">
        <f>IF(B333="","",INDEX('По дням'!$B$2:$B$3662,MATCH(327,'По дням'!$G$2:$G$3662,0)))</f>
        <v/>
      </c>
      <c r="G333" s="9">
        <f>IF(B333="","",INDEX('По дням'!$C$2:$C$3662,MATCH(327,'По дням'!$G$2:$G$3662,0)))</f>
        <v/>
      </c>
      <c r="H333" s="13">
        <f>IF(OR(B333="",F333=""),"",IF(J333="да",0,ROUND(E333*F333/100*D333/G333,2)))</f>
        <v/>
      </c>
      <c r="I333" s="13">
        <f>IF(B333="","",SUMIF(Оплаты!$A$6:$A$505,C333,Оплаты!$B$6:$B$505))</f>
        <v/>
      </c>
      <c r="J333" s="9">
        <f>IF(B333="","",IF(INDEX('По дням'!$E$2:$E$3662,MATCH(327,'По дням'!$G$2:$G$3662,0))=1,"да",""))</f>
        <v/>
      </c>
    </row>
    <row r="334">
      <c r="A334" s="9">
        <f>IF(B334="","",328)</f>
        <v/>
      </c>
      <c r="B334" s="12">
        <f>IFERROR(INDEX('По дням'!$A$2:$A$3662,MATCH(328,'По дням'!$G$2:$G$3662,0)),"")</f>
        <v/>
      </c>
      <c r="C334" s="12">
        <f>IF(B334="","",INDEX('По дням'!$A$2:$A$3662,MATCH(328,'По дням'!$G$2:$G$3662,0)+COUNTIF('По дням'!$G$2:$G$3662,328)-1))</f>
        <v/>
      </c>
      <c r="D334" s="9">
        <f>IF(B334="","",C334-B334+1)</f>
        <v/>
      </c>
      <c r="E334" s="13">
        <f>IF(B334="","",INDEX('По дням'!$D$2:$D$3662,MATCH(328,'По дням'!$G$2:$G$3662,0)))</f>
        <v/>
      </c>
      <c r="F334" s="9">
        <f>IF(B334="","",INDEX('По дням'!$B$2:$B$3662,MATCH(328,'По дням'!$G$2:$G$3662,0)))</f>
        <v/>
      </c>
      <c r="G334" s="9">
        <f>IF(B334="","",INDEX('По дням'!$C$2:$C$3662,MATCH(328,'По дням'!$G$2:$G$3662,0)))</f>
        <v/>
      </c>
      <c r="H334" s="13">
        <f>IF(OR(B334="",F334=""),"",IF(J334="да",0,ROUND(E334*F334/100*D334/G334,2)))</f>
        <v/>
      </c>
      <c r="I334" s="13">
        <f>IF(B334="","",SUMIF(Оплаты!$A$6:$A$505,C334,Оплаты!$B$6:$B$505))</f>
        <v/>
      </c>
      <c r="J334" s="9">
        <f>IF(B334="","",IF(INDEX('По дням'!$E$2:$E$3662,MATCH(328,'По дням'!$G$2:$G$3662,0))=1,"да",""))</f>
        <v/>
      </c>
    </row>
    <row r="335">
      <c r="A335" s="9">
        <f>IF(B335="","",329)</f>
        <v/>
      </c>
      <c r="B335" s="12">
        <f>IFERROR(INDEX('По дням'!$A$2:$A$3662,MATCH(329,'По дням'!$G$2:$G$3662,0)),"")</f>
        <v/>
      </c>
      <c r="C335" s="12">
        <f>IF(B335="","",INDEX('По дням'!$A$2:$A$3662,MATCH(329,'По дням'!$G$2:$G$3662,0)+COUNTIF('По дням'!$G$2:$G$3662,329)-1))</f>
        <v/>
      </c>
      <c r="D335" s="9">
        <f>IF(B335="","",C335-B335+1)</f>
        <v/>
      </c>
      <c r="E335" s="13">
        <f>IF(B335="","",INDEX('По дням'!$D$2:$D$3662,MATCH(329,'По дням'!$G$2:$G$3662,0)))</f>
        <v/>
      </c>
      <c r="F335" s="9">
        <f>IF(B335="","",INDEX('По дням'!$B$2:$B$3662,MATCH(329,'По дням'!$G$2:$G$3662,0)))</f>
        <v/>
      </c>
      <c r="G335" s="9">
        <f>IF(B335="","",INDEX('По дням'!$C$2:$C$3662,MATCH(329,'По дням'!$G$2:$G$3662,0)))</f>
        <v/>
      </c>
      <c r="H335" s="13">
        <f>IF(OR(B335="",F335=""),"",IF(J335="да",0,ROUND(E335*F335/100*D335/G335,2)))</f>
        <v/>
      </c>
      <c r="I335" s="13">
        <f>IF(B335="","",SUMIF(Оплаты!$A$6:$A$505,C335,Оплаты!$B$6:$B$505))</f>
        <v/>
      </c>
      <c r="J335" s="9">
        <f>IF(B335="","",IF(INDEX('По дням'!$E$2:$E$3662,MATCH(329,'По дням'!$G$2:$G$3662,0))=1,"да",""))</f>
        <v/>
      </c>
    </row>
    <row r="336">
      <c r="A336" s="9">
        <f>IF(B336="","",330)</f>
        <v/>
      </c>
      <c r="B336" s="12">
        <f>IFERROR(INDEX('По дням'!$A$2:$A$3662,MATCH(330,'По дням'!$G$2:$G$3662,0)),"")</f>
        <v/>
      </c>
      <c r="C336" s="12">
        <f>IF(B336="","",INDEX('По дням'!$A$2:$A$3662,MATCH(330,'По дням'!$G$2:$G$3662,0)+COUNTIF('По дням'!$G$2:$G$3662,330)-1))</f>
        <v/>
      </c>
      <c r="D336" s="9">
        <f>IF(B336="","",C336-B336+1)</f>
        <v/>
      </c>
      <c r="E336" s="13">
        <f>IF(B336="","",INDEX('По дням'!$D$2:$D$3662,MATCH(330,'По дням'!$G$2:$G$3662,0)))</f>
        <v/>
      </c>
      <c r="F336" s="9">
        <f>IF(B336="","",INDEX('По дням'!$B$2:$B$3662,MATCH(330,'По дням'!$G$2:$G$3662,0)))</f>
        <v/>
      </c>
      <c r="G336" s="9">
        <f>IF(B336="","",INDEX('По дням'!$C$2:$C$3662,MATCH(330,'По дням'!$G$2:$G$3662,0)))</f>
        <v/>
      </c>
      <c r="H336" s="13">
        <f>IF(OR(B336="",F336=""),"",IF(J336="да",0,ROUND(E336*F336/100*D336/G336,2)))</f>
        <v/>
      </c>
      <c r="I336" s="13">
        <f>IF(B336="","",SUMIF(Оплаты!$A$6:$A$505,C336,Оплаты!$B$6:$B$505))</f>
        <v/>
      </c>
      <c r="J336" s="9">
        <f>IF(B336="","",IF(INDEX('По дням'!$E$2:$E$3662,MATCH(330,'По дням'!$G$2:$G$3662,0))=1,"да",""))</f>
        <v/>
      </c>
    </row>
    <row r="337">
      <c r="A337" s="9">
        <f>IF(B337="","",331)</f>
        <v/>
      </c>
      <c r="B337" s="12">
        <f>IFERROR(INDEX('По дням'!$A$2:$A$3662,MATCH(331,'По дням'!$G$2:$G$3662,0)),"")</f>
        <v/>
      </c>
      <c r="C337" s="12">
        <f>IF(B337="","",INDEX('По дням'!$A$2:$A$3662,MATCH(331,'По дням'!$G$2:$G$3662,0)+COUNTIF('По дням'!$G$2:$G$3662,331)-1))</f>
        <v/>
      </c>
      <c r="D337" s="9">
        <f>IF(B337="","",C337-B337+1)</f>
        <v/>
      </c>
      <c r="E337" s="13">
        <f>IF(B337="","",INDEX('По дням'!$D$2:$D$3662,MATCH(331,'По дням'!$G$2:$G$3662,0)))</f>
        <v/>
      </c>
      <c r="F337" s="9">
        <f>IF(B337="","",INDEX('По дням'!$B$2:$B$3662,MATCH(331,'По дням'!$G$2:$G$3662,0)))</f>
        <v/>
      </c>
      <c r="G337" s="9">
        <f>IF(B337="","",INDEX('По дням'!$C$2:$C$3662,MATCH(331,'По дням'!$G$2:$G$3662,0)))</f>
        <v/>
      </c>
      <c r="H337" s="13">
        <f>IF(OR(B337="",F337=""),"",IF(J337="да",0,ROUND(E337*F337/100*D337/G337,2)))</f>
        <v/>
      </c>
      <c r="I337" s="13">
        <f>IF(B337="","",SUMIF(Оплаты!$A$6:$A$505,C337,Оплаты!$B$6:$B$505))</f>
        <v/>
      </c>
      <c r="J337" s="9">
        <f>IF(B337="","",IF(INDEX('По дням'!$E$2:$E$3662,MATCH(331,'По дням'!$G$2:$G$3662,0))=1,"да",""))</f>
        <v/>
      </c>
    </row>
    <row r="338">
      <c r="A338" s="9">
        <f>IF(B338="","",332)</f>
        <v/>
      </c>
      <c r="B338" s="12">
        <f>IFERROR(INDEX('По дням'!$A$2:$A$3662,MATCH(332,'По дням'!$G$2:$G$3662,0)),"")</f>
        <v/>
      </c>
      <c r="C338" s="12">
        <f>IF(B338="","",INDEX('По дням'!$A$2:$A$3662,MATCH(332,'По дням'!$G$2:$G$3662,0)+COUNTIF('По дням'!$G$2:$G$3662,332)-1))</f>
        <v/>
      </c>
      <c r="D338" s="9">
        <f>IF(B338="","",C338-B338+1)</f>
        <v/>
      </c>
      <c r="E338" s="13">
        <f>IF(B338="","",INDEX('По дням'!$D$2:$D$3662,MATCH(332,'По дням'!$G$2:$G$3662,0)))</f>
        <v/>
      </c>
      <c r="F338" s="9">
        <f>IF(B338="","",INDEX('По дням'!$B$2:$B$3662,MATCH(332,'По дням'!$G$2:$G$3662,0)))</f>
        <v/>
      </c>
      <c r="G338" s="9">
        <f>IF(B338="","",INDEX('По дням'!$C$2:$C$3662,MATCH(332,'По дням'!$G$2:$G$3662,0)))</f>
        <v/>
      </c>
      <c r="H338" s="13">
        <f>IF(OR(B338="",F338=""),"",IF(J338="да",0,ROUND(E338*F338/100*D338/G338,2)))</f>
        <v/>
      </c>
      <c r="I338" s="13">
        <f>IF(B338="","",SUMIF(Оплаты!$A$6:$A$505,C338,Оплаты!$B$6:$B$505))</f>
        <v/>
      </c>
      <c r="J338" s="9">
        <f>IF(B338="","",IF(INDEX('По дням'!$E$2:$E$3662,MATCH(332,'По дням'!$G$2:$G$3662,0))=1,"да",""))</f>
        <v/>
      </c>
    </row>
    <row r="339">
      <c r="A339" s="9">
        <f>IF(B339="","",333)</f>
        <v/>
      </c>
      <c r="B339" s="12">
        <f>IFERROR(INDEX('По дням'!$A$2:$A$3662,MATCH(333,'По дням'!$G$2:$G$3662,0)),"")</f>
        <v/>
      </c>
      <c r="C339" s="12">
        <f>IF(B339="","",INDEX('По дням'!$A$2:$A$3662,MATCH(333,'По дням'!$G$2:$G$3662,0)+COUNTIF('По дням'!$G$2:$G$3662,333)-1))</f>
        <v/>
      </c>
      <c r="D339" s="9">
        <f>IF(B339="","",C339-B339+1)</f>
        <v/>
      </c>
      <c r="E339" s="13">
        <f>IF(B339="","",INDEX('По дням'!$D$2:$D$3662,MATCH(333,'По дням'!$G$2:$G$3662,0)))</f>
        <v/>
      </c>
      <c r="F339" s="9">
        <f>IF(B339="","",INDEX('По дням'!$B$2:$B$3662,MATCH(333,'По дням'!$G$2:$G$3662,0)))</f>
        <v/>
      </c>
      <c r="G339" s="9">
        <f>IF(B339="","",INDEX('По дням'!$C$2:$C$3662,MATCH(333,'По дням'!$G$2:$G$3662,0)))</f>
        <v/>
      </c>
      <c r="H339" s="13">
        <f>IF(OR(B339="",F339=""),"",IF(J339="да",0,ROUND(E339*F339/100*D339/G339,2)))</f>
        <v/>
      </c>
      <c r="I339" s="13">
        <f>IF(B339="","",SUMIF(Оплаты!$A$6:$A$505,C339,Оплаты!$B$6:$B$505))</f>
        <v/>
      </c>
      <c r="J339" s="9">
        <f>IF(B339="","",IF(INDEX('По дням'!$E$2:$E$3662,MATCH(333,'По дням'!$G$2:$G$3662,0))=1,"да",""))</f>
        <v/>
      </c>
    </row>
    <row r="340">
      <c r="A340" s="9">
        <f>IF(B340="","",334)</f>
        <v/>
      </c>
      <c r="B340" s="12">
        <f>IFERROR(INDEX('По дням'!$A$2:$A$3662,MATCH(334,'По дням'!$G$2:$G$3662,0)),"")</f>
        <v/>
      </c>
      <c r="C340" s="12">
        <f>IF(B340="","",INDEX('По дням'!$A$2:$A$3662,MATCH(334,'По дням'!$G$2:$G$3662,0)+COUNTIF('По дням'!$G$2:$G$3662,334)-1))</f>
        <v/>
      </c>
      <c r="D340" s="9">
        <f>IF(B340="","",C340-B340+1)</f>
        <v/>
      </c>
      <c r="E340" s="13">
        <f>IF(B340="","",INDEX('По дням'!$D$2:$D$3662,MATCH(334,'По дням'!$G$2:$G$3662,0)))</f>
        <v/>
      </c>
      <c r="F340" s="9">
        <f>IF(B340="","",INDEX('По дням'!$B$2:$B$3662,MATCH(334,'По дням'!$G$2:$G$3662,0)))</f>
        <v/>
      </c>
      <c r="G340" s="9">
        <f>IF(B340="","",INDEX('По дням'!$C$2:$C$3662,MATCH(334,'По дням'!$G$2:$G$3662,0)))</f>
        <v/>
      </c>
      <c r="H340" s="13">
        <f>IF(OR(B340="",F340=""),"",IF(J340="да",0,ROUND(E340*F340/100*D340/G340,2)))</f>
        <v/>
      </c>
      <c r="I340" s="13">
        <f>IF(B340="","",SUMIF(Оплаты!$A$6:$A$505,C340,Оплаты!$B$6:$B$505))</f>
        <v/>
      </c>
      <c r="J340" s="9">
        <f>IF(B340="","",IF(INDEX('По дням'!$E$2:$E$3662,MATCH(334,'По дням'!$G$2:$G$3662,0))=1,"да",""))</f>
        <v/>
      </c>
    </row>
    <row r="341">
      <c r="A341" s="9">
        <f>IF(B341="","",335)</f>
        <v/>
      </c>
      <c r="B341" s="12">
        <f>IFERROR(INDEX('По дням'!$A$2:$A$3662,MATCH(335,'По дням'!$G$2:$G$3662,0)),"")</f>
        <v/>
      </c>
      <c r="C341" s="12">
        <f>IF(B341="","",INDEX('По дням'!$A$2:$A$3662,MATCH(335,'По дням'!$G$2:$G$3662,0)+COUNTIF('По дням'!$G$2:$G$3662,335)-1))</f>
        <v/>
      </c>
      <c r="D341" s="9">
        <f>IF(B341="","",C341-B341+1)</f>
        <v/>
      </c>
      <c r="E341" s="13">
        <f>IF(B341="","",INDEX('По дням'!$D$2:$D$3662,MATCH(335,'По дням'!$G$2:$G$3662,0)))</f>
        <v/>
      </c>
      <c r="F341" s="9">
        <f>IF(B341="","",INDEX('По дням'!$B$2:$B$3662,MATCH(335,'По дням'!$G$2:$G$3662,0)))</f>
        <v/>
      </c>
      <c r="G341" s="9">
        <f>IF(B341="","",INDEX('По дням'!$C$2:$C$3662,MATCH(335,'По дням'!$G$2:$G$3662,0)))</f>
        <v/>
      </c>
      <c r="H341" s="13">
        <f>IF(OR(B341="",F341=""),"",IF(J341="да",0,ROUND(E341*F341/100*D341/G341,2)))</f>
        <v/>
      </c>
      <c r="I341" s="13">
        <f>IF(B341="","",SUMIF(Оплаты!$A$6:$A$505,C341,Оплаты!$B$6:$B$505))</f>
        <v/>
      </c>
      <c r="J341" s="9">
        <f>IF(B341="","",IF(INDEX('По дням'!$E$2:$E$3662,MATCH(335,'По дням'!$G$2:$G$3662,0))=1,"да",""))</f>
        <v/>
      </c>
    </row>
    <row r="342">
      <c r="A342" s="9">
        <f>IF(B342="","",336)</f>
        <v/>
      </c>
      <c r="B342" s="12">
        <f>IFERROR(INDEX('По дням'!$A$2:$A$3662,MATCH(336,'По дням'!$G$2:$G$3662,0)),"")</f>
        <v/>
      </c>
      <c r="C342" s="12">
        <f>IF(B342="","",INDEX('По дням'!$A$2:$A$3662,MATCH(336,'По дням'!$G$2:$G$3662,0)+COUNTIF('По дням'!$G$2:$G$3662,336)-1))</f>
        <v/>
      </c>
      <c r="D342" s="9">
        <f>IF(B342="","",C342-B342+1)</f>
        <v/>
      </c>
      <c r="E342" s="13">
        <f>IF(B342="","",INDEX('По дням'!$D$2:$D$3662,MATCH(336,'По дням'!$G$2:$G$3662,0)))</f>
        <v/>
      </c>
      <c r="F342" s="9">
        <f>IF(B342="","",INDEX('По дням'!$B$2:$B$3662,MATCH(336,'По дням'!$G$2:$G$3662,0)))</f>
        <v/>
      </c>
      <c r="G342" s="9">
        <f>IF(B342="","",INDEX('По дням'!$C$2:$C$3662,MATCH(336,'По дням'!$G$2:$G$3662,0)))</f>
        <v/>
      </c>
      <c r="H342" s="13">
        <f>IF(OR(B342="",F342=""),"",IF(J342="да",0,ROUND(E342*F342/100*D342/G342,2)))</f>
        <v/>
      </c>
      <c r="I342" s="13">
        <f>IF(B342="","",SUMIF(Оплаты!$A$6:$A$505,C342,Оплаты!$B$6:$B$505))</f>
        <v/>
      </c>
      <c r="J342" s="9">
        <f>IF(B342="","",IF(INDEX('По дням'!$E$2:$E$3662,MATCH(336,'По дням'!$G$2:$G$3662,0))=1,"да",""))</f>
        <v/>
      </c>
    </row>
    <row r="343">
      <c r="A343" s="9">
        <f>IF(B343="","",337)</f>
        <v/>
      </c>
      <c r="B343" s="12">
        <f>IFERROR(INDEX('По дням'!$A$2:$A$3662,MATCH(337,'По дням'!$G$2:$G$3662,0)),"")</f>
        <v/>
      </c>
      <c r="C343" s="12">
        <f>IF(B343="","",INDEX('По дням'!$A$2:$A$3662,MATCH(337,'По дням'!$G$2:$G$3662,0)+COUNTIF('По дням'!$G$2:$G$3662,337)-1))</f>
        <v/>
      </c>
      <c r="D343" s="9">
        <f>IF(B343="","",C343-B343+1)</f>
        <v/>
      </c>
      <c r="E343" s="13">
        <f>IF(B343="","",INDEX('По дням'!$D$2:$D$3662,MATCH(337,'По дням'!$G$2:$G$3662,0)))</f>
        <v/>
      </c>
      <c r="F343" s="9">
        <f>IF(B343="","",INDEX('По дням'!$B$2:$B$3662,MATCH(337,'По дням'!$G$2:$G$3662,0)))</f>
        <v/>
      </c>
      <c r="G343" s="9">
        <f>IF(B343="","",INDEX('По дням'!$C$2:$C$3662,MATCH(337,'По дням'!$G$2:$G$3662,0)))</f>
        <v/>
      </c>
      <c r="H343" s="13">
        <f>IF(OR(B343="",F343=""),"",IF(J343="да",0,ROUND(E343*F343/100*D343/G343,2)))</f>
        <v/>
      </c>
      <c r="I343" s="13">
        <f>IF(B343="","",SUMIF(Оплаты!$A$6:$A$505,C343,Оплаты!$B$6:$B$505))</f>
        <v/>
      </c>
      <c r="J343" s="9">
        <f>IF(B343="","",IF(INDEX('По дням'!$E$2:$E$3662,MATCH(337,'По дням'!$G$2:$G$3662,0))=1,"да",""))</f>
        <v/>
      </c>
    </row>
    <row r="344">
      <c r="A344" s="9">
        <f>IF(B344="","",338)</f>
        <v/>
      </c>
      <c r="B344" s="12">
        <f>IFERROR(INDEX('По дням'!$A$2:$A$3662,MATCH(338,'По дням'!$G$2:$G$3662,0)),"")</f>
        <v/>
      </c>
      <c r="C344" s="12">
        <f>IF(B344="","",INDEX('По дням'!$A$2:$A$3662,MATCH(338,'По дням'!$G$2:$G$3662,0)+COUNTIF('По дням'!$G$2:$G$3662,338)-1))</f>
        <v/>
      </c>
      <c r="D344" s="9">
        <f>IF(B344="","",C344-B344+1)</f>
        <v/>
      </c>
      <c r="E344" s="13">
        <f>IF(B344="","",INDEX('По дням'!$D$2:$D$3662,MATCH(338,'По дням'!$G$2:$G$3662,0)))</f>
        <v/>
      </c>
      <c r="F344" s="9">
        <f>IF(B344="","",INDEX('По дням'!$B$2:$B$3662,MATCH(338,'По дням'!$G$2:$G$3662,0)))</f>
        <v/>
      </c>
      <c r="G344" s="9">
        <f>IF(B344="","",INDEX('По дням'!$C$2:$C$3662,MATCH(338,'По дням'!$G$2:$G$3662,0)))</f>
        <v/>
      </c>
      <c r="H344" s="13">
        <f>IF(OR(B344="",F344=""),"",IF(J344="да",0,ROUND(E344*F344/100*D344/G344,2)))</f>
        <v/>
      </c>
      <c r="I344" s="13">
        <f>IF(B344="","",SUMIF(Оплаты!$A$6:$A$505,C344,Оплаты!$B$6:$B$505))</f>
        <v/>
      </c>
      <c r="J344" s="9">
        <f>IF(B344="","",IF(INDEX('По дням'!$E$2:$E$3662,MATCH(338,'По дням'!$G$2:$G$3662,0))=1,"да",""))</f>
        <v/>
      </c>
    </row>
    <row r="345">
      <c r="A345" s="9">
        <f>IF(B345="","",339)</f>
        <v/>
      </c>
      <c r="B345" s="12">
        <f>IFERROR(INDEX('По дням'!$A$2:$A$3662,MATCH(339,'По дням'!$G$2:$G$3662,0)),"")</f>
        <v/>
      </c>
      <c r="C345" s="12">
        <f>IF(B345="","",INDEX('По дням'!$A$2:$A$3662,MATCH(339,'По дням'!$G$2:$G$3662,0)+COUNTIF('По дням'!$G$2:$G$3662,339)-1))</f>
        <v/>
      </c>
      <c r="D345" s="9">
        <f>IF(B345="","",C345-B345+1)</f>
        <v/>
      </c>
      <c r="E345" s="13">
        <f>IF(B345="","",INDEX('По дням'!$D$2:$D$3662,MATCH(339,'По дням'!$G$2:$G$3662,0)))</f>
        <v/>
      </c>
      <c r="F345" s="9">
        <f>IF(B345="","",INDEX('По дням'!$B$2:$B$3662,MATCH(339,'По дням'!$G$2:$G$3662,0)))</f>
        <v/>
      </c>
      <c r="G345" s="9">
        <f>IF(B345="","",INDEX('По дням'!$C$2:$C$3662,MATCH(339,'По дням'!$G$2:$G$3662,0)))</f>
        <v/>
      </c>
      <c r="H345" s="13">
        <f>IF(OR(B345="",F345=""),"",IF(J345="да",0,ROUND(E345*F345/100*D345/G345,2)))</f>
        <v/>
      </c>
      <c r="I345" s="13">
        <f>IF(B345="","",SUMIF(Оплаты!$A$6:$A$505,C345,Оплаты!$B$6:$B$505))</f>
        <v/>
      </c>
      <c r="J345" s="9">
        <f>IF(B345="","",IF(INDEX('По дням'!$E$2:$E$3662,MATCH(339,'По дням'!$G$2:$G$3662,0))=1,"да",""))</f>
        <v/>
      </c>
    </row>
    <row r="346">
      <c r="A346" s="9">
        <f>IF(B346="","",340)</f>
        <v/>
      </c>
      <c r="B346" s="12">
        <f>IFERROR(INDEX('По дням'!$A$2:$A$3662,MATCH(340,'По дням'!$G$2:$G$3662,0)),"")</f>
        <v/>
      </c>
      <c r="C346" s="12">
        <f>IF(B346="","",INDEX('По дням'!$A$2:$A$3662,MATCH(340,'По дням'!$G$2:$G$3662,0)+COUNTIF('По дням'!$G$2:$G$3662,340)-1))</f>
        <v/>
      </c>
      <c r="D346" s="9">
        <f>IF(B346="","",C346-B346+1)</f>
        <v/>
      </c>
      <c r="E346" s="13">
        <f>IF(B346="","",INDEX('По дням'!$D$2:$D$3662,MATCH(340,'По дням'!$G$2:$G$3662,0)))</f>
        <v/>
      </c>
      <c r="F346" s="9">
        <f>IF(B346="","",INDEX('По дням'!$B$2:$B$3662,MATCH(340,'По дням'!$G$2:$G$3662,0)))</f>
        <v/>
      </c>
      <c r="G346" s="9">
        <f>IF(B346="","",INDEX('По дням'!$C$2:$C$3662,MATCH(340,'По дням'!$G$2:$G$3662,0)))</f>
        <v/>
      </c>
      <c r="H346" s="13">
        <f>IF(OR(B346="",F346=""),"",IF(J346="да",0,ROUND(E346*F346/100*D346/G346,2)))</f>
        <v/>
      </c>
      <c r="I346" s="13">
        <f>IF(B346="","",SUMIF(Оплаты!$A$6:$A$505,C346,Оплаты!$B$6:$B$505))</f>
        <v/>
      </c>
      <c r="J346" s="9">
        <f>IF(B346="","",IF(INDEX('По дням'!$E$2:$E$3662,MATCH(340,'По дням'!$G$2:$G$3662,0))=1,"да",""))</f>
        <v/>
      </c>
    </row>
    <row r="347">
      <c r="A347" s="9">
        <f>IF(B347="","",341)</f>
        <v/>
      </c>
      <c r="B347" s="12">
        <f>IFERROR(INDEX('По дням'!$A$2:$A$3662,MATCH(341,'По дням'!$G$2:$G$3662,0)),"")</f>
        <v/>
      </c>
      <c r="C347" s="12">
        <f>IF(B347="","",INDEX('По дням'!$A$2:$A$3662,MATCH(341,'По дням'!$G$2:$G$3662,0)+COUNTIF('По дням'!$G$2:$G$3662,341)-1))</f>
        <v/>
      </c>
      <c r="D347" s="9">
        <f>IF(B347="","",C347-B347+1)</f>
        <v/>
      </c>
      <c r="E347" s="13">
        <f>IF(B347="","",INDEX('По дням'!$D$2:$D$3662,MATCH(341,'По дням'!$G$2:$G$3662,0)))</f>
        <v/>
      </c>
      <c r="F347" s="9">
        <f>IF(B347="","",INDEX('По дням'!$B$2:$B$3662,MATCH(341,'По дням'!$G$2:$G$3662,0)))</f>
        <v/>
      </c>
      <c r="G347" s="9">
        <f>IF(B347="","",INDEX('По дням'!$C$2:$C$3662,MATCH(341,'По дням'!$G$2:$G$3662,0)))</f>
        <v/>
      </c>
      <c r="H347" s="13">
        <f>IF(OR(B347="",F347=""),"",IF(J347="да",0,ROUND(E347*F347/100*D347/G347,2)))</f>
        <v/>
      </c>
      <c r="I347" s="13">
        <f>IF(B347="","",SUMIF(Оплаты!$A$6:$A$505,C347,Оплаты!$B$6:$B$505))</f>
        <v/>
      </c>
      <c r="J347" s="9">
        <f>IF(B347="","",IF(INDEX('По дням'!$E$2:$E$3662,MATCH(341,'По дням'!$G$2:$G$3662,0))=1,"да",""))</f>
        <v/>
      </c>
    </row>
    <row r="348">
      <c r="A348" s="9">
        <f>IF(B348="","",342)</f>
        <v/>
      </c>
      <c r="B348" s="12">
        <f>IFERROR(INDEX('По дням'!$A$2:$A$3662,MATCH(342,'По дням'!$G$2:$G$3662,0)),"")</f>
        <v/>
      </c>
      <c r="C348" s="12">
        <f>IF(B348="","",INDEX('По дням'!$A$2:$A$3662,MATCH(342,'По дням'!$G$2:$G$3662,0)+COUNTIF('По дням'!$G$2:$G$3662,342)-1))</f>
        <v/>
      </c>
      <c r="D348" s="9">
        <f>IF(B348="","",C348-B348+1)</f>
        <v/>
      </c>
      <c r="E348" s="13">
        <f>IF(B348="","",INDEX('По дням'!$D$2:$D$3662,MATCH(342,'По дням'!$G$2:$G$3662,0)))</f>
        <v/>
      </c>
      <c r="F348" s="9">
        <f>IF(B348="","",INDEX('По дням'!$B$2:$B$3662,MATCH(342,'По дням'!$G$2:$G$3662,0)))</f>
        <v/>
      </c>
      <c r="G348" s="9">
        <f>IF(B348="","",INDEX('По дням'!$C$2:$C$3662,MATCH(342,'По дням'!$G$2:$G$3662,0)))</f>
        <v/>
      </c>
      <c r="H348" s="13">
        <f>IF(OR(B348="",F348=""),"",IF(J348="да",0,ROUND(E348*F348/100*D348/G348,2)))</f>
        <v/>
      </c>
      <c r="I348" s="13">
        <f>IF(B348="","",SUMIF(Оплаты!$A$6:$A$505,C348,Оплаты!$B$6:$B$505))</f>
        <v/>
      </c>
      <c r="J348" s="9">
        <f>IF(B348="","",IF(INDEX('По дням'!$E$2:$E$3662,MATCH(342,'По дням'!$G$2:$G$3662,0))=1,"да",""))</f>
        <v/>
      </c>
    </row>
    <row r="349">
      <c r="A349" s="9">
        <f>IF(B349="","",343)</f>
        <v/>
      </c>
      <c r="B349" s="12">
        <f>IFERROR(INDEX('По дням'!$A$2:$A$3662,MATCH(343,'По дням'!$G$2:$G$3662,0)),"")</f>
        <v/>
      </c>
      <c r="C349" s="12">
        <f>IF(B349="","",INDEX('По дням'!$A$2:$A$3662,MATCH(343,'По дням'!$G$2:$G$3662,0)+COUNTIF('По дням'!$G$2:$G$3662,343)-1))</f>
        <v/>
      </c>
      <c r="D349" s="9">
        <f>IF(B349="","",C349-B349+1)</f>
        <v/>
      </c>
      <c r="E349" s="13">
        <f>IF(B349="","",INDEX('По дням'!$D$2:$D$3662,MATCH(343,'По дням'!$G$2:$G$3662,0)))</f>
        <v/>
      </c>
      <c r="F349" s="9">
        <f>IF(B349="","",INDEX('По дням'!$B$2:$B$3662,MATCH(343,'По дням'!$G$2:$G$3662,0)))</f>
        <v/>
      </c>
      <c r="G349" s="9">
        <f>IF(B349="","",INDEX('По дням'!$C$2:$C$3662,MATCH(343,'По дням'!$G$2:$G$3662,0)))</f>
        <v/>
      </c>
      <c r="H349" s="13">
        <f>IF(OR(B349="",F349=""),"",IF(J349="да",0,ROUND(E349*F349/100*D349/G349,2)))</f>
        <v/>
      </c>
      <c r="I349" s="13">
        <f>IF(B349="","",SUMIF(Оплаты!$A$6:$A$505,C349,Оплаты!$B$6:$B$505))</f>
        <v/>
      </c>
      <c r="J349" s="9">
        <f>IF(B349="","",IF(INDEX('По дням'!$E$2:$E$3662,MATCH(343,'По дням'!$G$2:$G$3662,0))=1,"да",""))</f>
        <v/>
      </c>
    </row>
    <row r="350">
      <c r="A350" s="9">
        <f>IF(B350="","",344)</f>
        <v/>
      </c>
      <c r="B350" s="12">
        <f>IFERROR(INDEX('По дням'!$A$2:$A$3662,MATCH(344,'По дням'!$G$2:$G$3662,0)),"")</f>
        <v/>
      </c>
      <c r="C350" s="12">
        <f>IF(B350="","",INDEX('По дням'!$A$2:$A$3662,MATCH(344,'По дням'!$G$2:$G$3662,0)+COUNTIF('По дням'!$G$2:$G$3662,344)-1))</f>
        <v/>
      </c>
      <c r="D350" s="9">
        <f>IF(B350="","",C350-B350+1)</f>
        <v/>
      </c>
      <c r="E350" s="13">
        <f>IF(B350="","",INDEX('По дням'!$D$2:$D$3662,MATCH(344,'По дням'!$G$2:$G$3662,0)))</f>
        <v/>
      </c>
      <c r="F350" s="9">
        <f>IF(B350="","",INDEX('По дням'!$B$2:$B$3662,MATCH(344,'По дням'!$G$2:$G$3662,0)))</f>
        <v/>
      </c>
      <c r="G350" s="9">
        <f>IF(B350="","",INDEX('По дням'!$C$2:$C$3662,MATCH(344,'По дням'!$G$2:$G$3662,0)))</f>
        <v/>
      </c>
      <c r="H350" s="13">
        <f>IF(OR(B350="",F350=""),"",IF(J350="да",0,ROUND(E350*F350/100*D350/G350,2)))</f>
        <v/>
      </c>
      <c r="I350" s="13">
        <f>IF(B350="","",SUMIF(Оплаты!$A$6:$A$505,C350,Оплаты!$B$6:$B$505))</f>
        <v/>
      </c>
      <c r="J350" s="9">
        <f>IF(B350="","",IF(INDEX('По дням'!$E$2:$E$3662,MATCH(344,'По дням'!$G$2:$G$3662,0))=1,"да",""))</f>
        <v/>
      </c>
    </row>
    <row r="351">
      <c r="A351" s="9">
        <f>IF(B351="","",345)</f>
        <v/>
      </c>
      <c r="B351" s="12">
        <f>IFERROR(INDEX('По дням'!$A$2:$A$3662,MATCH(345,'По дням'!$G$2:$G$3662,0)),"")</f>
        <v/>
      </c>
      <c r="C351" s="12">
        <f>IF(B351="","",INDEX('По дням'!$A$2:$A$3662,MATCH(345,'По дням'!$G$2:$G$3662,0)+COUNTIF('По дням'!$G$2:$G$3662,345)-1))</f>
        <v/>
      </c>
      <c r="D351" s="9">
        <f>IF(B351="","",C351-B351+1)</f>
        <v/>
      </c>
      <c r="E351" s="13">
        <f>IF(B351="","",INDEX('По дням'!$D$2:$D$3662,MATCH(345,'По дням'!$G$2:$G$3662,0)))</f>
        <v/>
      </c>
      <c r="F351" s="9">
        <f>IF(B351="","",INDEX('По дням'!$B$2:$B$3662,MATCH(345,'По дням'!$G$2:$G$3662,0)))</f>
        <v/>
      </c>
      <c r="G351" s="9">
        <f>IF(B351="","",INDEX('По дням'!$C$2:$C$3662,MATCH(345,'По дням'!$G$2:$G$3662,0)))</f>
        <v/>
      </c>
      <c r="H351" s="13">
        <f>IF(OR(B351="",F351=""),"",IF(J351="да",0,ROUND(E351*F351/100*D351/G351,2)))</f>
        <v/>
      </c>
      <c r="I351" s="13">
        <f>IF(B351="","",SUMIF(Оплаты!$A$6:$A$505,C351,Оплаты!$B$6:$B$505))</f>
        <v/>
      </c>
      <c r="J351" s="9">
        <f>IF(B351="","",IF(INDEX('По дням'!$E$2:$E$3662,MATCH(345,'По дням'!$G$2:$G$3662,0))=1,"да",""))</f>
        <v/>
      </c>
    </row>
    <row r="352">
      <c r="A352" s="9">
        <f>IF(B352="","",346)</f>
        <v/>
      </c>
      <c r="B352" s="12">
        <f>IFERROR(INDEX('По дням'!$A$2:$A$3662,MATCH(346,'По дням'!$G$2:$G$3662,0)),"")</f>
        <v/>
      </c>
      <c r="C352" s="12">
        <f>IF(B352="","",INDEX('По дням'!$A$2:$A$3662,MATCH(346,'По дням'!$G$2:$G$3662,0)+COUNTIF('По дням'!$G$2:$G$3662,346)-1))</f>
        <v/>
      </c>
      <c r="D352" s="9">
        <f>IF(B352="","",C352-B352+1)</f>
        <v/>
      </c>
      <c r="E352" s="13">
        <f>IF(B352="","",INDEX('По дням'!$D$2:$D$3662,MATCH(346,'По дням'!$G$2:$G$3662,0)))</f>
        <v/>
      </c>
      <c r="F352" s="9">
        <f>IF(B352="","",INDEX('По дням'!$B$2:$B$3662,MATCH(346,'По дням'!$G$2:$G$3662,0)))</f>
        <v/>
      </c>
      <c r="G352" s="9">
        <f>IF(B352="","",INDEX('По дням'!$C$2:$C$3662,MATCH(346,'По дням'!$G$2:$G$3662,0)))</f>
        <v/>
      </c>
      <c r="H352" s="13">
        <f>IF(OR(B352="",F352=""),"",IF(J352="да",0,ROUND(E352*F352/100*D352/G352,2)))</f>
        <v/>
      </c>
      <c r="I352" s="13">
        <f>IF(B352="","",SUMIF(Оплаты!$A$6:$A$505,C352,Оплаты!$B$6:$B$505))</f>
        <v/>
      </c>
      <c r="J352" s="9">
        <f>IF(B352="","",IF(INDEX('По дням'!$E$2:$E$3662,MATCH(346,'По дням'!$G$2:$G$3662,0))=1,"да",""))</f>
        <v/>
      </c>
    </row>
    <row r="353">
      <c r="A353" s="9">
        <f>IF(B353="","",347)</f>
        <v/>
      </c>
      <c r="B353" s="12">
        <f>IFERROR(INDEX('По дням'!$A$2:$A$3662,MATCH(347,'По дням'!$G$2:$G$3662,0)),"")</f>
        <v/>
      </c>
      <c r="C353" s="12">
        <f>IF(B353="","",INDEX('По дням'!$A$2:$A$3662,MATCH(347,'По дням'!$G$2:$G$3662,0)+COUNTIF('По дням'!$G$2:$G$3662,347)-1))</f>
        <v/>
      </c>
      <c r="D353" s="9">
        <f>IF(B353="","",C353-B353+1)</f>
        <v/>
      </c>
      <c r="E353" s="13">
        <f>IF(B353="","",INDEX('По дням'!$D$2:$D$3662,MATCH(347,'По дням'!$G$2:$G$3662,0)))</f>
        <v/>
      </c>
      <c r="F353" s="9">
        <f>IF(B353="","",INDEX('По дням'!$B$2:$B$3662,MATCH(347,'По дням'!$G$2:$G$3662,0)))</f>
        <v/>
      </c>
      <c r="G353" s="9">
        <f>IF(B353="","",INDEX('По дням'!$C$2:$C$3662,MATCH(347,'По дням'!$G$2:$G$3662,0)))</f>
        <v/>
      </c>
      <c r="H353" s="13">
        <f>IF(OR(B353="",F353=""),"",IF(J353="да",0,ROUND(E353*F353/100*D353/G353,2)))</f>
        <v/>
      </c>
      <c r="I353" s="13">
        <f>IF(B353="","",SUMIF(Оплаты!$A$6:$A$505,C353,Оплаты!$B$6:$B$505))</f>
        <v/>
      </c>
      <c r="J353" s="9">
        <f>IF(B353="","",IF(INDEX('По дням'!$E$2:$E$3662,MATCH(347,'По дням'!$G$2:$G$3662,0))=1,"да",""))</f>
        <v/>
      </c>
    </row>
    <row r="354">
      <c r="A354" s="9">
        <f>IF(B354="","",348)</f>
        <v/>
      </c>
      <c r="B354" s="12">
        <f>IFERROR(INDEX('По дням'!$A$2:$A$3662,MATCH(348,'По дням'!$G$2:$G$3662,0)),"")</f>
        <v/>
      </c>
      <c r="C354" s="12">
        <f>IF(B354="","",INDEX('По дням'!$A$2:$A$3662,MATCH(348,'По дням'!$G$2:$G$3662,0)+COUNTIF('По дням'!$G$2:$G$3662,348)-1))</f>
        <v/>
      </c>
      <c r="D354" s="9">
        <f>IF(B354="","",C354-B354+1)</f>
        <v/>
      </c>
      <c r="E354" s="13">
        <f>IF(B354="","",INDEX('По дням'!$D$2:$D$3662,MATCH(348,'По дням'!$G$2:$G$3662,0)))</f>
        <v/>
      </c>
      <c r="F354" s="9">
        <f>IF(B354="","",INDEX('По дням'!$B$2:$B$3662,MATCH(348,'По дням'!$G$2:$G$3662,0)))</f>
        <v/>
      </c>
      <c r="G354" s="9">
        <f>IF(B354="","",INDEX('По дням'!$C$2:$C$3662,MATCH(348,'По дням'!$G$2:$G$3662,0)))</f>
        <v/>
      </c>
      <c r="H354" s="13">
        <f>IF(OR(B354="",F354=""),"",IF(J354="да",0,ROUND(E354*F354/100*D354/G354,2)))</f>
        <v/>
      </c>
      <c r="I354" s="13">
        <f>IF(B354="","",SUMIF(Оплаты!$A$6:$A$505,C354,Оплаты!$B$6:$B$505))</f>
        <v/>
      </c>
      <c r="J354" s="9">
        <f>IF(B354="","",IF(INDEX('По дням'!$E$2:$E$3662,MATCH(348,'По дням'!$G$2:$G$3662,0))=1,"да",""))</f>
        <v/>
      </c>
    </row>
    <row r="355">
      <c r="A355" s="9">
        <f>IF(B355="","",349)</f>
        <v/>
      </c>
      <c r="B355" s="12">
        <f>IFERROR(INDEX('По дням'!$A$2:$A$3662,MATCH(349,'По дням'!$G$2:$G$3662,0)),"")</f>
        <v/>
      </c>
      <c r="C355" s="12">
        <f>IF(B355="","",INDEX('По дням'!$A$2:$A$3662,MATCH(349,'По дням'!$G$2:$G$3662,0)+COUNTIF('По дням'!$G$2:$G$3662,349)-1))</f>
        <v/>
      </c>
      <c r="D355" s="9">
        <f>IF(B355="","",C355-B355+1)</f>
        <v/>
      </c>
      <c r="E355" s="13">
        <f>IF(B355="","",INDEX('По дням'!$D$2:$D$3662,MATCH(349,'По дням'!$G$2:$G$3662,0)))</f>
        <v/>
      </c>
      <c r="F355" s="9">
        <f>IF(B355="","",INDEX('По дням'!$B$2:$B$3662,MATCH(349,'По дням'!$G$2:$G$3662,0)))</f>
        <v/>
      </c>
      <c r="G355" s="9">
        <f>IF(B355="","",INDEX('По дням'!$C$2:$C$3662,MATCH(349,'По дням'!$G$2:$G$3662,0)))</f>
        <v/>
      </c>
      <c r="H355" s="13">
        <f>IF(OR(B355="",F355=""),"",IF(J355="да",0,ROUND(E355*F355/100*D355/G355,2)))</f>
        <v/>
      </c>
      <c r="I355" s="13">
        <f>IF(B355="","",SUMIF(Оплаты!$A$6:$A$505,C355,Оплаты!$B$6:$B$505))</f>
        <v/>
      </c>
      <c r="J355" s="9">
        <f>IF(B355="","",IF(INDEX('По дням'!$E$2:$E$3662,MATCH(349,'По дням'!$G$2:$G$3662,0))=1,"да",""))</f>
        <v/>
      </c>
    </row>
    <row r="356">
      <c r="A356" s="9">
        <f>IF(B356="","",350)</f>
        <v/>
      </c>
      <c r="B356" s="12">
        <f>IFERROR(INDEX('По дням'!$A$2:$A$3662,MATCH(350,'По дням'!$G$2:$G$3662,0)),"")</f>
        <v/>
      </c>
      <c r="C356" s="12">
        <f>IF(B356="","",INDEX('По дням'!$A$2:$A$3662,MATCH(350,'По дням'!$G$2:$G$3662,0)+COUNTIF('По дням'!$G$2:$G$3662,350)-1))</f>
        <v/>
      </c>
      <c r="D356" s="9">
        <f>IF(B356="","",C356-B356+1)</f>
        <v/>
      </c>
      <c r="E356" s="13">
        <f>IF(B356="","",INDEX('По дням'!$D$2:$D$3662,MATCH(350,'По дням'!$G$2:$G$3662,0)))</f>
        <v/>
      </c>
      <c r="F356" s="9">
        <f>IF(B356="","",INDEX('По дням'!$B$2:$B$3662,MATCH(350,'По дням'!$G$2:$G$3662,0)))</f>
        <v/>
      </c>
      <c r="G356" s="9">
        <f>IF(B356="","",INDEX('По дням'!$C$2:$C$3662,MATCH(350,'По дням'!$G$2:$G$3662,0)))</f>
        <v/>
      </c>
      <c r="H356" s="13">
        <f>IF(OR(B356="",F356=""),"",IF(J356="да",0,ROUND(E356*F356/100*D356/G356,2)))</f>
        <v/>
      </c>
      <c r="I356" s="13">
        <f>IF(B356="","",SUMIF(Оплаты!$A$6:$A$505,C356,Оплаты!$B$6:$B$505))</f>
        <v/>
      </c>
      <c r="J356" s="9">
        <f>IF(B356="","",IF(INDEX('По дням'!$E$2:$E$3662,MATCH(350,'По дням'!$G$2:$G$3662,0))=1,"да",""))</f>
        <v/>
      </c>
    </row>
    <row r="357">
      <c r="A357" s="9">
        <f>IF(B357="","",351)</f>
        <v/>
      </c>
      <c r="B357" s="12">
        <f>IFERROR(INDEX('По дням'!$A$2:$A$3662,MATCH(351,'По дням'!$G$2:$G$3662,0)),"")</f>
        <v/>
      </c>
      <c r="C357" s="12">
        <f>IF(B357="","",INDEX('По дням'!$A$2:$A$3662,MATCH(351,'По дням'!$G$2:$G$3662,0)+COUNTIF('По дням'!$G$2:$G$3662,351)-1))</f>
        <v/>
      </c>
      <c r="D357" s="9">
        <f>IF(B357="","",C357-B357+1)</f>
        <v/>
      </c>
      <c r="E357" s="13">
        <f>IF(B357="","",INDEX('По дням'!$D$2:$D$3662,MATCH(351,'По дням'!$G$2:$G$3662,0)))</f>
        <v/>
      </c>
      <c r="F357" s="9">
        <f>IF(B357="","",INDEX('По дням'!$B$2:$B$3662,MATCH(351,'По дням'!$G$2:$G$3662,0)))</f>
        <v/>
      </c>
      <c r="G357" s="9">
        <f>IF(B357="","",INDEX('По дням'!$C$2:$C$3662,MATCH(351,'По дням'!$G$2:$G$3662,0)))</f>
        <v/>
      </c>
      <c r="H357" s="13">
        <f>IF(OR(B357="",F357=""),"",IF(J357="да",0,ROUND(E357*F357/100*D357/G357,2)))</f>
        <v/>
      </c>
      <c r="I357" s="13">
        <f>IF(B357="","",SUMIF(Оплаты!$A$6:$A$505,C357,Оплаты!$B$6:$B$505))</f>
        <v/>
      </c>
      <c r="J357" s="9">
        <f>IF(B357="","",IF(INDEX('По дням'!$E$2:$E$3662,MATCH(351,'По дням'!$G$2:$G$3662,0))=1,"да",""))</f>
        <v/>
      </c>
    </row>
    <row r="358">
      <c r="A358" s="9">
        <f>IF(B358="","",352)</f>
        <v/>
      </c>
      <c r="B358" s="12">
        <f>IFERROR(INDEX('По дням'!$A$2:$A$3662,MATCH(352,'По дням'!$G$2:$G$3662,0)),"")</f>
        <v/>
      </c>
      <c r="C358" s="12">
        <f>IF(B358="","",INDEX('По дням'!$A$2:$A$3662,MATCH(352,'По дням'!$G$2:$G$3662,0)+COUNTIF('По дням'!$G$2:$G$3662,352)-1))</f>
        <v/>
      </c>
      <c r="D358" s="9">
        <f>IF(B358="","",C358-B358+1)</f>
        <v/>
      </c>
      <c r="E358" s="13">
        <f>IF(B358="","",INDEX('По дням'!$D$2:$D$3662,MATCH(352,'По дням'!$G$2:$G$3662,0)))</f>
        <v/>
      </c>
      <c r="F358" s="9">
        <f>IF(B358="","",INDEX('По дням'!$B$2:$B$3662,MATCH(352,'По дням'!$G$2:$G$3662,0)))</f>
        <v/>
      </c>
      <c r="G358" s="9">
        <f>IF(B358="","",INDEX('По дням'!$C$2:$C$3662,MATCH(352,'По дням'!$G$2:$G$3662,0)))</f>
        <v/>
      </c>
      <c r="H358" s="13">
        <f>IF(OR(B358="",F358=""),"",IF(J358="да",0,ROUND(E358*F358/100*D358/G358,2)))</f>
        <v/>
      </c>
      <c r="I358" s="13">
        <f>IF(B358="","",SUMIF(Оплаты!$A$6:$A$505,C358,Оплаты!$B$6:$B$505))</f>
        <v/>
      </c>
      <c r="J358" s="9">
        <f>IF(B358="","",IF(INDEX('По дням'!$E$2:$E$3662,MATCH(352,'По дням'!$G$2:$G$3662,0))=1,"да",""))</f>
        <v/>
      </c>
    </row>
    <row r="359">
      <c r="A359" s="9">
        <f>IF(B359="","",353)</f>
        <v/>
      </c>
      <c r="B359" s="12">
        <f>IFERROR(INDEX('По дням'!$A$2:$A$3662,MATCH(353,'По дням'!$G$2:$G$3662,0)),"")</f>
        <v/>
      </c>
      <c r="C359" s="12">
        <f>IF(B359="","",INDEX('По дням'!$A$2:$A$3662,MATCH(353,'По дням'!$G$2:$G$3662,0)+COUNTIF('По дням'!$G$2:$G$3662,353)-1))</f>
        <v/>
      </c>
      <c r="D359" s="9">
        <f>IF(B359="","",C359-B359+1)</f>
        <v/>
      </c>
      <c r="E359" s="13">
        <f>IF(B359="","",INDEX('По дням'!$D$2:$D$3662,MATCH(353,'По дням'!$G$2:$G$3662,0)))</f>
        <v/>
      </c>
      <c r="F359" s="9">
        <f>IF(B359="","",INDEX('По дням'!$B$2:$B$3662,MATCH(353,'По дням'!$G$2:$G$3662,0)))</f>
        <v/>
      </c>
      <c r="G359" s="9">
        <f>IF(B359="","",INDEX('По дням'!$C$2:$C$3662,MATCH(353,'По дням'!$G$2:$G$3662,0)))</f>
        <v/>
      </c>
      <c r="H359" s="13">
        <f>IF(OR(B359="",F359=""),"",IF(J359="да",0,ROUND(E359*F359/100*D359/G359,2)))</f>
        <v/>
      </c>
      <c r="I359" s="13">
        <f>IF(B359="","",SUMIF(Оплаты!$A$6:$A$505,C359,Оплаты!$B$6:$B$505))</f>
        <v/>
      </c>
      <c r="J359" s="9">
        <f>IF(B359="","",IF(INDEX('По дням'!$E$2:$E$3662,MATCH(353,'По дням'!$G$2:$G$3662,0))=1,"да",""))</f>
        <v/>
      </c>
    </row>
    <row r="360">
      <c r="A360" s="9">
        <f>IF(B360="","",354)</f>
        <v/>
      </c>
      <c r="B360" s="12">
        <f>IFERROR(INDEX('По дням'!$A$2:$A$3662,MATCH(354,'По дням'!$G$2:$G$3662,0)),"")</f>
        <v/>
      </c>
      <c r="C360" s="12">
        <f>IF(B360="","",INDEX('По дням'!$A$2:$A$3662,MATCH(354,'По дням'!$G$2:$G$3662,0)+COUNTIF('По дням'!$G$2:$G$3662,354)-1))</f>
        <v/>
      </c>
      <c r="D360" s="9">
        <f>IF(B360="","",C360-B360+1)</f>
        <v/>
      </c>
      <c r="E360" s="13">
        <f>IF(B360="","",INDEX('По дням'!$D$2:$D$3662,MATCH(354,'По дням'!$G$2:$G$3662,0)))</f>
        <v/>
      </c>
      <c r="F360" s="9">
        <f>IF(B360="","",INDEX('По дням'!$B$2:$B$3662,MATCH(354,'По дням'!$G$2:$G$3662,0)))</f>
        <v/>
      </c>
      <c r="G360" s="9">
        <f>IF(B360="","",INDEX('По дням'!$C$2:$C$3662,MATCH(354,'По дням'!$G$2:$G$3662,0)))</f>
        <v/>
      </c>
      <c r="H360" s="13">
        <f>IF(OR(B360="",F360=""),"",IF(J360="да",0,ROUND(E360*F360/100*D360/G360,2)))</f>
        <v/>
      </c>
      <c r="I360" s="13">
        <f>IF(B360="","",SUMIF(Оплаты!$A$6:$A$505,C360,Оплаты!$B$6:$B$505))</f>
        <v/>
      </c>
      <c r="J360" s="9">
        <f>IF(B360="","",IF(INDEX('По дням'!$E$2:$E$3662,MATCH(354,'По дням'!$G$2:$G$3662,0))=1,"да",""))</f>
        <v/>
      </c>
    </row>
    <row r="361">
      <c r="A361" s="9">
        <f>IF(B361="","",355)</f>
        <v/>
      </c>
      <c r="B361" s="12">
        <f>IFERROR(INDEX('По дням'!$A$2:$A$3662,MATCH(355,'По дням'!$G$2:$G$3662,0)),"")</f>
        <v/>
      </c>
      <c r="C361" s="12">
        <f>IF(B361="","",INDEX('По дням'!$A$2:$A$3662,MATCH(355,'По дням'!$G$2:$G$3662,0)+COUNTIF('По дням'!$G$2:$G$3662,355)-1))</f>
        <v/>
      </c>
      <c r="D361" s="9">
        <f>IF(B361="","",C361-B361+1)</f>
        <v/>
      </c>
      <c r="E361" s="13">
        <f>IF(B361="","",INDEX('По дням'!$D$2:$D$3662,MATCH(355,'По дням'!$G$2:$G$3662,0)))</f>
        <v/>
      </c>
      <c r="F361" s="9">
        <f>IF(B361="","",INDEX('По дням'!$B$2:$B$3662,MATCH(355,'По дням'!$G$2:$G$3662,0)))</f>
        <v/>
      </c>
      <c r="G361" s="9">
        <f>IF(B361="","",INDEX('По дням'!$C$2:$C$3662,MATCH(355,'По дням'!$G$2:$G$3662,0)))</f>
        <v/>
      </c>
      <c r="H361" s="13">
        <f>IF(OR(B361="",F361=""),"",IF(J361="да",0,ROUND(E361*F361/100*D361/G361,2)))</f>
        <v/>
      </c>
      <c r="I361" s="13">
        <f>IF(B361="","",SUMIF(Оплаты!$A$6:$A$505,C361,Оплаты!$B$6:$B$505))</f>
        <v/>
      </c>
      <c r="J361" s="9">
        <f>IF(B361="","",IF(INDEX('По дням'!$E$2:$E$3662,MATCH(355,'По дням'!$G$2:$G$3662,0))=1,"да",""))</f>
        <v/>
      </c>
    </row>
    <row r="362">
      <c r="A362" s="9">
        <f>IF(B362="","",356)</f>
        <v/>
      </c>
      <c r="B362" s="12">
        <f>IFERROR(INDEX('По дням'!$A$2:$A$3662,MATCH(356,'По дням'!$G$2:$G$3662,0)),"")</f>
        <v/>
      </c>
      <c r="C362" s="12">
        <f>IF(B362="","",INDEX('По дням'!$A$2:$A$3662,MATCH(356,'По дням'!$G$2:$G$3662,0)+COUNTIF('По дням'!$G$2:$G$3662,356)-1))</f>
        <v/>
      </c>
      <c r="D362" s="9">
        <f>IF(B362="","",C362-B362+1)</f>
        <v/>
      </c>
      <c r="E362" s="13">
        <f>IF(B362="","",INDEX('По дням'!$D$2:$D$3662,MATCH(356,'По дням'!$G$2:$G$3662,0)))</f>
        <v/>
      </c>
      <c r="F362" s="9">
        <f>IF(B362="","",INDEX('По дням'!$B$2:$B$3662,MATCH(356,'По дням'!$G$2:$G$3662,0)))</f>
        <v/>
      </c>
      <c r="G362" s="9">
        <f>IF(B362="","",INDEX('По дням'!$C$2:$C$3662,MATCH(356,'По дням'!$G$2:$G$3662,0)))</f>
        <v/>
      </c>
      <c r="H362" s="13">
        <f>IF(OR(B362="",F362=""),"",IF(J362="да",0,ROUND(E362*F362/100*D362/G362,2)))</f>
        <v/>
      </c>
      <c r="I362" s="13">
        <f>IF(B362="","",SUMIF(Оплаты!$A$6:$A$505,C362,Оплаты!$B$6:$B$505))</f>
        <v/>
      </c>
      <c r="J362" s="9">
        <f>IF(B362="","",IF(INDEX('По дням'!$E$2:$E$3662,MATCH(356,'По дням'!$G$2:$G$3662,0))=1,"да",""))</f>
        <v/>
      </c>
    </row>
    <row r="363">
      <c r="A363" s="9">
        <f>IF(B363="","",357)</f>
        <v/>
      </c>
      <c r="B363" s="12">
        <f>IFERROR(INDEX('По дням'!$A$2:$A$3662,MATCH(357,'По дням'!$G$2:$G$3662,0)),"")</f>
        <v/>
      </c>
      <c r="C363" s="12">
        <f>IF(B363="","",INDEX('По дням'!$A$2:$A$3662,MATCH(357,'По дням'!$G$2:$G$3662,0)+COUNTIF('По дням'!$G$2:$G$3662,357)-1))</f>
        <v/>
      </c>
      <c r="D363" s="9">
        <f>IF(B363="","",C363-B363+1)</f>
        <v/>
      </c>
      <c r="E363" s="13">
        <f>IF(B363="","",INDEX('По дням'!$D$2:$D$3662,MATCH(357,'По дням'!$G$2:$G$3662,0)))</f>
        <v/>
      </c>
      <c r="F363" s="9">
        <f>IF(B363="","",INDEX('По дням'!$B$2:$B$3662,MATCH(357,'По дням'!$G$2:$G$3662,0)))</f>
        <v/>
      </c>
      <c r="G363" s="9">
        <f>IF(B363="","",INDEX('По дням'!$C$2:$C$3662,MATCH(357,'По дням'!$G$2:$G$3662,0)))</f>
        <v/>
      </c>
      <c r="H363" s="13">
        <f>IF(OR(B363="",F363=""),"",IF(J363="да",0,ROUND(E363*F363/100*D363/G363,2)))</f>
        <v/>
      </c>
      <c r="I363" s="13">
        <f>IF(B363="","",SUMIF(Оплаты!$A$6:$A$505,C363,Оплаты!$B$6:$B$505))</f>
        <v/>
      </c>
      <c r="J363" s="9">
        <f>IF(B363="","",IF(INDEX('По дням'!$E$2:$E$3662,MATCH(357,'По дням'!$G$2:$G$3662,0))=1,"да",""))</f>
        <v/>
      </c>
    </row>
    <row r="364">
      <c r="A364" s="9">
        <f>IF(B364="","",358)</f>
        <v/>
      </c>
      <c r="B364" s="12">
        <f>IFERROR(INDEX('По дням'!$A$2:$A$3662,MATCH(358,'По дням'!$G$2:$G$3662,0)),"")</f>
        <v/>
      </c>
      <c r="C364" s="12">
        <f>IF(B364="","",INDEX('По дням'!$A$2:$A$3662,MATCH(358,'По дням'!$G$2:$G$3662,0)+COUNTIF('По дням'!$G$2:$G$3662,358)-1))</f>
        <v/>
      </c>
      <c r="D364" s="9">
        <f>IF(B364="","",C364-B364+1)</f>
        <v/>
      </c>
      <c r="E364" s="13">
        <f>IF(B364="","",INDEX('По дням'!$D$2:$D$3662,MATCH(358,'По дням'!$G$2:$G$3662,0)))</f>
        <v/>
      </c>
      <c r="F364" s="9">
        <f>IF(B364="","",INDEX('По дням'!$B$2:$B$3662,MATCH(358,'По дням'!$G$2:$G$3662,0)))</f>
        <v/>
      </c>
      <c r="G364" s="9">
        <f>IF(B364="","",INDEX('По дням'!$C$2:$C$3662,MATCH(358,'По дням'!$G$2:$G$3662,0)))</f>
        <v/>
      </c>
      <c r="H364" s="13">
        <f>IF(OR(B364="",F364=""),"",IF(J364="да",0,ROUND(E364*F364/100*D364/G364,2)))</f>
        <v/>
      </c>
      <c r="I364" s="13">
        <f>IF(B364="","",SUMIF(Оплаты!$A$6:$A$505,C364,Оплаты!$B$6:$B$505))</f>
        <v/>
      </c>
      <c r="J364" s="9">
        <f>IF(B364="","",IF(INDEX('По дням'!$E$2:$E$3662,MATCH(358,'По дням'!$G$2:$G$3662,0))=1,"да",""))</f>
        <v/>
      </c>
    </row>
    <row r="365">
      <c r="A365" s="9">
        <f>IF(B365="","",359)</f>
        <v/>
      </c>
      <c r="B365" s="12">
        <f>IFERROR(INDEX('По дням'!$A$2:$A$3662,MATCH(359,'По дням'!$G$2:$G$3662,0)),"")</f>
        <v/>
      </c>
      <c r="C365" s="12">
        <f>IF(B365="","",INDEX('По дням'!$A$2:$A$3662,MATCH(359,'По дням'!$G$2:$G$3662,0)+COUNTIF('По дням'!$G$2:$G$3662,359)-1))</f>
        <v/>
      </c>
      <c r="D365" s="9">
        <f>IF(B365="","",C365-B365+1)</f>
        <v/>
      </c>
      <c r="E365" s="13">
        <f>IF(B365="","",INDEX('По дням'!$D$2:$D$3662,MATCH(359,'По дням'!$G$2:$G$3662,0)))</f>
        <v/>
      </c>
      <c r="F365" s="9">
        <f>IF(B365="","",INDEX('По дням'!$B$2:$B$3662,MATCH(359,'По дням'!$G$2:$G$3662,0)))</f>
        <v/>
      </c>
      <c r="G365" s="9">
        <f>IF(B365="","",INDEX('По дням'!$C$2:$C$3662,MATCH(359,'По дням'!$G$2:$G$3662,0)))</f>
        <v/>
      </c>
      <c r="H365" s="13">
        <f>IF(OR(B365="",F365=""),"",IF(J365="да",0,ROUND(E365*F365/100*D365/G365,2)))</f>
        <v/>
      </c>
      <c r="I365" s="13">
        <f>IF(B365="","",SUMIF(Оплаты!$A$6:$A$505,C365,Оплаты!$B$6:$B$505))</f>
        <v/>
      </c>
      <c r="J365" s="9">
        <f>IF(B365="","",IF(INDEX('По дням'!$E$2:$E$3662,MATCH(359,'По дням'!$G$2:$G$3662,0))=1,"да",""))</f>
        <v/>
      </c>
    </row>
    <row r="366">
      <c r="A366" s="9">
        <f>IF(B366="","",360)</f>
        <v/>
      </c>
      <c r="B366" s="12">
        <f>IFERROR(INDEX('По дням'!$A$2:$A$3662,MATCH(360,'По дням'!$G$2:$G$3662,0)),"")</f>
        <v/>
      </c>
      <c r="C366" s="12">
        <f>IF(B366="","",INDEX('По дням'!$A$2:$A$3662,MATCH(360,'По дням'!$G$2:$G$3662,0)+COUNTIF('По дням'!$G$2:$G$3662,360)-1))</f>
        <v/>
      </c>
      <c r="D366" s="9">
        <f>IF(B366="","",C366-B366+1)</f>
        <v/>
      </c>
      <c r="E366" s="13">
        <f>IF(B366="","",INDEX('По дням'!$D$2:$D$3662,MATCH(360,'По дням'!$G$2:$G$3662,0)))</f>
        <v/>
      </c>
      <c r="F366" s="9">
        <f>IF(B366="","",INDEX('По дням'!$B$2:$B$3662,MATCH(360,'По дням'!$G$2:$G$3662,0)))</f>
        <v/>
      </c>
      <c r="G366" s="9">
        <f>IF(B366="","",INDEX('По дням'!$C$2:$C$3662,MATCH(360,'По дням'!$G$2:$G$3662,0)))</f>
        <v/>
      </c>
      <c r="H366" s="13">
        <f>IF(OR(B366="",F366=""),"",IF(J366="да",0,ROUND(E366*F366/100*D366/G366,2)))</f>
        <v/>
      </c>
      <c r="I366" s="13">
        <f>IF(B366="","",SUMIF(Оплаты!$A$6:$A$505,C366,Оплаты!$B$6:$B$505))</f>
        <v/>
      </c>
      <c r="J366" s="9">
        <f>IF(B366="","",IF(INDEX('По дням'!$E$2:$E$3662,MATCH(360,'По дням'!$G$2:$G$3662,0))=1,"да",""))</f>
        <v/>
      </c>
    </row>
    <row r="367">
      <c r="A367" s="9">
        <f>IF(B367="","",361)</f>
        <v/>
      </c>
      <c r="B367" s="12">
        <f>IFERROR(INDEX('По дням'!$A$2:$A$3662,MATCH(361,'По дням'!$G$2:$G$3662,0)),"")</f>
        <v/>
      </c>
      <c r="C367" s="12">
        <f>IF(B367="","",INDEX('По дням'!$A$2:$A$3662,MATCH(361,'По дням'!$G$2:$G$3662,0)+COUNTIF('По дням'!$G$2:$G$3662,361)-1))</f>
        <v/>
      </c>
      <c r="D367" s="9">
        <f>IF(B367="","",C367-B367+1)</f>
        <v/>
      </c>
      <c r="E367" s="13">
        <f>IF(B367="","",INDEX('По дням'!$D$2:$D$3662,MATCH(361,'По дням'!$G$2:$G$3662,0)))</f>
        <v/>
      </c>
      <c r="F367" s="9">
        <f>IF(B367="","",INDEX('По дням'!$B$2:$B$3662,MATCH(361,'По дням'!$G$2:$G$3662,0)))</f>
        <v/>
      </c>
      <c r="G367" s="9">
        <f>IF(B367="","",INDEX('По дням'!$C$2:$C$3662,MATCH(361,'По дням'!$G$2:$G$3662,0)))</f>
        <v/>
      </c>
      <c r="H367" s="13">
        <f>IF(OR(B367="",F367=""),"",IF(J367="да",0,ROUND(E367*F367/100*D367/G367,2)))</f>
        <v/>
      </c>
      <c r="I367" s="13">
        <f>IF(B367="","",SUMIF(Оплаты!$A$6:$A$505,C367,Оплаты!$B$6:$B$505))</f>
        <v/>
      </c>
      <c r="J367" s="9">
        <f>IF(B367="","",IF(INDEX('По дням'!$E$2:$E$3662,MATCH(361,'По дням'!$G$2:$G$3662,0))=1,"да",""))</f>
        <v/>
      </c>
    </row>
    <row r="368">
      <c r="A368" s="9">
        <f>IF(B368="","",362)</f>
        <v/>
      </c>
      <c r="B368" s="12">
        <f>IFERROR(INDEX('По дням'!$A$2:$A$3662,MATCH(362,'По дням'!$G$2:$G$3662,0)),"")</f>
        <v/>
      </c>
      <c r="C368" s="12">
        <f>IF(B368="","",INDEX('По дням'!$A$2:$A$3662,MATCH(362,'По дням'!$G$2:$G$3662,0)+COUNTIF('По дням'!$G$2:$G$3662,362)-1))</f>
        <v/>
      </c>
      <c r="D368" s="9">
        <f>IF(B368="","",C368-B368+1)</f>
        <v/>
      </c>
      <c r="E368" s="13">
        <f>IF(B368="","",INDEX('По дням'!$D$2:$D$3662,MATCH(362,'По дням'!$G$2:$G$3662,0)))</f>
        <v/>
      </c>
      <c r="F368" s="9">
        <f>IF(B368="","",INDEX('По дням'!$B$2:$B$3662,MATCH(362,'По дням'!$G$2:$G$3662,0)))</f>
        <v/>
      </c>
      <c r="G368" s="9">
        <f>IF(B368="","",INDEX('По дням'!$C$2:$C$3662,MATCH(362,'По дням'!$G$2:$G$3662,0)))</f>
        <v/>
      </c>
      <c r="H368" s="13">
        <f>IF(OR(B368="",F368=""),"",IF(J368="да",0,ROUND(E368*F368/100*D368/G368,2)))</f>
        <v/>
      </c>
      <c r="I368" s="13">
        <f>IF(B368="","",SUMIF(Оплаты!$A$6:$A$505,C368,Оплаты!$B$6:$B$505))</f>
        <v/>
      </c>
      <c r="J368" s="9">
        <f>IF(B368="","",IF(INDEX('По дням'!$E$2:$E$3662,MATCH(362,'По дням'!$G$2:$G$3662,0))=1,"да",""))</f>
        <v/>
      </c>
    </row>
    <row r="369">
      <c r="A369" s="9">
        <f>IF(B369="","",363)</f>
        <v/>
      </c>
      <c r="B369" s="12">
        <f>IFERROR(INDEX('По дням'!$A$2:$A$3662,MATCH(363,'По дням'!$G$2:$G$3662,0)),"")</f>
        <v/>
      </c>
      <c r="C369" s="12">
        <f>IF(B369="","",INDEX('По дням'!$A$2:$A$3662,MATCH(363,'По дням'!$G$2:$G$3662,0)+COUNTIF('По дням'!$G$2:$G$3662,363)-1))</f>
        <v/>
      </c>
      <c r="D369" s="9">
        <f>IF(B369="","",C369-B369+1)</f>
        <v/>
      </c>
      <c r="E369" s="13">
        <f>IF(B369="","",INDEX('По дням'!$D$2:$D$3662,MATCH(363,'По дням'!$G$2:$G$3662,0)))</f>
        <v/>
      </c>
      <c r="F369" s="9">
        <f>IF(B369="","",INDEX('По дням'!$B$2:$B$3662,MATCH(363,'По дням'!$G$2:$G$3662,0)))</f>
        <v/>
      </c>
      <c r="G369" s="9">
        <f>IF(B369="","",INDEX('По дням'!$C$2:$C$3662,MATCH(363,'По дням'!$G$2:$G$3662,0)))</f>
        <v/>
      </c>
      <c r="H369" s="13">
        <f>IF(OR(B369="",F369=""),"",IF(J369="да",0,ROUND(E369*F369/100*D369/G369,2)))</f>
        <v/>
      </c>
      <c r="I369" s="13">
        <f>IF(B369="","",SUMIF(Оплаты!$A$6:$A$505,C369,Оплаты!$B$6:$B$505))</f>
        <v/>
      </c>
      <c r="J369" s="9">
        <f>IF(B369="","",IF(INDEX('По дням'!$E$2:$E$3662,MATCH(363,'По дням'!$G$2:$G$3662,0))=1,"да",""))</f>
        <v/>
      </c>
    </row>
    <row r="370">
      <c r="A370" s="9">
        <f>IF(B370="","",364)</f>
        <v/>
      </c>
      <c r="B370" s="12">
        <f>IFERROR(INDEX('По дням'!$A$2:$A$3662,MATCH(364,'По дням'!$G$2:$G$3662,0)),"")</f>
        <v/>
      </c>
      <c r="C370" s="12">
        <f>IF(B370="","",INDEX('По дням'!$A$2:$A$3662,MATCH(364,'По дням'!$G$2:$G$3662,0)+COUNTIF('По дням'!$G$2:$G$3662,364)-1))</f>
        <v/>
      </c>
      <c r="D370" s="9">
        <f>IF(B370="","",C370-B370+1)</f>
        <v/>
      </c>
      <c r="E370" s="13">
        <f>IF(B370="","",INDEX('По дням'!$D$2:$D$3662,MATCH(364,'По дням'!$G$2:$G$3662,0)))</f>
        <v/>
      </c>
      <c r="F370" s="9">
        <f>IF(B370="","",INDEX('По дням'!$B$2:$B$3662,MATCH(364,'По дням'!$G$2:$G$3662,0)))</f>
        <v/>
      </c>
      <c r="G370" s="9">
        <f>IF(B370="","",INDEX('По дням'!$C$2:$C$3662,MATCH(364,'По дням'!$G$2:$G$3662,0)))</f>
        <v/>
      </c>
      <c r="H370" s="13">
        <f>IF(OR(B370="",F370=""),"",IF(J370="да",0,ROUND(E370*F370/100*D370/G370,2)))</f>
        <v/>
      </c>
      <c r="I370" s="13">
        <f>IF(B370="","",SUMIF(Оплаты!$A$6:$A$505,C370,Оплаты!$B$6:$B$505))</f>
        <v/>
      </c>
      <c r="J370" s="9">
        <f>IF(B370="","",IF(INDEX('По дням'!$E$2:$E$3662,MATCH(364,'По дням'!$G$2:$G$3662,0))=1,"да",""))</f>
        <v/>
      </c>
    </row>
    <row r="371">
      <c r="A371" s="9">
        <f>IF(B371="","",365)</f>
        <v/>
      </c>
      <c r="B371" s="12">
        <f>IFERROR(INDEX('По дням'!$A$2:$A$3662,MATCH(365,'По дням'!$G$2:$G$3662,0)),"")</f>
        <v/>
      </c>
      <c r="C371" s="12">
        <f>IF(B371="","",INDEX('По дням'!$A$2:$A$3662,MATCH(365,'По дням'!$G$2:$G$3662,0)+COUNTIF('По дням'!$G$2:$G$3662,365)-1))</f>
        <v/>
      </c>
      <c r="D371" s="9">
        <f>IF(B371="","",C371-B371+1)</f>
        <v/>
      </c>
      <c r="E371" s="13">
        <f>IF(B371="","",INDEX('По дням'!$D$2:$D$3662,MATCH(365,'По дням'!$G$2:$G$3662,0)))</f>
        <v/>
      </c>
      <c r="F371" s="9">
        <f>IF(B371="","",INDEX('По дням'!$B$2:$B$3662,MATCH(365,'По дням'!$G$2:$G$3662,0)))</f>
        <v/>
      </c>
      <c r="G371" s="9">
        <f>IF(B371="","",INDEX('По дням'!$C$2:$C$3662,MATCH(365,'По дням'!$G$2:$G$3662,0)))</f>
        <v/>
      </c>
      <c r="H371" s="13">
        <f>IF(OR(B371="",F371=""),"",IF(J371="да",0,ROUND(E371*F371/100*D371/G371,2)))</f>
        <v/>
      </c>
      <c r="I371" s="13">
        <f>IF(B371="","",SUMIF(Оплаты!$A$6:$A$505,C371,Оплаты!$B$6:$B$505))</f>
        <v/>
      </c>
      <c r="J371" s="9">
        <f>IF(B371="","",IF(INDEX('По дням'!$E$2:$E$3662,MATCH(365,'По дням'!$G$2:$G$3662,0))=1,"да",""))</f>
        <v/>
      </c>
    </row>
    <row r="372">
      <c r="A372" s="9">
        <f>IF(B372="","",366)</f>
        <v/>
      </c>
      <c r="B372" s="12">
        <f>IFERROR(INDEX('По дням'!$A$2:$A$3662,MATCH(366,'По дням'!$G$2:$G$3662,0)),"")</f>
        <v/>
      </c>
      <c r="C372" s="12">
        <f>IF(B372="","",INDEX('По дням'!$A$2:$A$3662,MATCH(366,'По дням'!$G$2:$G$3662,0)+COUNTIF('По дням'!$G$2:$G$3662,366)-1))</f>
        <v/>
      </c>
      <c r="D372" s="9">
        <f>IF(B372="","",C372-B372+1)</f>
        <v/>
      </c>
      <c r="E372" s="13">
        <f>IF(B372="","",INDEX('По дням'!$D$2:$D$3662,MATCH(366,'По дням'!$G$2:$G$3662,0)))</f>
        <v/>
      </c>
      <c r="F372" s="9">
        <f>IF(B372="","",INDEX('По дням'!$B$2:$B$3662,MATCH(366,'По дням'!$G$2:$G$3662,0)))</f>
        <v/>
      </c>
      <c r="G372" s="9">
        <f>IF(B372="","",INDEX('По дням'!$C$2:$C$3662,MATCH(366,'По дням'!$G$2:$G$3662,0)))</f>
        <v/>
      </c>
      <c r="H372" s="13">
        <f>IF(OR(B372="",F372=""),"",IF(J372="да",0,ROUND(E372*F372/100*D372/G372,2)))</f>
        <v/>
      </c>
      <c r="I372" s="13">
        <f>IF(B372="","",SUMIF(Оплаты!$A$6:$A$505,C372,Оплаты!$B$6:$B$505))</f>
        <v/>
      </c>
      <c r="J372" s="9">
        <f>IF(B372="","",IF(INDEX('По дням'!$E$2:$E$3662,MATCH(366,'По дням'!$G$2:$G$3662,0))=1,"да",""))</f>
        <v/>
      </c>
    </row>
    <row r="373">
      <c r="A373" s="9">
        <f>IF(B373="","",367)</f>
        <v/>
      </c>
      <c r="B373" s="12">
        <f>IFERROR(INDEX('По дням'!$A$2:$A$3662,MATCH(367,'По дням'!$G$2:$G$3662,0)),"")</f>
        <v/>
      </c>
      <c r="C373" s="12">
        <f>IF(B373="","",INDEX('По дням'!$A$2:$A$3662,MATCH(367,'По дням'!$G$2:$G$3662,0)+COUNTIF('По дням'!$G$2:$G$3662,367)-1))</f>
        <v/>
      </c>
      <c r="D373" s="9">
        <f>IF(B373="","",C373-B373+1)</f>
        <v/>
      </c>
      <c r="E373" s="13">
        <f>IF(B373="","",INDEX('По дням'!$D$2:$D$3662,MATCH(367,'По дням'!$G$2:$G$3662,0)))</f>
        <v/>
      </c>
      <c r="F373" s="9">
        <f>IF(B373="","",INDEX('По дням'!$B$2:$B$3662,MATCH(367,'По дням'!$G$2:$G$3662,0)))</f>
        <v/>
      </c>
      <c r="G373" s="9">
        <f>IF(B373="","",INDEX('По дням'!$C$2:$C$3662,MATCH(367,'По дням'!$G$2:$G$3662,0)))</f>
        <v/>
      </c>
      <c r="H373" s="13">
        <f>IF(OR(B373="",F373=""),"",IF(J373="да",0,ROUND(E373*F373/100*D373/G373,2)))</f>
        <v/>
      </c>
      <c r="I373" s="13">
        <f>IF(B373="","",SUMIF(Оплаты!$A$6:$A$505,C373,Оплаты!$B$6:$B$505))</f>
        <v/>
      </c>
      <c r="J373" s="9">
        <f>IF(B373="","",IF(INDEX('По дням'!$E$2:$E$3662,MATCH(367,'По дням'!$G$2:$G$3662,0))=1,"да",""))</f>
        <v/>
      </c>
    </row>
    <row r="374">
      <c r="A374" s="9">
        <f>IF(B374="","",368)</f>
        <v/>
      </c>
      <c r="B374" s="12">
        <f>IFERROR(INDEX('По дням'!$A$2:$A$3662,MATCH(368,'По дням'!$G$2:$G$3662,0)),"")</f>
        <v/>
      </c>
      <c r="C374" s="12">
        <f>IF(B374="","",INDEX('По дням'!$A$2:$A$3662,MATCH(368,'По дням'!$G$2:$G$3662,0)+COUNTIF('По дням'!$G$2:$G$3662,368)-1))</f>
        <v/>
      </c>
      <c r="D374" s="9">
        <f>IF(B374="","",C374-B374+1)</f>
        <v/>
      </c>
      <c r="E374" s="13">
        <f>IF(B374="","",INDEX('По дням'!$D$2:$D$3662,MATCH(368,'По дням'!$G$2:$G$3662,0)))</f>
        <v/>
      </c>
      <c r="F374" s="9">
        <f>IF(B374="","",INDEX('По дням'!$B$2:$B$3662,MATCH(368,'По дням'!$G$2:$G$3662,0)))</f>
        <v/>
      </c>
      <c r="G374" s="9">
        <f>IF(B374="","",INDEX('По дням'!$C$2:$C$3662,MATCH(368,'По дням'!$G$2:$G$3662,0)))</f>
        <v/>
      </c>
      <c r="H374" s="13">
        <f>IF(OR(B374="",F374=""),"",IF(J374="да",0,ROUND(E374*F374/100*D374/G374,2)))</f>
        <v/>
      </c>
      <c r="I374" s="13">
        <f>IF(B374="","",SUMIF(Оплаты!$A$6:$A$505,C374,Оплаты!$B$6:$B$505))</f>
        <v/>
      </c>
      <c r="J374" s="9">
        <f>IF(B374="","",IF(INDEX('По дням'!$E$2:$E$3662,MATCH(368,'По дням'!$G$2:$G$3662,0))=1,"да",""))</f>
        <v/>
      </c>
    </row>
    <row r="375">
      <c r="A375" s="9">
        <f>IF(B375="","",369)</f>
        <v/>
      </c>
      <c r="B375" s="12">
        <f>IFERROR(INDEX('По дням'!$A$2:$A$3662,MATCH(369,'По дням'!$G$2:$G$3662,0)),"")</f>
        <v/>
      </c>
      <c r="C375" s="12">
        <f>IF(B375="","",INDEX('По дням'!$A$2:$A$3662,MATCH(369,'По дням'!$G$2:$G$3662,0)+COUNTIF('По дням'!$G$2:$G$3662,369)-1))</f>
        <v/>
      </c>
      <c r="D375" s="9">
        <f>IF(B375="","",C375-B375+1)</f>
        <v/>
      </c>
      <c r="E375" s="13">
        <f>IF(B375="","",INDEX('По дням'!$D$2:$D$3662,MATCH(369,'По дням'!$G$2:$G$3662,0)))</f>
        <v/>
      </c>
      <c r="F375" s="9">
        <f>IF(B375="","",INDEX('По дням'!$B$2:$B$3662,MATCH(369,'По дням'!$G$2:$G$3662,0)))</f>
        <v/>
      </c>
      <c r="G375" s="9">
        <f>IF(B375="","",INDEX('По дням'!$C$2:$C$3662,MATCH(369,'По дням'!$G$2:$G$3662,0)))</f>
        <v/>
      </c>
      <c r="H375" s="13">
        <f>IF(OR(B375="",F375=""),"",IF(J375="да",0,ROUND(E375*F375/100*D375/G375,2)))</f>
        <v/>
      </c>
      <c r="I375" s="13">
        <f>IF(B375="","",SUMIF(Оплаты!$A$6:$A$505,C375,Оплаты!$B$6:$B$505))</f>
        <v/>
      </c>
      <c r="J375" s="9">
        <f>IF(B375="","",IF(INDEX('По дням'!$E$2:$E$3662,MATCH(369,'По дням'!$G$2:$G$3662,0))=1,"да",""))</f>
        <v/>
      </c>
    </row>
    <row r="376">
      <c r="A376" s="9">
        <f>IF(B376="","",370)</f>
        <v/>
      </c>
      <c r="B376" s="12">
        <f>IFERROR(INDEX('По дням'!$A$2:$A$3662,MATCH(370,'По дням'!$G$2:$G$3662,0)),"")</f>
        <v/>
      </c>
      <c r="C376" s="12">
        <f>IF(B376="","",INDEX('По дням'!$A$2:$A$3662,MATCH(370,'По дням'!$G$2:$G$3662,0)+COUNTIF('По дням'!$G$2:$G$3662,370)-1))</f>
        <v/>
      </c>
      <c r="D376" s="9">
        <f>IF(B376="","",C376-B376+1)</f>
        <v/>
      </c>
      <c r="E376" s="13">
        <f>IF(B376="","",INDEX('По дням'!$D$2:$D$3662,MATCH(370,'По дням'!$G$2:$G$3662,0)))</f>
        <v/>
      </c>
      <c r="F376" s="9">
        <f>IF(B376="","",INDEX('По дням'!$B$2:$B$3662,MATCH(370,'По дням'!$G$2:$G$3662,0)))</f>
        <v/>
      </c>
      <c r="G376" s="9">
        <f>IF(B376="","",INDEX('По дням'!$C$2:$C$3662,MATCH(370,'По дням'!$G$2:$G$3662,0)))</f>
        <v/>
      </c>
      <c r="H376" s="13">
        <f>IF(OR(B376="",F376=""),"",IF(J376="да",0,ROUND(E376*F376/100*D376/G376,2)))</f>
        <v/>
      </c>
      <c r="I376" s="13">
        <f>IF(B376="","",SUMIF(Оплаты!$A$6:$A$505,C376,Оплаты!$B$6:$B$505))</f>
        <v/>
      </c>
      <c r="J376" s="9">
        <f>IF(B376="","",IF(INDEX('По дням'!$E$2:$E$3662,MATCH(370,'По дням'!$G$2:$G$3662,0))=1,"да",""))</f>
        <v/>
      </c>
    </row>
    <row r="377">
      <c r="A377" s="9">
        <f>IF(B377="","",371)</f>
        <v/>
      </c>
      <c r="B377" s="12">
        <f>IFERROR(INDEX('По дням'!$A$2:$A$3662,MATCH(371,'По дням'!$G$2:$G$3662,0)),"")</f>
        <v/>
      </c>
      <c r="C377" s="12">
        <f>IF(B377="","",INDEX('По дням'!$A$2:$A$3662,MATCH(371,'По дням'!$G$2:$G$3662,0)+COUNTIF('По дням'!$G$2:$G$3662,371)-1))</f>
        <v/>
      </c>
      <c r="D377" s="9">
        <f>IF(B377="","",C377-B377+1)</f>
        <v/>
      </c>
      <c r="E377" s="13">
        <f>IF(B377="","",INDEX('По дням'!$D$2:$D$3662,MATCH(371,'По дням'!$G$2:$G$3662,0)))</f>
        <v/>
      </c>
      <c r="F377" s="9">
        <f>IF(B377="","",INDEX('По дням'!$B$2:$B$3662,MATCH(371,'По дням'!$G$2:$G$3662,0)))</f>
        <v/>
      </c>
      <c r="G377" s="9">
        <f>IF(B377="","",INDEX('По дням'!$C$2:$C$3662,MATCH(371,'По дням'!$G$2:$G$3662,0)))</f>
        <v/>
      </c>
      <c r="H377" s="13">
        <f>IF(OR(B377="",F377=""),"",IF(J377="да",0,ROUND(E377*F377/100*D377/G377,2)))</f>
        <v/>
      </c>
      <c r="I377" s="13">
        <f>IF(B377="","",SUMIF(Оплаты!$A$6:$A$505,C377,Оплаты!$B$6:$B$505))</f>
        <v/>
      </c>
      <c r="J377" s="9">
        <f>IF(B377="","",IF(INDEX('По дням'!$E$2:$E$3662,MATCH(371,'По дням'!$G$2:$G$3662,0))=1,"да",""))</f>
        <v/>
      </c>
    </row>
    <row r="378">
      <c r="A378" s="9">
        <f>IF(B378="","",372)</f>
        <v/>
      </c>
      <c r="B378" s="12">
        <f>IFERROR(INDEX('По дням'!$A$2:$A$3662,MATCH(372,'По дням'!$G$2:$G$3662,0)),"")</f>
        <v/>
      </c>
      <c r="C378" s="12">
        <f>IF(B378="","",INDEX('По дням'!$A$2:$A$3662,MATCH(372,'По дням'!$G$2:$G$3662,0)+COUNTIF('По дням'!$G$2:$G$3662,372)-1))</f>
        <v/>
      </c>
      <c r="D378" s="9">
        <f>IF(B378="","",C378-B378+1)</f>
        <v/>
      </c>
      <c r="E378" s="13">
        <f>IF(B378="","",INDEX('По дням'!$D$2:$D$3662,MATCH(372,'По дням'!$G$2:$G$3662,0)))</f>
        <v/>
      </c>
      <c r="F378" s="9">
        <f>IF(B378="","",INDEX('По дням'!$B$2:$B$3662,MATCH(372,'По дням'!$G$2:$G$3662,0)))</f>
        <v/>
      </c>
      <c r="G378" s="9">
        <f>IF(B378="","",INDEX('По дням'!$C$2:$C$3662,MATCH(372,'По дням'!$G$2:$G$3662,0)))</f>
        <v/>
      </c>
      <c r="H378" s="13">
        <f>IF(OR(B378="",F378=""),"",IF(J378="да",0,ROUND(E378*F378/100*D378/G378,2)))</f>
        <v/>
      </c>
      <c r="I378" s="13">
        <f>IF(B378="","",SUMIF(Оплаты!$A$6:$A$505,C378,Оплаты!$B$6:$B$505))</f>
        <v/>
      </c>
      <c r="J378" s="9">
        <f>IF(B378="","",IF(INDEX('По дням'!$E$2:$E$3662,MATCH(372,'По дням'!$G$2:$G$3662,0))=1,"да",""))</f>
        <v/>
      </c>
    </row>
    <row r="379">
      <c r="A379" s="9">
        <f>IF(B379="","",373)</f>
        <v/>
      </c>
      <c r="B379" s="12">
        <f>IFERROR(INDEX('По дням'!$A$2:$A$3662,MATCH(373,'По дням'!$G$2:$G$3662,0)),"")</f>
        <v/>
      </c>
      <c r="C379" s="12">
        <f>IF(B379="","",INDEX('По дням'!$A$2:$A$3662,MATCH(373,'По дням'!$G$2:$G$3662,0)+COUNTIF('По дням'!$G$2:$G$3662,373)-1))</f>
        <v/>
      </c>
      <c r="D379" s="9">
        <f>IF(B379="","",C379-B379+1)</f>
        <v/>
      </c>
      <c r="E379" s="13">
        <f>IF(B379="","",INDEX('По дням'!$D$2:$D$3662,MATCH(373,'По дням'!$G$2:$G$3662,0)))</f>
        <v/>
      </c>
      <c r="F379" s="9">
        <f>IF(B379="","",INDEX('По дням'!$B$2:$B$3662,MATCH(373,'По дням'!$G$2:$G$3662,0)))</f>
        <v/>
      </c>
      <c r="G379" s="9">
        <f>IF(B379="","",INDEX('По дням'!$C$2:$C$3662,MATCH(373,'По дням'!$G$2:$G$3662,0)))</f>
        <v/>
      </c>
      <c r="H379" s="13">
        <f>IF(OR(B379="",F379=""),"",IF(J379="да",0,ROUND(E379*F379/100*D379/G379,2)))</f>
        <v/>
      </c>
      <c r="I379" s="13">
        <f>IF(B379="","",SUMIF(Оплаты!$A$6:$A$505,C379,Оплаты!$B$6:$B$505))</f>
        <v/>
      </c>
      <c r="J379" s="9">
        <f>IF(B379="","",IF(INDEX('По дням'!$E$2:$E$3662,MATCH(373,'По дням'!$G$2:$G$3662,0))=1,"да",""))</f>
        <v/>
      </c>
    </row>
    <row r="380">
      <c r="A380" s="9">
        <f>IF(B380="","",374)</f>
        <v/>
      </c>
      <c r="B380" s="12">
        <f>IFERROR(INDEX('По дням'!$A$2:$A$3662,MATCH(374,'По дням'!$G$2:$G$3662,0)),"")</f>
        <v/>
      </c>
      <c r="C380" s="12">
        <f>IF(B380="","",INDEX('По дням'!$A$2:$A$3662,MATCH(374,'По дням'!$G$2:$G$3662,0)+COUNTIF('По дням'!$G$2:$G$3662,374)-1))</f>
        <v/>
      </c>
      <c r="D380" s="9">
        <f>IF(B380="","",C380-B380+1)</f>
        <v/>
      </c>
      <c r="E380" s="13">
        <f>IF(B380="","",INDEX('По дням'!$D$2:$D$3662,MATCH(374,'По дням'!$G$2:$G$3662,0)))</f>
        <v/>
      </c>
      <c r="F380" s="9">
        <f>IF(B380="","",INDEX('По дням'!$B$2:$B$3662,MATCH(374,'По дням'!$G$2:$G$3662,0)))</f>
        <v/>
      </c>
      <c r="G380" s="9">
        <f>IF(B380="","",INDEX('По дням'!$C$2:$C$3662,MATCH(374,'По дням'!$G$2:$G$3662,0)))</f>
        <v/>
      </c>
      <c r="H380" s="13">
        <f>IF(OR(B380="",F380=""),"",IF(J380="да",0,ROUND(E380*F380/100*D380/G380,2)))</f>
        <v/>
      </c>
      <c r="I380" s="13">
        <f>IF(B380="","",SUMIF(Оплаты!$A$6:$A$505,C380,Оплаты!$B$6:$B$505))</f>
        <v/>
      </c>
      <c r="J380" s="9">
        <f>IF(B380="","",IF(INDEX('По дням'!$E$2:$E$3662,MATCH(374,'По дням'!$G$2:$G$3662,0))=1,"да",""))</f>
        <v/>
      </c>
    </row>
    <row r="381">
      <c r="A381" s="9">
        <f>IF(B381="","",375)</f>
        <v/>
      </c>
      <c r="B381" s="12">
        <f>IFERROR(INDEX('По дням'!$A$2:$A$3662,MATCH(375,'По дням'!$G$2:$G$3662,0)),"")</f>
        <v/>
      </c>
      <c r="C381" s="12">
        <f>IF(B381="","",INDEX('По дням'!$A$2:$A$3662,MATCH(375,'По дням'!$G$2:$G$3662,0)+COUNTIF('По дням'!$G$2:$G$3662,375)-1))</f>
        <v/>
      </c>
      <c r="D381" s="9">
        <f>IF(B381="","",C381-B381+1)</f>
        <v/>
      </c>
      <c r="E381" s="13">
        <f>IF(B381="","",INDEX('По дням'!$D$2:$D$3662,MATCH(375,'По дням'!$G$2:$G$3662,0)))</f>
        <v/>
      </c>
      <c r="F381" s="9">
        <f>IF(B381="","",INDEX('По дням'!$B$2:$B$3662,MATCH(375,'По дням'!$G$2:$G$3662,0)))</f>
        <v/>
      </c>
      <c r="G381" s="9">
        <f>IF(B381="","",INDEX('По дням'!$C$2:$C$3662,MATCH(375,'По дням'!$G$2:$G$3662,0)))</f>
        <v/>
      </c>
      <c r="H381" s="13">
        <f>IF(OR(B381="",F381=""),"",IF(J381="да",0,ROUND(E381*F381/100*D381/G381,2)))</f>
        <v/>
      </c>
      <c r="I381" s="13">
        <f>IF(B381="","",SUMIF(Оплаты!$A$6:$A$505,C381,Оплаты!$B$6:$B$505))</f>
        <v/>
      </c>
      <c r="J381" s="9">
        <f>IF(B381="","",IF(INDEX('По дням'!$E$2:$E$3662,MATCH(375,'По дням'!$G$2:$G$3662,0))=1,"да",""))</f>
        <v/>
      </c>
    </row>
    <row r="382">
      <c r="A382" s="9">
        <f>IF(B382="","",376)</f>
        <v/>
      </c>
      <c r="B382" s="12">
        <f>IFERROR(INDEX('По дням'!$A$2:$A$3662,MATCH(376,'По дням'!$G$2:$G$3662,0)),"")</f>
        <v/>
      </c>
      <c r="C382" s="12">
        <f>IF(B382="","",INDEX('По дням'!$A$2:$A$3662,MATCH(376,'По дням'!$G$2:$G$3662,0)+COUNTIF('По дням'!$G$2:$G$3662,376)-1))</f>
        <v/>
      </c>
      <c r="D382" s="9">
        <f>IF(B382="","",C382-B382+1)</f>
        <v/>
      </c>
      <c r="E382" s="13">
        <f>IF(B382="","",INDEX('По дням'!$D$2:$D$3662,MATCH(376,'По дням'!$G$2:$G$3662,0)))</f>
        <v/>
      </c>
      <c r="F382" s="9">
        <f>IF(B382="","",INDEX('По дням'!$B$2:$B$3662,MATCH(376,'По дням'!$G$2:$G$3662,0)))</f>
        <v/>
      </c>
      <c r="G382" s="9">
        <f>IF(B382="","",INDEX('По дням'!$C$2:$C$3662,MATCH(376,'По дням'!$G$2:$G$3662,0)))</f>
        <v/>
      </c>
      <c r="H382" s="13">
        <f>IF(OR(B382="",F382=""),"",IF(J382="да",0,ROUND(E382*F382/100*D382/G382,2)))</f>
        <v/>
      </c>
      <c r="I382" s="13">
        <f>IF(B382="","",SUMIF(Оплаты!$A$6:$A$505,C382,Оплаты!$B$6:$B$505))</f>
        <v/>
      </c>
      <c r="J382" s="9">
        <f>IF(B382="","",IF(INDEX('По дням'!$E$2:$E$3662,MATCH(376,'По дням'!$G$2:$G$3662,0))=1,"да",""))</f>
        <v/>
      </c>
    </row>
    <row r="383">
      <c r="A383" s="9">
        <f>IF(B383="","",377)</f>
        <v/>
      </c>
      <c r="B383" s="12">
        <f>IFERROR(INDEX('По дням'!$A$2:$A$3662,MATCH(377,'По дням'!$G$2:$G$3662,0)),"")</f>
        <v/>
      </c>
      <c r="C383" s="12">
        <f>IF(B383="","",INDEX('По дням'!$A$2:$A$3662,MATCH(377,'По дням'!$G$2:$G$3662,0)+COUNTIF('По дням'!$G$2:$G$3662,377)-1))</f>
        <v/>
      </c>
      <c r="D383" s="9">
        <f>IF(B383="","",C383-B383+1)</f>
        <v/>
      </c>
      <c r="E383" s="13">
        <f>IF(B383="","",INDEX('По дням'!$D$2:$D$3662,MATCH(377,'По дням'!$G$2:$G$3662,0)))</f>
        <v/>
      </c>
      <c r="F383" s="9">
        <f>IF(B383="","",INDEX('По дням'!$B$2:$B$3662,MATCH(377,'По дням'!$G$2:$G$3662,0)))</f>
        <v/>
      </c>
      <c r="G383" s="9">
        <f>IF(B383="","",INDEX('По дням'!$C$2:$C$3662,MATCH(377,'По дням'!$G$2:$G$3662,0)))</f>
        <v/>
      </c>
      <c r="H383" s="13">
        <f>IF(OR(B383="",F383=""),"",IF(J383="да",0,ROUND(E383*F383/100*D383/G383,2)))</f>
        <v/>
      </c>
      <c r="I383" s="13">
        <f>IF(B383="","",SUMIF(Оплаты!$A$6:$A$505,C383,Оплаты!$B$6:$B$505))</f>
        <v/>
      </c>
      <c r="J383" s="9">
        <f>IF(B383="","",IF(INDEX('По дням'!$E$2:$E$3662,MATCH(377,'По дням'!$G$2:$G$3662,0))=1,"да",""))</f>
        <v/>
      </c>
    </row>
    <row r="384">
      <c r="A384" s="9">
        <f>IF(B384="","",378)</f>
        <v/>
      </c>
      <c r="B384" s="12">
        <f>IFERROR(INDEX('По дням'!$A$2:$A$3662,MATCH(378,'По дням'!$G$2:$G$3662,0)),"")</f>
        <v/>
      </c>
      <c r="C384" s="12">
        <f>IF(B384="","",INDEX('По дням'!$A$2:$A$3662,MATCH(378,'По дням'!$G$2:$G$3662,0)+COUNTIF('По дням'!$G$2:$G$3662,378)-1))</f>
        <v/>
      </c>
      <c r="D384" s="9">
        <f>IF(B384="","",C384-B384+1)</f>
        <v/>
      </c>
      <c r="E384" s="13">
        <f>IF(B384="","",INDEX('По дням'!$D$2:$D$3662,MATCH(378,'По дням'!$G$2:$G$3662,0)))</f>
        <v/>
      </c>
      <c r="F384" s="9">
        <f>IF(B384="","",INDEX('По дням'!$B$2:$B$3662,MATCH(378,'По дням'!$G$2:$G$3662,0)))</f>
        <v/>
      </c>
      <c r="G384" s="9">
        <f>IF(B384="","",INDEX('По дням'!$C$2:$C$3662,MATCH(378,'По дням'!$G$2:$G$3662,0)))</f>
        <v/>
      </c>
      <c r="H384" s="13">
        <f>IF(OR(B384="",F384=""),"",IF(J384="да",0,ROUND(E384*F384/100*D384/G384,2)))</f>
        <v/>
      </c>
      <c r="I384" s="13">
        <f>IF(B384="","",SUMIF(Оплаты!$A$6:$A$505,C384,Оплаты!$B$6:$B$505))</f>
        <v/>
      </c>
      <c r="J384" s="9">
        <f>IF(B384="","",IF(INDEX('По дням'!$E$2:$E$3662,MATCH(378,'По дням'!$G$2:$G$3662,0))=1,"да",""))</f>
        <v/>
      </c>
    </row>
    <row r="385">
      <c r="A385" s="9">
        <f>IF(B385="","",379)</f>
        <v/>
      </c>
      <c r="B385" s="12">
        <f>IFERROR(INDEX('По дням'!$A$2:$A$3662,MATCH(379,'По дням'!$G$2:$G$3662,0)),"")</f>
        <v/>
      </c>
      <c r="C385" s="12">
        <f>IF(B385="","",INDEX('По дням'!$A$2:$A$3662,MATCH(379,'По дням'!$G$2:$G$3662,0)+COUNTIF('По дням'!$G$2:$G$3662,379)-1))</f>
        <v/>
      </c>
      <c r="D385" s="9">
        <f>IF(B385="","",C385-B385+1)</f>
        <v/>
      </c>
      <c r="E385" s="13">
        <f>IF(B385="","",INDEX('По дням'!$D$2:$D$3662,MATCH(379,'По дням'!$G$2:$G$3662,0)))</f>
        <v/>
      </c>
      <c r="F385" s="9">
        <f>IF(B385="","",INDEX('По дням'!$B$2:$B$3662,MATCH(379,'По дням'!$G$2:$G$3662,0)))</f>
        <v/>
      </c>
      <c r="G385" s="9">
        <f>IF(B385="","",INDEX('По дням'!$C$2:$C$3662,MATCH(379,'По дням'!$G$2:$G$3662,0)))</f>
        <v/>
      </c>
      <c r="H385" s="13">
        <f>IF(OR(B385="",F385=""),"",IF(J385="да",0,ROUND(E385*F385/100*D385/G385,2)))</f>
        <v/>
      </c>
      <c r="I385" s="13">
        <f>IF(B385="","",SUMIF(Оплаты!$A$6:$A$505,C385,Оплаты!$B$6:$B$505))</f>
        <v/>
      </c>
      <c r="J385" s="9">
        <f>IF(B385="","",IF(INDEX('По дням'!$E$2:$E$3662,MATCH(379,'По дням'!$G$2:$G$3662,0))=1,"да",""))</f>
        <v/>
      </c>
    </row>
    <row r="386">
      <c r="A386" s="9">
        <f>IF(B386="","",380)</f>
        <v/>
      </c>
      <c r="B386" s="12">
        <f>IFERROR(INDEX('По дням'!$A$2:$A$3662,MATCH(380,'По дням'!$G$2:$G$3662,0)),"")</f>
        <v/>
      </c>
      <c r="C386" s="12">
        <f>IF(B386="","",INDEX('По дням'!$A$2:$A$3662,MATCH(380,'По дням'!$G$2:$G$3662,0)+COUNTIF('По дням'!$G$2:$G$3662,380)-1))</f>
        <v/>
      </c>
      <c r="D386" s="9">
        <f>IF(B386="","",C386-B386+1)</f>
        <v/>
      </c>
      <c r="E386" s="13">
        <f>IF(B386="","",INDEX('По дням'!$D$2:$D$3662,MATCH(380,'По дням'!$G$2:$G$3662,0)))</f>
        <v/>
      </c>
      <c r="F386" s="9">
        <f>IF(B386="","",INDEX('По дням'!$B$2:$B$3662,MATCH(380,'По дням'!$G$2:$G$3662,0)))</f>
        <v/>
      </c>
      <c r="G386" s="9">
        <f>IF(B386="","",INDEX('По дням'!$C$2:$C$3662,MATCH(380,'По дням'!$G$2:$G$3662,0)))</f>
        <v/>
      </c>
      <c r="H386" s="13">
        <f>IF(OR(B386="",F386=""),"",IF(J386="да",0,ROUND(E386*F386/100*D386/G386,2)))</f>
        <v/>
      </c>
      <c r="I386" s="13">
        <f>IF(B386="","",SUMIF(Оплаты!$A$6:$A$505,C386,Оплаты!$B$6:$B$505))</f>
        <v/>
      </c>
      <c r="J386" s="9">
        <f>IF(B386="","",IF(INDEX('По дням'!$E$2:$E$3662,MATCH(380,'По дням'!$G$2:$G$3662,0))=1,"да",""))</f>
        <v/>
      </c>
    </row>
    <row r="387">
      <c r="A387" s="9">
        <f>IF(B387="","",381)</f>
        <v/>
      </c>
      <c r="B387" s="12">
        <f>IFERROR(INDEX('По дням'!$A$2:$A$3662,MATCH(381,'По дням'!$G$2:$G$3662,0)),"")</f>
        <v/>
      </c>
      <c r="C387" s="12">
        <f>IF(B387="","",INDEX('По дням'!$A$2:$A$3662,MATCH(381,'По дням'!$G$2:$G$3662,0)+COUNTIF('По дням'!$G$2:$G$3662,381)-1))</f>
        <v/>
      </c>
      <c r="D387" s="9">
        <f>IF(B387="","",C387-B387+1)</f>
        <v/>
      </c>
      <c r="E387" s="13">
        <f>IF(B387="","",INDEX('По дням'!$D$2:$D$3662,MATCH(381,'По дням'!$G$2:$G$3662,0)))</f>
        <v/>
      </c>
      <c r="F387" s="9">
        <f>IF(B387="","",INDEX('По дням'!$B$2:$B$3662,MATCH(381,'По дням'!$G$2:$G$3662,0)))</f>
        <v/>
      </c>
      <c r="G387" s="9">
        <f>IF(B387="","",INDEX('По дням'!$C$2:$C$3662,MATCH(381,'По дням'!$G$2:$G$3662,0)))</f>
        <v/>
      </c>
      <c r="H387" s="13">
        <f>IF(OR(B387="",F387=""),"",IF(J387="да",0,ROUND(E387*F387/100*D387/G387,2)))</f>
        <v/>
      </c>
      <c r="I387" s="13">
        <f>IF(B387="","",SUMIF(Оплаты!$A$6:$A$505,C387,Оплаты!$B$6:$B$505))</f>
        <v/>
      </c>
      <c r="J387" s="9">
        <f>IF(B387="","",IF(INDEX('По дням'!$E$2:$E$3662,MATCH(381,'По дням'!$G$2:$G$3662,0))=1,"да",""))</f>
        <v/>
      </c>
    </row>
    <row r="388">
      <c r="A388" s="9">
        <f>IF(B388="","",382)</f>
        <v/>
      </c>
      <c r="B388" s="12">
        <f>IFERROR(INDEX('По дням'!$A$2:$A$3662,MATCH(382,'По дням'!$G$2:$G$3662,0)),"")</f>
        <v/>
      </c>
      <c r="C388" s="12">
        <f>IF(B388="","",INDEX('По дням'!$A$2:$A$3662,MATCH(382,'По дням'!$G$2:$G$3662,0)+COUNTIF('По дням'!$G$2:$G$3662,382)-1))</f>
        <v/>
      </c>
      <c r="D388" s="9">
        <f>IF(B388="","",C388-B388+1)</f>
        <v/>
      </c>
      <c r="E388" s="13">
        <f>IF(B388="","",INDEX('По дням'!$D$2:$D$3662,MATCH(382,'По дням'!$G$2:$G$3662,0)))</f>
        <v/>
      </c>
      <c r="F388" s="9">
        <f>IF(B388="","",INDEX('По дням'!$B$2:$B$3662,MATCH(382,'По дням'!$G$2:$G$3662,0)))</f>
        <v/>
      </c>
      <c r="G388" s="9">
        <f>IF(B388="","",INDEX('По дням'!$C$2:$C$3662,MATCH(382,'По дням'!$G$2:$G$3662,0)))</f>
        <v/>
      </c>
      <c r="H388" s="13">
        <f>IF(OR(B388="",F388=""),"",IF(J388="да",0,ROUND(E388*F388/100*D388/G388,2)))</f>
        <v/>
      </c>
      <c r="I388" s="13">
        <f>IF(B388="","",SUMIF(Оплаты!$A$6:$A$505,C388,Оплаты!$B$6:$B$505))</f>
        <v/>
      </c>
      <c r="J388" s="9">
        <f>IF(B388="","",IF(INDEX('По дням'!$E$2:$E$3662,MATCH(382,'По дням'!$G$2:$G$3662,0))=1,"да",""))</f>
        <v/>
      </c>
    </row>
    <row r="389">
      <c r="A389" s="9">
        <f>IF(B389="","",383)</f>
        <v/>
      </c>
      <c r="B389" s="12">
        <f>IFERROR(INDEX('По дням'!$A$2:$A$3662,MATCH(383,'По дням'!$G$2:$G$3662,0)),"")</f>
        <v/>
      </c>
      <c r="C389" s="12">
        <f>IF(B389="","",INDEX('По дням'!$A$2:$A$3662,MATCH(383,'По дням'!$G$2:$G$3662,0)+COUNTIF('По дням'!$G$2:$G$3662,383)-1))</f>
        <v/>
      </c>
      <c r="D389" s="9">
        <f>IF(B389="","",C389-B389+1)</f>
        <v/>
      </c>
      <c r="E389" s="13">
        <f>IF(B389="","",INDEX('По дням'!$D$2:$D$3662,MATCH(383,'По дням'!$G$2:$G$3662,0)))</f>
        <v/>
      </c>
      <c r="F389" s="9">
        <f>IF(B389="","",INDEX('По дням'!$B$2:$B$3662,MATCH(383,'По дням'!$G$2:$G$3662,0)))</f>
        <v/>
      </c>
      <c r="G389" s="9">
        <f>IF(B389="","",INDEX('По дням'!$C$2:$C$3662,MATCH(383,'По дням'!$G$2:$G$3662,0)))</f>
        <v/>
      </c>
      <c r="H389" s="13">
        <f>IF(OR(B389="",F389=""),"",IF(J389="да",0,ROUND(E389*F389/100*D389/G389,2)))</f>
        <v/>
      </c>
      <c r="I389" s="13">
        <f>IF(B389="","",SUMIF(Оплаты!$A$6:$A$505,C389,Оплаты!$B$6:$B$505))</f>
        <v/>
      </c>
      <c r="J389" s="9">
        <f>IF(B389="","",IF(INDEX('По дням'!$E$2:$E$3662,MATCH(383,'По дням'!$G$2:$G$3662,0))=1,"да",""))</f>
        <v/>
      </c>
    </row>
    <row r="390">
      <c r="A390" s="9">
        <f>IF(B390="","",384)</f>
        <v/>
      </c>
      <c r="B390" s="12">
        <f>IFERROR(INDEX('По дням'!$A$2:$A$3662,MATCH(384,'По дням'!$G$2:$G$3662,0)),"")</f>
        <v/>
      </c>
      <c r="C390" s="12">
        <f>IF(B390="","",INDEX('По дням'!$A$2:$A$3662,MATCH(384,'По дням'!$G$2:$G$3662,0)+COUNTIF('По дням'!$G$2:$G$3662,384)-1))</f>
        <v/>
      </c>
      <c r="D390" s="9">
        <f>IF(B390="","",C390-B390+1)</f>
        <v/>
      </c>
      <c r="E390" s="13">
        <f>IF(B390="","",INDEX('По дням'!$D$2:$D$3662,MATCH(384,'По дням'!$G$2:$G$3662,0)))</f>
        <v/>
      </c>
      <c r="F390" s="9">
        <f>IF(B390="","",INDEX('По дням'!$B$2:$B$3662,MATCH(384,'По дням'!$G$2:$G$3662,0)))</f>
        <v/>
      </c>
      <c r="G390" s="9">
        <f>IF(B390="","",INDEX('По дням'!$C$2:$C$3662,MATCH(384,'По дням'!$G$2:$G$3662,0)))</f>
        <v/>
      </c>
      <c r="H390" s="13">
        <f>IF(OR(B390="",F390=""),"",IF(J390="да",0,ROUND(E390*F390/100*D390/G390,2)))</f>
        <v/>
      </c>
      <c r="I390" s="13">
        <f>IF(B390="","",SUMIF(Оплаты!$A$6:$A$505,C390,Оплаты!$B$6:$B$505))</f>
        <v/>
      </c>
      <c r="J390" s="9">
        <f>IF(B390="","",IF(INDEX('По дням'!$E$2:$E$3662,MATCH(384,'По дням'!$G$2:$G$3662,0))=1,"да",""))</f>
        <v/>
      </c>
    </row>
    <row r="391">
      <c r="A391" s="9">
        <f>IF(B391="","",385)</f>
        <v/>
      </c>
      <c r="B391" s="12">
        <f>IFERROR(INDEX('По дням'!$A$2:$A$3662,MATCH(385,'По дням'!$G$2:$G$3662,0)),"")</f>
        <v/>
      </c>
      <c r="C391" s="12">
        <f>IF(B391="","",INDEX('По дням'!$A$2:$A$3662,MATCH(385,'По дням'!$G$2:$G$3662,0)+COUNTIF('По дням'!$G$2:$G$3662,385)-1))</f>
        <v/>
      </c>
      <c r="D391" s="9">
        <f>IF(B391="","",C391-B391+1)</f>
        <v/>
      </c>
      <c r="E391" s="13">
        <f>IF(B391="","",INDEX('По дням'!$D$2:$D$3662,MATCH(385,'По дням'!$G$2:$G$3662,0)))</f>
        <v/>
      </c>
      <c r="F391" s="9">
        <f>IF(B391="","",INDEX('По дням'!$B$2:$B$3662,MATCH(385,'По дням'!$G$2:$G$3662,0)))</f>
        <v/>
      </c>
      <c r="G391" s="9">
        <f>IF(B391="","",INDEX('По дням'!$C$2:$C$3662,MATCH(385,'По дням'!$G$2:$G$3662,0)))</f>
        <v/>
      </c>
      <c r="H391" s="13">
        <f>IF(OR(B391="",F391=""),"",IF(J391="да",0,ROUND(E391*F391/100*D391/G391,2)))</f>
        <v/>
      </c>
      <c r="I391" s="13">
        <f>IF(B391="","",SUMIF(Оплаты!$A$6:$A$505,C391,Оплаты!$B$6:$B$505))</f>
        <v/>
      </c>
      <c r="J391" s="9">
        <f>IF(B391="","",IF(INDEX('По дням'!$E$2:$E$3662,MATCH(385,'По дням'!$G$2:$G$3662,0))=1,"да",""))</f>
        <v/>
      </c>
    </row>
    <row r="392">
      <c r="A392" s="9">
        <f>IF(B392="","",386)</f>
        <v/>
      </c>
      <c r="B392" s="12">
        <f>IFERROR(INDEX('По дням'!$A$2:$A$3662,MATCH(386,'По дням'!$G$2:$G$3662,0)),"")</f>
        <v/>
      </c>
      <c r="C392" s="12">
        <f>IF(B392="","",INDEX('По дням'!$A$2:$A$3662,MATCH(386,'По дням'!$G$2:$G$3662,0)+COUNTIF('По дням'!$G$2:$G$3662,386)-1))</f>
        <v/>
      </c>
      <c r="D392" s="9">
        <f>IF(B392="","",C392-B392+1)</f>
        <v/>
      </c>
      <c r="E392" s="13">
        <f>IF(B392="","",INDEX('По дням'!$D$2:$D$3662,MATCH(386,'По дням'!$G$2:$G$3662,0)))</f>
        <v/>
      </c>
      <c r="F392" s="9">
        <f>IF(B392="","",INDEX('По дням'!$B$2:$B$3662,MATCH(386,'По дням'!$G$2:$G$3662,0)))</f>
        <v/>
      </c>
      <c r="G392" s="9">
        <f>IF(B392="","",INDEX('По дням'!$C$2:$C$3662,MATCH(386,'По дням'!$G$2:$G$3662,0)))</f>
        <v/>
      </c>
      <c r="H392" s="13">
        <f>IF(OR(B392="",F392=""),"",IF(J392="да",0,ROUND(E392*F392/100*D392/G392,2)))</f>
        <v/>
      </c>
      <c r="I392" s="13">
        <f>IF(B392="","",SUMIF(Оплаты!$A$6:$A$505,C392,Оплаты!$B$6:$B$505))</f>
        <v/>
      </c>
      <c r="J392" s="9">
        <f>IF(B392="","",IF(INDEX('По дням'!$E$2:$E$3662,MATCH(386,'По дням'!$G$2:$G$3662,0))=1,"да",""))</f>
        <v/>
      </c>
    </row>
    <row r="393">
      <c r="A393" s="9">
        <f>IF(B393="","",387)</f>
        <v/>
      </c>
      <c r="B393" s="12">
        <f>IFERROR(INDEX('По дням'!$A$2:$A$3662,MATCH(387,'По дням'!$G$2:$G$3662,0)),"")</f>
        <v/>
      </c>
      <c r="C393" s="12">
        <f>IF(B393="","",INDEX('По дням'!$A$2:$A$3662,MATCH(387,'По дням'!$G$2:$G$3662,0)+COUNTIF('По дням'!$G$2:$G$3662,387)-1))</f>
        <v/>
      </c>
      <c r="D393" s="9">
        <f>IF(B393="","",C393-B393+1)</f>
        <v/>
      </c>
      <c r="E393" s="13">
        <f>IF(B393="","",INDEX('По дням'!$D$2:$D$3662,MATCH(387,'По дням'!$G$2:$G$3662,0)))</f>
        <v/>
      </c>
      <c r="F393" s="9">
        <f>IF(B393="","",INDEX('По дням'!$B$2:$B$3662,MATCH(387,'По дням'!$G$2:$G$3662,0)))</f>
        <v/>
      </c>
      <c r="G393" s="9">
        <f>IF(B393="","",INDEX('По дням'!$C$2:$C$3662,MATCH(387,'По дням'!$G$2:$G$3662,0)))</f>
        <v/>
      </c>
      <c r="H393" s="13">
        <f>IF(OR(B393="",F393=""),"",IF(J393="да",0,ROUND(E393*F393/100*D393/G393,2)))</f>
        <v/>
      </c>
      <c r="I393" s="13">
        <f>IF(B393="","",SUMIF(Оплаты!$A$6:$A$505,C393,Оплаты!$B$6:$B$505))</f>
        <v/>
      </c>
      <c r="J393" s="9">
        <f>IF(B393="","",IF(INDEX('По дням'!$E$2:$E$3662,MATCH(387,'По дням'!$G$2:$G$3662,0))=1,"да",""))</f>
        <v/>
      </c>
    </row>
    <row r="394">
      <c r="A394" s="9">
        <f>IF(B394="","",388)</f>
        <v/>
      </c>
      <c r="B394" s="12">
        <f>IFERROR(INDEX('По дням'!$A$2:$A$3662,MATCH(388,'По дням'!$G$2:$G$3662,0)),"")</f>
        <v/>
      </c>
      <c r="C394" s="12">
        <f>IF(B394="","",INDEX('По дням'!$A$2:$A$3662,MATCH(388,'По дням'!$G$2:$G$3662,0)+COUNTIF('По дням'!$G$2:$G$3662,388)-1))</f>
        <v/>
      </c>
      <c r="D394" s="9">
        <f>IF(B394="","",C394-B394+1)</f>
        <v/>
      </c>
      <c r="E394" s="13">
        <f>IF(B394="","",INDEX('По дням'!$D$2:$D$3662,MATCH(388,'По дням'!$G$2:$G$3662,0)))</f>
        <v/>
      </c>
      <c r="F394" s="9">
        <f>IF(B394="","",INDEX('По дням'!$B$2:$B$3662,MATCH(388,'По дням'!$G$2:$G$3662,0)))</f>
        <v/>
      </c>
      <c r="G394" s="9">
        <f>IF(B394="","",INDEX('По дням'!$C$2:$C$3662,MATCH(388,'По дням'!$G$2:$G$3662,0)))</f>
        <v/>
      </c>
      <c r="H394" s="13">
        <f>IF(OR(B394="",F394=""),"",IF(J394="да",0,ROUND(E394*F394/100*D394/G394,2)))</f>
        <v/>
      </c>
      <c r="I394" s="13">
        <f>IF(B394="","",SUMIF(Оплаты!$A$6:$A$505,C394,Оплаты!$B$6:$B$505))</f>
        <v/>
      </c>
      <c r="J394" s="9">
        <f>IF(B394="","",IF(INDEX('По дням'!$E$2:$E$3662,MATCH(388,'По дням'!$G$2:$G$3662,0))=1,"да",""))</f>
        <v/>
      </c>
    </row>
    <row r="395">
      <c r="A395" s="9">
        <f>IF(B395="","",389)</f>
        <v/>
      </c>
      <c r="B395" s="12">
        <f>IFERROR(INDEX('По дням'!$A$2:$A$3662,MATCH(389,'По дням'!$G$2:$G$3662,0)),"")</f>
        <v/>
      </c>
      <c r="C395" s="12">
        <f>IF(B395="","",INDEX('По дням'!$A$2:$A$3662,MATCH(389,'По дням'!$G$2:$G$3662,0)+COUNTIF('По дням'!$G$2:$G$3662,389)-1))</f>
        <v/>
      </c>
      <c r="D395" s="9">
        <f>IF(B395="","",C395-B395+1)</f>
        <v/>
      </c>
      <c r="E395" s="13">
        <f>IF(B395="","",INDEX('По дням'!$D$2:$D$3662,MATCH(389,'По дням'!$G$2:$G$3662,0)))</f>
        <v/>
      </c>
      <c r="F395" s="9">
        <f>IF(B395="","",INDEX('По дням'!$B$2:$B$3662,MATCH(389,'По дням'!$G$2:$G$3662,0)))</f>
        <v/>
      </c>
      <c r="G395" s="9">
        <f>IF(B395="","",INDEX('По дням'!$C$2:$C$3662,MATCH(389,'По дням'!$G$2:$G$3662,0)))</f>
        <v/>
      </c>
      <c r="H395" s="13">
        <f>IF(OR(B395="",F395=""),"",IF(J395="да",0,ROUND(E395*F395/100*D395/G395,2)))</f>
        <v/>
      </c>
      <c r="I395" s="13">
        <f>IF(B395="","",SUMIF(Оплаты!$A$6:$A$505,C395,Оплаты!$B$6:$B$505))</f>
        <v/>
      </c>
      <c r="J395" s="9">
        <f>IF(B395="","",IF(INDEX('По дням'!$E$2:$E$3662,MATCH(389,'По дням'!$G$2:$G$3662,0))=1,"да",""))</f>
        <v/>
      </c>
    </row>
    <row r="396">
      <c r="A396" s="9">
        <f>IF(B396="","",390)</f>
        <v/>
      </c>
      <c r="B396" s="12">
        <f>IFERROR(INDEX('По дням'!$A$2:$A$3662,MATCH(390,'По дням'!$G$2:$G$3662,0)),"")</f>
        <v/>
      </c>
      <c r="C396" s="12">
        <f>IF(B396="","",INDEX('По дням'!$A$2:$A$3662,MATCH(390,'По дням'!$G$2:$G$3662,0)+COUNTIF('По дням'!$G$2:$G$3662,390)-1))</f>
        <v/>
      </c>
      <c r="D396" s="9">
        <f>IF(B396="","",C396-B396+1)</f>
        <v/>
      </c>
      <c r="E396" s="13">
        <f>IF(B396="","",INDEX('По дням'!$D$2:$D$3662,MATCH(390,'По дням'!$G$2:$G$3662,0)))</f>
        <v/>
      </c>
      <c r="F396" s="9">
        <f>IF(B396="","",INDEX('По дням'!$B$2:$B$3662,MATCH(390,'По дням'!$G$2:$G$3662,0)))</f>
        <v/>
      </c>
      <c r="G396" s="9">
        <f>IF(B396="","",INDEX('По дням'!$C$2:$C$3662,MATCH(390,'По дням'!$G$2:$G$3662,0)))</f>
        <v/>
      </c>
      <c r="H396" s="13">
        <f>IF(OR(B396="",F396=""),"",IF(J396="да",0,ROUND(E396*F396/100*D396/G396,2)))</f>
        <v/>
      </c>
      <c r="I396" s="13">
        <f>IF(B396="","",SUMIF(Оплаты!$A$6:$A$505,C396,Оплаты!$B$6:$B$505))</f>
        <v/>
      </c>
      <c r="J396" s="9">
        <f>IF(B396="","",IF(INDEX('По дням'!$E$2:$E$3662,MATCH(390,'По дням'!$G$2:$G$3662,0))=1,"да",""))</f>
        <v/>
      </c>
    </row>
    <row r="397">
      <c r="A397" s="9">
        <f>IF(B397="","",391)</f>
        <v/>
      </c>
      <c r="B397" s="12">
        <f>IFERROR(INDEX('По дням'!$A$2:$A$3662,MATCH(391,'По дням'!$G$2:$G$3662,0)),"")</f>
        <v/>
      </c>
      <c r="C397" s="12">
        <f>IF(B397="","",INDEX('По дням'!$A$2:$A$3662,MATCH(391,'По дням'!$G$2:$G$3662,0)+COUNTIF('По дням'!$G$2:$G$3662,391)-1))</f>
        <v/>
      </c>
      <c r="D397" s="9">
        <f>IF(B397="","",C397-B397+1)</f>
        <v/>
      </c>
      <c r="E397" s="13">
        <f>IF(B397="","",INDEX('По дням'!$D$2:$D$3662,MATCH(391,'По дням'!$G$2:$G$3662,0)))</f>
        <v/>
      </c>
      <c r="F397" s="9">
        <f>IF(B397="","",INDEX('По дням'!$B$2:$B$3662,MATCH(391,'По дням'!$G$2:$G$3662,0)))</f>
        <v/>
      </c>
      <c r="G397" s="9">
        <f>IF(B397="","",INDEX('По дням'!$C$2:$C$3662,MATCH(391,'По дням'!$G$2:$G$3662,0)))</f>
        <v/>
      </c>
      <c r="H397" s="13">
        <f>IF(OR(B397="",F397=""),"",IF(J397="да",0,ROUND(E397*F397/100*D397/G397,2)))</f>
        <v/>
      </c>
      <c r="I397" s="13">
        <f>IF(B397="","",SUMIF(Оплаты!$A$6:$A$505,C397,Оплаты!$B$6:$B$505))</f>
        <v/>
      </c>
      <c r="J397" s="9">
        <f>IF(B397="","",IF(INDEX('По дням'!$E$2:$E$3662,MATCH(391,'По дням'!$G$2:$G$3662,0))=1,"да",""))</f>
        <v/>
      </c>
    </row>
    <row r="398">
      <c r="A398" s="9">
        <f>IF(B398="","",392)</f>
        <v/>
      </c>
      <c r="B398" s="12">
        <f>IFERROR(INDEX('По дням'!$A$2:$A$3662,MATCH(392,'По дням'!$G$2:$G$3662,0)),"")</f>
        <v/>
      </c>
      <c r="C398" s="12">
        <f>IF(B398="","",INDEX('По дням'!$A$2:$A$3662,MATCH(392,'По дням'!$G$2:$G$3662,0)+COUNTIF('По дням'!$G$2:$G$3662,392)-1))</f>
        <v/>
      </c>
      <c r="D398" s="9">
        <f>IF(B398="","",C398-B398+1)</f>
        <v/>
      </c>
      <c r="E398" s="13">
        <f>IF(B398="","",INDEX('По дням'!$D$2:$D$3662,MATCH(392,'По дням'!$G$2:$G$3662,0)))</f>
        <v/>
      </c>
      <c r="F398" s="9">
        <f>IF(B398="","",INDEX('По дням'!$B$2:$B$3662,MATCH(392,'По дням'!$G$2:$G$3662,0)))</f>
        <v/>
      </c>
      <c r="G398" s="9">
        <f>IF(B398="","",INDEX('По дням'!$C$2:$C$3662,MATCH(392,'По дням'!$G$2:$G$3662,0)))</f>
        <v/>
      </c>
      <c r="H398" s="13">
        <f>IF(OR(B398="",F398=""),"",IF(J398="да",0,ROUND(E398*F398/100*D398/G398,2)))</f>
        <v/>
      </c>
      <c r="I398" s="13">
        <f>IF(B398="","",SUMIF(Оплаты!$A$6:$A$505,C398,Оплаты!$B$6:$B$505))</f>
        <v/>
      </c>
      <c r="J398" s="9">
        <f>IF(B398="","",IF(INDEX('По дням'!$E$2:$E$3662,MATCH(392,'По дням'!$G$2:$G$3662,0))=1,"да",""))</f>
        <v/>
      </c>
    </row>
    <row r="399">
      <c r="A399" s="9">
        <f>IF(B399="","",393)</f>
        <v/>
      </c>
      <c r="B399" s="12">
        <f>IFERROR(INDEX('По дням'!$A$2:$A$3662,MATCH(393,'По дням'!$G$2:$G$3662,0)),"")</f>
        <v/>
      </c>
      <c r="C399" s="12">
        <f>IF(B399="","",INDEX('По дням'!$A$2:$A$3662,MATCH(393,'По дням'!$G$2:$G$3662,0)+COUNTIF('По дням'!$G$2:$G$3662,393)-1))</f>
        <v/>
      </c>
      <c r="D399" s="9">
        <f>IF(B399="","",C399-B399+1)</f>
        <v/>
      </c>
      <c r="E399" s="13">
        <f>IF(B399="","",INDEX('По дням'!$D$2:$D$3662,MATCH(393,'По дням'!$G$2:$G$3662,0)))</f>
        <v/>
      </c>
      <c r="F399" s="9">
        <f>IF(B399="","",INDEX('По дням'!$B$2:$B$3662,MATCH(393,'По дням'!$G$2:$G$3662,0)))</f>
        <v/>
      </c>
      <c r="G399" s="9">
        <f>IF(B399="","",INDEX('По дням'!$C$2:$C$3662,MATCH(393,'По дням'!$G$2:$G$3662,0)))</f>
        <v/>
      </c>
      <c r="H399" s="13">
        <f>IF(OR(B399="",F399=""),"",IF(J399="да",0,ROUND(E399*F399/100*D399/G399,2)))</f>
        <v/>
      </c>
      <c r="I399" s="13">
        <f>IF(B399="","",SUMIF(Оплаты!$A$6:$A$505,C399,Оплаты!$B$6:$B$505))</f>
        <v/>
      </c>
      <c r="J399" s="9">
        <f>IF(B399="","",IF(INDEX('По дням'!$E$2:$E$3662,MATCH(393,'По дням'!$G$2:$G$3662,0))=1,"да",""))</f>
        <v/>
      </c>
    </row>
    <row r="400">
      <c r="A400" s="9">
        <f>IF(B400="","",394)</f>
        <v/>
      </c>
      <c r="B400" s="12">
        <f>IFERROR(INDEX('По дням'!$A$2:$A$3662,MATCH(394,'По дням'!$G$2:$G$3662,0)),"")</f>
        <v/>
      </c>
      <c r="C400" s="12">
        <f>IF(B400="","",INDEX('По дням'!$A$2:$A$3662,MATCH(394,'По дням'!$G$2:$G$3662,0)+COUNTIF('По дням'!$G$2:$G$3662,394)-1))</f>
        <v/>
      </c>
      <c r="D400" s="9">
        <f>IF(B400="","",C400-B400+1)</f>
        <v/>
      </c>
      <c r="E400" s="13">
        <f>IF(B400="","",INDEX('По дням'!$D$2:$D$3662,MATCH(394,'По дням'!$G$2:$G$3662,0)))</f>
        <v/>
      </c>
      <c r="F400" s="9">
        <f>IF(B400="","",INDEX('По дням'!$B$2:$B$3662,MATCH(394,'По дням'!$G$2:$G$3662,0)))</f>
        <v/>
      </c>
      <c r="G400" s="9">
        <f>IF(B400="","",INDEX('По дням'!$C$2:$C$3662,MATCH(394,'По дням'!$G$2:$G$3662,0)))</f>
        <v/>
      </c>
      <c r="H400" s="13">
        <f>IF(OR(B400="",F400=""),"",IF(J400="да",0,ROUND(E400*F400/100*D400/G400,2)))</f>
        <v/>
      </c>
      <c r="I400" s="13">
        <f>IF(B400="","",SUMIF(Оплаты!$A$6:$A$505,C400,Оплаты!$B$6:$B$505))</f>
        <v/>
      </c>
      <c r="J400" s="9">
        <f>IF(B400="","",IF(INDEX('По дням'!$E$2:$E$3662,MATCH(394,'По дням'!$G$2:$G$3662,0))=1,"да",""))</f>
        <v/>
      </c>
    </row>
    <row r="401">
      <c r="A401" s="9">
        <f>IF(B401="","",395)</f>
        <v/>
      </c>
      <c r="B401" s="12">
        <f>IFERROR(INDEX('По дням'!$A$2:$A$3662,MATCH(395,'По дням'!$G$2:$G$3662,0)),"")</f>
        <v/>
      </c>
      <c r="C401" s="12">
        <f>IF(B401="","",INDEX('По дням'!$A$2:$A$3662,MATCH(395,'По дням'!$G$2:$G$3662,0)+COUNTIF('По дням'!$G$2:$G$3662,395)-1))</f>
        <v/>
      </c>
      <c r="D401" s="9">
        <f>IF(B401="","",C401-B401+1)</f>
        <v/>
      </c>
      <c r="E401" s="13">
        <f>IF(B401="","",INDEX('По дням'!$D$2:$D$3662,MATCH(395,'По дням'!$G$2:$G$3662,0)))</f>
        <v/>
      </c>
      <c r="F401" s="9">
        <f>IF(B401="","",INDEX('По дням'!$B$2:$B$3662,MATCH(395,'По дням'!$G$2:$G$3662,0)))</f>
        <v/>
      </c>
      <c r="G401" s="9">
        <f>IF(B401="","",INDEX('По дням'!$C$2:$C$3662,MATCH(395,'По дням'!$G$2:$G$3662,0)))</f>
        <v/>
      </c>
      <c r="H401" s="13">
        <f>IF(OR(B401="",F401=""),"",IF(J401="да",0,ROUND(E401*F401/100*D401/G401,2)))</f>
        <v/>
      </c>
      <c r="I401" s="13">
        <f>IF(B401="","",SUMIF(Оплаты!$A$6:$A$505,C401,Оплаты!$B$6:$B$505))</f>
        <v/>
      </c>
      <c r="J401" s="9">
        <f>IF(B401="","",IF(INDEX('По дням'!$E$2:$E$3662,MATCH(395,'По дням'!$G$2:$G$3662,0))=1,"да",""))</f>
        <v/>
      </c>
    </row>
    <row r="402">
      <c r="A402" s="9">
        <f>IF(B402="","",396)</f>
        <v/>
      </c>
      <c r="B402" s="12">
        <f>IFERROR(INDEX('По дням'!$A$2:$A$3662,MATCH(396,'По дням'!$G$2:$G$3662,0)),"")</f>
        <v/>
      </c>
      <c r="C402" s="12">
        <f>IF(B402="","",INDEX('По дням'!$A$2:$A$3662,MATCH(396,'По дням'!$G$2:$G$3662,0)+COUNTIF('По дням'!$G$2:$G$3662,396)-1))</f>
        <v/>
      </c>
      <c r="D402" s="9">
        <f>IF(B402="","",C402-B402+1)</f>
        <v/>
      </c>
      <c r="E402" s="13">
        <f>IF(B402="","",INDEX('По дням'!$D$2:$D$3662,MATCH(396,'По дням'!$G$2:$G$3662,0)))</f>
        <v/>
      </c>
      <c r="F402" s="9">
        <f>IF(B402="","",INDEX('По дням'!$B$2:$B$3662,MATCH(396,'По дням'!$G$2:$G$3662,0)))</f>
        <v/>
      </c>
      <c r="G402" s="9">
        <f>IF(B402="","",INDEX('По дням'!$C$2:$C$3662,MATCH(396,'По дням'!$G$2:$G$3662,0)))</f>
        <v/>
      </c>
      <c r="H402" s="13">
        <f>IF(OR(B402="",F402=""),"",IF(J402="да",0,ROUND(E402*F402/100*D402/G402,2)))</f>
        <v/>
      </c>
      <c r="I402" s="13">
        <f>IF(B402="","",SUMIF(Оплаты!$A$6:$A$505,C402,Оплаты!$B$6:$B$505))</f>
        <v/>
      </c>
      <c r="J402" s="9">
        <f>IF(B402="","",IF(INDEX('По дням'!$E$2:$E$3662,MATCH(396,'По дням'!$G$2:$G$3662,0))=1,"да",""))</f>
        <v/>
      </c>
    </row>
    <row r="403">
      <c r="A403" s="9">
        <f>IF(B403="","",397)</f>
        <v/>
      </c>
      <c r="B403" s="12">
        <f>IFERROR(INDEX('По дням'!$A$2:$A$3662,MATCH(397,'По дням'!$G$2:$G$3662,0)),"")</f>
        <v/>
      </c>
      <c r="C403" s="12">
        <f>IF(B403="","",INDEX('По дням'!$A$2:$A$3662,MATCH(397,'По дням'!$G$2:$G$3662,0)+COUNTIF('По дням'!$G$2:$G$3662,397)-1))</f>
        <v/>
      </c>
      <c r="D403" s="9">
        <f>IF(B403="","",C403-B403+1)</f>
        <v/>
      </c>
      <c r="E403" s="13">
        <f>IF(B403="","",INDEX('По дням'!$D$2:$D$3662,MATCH(397,'По дням'!$G$2:$G$3662,0)))</f>
        <v/>
      </c>
      <c r="F403" s="9">
        <f>IF(B403="","",INDEX('По дням'!$B$2:$B$3662,MATCH(397,'По дням'!$G$2:$G$3662,0)))</f>
        <v/>
      </c>
      <c r="G403" s="9">
        <f>IF(B403="","",INDEX('По дням'!$C$2:$C$3662,MATCH(397,'По дням'!$G$2:$G$3662,0)))</f>
        <v/>
      </c>
      <c r="H403" s="13">
        <f>IF(OR(B403="",F403=""),"",IF(J403="да",0,ROUND(E403*F403/100*D403/G403,2)))</f>
        <v/>
      </c>
      <c r="I403" s="13">
        <f>IF(B403="","",SUMIF(Оплаты!$A$6:$A$505,C403,Оплаты!$B$6:$B$505))</f>
        <v/>
      </c>
      <c r="J403" s="9">
        <f>IF(B403="","",IF(INDEX('По дням'!$E$2:$E$3662,MATCH(397,'По дням'!$G$2:$G$3662,0))=1,"да",""))</f>
        <v/>
      </c>
    </row>
    <row r="404">
      <c r="A404" s="9">
        <f>IF(B404="","",398)</f>
        <v/>
      </c>
      <c r="B404" s="12">
        <f>IFERROR(INDEX('По дням'!$A$2:$A$3662,MATCH(398,'По дням'!$G$2:$G$3662,0)),"")</f>
        <v/>
      </c>
      <c r="C404" s="12">
        <f>IF(B404="","",INDEX('По дням'!$A$2:$A$3662,MATCH(398,'По дням'!$G$2:$G$3662,0)+COUNTIF('По дням'!$G$2:$G$3662,398)-1))</f>
        <v/>
      </c>
      <c r="D404" s="9">
        <f>IF(B404="","",C404-B404+1)</f>
        <v/>
      </c>
      <c r="E404" s="13">
        <f>IF(B404="","",INDEX('По дням'!$D$2:$D$3662,MATCH(398,'По дням'!$G$2:$G$3662,0)))</f>
        <v/>
      </c>
      <c r="F404" s="9">
        <f>IF(B404="","",INDEX('По дням'!$B$2:$B$3662,MATCH(398,'По дням'!$G$2:$G$3662,0)))</f>
        <v/>
      </c>
      <c r="G404" s="9">
        <f>IF(B404="","",INDEX('По дням'!$C$2:$C$3662,MATCH(398,'По дням'!$G$2:$G$3662,0)))</f>
        <v/>
      </c>
      <c r="H404" s="13">
        <f>IF(OR(B404="",F404=""),"",IF(J404="да",0,ROUND(E404*F404/100*D404/G404,2)))</f>
        <v/>
      </c>
      <c r="I404" s="13">
        <f>IF(B404="","",SUMIF(Оплаты!$A$6:$A$505,C404,Оплаты!$B$6:$B$505))</f>
        <v/>
      </c>
      <c r="J404" s="9">
        <f>IF(B404="","",IF(INDEX('По дням'!$E$2:$E$3662,MATCH(398,'По дням'!$G$2:$G$3662,0))=1,"да",""))</f>
        <v/>
      </c>
    </row>
    <row r="405">
      <c r="A405" s="9">
        <f>IF(B405="","",399)</f>
        <v/>
      </c>
      <c r="B405" s="12">
        <f>IFERROR(INDEX('По дням'!$A$2:$A$3662,MATCH(399,'По дням'!$G$2:$G$3662,0)),"")</f>
        <v/>
      </c>
      <c r="C405" s="12">
        <f>IF(B405="","",INDEX('По дням'!$A$2:$A$3662,MATCH(399,'По дням'!$G$2:$G$3662,0)+COUNTIF('По дням'!$G$2:$G$3662,399)-1))</f>
        <v/>
      </c>
      <c r="D405" s="9">
        <f>IF(B405="","",C405-B405+1)</f>
        <v/>
      </c>
      <c r="E405" s="13">
        <f>IF(B405="","",INDEX('По дням'!$D$2:$D$3662,MATCH(399,'По дням'!$G$2:$G$3662,0)))</f>
        <v/>
      </c>
      <c r="F405" s="9">
        <f>IF(B405="","",INDEX('По дням'!$B$2:$B$3662,MATCH(399,'По дням'!$G$2:$G$3662,0)))</f>
        <v/>
      </c>
      <c r="G405" s="9">
        <f>IF(B405="","",INDEX('По дням'!$C$2:$C$3662,MATCH(399,'По дням'!$G$2:$G$3662,0)))</f>
        <v/>
      </c>
      <c r="H405" s="13">
        <f>IF(OR(B405="",F405=""),"",IF(J405="да",0,ROUND(E405*F405/100*D405/G405,2)))</f>
        <v/>
      </c>
      <c r="I405" s="13">
        <f>IF(B405="","",SUMIF(Оплаты!$A$6:$A$505,C405,Оплаты!$B$6:$B$505))</f>
        <v/>
      </c>
      <c r="J405" s="9">
        <f>IF(B405="","",IF(INDEX('По дням'!$E$2:$E$3662,MATCH(399,'По дням'!$G$2:$G$3662,0))=1,"да",""))</f>
        <v/>
      </c>
    </row>
    <row r="406">
      <c r="A406" s="9">
        <f>IF(B406="","",400)</f>
        <v/>
      </c>
      <c r="B406" s="12">
        <f>IFERROR(INDEX('По дням'!$A$2:$A$3662,MATCH(400,'По дням'!$G$2:$G$3662,0)),"")</f>
        <v/>
      </c>
      <c r="C406" s="12">
        <f>IF(B406="","",INDEX('По дням'!$A$2:$A$3662,MATCH(400,'По дням'!$G$2:$G$3662,0)+COUNTIF('По дням'!$G$2:$G$3662,400)-1))</f>
        <v/>
      </c>
      <c r="D406" s="9">
        <f>IF(B406="","",C406-B406+1)</f>
        <v/>
      </c>
      <c r="E406" s="13">
        <f>IF(B406="","",INDEX('По дням'!$D$2:$D$3662,MATCH(400,'По дням'!$G$2:$G$3662,0)))</f>
        <v/>
      </c>
      <c r="F406" s="9">
        <f>IF(B406="","",INDEX('По дням'!$B$2:$B$3662,MATCH(400,'По дням'!$G$2:$G$3662,0)))</f>
        <v/>
      </c>
      <c r="G406" s="9">
        <f>IF(B406="","",INDEX('По дням'!$C$2:$C$3662,MATCH(400,'По дням'!$G$2:$G$3662,0)))</f>
        <v/>
      </c>
      <c r="H406" s="13">
        <f>IF(OR(B406="",F406=""),"",IF(J406="да",0,ROUND(E406*F406/100*D406/G406,2)))</f>
        <v/>
      </c>
      <c r="I406" s="13">
        <f>IF(B406="","",SUMIF(Оплаты!$A$6:$A$505,C406,Оплаты!$B$6:$B$505))</f>
        <v/>
      </c>
      <c r="J406" s="9">
        <f>IF(B406="","",IF(INDEX('По дням'!$E$2:$E$3662,MATCH(400,'По дням'!$G$2:$G$3662,0))=1,"да",""))</f>
        <v/>
      </c>
    </row>
    <row r="407">
      <c r="A407" s="9">
        <f>IF(B407="","",401)</f>
        <v/>
      </c>
      <c r="B407" s="12">
        <f>IFERROR(INDEX('По дням'!$A$2:$A$3662,MATCH(401,'По дням'!$G$2:$G$3662,0)),"")</f>
        <v/>
      </c>
      <c r="C407" s="12">
        <f>IF(B407="","",INDEX('По дням'!$A$2:$A$3662,MATCH(401,'По дням'!$G$2:$G$3662,0)+COUNTIF('По дням'!$G$2:$G$3662,401)-1))</f>
        <v/>
      </c>
      <c r="D407" s="9">
        <f>IF(B407="","",C407-B407+1)</f>
        <v/>
      </c>
      <c r="E407" s="13">
        <f>IF(B407="","",INDEX('По дням'!$D$2:$D$3662,MATCH(401,'По дням'!$G$2:$G$3662,0)))</f>
        <v/>
      </c>
      <c r="F407" s="9">
        <f>IF(B407="","",INDEX('По дням'!$B$2:$B$3662,MATCH(401,'По дням'!$G$2:$G$3662,0)))</f>
        <v/>
      </c>
      <c r="G407" s="9">
        <f>IF(B407="","",INDEX('По дням'!$C$2:$C$3662,MATCH(401,'По дням'!$G$2:$G$3662,0)))</f>
        <v/>
      </c>
      <c r="H407" s="13">
        <f>IF(OR(B407="",F407=""),"",IF(J407="да",0,ROUND(E407*F407/100*D407/G407,2)))</f>
        <v/>
      </c>
      <c r="I407" s="13">
        <f>IF(B407="","",SUMIF(Оплаты!$A$6:$A$505,C407,Оплаты!$B$6:$B$505))</f>
        <v/>
      </c>
      <c r="J407" s="9">
        <f>IF(B407="","",IF(INDEX('По дням'!$E$2:$E$3662,MATCH(401,'По дням'!$G$2:$G$3662,0))=1,"да",""))</f>
        <v/>
      </c>
    </row>
    <row r="408">
      <c r="A408" s="9">
        <f>IF(B408="","",402)</f>
        <v/>
      </c>
      <c r="B408" s="12">
        <f>IFERROR(INDEX('По дням'!$A$2:$A$3662,MATCH(402,'По дням'!$G$2:$G$3662,0)),"")</f>
        <v/>
      </c>
      <c r="C408" s="12">
        <f>IF(B408="","",INDEX('По дням'!$A$2:$A$3662,MATCH(402,'По дням'!$G$2:$G$3662,0)+COUNTIF('По дням'!$G$2:$G$3662,402)-1))</f>
        <v/>
      </c>
      <c r="D408" s="9">
        <f>IF(B408="","",C408-B408+1)</f>
        <v/>
      </c>
      <c r="E408" s="13">
        <f>IF(B408="","",INDEX('По дням'!$D$2:$D$3662,MATCH(402,'По дням'!$G$2:$G$3662,0)))</f>
        <v/>
      </c>
      <c r="F408" s="9">
        <f>IF(B408="","",INDEX('По дням'!$B$2:$B$3662,MATCH(402,'По дням'!$G$2:$G$3662,0)))</f>
        <v/>
      </c>
      <c r="G408" s="9">
        <f>IF(B408="","",INDEX('По дням'!$C$2:$C$3662,MATCH(402,'По дням'!$G$2:$G$3662,0)))</f>
        <v/>
      </c>
      <c r="H408" s="13">
        <f>IF(OR(B408="",F408=""),"",IF(J408="да",0,ROUND(E408*F408/100*D408/G408,2)))</f>
        <v/>
      </c>
      <c r="I408" s="13">
        <f>IF(B408="","",SUMIF(Оплаты!$A$6:$A$505,C408,Оплаты!$B$6:$B$505))</f>
        <v/>
      </c>
      <c r="J408" s="9">
        <f>IF(B408="","",IF(INDEX('По дням'!$E$2:$E$3662,MATCH(402,'По дням'!$G$2:$G$3662,0))=1,"да",""))</f>
        <v/>
      </c>
    </row>
    <row r="409">
      <c r="A409" s="9">
        <f>IF(B409="","",403)</f>
        <v/>
      </c>
      <c r="B409" s="12">
        <f>IFERROR(INDEX('По дням'!$A$2:$A$3662,MATCH(403,'По дням'!$G$2:$G$3662,0)),"")</f>
        <v/>
      </c>
      <c r="C409" s="12">
        <f>IF(B409="","",INDEX('По дням'!$A$2:$A$3662,MATCH(403,'По дням'!$G$2:$G$3662,0)+COUNTIF('По дням'!$G$2:$G$3662,403)-1))</f>
        <v/>
      </c>
      <c r="D409" s="9">
        <f>IF(B409="","",C409-B409+1)</f>
        <v/>
      </c>
      <c r="E409" s="13">
        <f>IF(B409="","",INDEX('По дням'!$D$2:$D$3662,MATCH(403,'По дням'!$G$2:$G$3662,0)))</f>
        <v/>
      </c>
      <c r="F409" s="9">
        <f>IF(B409="","",INDEX('По дням'!$B$2:$B$3662,MATCH(403,'По дням'!$G$2:$G$3662,0)))</f>
        <v/>
      </c>
      <c r="G409" s="9">
        <f>IF(B409="","",INDEX('По дням'!$C$2:$C$3662,MATCH(403,'По дням'!$G$2:$G$3662,0)))</f>
        <v/>
      </c>
      <c r="H409" s="13">
        <f>IF(OR(B409="",F409=""),"",IF(J409="да",0,ROUND(E409*F409/100*D409/G409,2)))</f>
        <v/>
      </c>
      <c r="I409" s="13">
        <f>IF(B409="","",SUMIF(Оплаты!$A$6:$A$505,C409,Оплаты!$B$6:$B$505))</f>
        <v/>
      </c>
      <c r="J409" s="9">
        <f>IF(B409="","",IF(INDEX('По дням'!$E$2:$E$3662,MATCH(403,'По дням'!$G$2:$G$3662,0))=1,"да",""))</f>
        <v/>
      </c>
    </row>
    <row r="410">
      <c r="A410" s="9">
        <f>IF(B410="","",404)</f>
        <v/>
      </c>
      <c r="B410" s="12">
        <f>IFERROR(INDEX('По дням'!$A$2:$A$3662,MATCH(404,'По дням'!$G$2:$G$3662,0)),"")</f>
        <v/>
      </c>
      <c r="C410" s="12">
        <f>IF(B410="","",INDEX('По дням'!$A$2:$A$3662,MATCH(404,'По дням'!$G$2:$G$3662,0)+COUNTIF('По дням'!$G$2:$G$3662,404)-1))</f>
        <v/>
      </c>
      <c r="D410" s="9">
        <f>IF(B410="","",C410-B410+1)</f>
        <v/>
      </c>
      <c r="E410" s="13">
        <f>IF(B410="","",INDEX('По дням'!$D$2:$D$3662,MATCH(404,'По дням'!$G$2:$G$3662,0)))</f>
        <v/>
      </c>
      <c r="F410" s="9">
        <f>IF(B410="","",INDEX('По дням'!$B$2:$B$3662,MATCH(404,'По дням'!$G$2:$G$3662,0)))</f>
        <v/>
      </c>
      <c r="G410" s="9">
        <f>IF(B410="","",INDEX('По дням'!$C$2:$C$3662,MATCH(404,'По дням'!$G$2:$G$3662,0)))</f>
        <v/>
      </c>
      <c r="H410" s="13">
        <f>IF(OR(B410="",F410=""),"",IF(J410="да",0,ROUND(E410*F410/100*D410/G410,2)))</f>
        <v/>
      </c>
      <c r="I410" s="13">
        <f>IF(B410="","",SUMIF(Оплаты!$A$6:$A$505,C410,Оплаты!$B$6:$B$505))</f>
        <v/>
      </c>
      <c r="J410" s="9">
        <f>IF(B410="","",IF(INDEX('По дням'!$E$2:$E$3662,MATCH(404,'По дням'!$G$2:$G$3662,0))=1,"да",""))</f>
        <v/>
      </c>
    </row>
    <row r="411">
      <c r="A411" s="9">
        <f>IF(B411="","",405)</f>
        <v/>
      </c>
      <c r="B411" s="12">
        <f>IFERROR(INDEX('По дням'!$A$2:$A$3662,MATCH(405,'По дням'!$G$2:$G$3662,0)),"")</f>
        <v/>
      </c>
      <c r="C411" s="12">
        <f>IF(B411="","",INDEX('По дням'!$A$2:$A$3662,MATCH(405,'По дням'!$G$2:$G$3662,0)+COUNTIF('По дням'!$G$2:$G$3662,405)-1))</f>
        <v/>
      </c>
      <c r="D411" s="9">
        <f>IF(B411="","",C411-B411+1)</f>
        <v/>
      </c>
      <c r="E411" s="13">
        <f>IF(B411="","",INDEX('По дням'!$D$2:$D$3662,MATCH(405,'По дням'!$G$2:$G$3662,0)))</f>
        <v/>
      </c>
      <c r="F411" s="9">
        <f>IF(B411="","",INDEX('По дням'!$B$2:$B$3662,MATCH(405,'По дням'!$G$2:$G$3662,0)))</f>
        <v/>
      </c>
      <c r="G411" s="9">
        <f>IF(B411="","",INDEX('По дням'!$C$2:$C$3662,MATCH(405,'По дням'!$G$2:$G$3662,0)))</f>
        <v/>
      </c>
      <c r="H411" s="13">
        <f>IF(OR(B411="",F411=""),"",IF(J411="да",0,ROUND(E411*F411/100*D411/G411,2)))</f>
        <v/>
      </c>
      <c r="I411" s="13">
        <f>IF(B411="","",SUMIF(Оплаты!$A$6:$A$505,C411,Оплаты!$B$6:$B$505))</f>
        <v/>
      </c>
      <c r="J411" s="9">
        <f>IF(B411="","",IF(INDEX('По дням'!$E$2:$E$3662,MATCH(405,'По дням'!$G$2:$G$3662,0))=1,"да",""))</f>
        <v/>
      </c>
    </row>
    <row r="412">
      <c r="A412" s="9">
        <f>IF(B412="","",406)</f>
        <v/>
      </c>
      <c r="B412" s="12">
        <f>IFERROR(INDEX('По дням'!$A$2:$A$3662,MATCH(406,'По дням'!$G$2:$G$3662,0)),"")</f>
        <v/>
      </c>
      <c r="C412" s="12">
        <f>IF(B412="","",INDEX('По дням'!$A$2:$A$3662,MATCH(406,'По дням'!$G$2:$G$3662,0)+COUNTIF('По дням'!$G$2:$G$3662,406)-1))</f>
        <v/>
      </c>
      <c r="D412" s="9">
        <f>IF(B412="","",C412-B412+1)</f>
        <v/>
      </c>
      <c r="E412" s="13">
        <f>IF(B412="","",INDEX('По дням'!$D$2:$D$3662,MATCH(406,'По дням'!$G$2:$G$3662,0)))</f>
        <v/>
      </c>
      <c r="F412" s="9">
        <f>IF(B412="","",INDEX('По дням'!$B$2:$B$3662,MATCH(406,'По дням'!$G$2:$G$3662,0)))</f>
        <v/>
      </c>
      <c r="G412" s="9">
        <f>IF(B412="","",INDEX('По дням'!$C$2:$C$3662,MATCH(406,'По дням'!$G$2:$G$3662,0)))</f>
        <v/>
      </c>
      <c r="H412" s="13">
        <f>IF(OR(B412="",F412=""),"",IF(J412="да",0,ROUND(E412*F412/100*D412/G412,2)))</f>
        <v/>
      </c>
      <c r="I412" s="13">
        <f>IF(B412="","",SUMIF(Оплаты!$A$6:$A$505,C412,Оплаты!$B$6:$B$505))</f>
        <v/>
      </c>
      <c r="J412" s="9">
        <f>IF(B412="","",IF(INDEX('По дням'!$E$2:$E$3662,MATCH(406,'По дням'!$G$2:$G$3662,0))=1,"да",""))</f>
        <v/>
      </c>
    </row>
    <row r="413">
      <c r="A413" s="9">
        <f>IF(B413="","",407)</f>
        <v/>
      </c>
      <c r="B413" s="12">
        <f>IFERROR(INDEX('По дням'!$A$2:$A$3662,MATCH(407,'По дням'!$G$2:$G$3662,0)),"")</f>
        <v/>
      </c>
      <c r="C413" s="12">
        <f>IF(B413="","",INDEX('По дням'!$A$2:$A$3662,MATCH(407,'По дням'!$G$2:$G$3662,0)+COUNTIF('По дням'!$G$2:$G$3662,407)-1))</f>
        <v/>
      </c>
      <c r="D413" s="9">
        <f>IF(B413="","",C413-B413+1)</f>
        <v/>
      </c>
      <c r="E413" s="13">
        <f>IF(B413="","",INDEX('По дням'!$D$2:$D$3662,MATCH(407,'По дням'!$G$2:$G$3662,0)))</f>
        <v/>
      </c>
      <c r="F413" s="9">
        <f>IF(B413="","",INDEX('По дням'!$B$2:$B$3662,MATCH(407,'По дням'!$G$2:$G$3662,0)))</f>
        <v/>
      </c>
      <c r="G413" s="9">
        <f>IF(B413="","",INDEX('По дням'!$C$2:$C$3662,MATCH(407,'По дням'!$G$2:$G$3662,0)))</f>
        <v/>
      </c>
      <c r="H413" s="13">
        <f>IF(OR(B413="",F413=""),"",IF(J413="да",0,ROUND(E413*F413/100*D413/G413,2)))</f>
        <v/>
      </c>
      <c r="I413" s="13">
        <f>IF(B413="","",SUMIF(Оплаты!$A$6:$A$505,C413,Оплаты!$B$6:$B$505))</f>
        <v/>
      </c>
      <c r="J413" s="9">
        <f>IF(B413="","",IF(INDEX('По дням'!$E$2:$E$3662,MATCH(407,'По дням'!$G$2:$G$3662,0))=1,"да",""))</f>
        <v/>
      </c>
    </row>
    <row r="414">
      <c r="A414" s="9">
        <f>IF(B414="","",408)</f>
        <v/>
      </c>
      <c r="B414" s="12">
        <f>IFERROR(INDEX('По дням'!$A$2:$A$3662,MATCH(408,'По дням'!$G$2:$G$3662,0)),"")</f>
        <v/>
      </c>
      <c r="C414" s="12">
        <f>IF(B414="","",INDEX('По дням'!$A$2:$A$3662,MATCH(408,'По дням'!$G$2:$G$3662,0)+COUNTIF('По дням'!$G$2:$G$3662,408)-1))</f>
        <v/>
      </c>
      <c r="D414" s="9">
        <f>IF(B414="","",C414-B414+1)</f>
        <v/>
      </c>
      <c r="E414" s="13">
        <f>IF(B414="","",INDEX('По дням'!$D$2:$D$3662,MATCH(408,'По дням'!$G$2:$G$3662,0)))</f>
        <v/>
      </c>
      <c r="F414" s="9">
        <f>IF(B414="","",INDEX('По дням'!$B$2:$B$3662,MATCH(408,'По дням'!$G$2:$G$3662,0)))</f>
        <v/>
      </c>
      <c r="G414" s="9">
        <f>IF(B414="","",INDEX('По дням'!$C$2:$C$3662,MATCH(408,'По дням'!$G$2:$G$3662,0)))</f>
        <v/>
      </c>
      <c r="H414" s="13">
        <f>IF(OR(B414="",F414=""),"",IF(J414="да",0,ROUND(E414*F414/100*D414/G414,2)))</f>
        <v/>
      </c>
      <c r="I414" s="13">
        <f>IF(B414="","",SUMIF(Оплаты!$A$6:$A$505,C414,Оплаты!$B$6:$B$505))</f>
        <v/>
      </c>
      <c r="J414" s="9">
        <f>IF(B414="","",IF(INDEX('По дням'!$E$2:$E$3662,MATCH(408,'По дням'!$G$2:$G$3662,0))=1,"да",""))</f>
        <v/>
      </c>
    </row>
    <row r="415">
      <c r="A415" s="9">
        <f>IF(B415="","",409)</f>
        <v/>
      </c>
      <c r="B415" s="12">
        <f>IFERROR(INDEX('По дням'!$A$2:$A$3662,MATCH(409,'По дням'!$G$2:$G$3662,0)),"")</f>
        <v/>
      </c>
      <c r="C415" s="12">
        <f>IF(B415="","",INDEX('По дням'!$A$2:$A$3662,MATCH(409,'По дням'!$G$2:$G$3662,0)+COUNTIF('По дням'!$G$2:$G$3662,409)-1))</f>
        <v/>
      </c>
      <c r="D415" s="9">
        <f>IF(B415="","",C415-B415+1)</f>
        <v/>
      </c>
      <c r="E415" s="13">
        <f>IF(B415="","",INDEX('По дням'!$D$2:$D$3662,MATCH(409,'По дням'!$G$2:$G$3662,0)))</f>
        <v/>
      </c>
      <c r="F415" s="9">
        <f>IF(B415="","",INDEX('По дням'!$B$2:$B$3662,MATCH(409,'По дням'!$G$2:$G$3662,0)))</f>
        <v/>
      </c>
      <c r="G415" s="9">
        <f>IF(B415="","",INDEX('По дням'!$C$2:$C$3662,MATCH(409,'По дням'!$G$2:$G$3662,0)))</f>
        <v/>
      </c>
      <c r="H415" s="13">
        <f>IF(OR(B415="",F415=""),"",IF(J415="да",0,ROUND(E415*F415/100*D415/G415,2)))</f>
        <v/>
      </c>
      <c r="I415" s="13">
        <f>IF(B415="","",SUMIF(Оплаты!$A$6:$A$505,C415,Оплаты!$B$6:$B$505))</f>
        <v/>
      </c>
      <c r="J415" s="9">
        <f>IF(B415="","",IF(INDEX('По дням'!$E$2:$E$3662,MATCH(409,'По дням'!$G$2:$G$3662,0))=1,"да",""))</f>
        <v/>
      </c>
    </row>
    <row r="416">
      <c r="A416" s="9">
        <f>IF(B416="","",410)</f>
        <v/>
      </c>
      <c r="B416" s="12">
        <f>IFERROR(INDEX('По дням'!$A$2:$A$3662,MATCH(410,'По дням'!$G$2:$G$3662,0)),"")</f>
        <v/>
      </c>
      <c r="C416" s="12">
        <f>IF(B416="","",INDEX('По дням'!$A$2:$A$3662,MATCH(410,'По дням'!$G$2:$G$3662,0)+COUNTIF('По дням'!$G$2:$G$3662,410)-1))</f>
        <v/>
      </c>
      <c r="D416" s="9">
        <f>IF(B416="","",C416-B416+1)</f>
        <v/>
      </c>
      <c r="E416" s="13">
        <f>IF(B416="","",INDEX('По дням'!$D$2:$D$3662,MATCH(410,'По дням'!$G$2:$G$3662,0)))</f>
        <v/>
      </c>
      <c r="F416" s="9">
        <f>IF(B416="","",INDEX('По дням'!$B$2:$B$3662,MATCH(410,'По дням'!$G$2:$G$3662,0)))</f>
        <v/>
      </c>
      <c r="G416" s="9">
        <f>IF(B416="","",INDEX('По дням'!$C$2:$C$3662,MATCH(410,'По дням'!$G$2:$G$3662,0)))</f>
        <v/>
      </c>
      <c r="H416" s="13">
        <f>IF(OR(B416="",F416=""),"",IF(J416="да",0,ROUND(E416*F416/100*D416/G416,2)))</f>
        <v/>
      </c>
      <c r="I416" s="13">
        <f>IF(B416="","",SUMIF(Оплаты!$A$6:$A$505,C416,Оплаты!$B$6:$B$505))</f>
        <v/>
      </c>
      <c r="J416" s="9">
        <f>IF(B416="","",IF(INDEX('По дням'!$E$2:$E$3662,MATCH(410,'По дням'!$G$2:$G$3662,0))=1,"да",""))</f>
        <v/>
      </c>
    </row>
    <row r="417">
      <c r="A417" s="9">
        <f>IF(B417="","",411)</f>
        <v/>
      </c>
      <c r="B417" s="12">
        <f>IFERROR(INDEX('По дням'!$A$2:$A$3662,MATCH(411,'По дням'!$G$2:$G$3662,0)),"")</f>
        <v/>
      </c>
      <c r="C417" s="12">
        <f>IF(B417="","",INDEX('По дням'!$A$2:$A$3662,MATCH(411,'По дням'!$G$2:$G$3662,0)+COUNTIF('По дням'!$G$2:$G$3662,411)-1))</f>
        <v/>
      </c>
      <c r="D417" s="9">
        <f>IF(B417="","",C417-B417+1)</f>
        <v/>
      </c>
      <c r="E417" s="13">
        <f>IF(B417="","",INDEX('По дням'!$D$2:$D$3662,MATCH(411,'По дням'!$G$2:$G$3662,0)))</f>
        <v/>
      </c>
      <c r="F417" s="9">
        <f>IF(B417="","",INDEX('По дням'!$B$2:$B$3662,MATCH(411,'По дням'!$G$2:$G$3662,0)))</f>
        <v/>
      </c>
      <c r="G417" s="9">
        <f>IF(B417="","",INDEX('По дням'!$C$2:$C$3662,MATCH(411,'По дням'!$G$2:$G$3662,0)))</f>
        <v/>
      </c>
      <c r="H417" s="13">
        <f>IF(OR(B417="",F417=""),"",IF(J417="да",0,ROUND(E417*F417/100*D417/G417,2)))</f>
        <v/>
      </c>
      <c r="I417" s="13">
        <f>IF(B417="","",SUMIF(Оплаты!$A$6:$A$505,C417,Оплаты!$B$6:$B$505))</f>
        <v/>
      </c>
      <c r="J417" s="9">
        <f>IF(B417="","",IF(INDEX('По дням'!$E$2:$E$3662,MATCH(411,'По дням'!$G$2:$G$3662,0))=1,"да",""))</f>
        <v/>
      </c>
    </row>
    <row r="418">
      <c r="A418" s="9">
        <f>IF(B418="","",412)</f>
        <v/>
      </c>
      <c r="B418" s="12">
        <f>IFERROR(INDEX('По дням'!$A$2:$A$3662,MATCH(412,'По дням'!$G$2:$G$3662,0)),"")</f>
        <v/>
      </c>
      <c r="C418" s="12">
        <f>IF(B418="","",INDEX('По дням'!$A$2:$A$3662,MATCH(412,'По дням'!$G$2:$G$3662,0)+COUNTIF('По дням'!$G$2:$G$3662,412)-1))</f>
        <v/>
      </c>
      <c r="D418" s="9">
        <f>IF(B418="","",C418-B418+1)</f>
        <v/>
      </c>
      <c r="E418" s="13">
        <f>IF(B418="","",INDEX('По дням'!$D$2:$D$3662,MATCH(412,'По дням'!$G$2:$G$3662,0)))</f>
        <v/>
      </c>
      <c r="F418" s="9">
        <f>IF(B418="","",INDEX('По дням'!$B$2:$B$3662,MATCH(412,'По дням'!$G$2:$G$3662,0)))</f>
        <v/>
      </c>
      <c r="G418" s="9">
        <f>IF(B418="","",INDEX('По дням'!$C$2:$C$3662,MATCH(412,'По дням'!$G$2:$G$3662,0)))</f>
        <v/>
      </c>
      <c r="H418" s="13">
        <f>IF(OR(B418="",F418=""),"",IF(J418="да",0,ROUND(E418*F418/100*D418/G418,2)))</f>
        <v/>
      </c>
      <c r="I418" s="13">
        <f>IF(B418="","",SUMIF(Оплаты!$A$6:$A$505,C418,Оплаты!$B$6:$B$505))</f>
        <v/>
      </c>
      <c r="J418" s="9">
        <f>IF(B418="","",IF(INDEX('По дням'!$E$2:$E$3662,MATCH(412,'По дням'!$G$2:$G$3662,0))=1,"да",""))</f>
        <v/>
      </c>
    </row>
    <row r="419">
      <c r="A419" s="9">
        <f>IF(B419="","",413)</f>
        <v/>
      </c>
      <c r="B419" s="12">
        <f>IFERROR(INDEX('По дням'!$A$2:$A$3662,MATCH(413,'По дням'!$G$2:$G$3662,0)),"")</f>
        <v/>
      </c>
      <c r="C419" s="12">
        <f>IF(B419="","",INDEX('По дням'!$A$2:$A$3662,MATCH(413,'По дням'!$G$2:$G$3662,0)+COUNTIF('По дням'!$G$2:$G$3662,413)-1))</f>
        <v/>
      </c>
      <c r="D419" s="9">
        <f>IF(B419="","",C419-B419+1)</f>
        <v/>
      </c>
      <c r="E419" s="13">
        <f>IF(B419="","",INDEX('По дням'!$D$2:$D$3662,MATCH(413,'По дням'!$G$2:$G$3662,0)))</f>
        <v/>
      </c>
      <c r="F419" s="9">
        <f>IF(B419="","",INDEX('По дням'!$B$2:$B$3662,MATCH(413,'По дням'!$G$2:$G$3662,0)))</f>
        <v/>
      </c>
      <c r="G419" s="9">
        <f>IF(B419="","",INDEX('По дням'!$C$2:$C$3662,MATCH(413,'По дням'!$G$2:$G$3662,0)))</f>
        <v/>
      </c>
      <c r="H419" s="13">
        <f>IF(OR(B419="",F419=""),"",IF(J419="да",0,ROUND(E419*F419/100*D419/G419,2)))</f>
        <v/>
      </c>
      <c r="I419" s="13">
        <f>IF(B419="","",SUMIF(Оплаты!$A$6:$A$505,C419,Оплаты!$B$6:$B$505))</f>
        <v/>
      </c>
      <c r="J419" s="9">
        <f>IF(B419="","",IF(INDEX('По дням'!$E$2:$E$3662,MATCH(413,'По дням'!$G$2:$G$3662,0))=1,"да",""))</f>
        <v/>
      </c>
    </row>
    <row r="420">
      <c r="A420" s="9">
        <f>IF(B420="","",414)</f>
        <v/>
      </c>
      <c r="B420" s="12">
        <f>IFERROR(INDEX('По дням'!$A$2:$A$3662,MATCH(414,'По дням'!$G$2:$G$3662,0)),"")</f>
        <v/>
      </c>
      <c r="C420" s="12">
        <f>IF(B420="","",INDEX('По дням'!$A$2:$A$3662,MATCH(414,'По дням'!$G$2:$G$3662,0)+COUNTIF('По дням'!$G$2:$G$3662,414)-1))</f>
        <v/>
      </c>
      <c r="D420" s="9">
        <f>IF(B420="","",C420-B420+1)</f>
        <v/>
      </c>
      <c r="E420" s="13">
        <f>IF(B420="","",INDEX('По дням'!$D$2:$D$3662,MATCH(414,'По дням'!$G$2:$G$3662,0)))</f>
        <v/>
      </c>
      <c r="F420" s="9">
        <f>IF(B420="","",INDEX('По дням'!$B$2:$B$3662,MATCH(414,'По дням'!$G$2:$G$3662,0)))</f>
        <v/>
      </c>
      <c r="G420" s="9">
        <f>IF(B420="","",INDEX('По дням'!$C$2:$C$3662,MATCH(414,'По дням'!$G$2:$G$3662,0)))</f>
        <v/>
      </c>
      <c r="H420" s="13">
        <f>IF(OR(B420="",F420=""),"",IF(J420="да",0,ROUND(E420*F420/100*D420/G420,2)))</f>
        <v/>
      </c>
      <c r="I420" s="13">
        <f>IF(B420="","",SUMIF(Оплаты!$A$6:$A$505,C420,Оплаты!$B$6:$B$505))</f>
        <v/>
      </c>
      <c r="J420" s="9">
        <f>IF(B420="","",IF(INDEX('По дням'!$E$2:$E$3662,MATCH(414,'По дням'!$G$2:$G$3662,0))=1,"да",""))</f>
        <v/>
      </c>
    </row>
    <row r="421">
      <c r="A421" s="9">
        <f>IF(B421="","",415)</f>
        <v/>
      </c>
      <c r="B421" s="12">
        <f>IFERROR(INDEX('По дням'!$A$2:$A$3662,MATCH(415,'По дням'!$G$2:$G$3662,0)),"")</f>
        <v/>
      </c>
      <c r="C421" s="12">
        <f>IF(B421="","",INDEX('По дням'!$A$2:$A$3662,MATCH(415,'По дням'!$G$2:$G$3662,0)+COUNTIF('По дням'!$G$2:$G$3662,415)-1))</f>
        <v/>
      </c>
      <c r="D421" s="9">
        <f>IF(B421="","",C421-B421+1)</f>
        <v/>
      </c>
      <c r="E421" s="13">
        <f>IF(B421="","",INDEX('По дням'!$D$2:$D$3662,MATCH(415,'По дням'!$G$2:$G$3662,0)))</f>
        <v/>
      </c>
      <c r="F421" s="9">
        <f>IF(B421="","",INDEX('По дням'!$B$2:$B$3662,MATCH(415,'По дням'!$G$2:$G$3662,0)))</f>
        <v/>
      </c>
      <c r="G421" s="9">
        <f>IF(B421="","",INDEX('По дням'!$C$2:$C$3662,MATCH(415,'По дням'!$G$2:$G$3662,0)))</f>
        <v/>
      </c>
      <c r="H421" s="13">
        <f>IF(OR(B421="",F421=""),"",IF(J421="да",0,ROUND(E421*F421/100*D421/G421,2)))</f>
        <v/>
      </c>
      <c r="I421" s="13">
        <f>IF(B421="","",SUMIF(Оплаты!$A$6:$A$505,C421,Оплаты!$B$6:$B$505))</f>
        <v/>
      </c>
      <c r="J421" s="9">
        <f>IF(B421="","",IF(INDEX('По дням'!$E$2:$E$3662,MATCH(415,'По дням'!$G$2:$G$3662,0))=1,"да",""))</f>
        <v/>
      </c>
    </row>
    <row r="422">
      <c r="A422" s="9">
        <f>IF(B422="","",416)</f>
        <v/>
      </c>
      <c r="B422" s="12">
        <f>IFERROR(INDEX('По дням'!$A$2:$A$3662,MATCH(416,'По дням'!$G$2:$G$3662,0)),"")</f>
        <v/>
      </c>
      <c r="C422" s="12">
        <f>IF(B422="","",INDEX('По дням'!$A$2:$A$3662,MATCH(416,'По дням'!$G$2:$G$3662,0)+COUNTIF('По дням'!$G$2:$G$3662,416)-1))</f>
        <v/>
      </c>
      <c r="D422" s="9">
        <f>IF(B422="","",C422-B422+1)</f>
        <v/>
      </c>
      <c r="E422" s="13">
        <f>IF(B422="","",INDEX('По дням'!$D$2:$D$3662,MATCH(416,'По дням'!$G$2:$G$3662,0)))</f>
        <v/>
      </c>
      <c r="F422" s="9">
        <f>IF(B422="","",INDEX('По дням'!$B$2:$B$3662,MATCH(416,'По дням'!$G$2:$G$3662,0)))</f>
        <v/>
      </c>
      <c r="G422" s="9">
        <f>IF(B422="","",INDEX('По дням'!$C$2:$C$3662,MATCH(416,'По дням'!$G$2:$G$3662,0)))</f>
        <v/>
      </c>
      <c r="H422" s="13">
        <f>IF(OR(B422="",F422=""),"",IF(J422="да",0,ROUND(E422*F422/100*D422/G422,2)))</f>
        <v/>
      </c>
      <c r="I422" s="13">
        <f>IF(B422="","",SUMIF(Оплаты!$A$6:$A$505,C422,Оплаты!$B$6:$B$505))</f>
        <v/>
      </c>
      <c r="J422" s="9">
        <f>IF(B422="","",IF(INDEX('По дням'!$E$2:$E$3662,MATCH(416,'По дням'!$G$2:$G$3662,0))=1,"да",""))</f>
        <v/>
      </c>
    </row>
    <row r="423">
      <c r="A423" s="9">
        <f>IF(B423="","",417)</f>
        <v/>
      </c>
      <c r="B423" s="12">
        <f>IFERROR(INDEX('По дням'!$A$2:$A$3662,MATCH(417,'По дням'!$G$2:$G$3662,0)),"")</f>
        <v/>
      </c>
      <c r="C423" s="12">
        <f>IF(B423="","",INDEX('По дням'!$A$2:$A$3662,MATCH(417,'По дням'!$G$2:$G$3662,0)+COUNTIF('По дням'!$G$2:$G$3662,417)-1))</f>
        <v/>
      </c>
      <c r="D423" s="9">
        <f>IF(B423="","",C423-B423+1)</f>
        <v/>
      </c>
      <c r="E423" s="13">
        <f>IF(B423="","",INDEX('По дням'!$D$2:$D$3662,MATCH(417,'По дням'!$G$2:$G$3662,0)))</f>
        <v/>
      </c>
      <c r="F423" s="9">
        <f>IF(B423="","",INDEX('По дням'!$B$2:$B$3662,MATCH(417,'По дням'!$G$2:$G$3662,0)))</f>
        <v/>
      </c>
      <c r="G423" s="9">
        <f>IF(B423="","",INDEX('По дням'!$C$2:$C$3662,MATCH(417,'По дням'!$G$2:$G$3662,0)))</f>
        <v/>
      </c>
      <c r="H423" s="13">
        <f>IF(OR(B423="",F423=""),"",IF(J423="да",0,ROUND(E423*F423/100*D423/G423,2)))</f>
        <v/>
      </c>
      <c r="I423" s="13">
        <f>IF(B423="","",SUMIF(Оплаты!$A$6:$A$505,C423,Оплаты!$B$6:$B$505))</f>
        <v/>
      </c>
      <c r="J423" s="9">
        <f>IF(B423="","",IF(INDEX('По дням'!$E$2:$E$3662,MATCH(417,'По дням'!$G$2:$G$3662,0))=1,"да",""))</f>
        <v/>
      </c>
    </row>
    <row r="424">
      <c r="A424" s="9">
        <f>IF(B424="","",418)</f>
        <v/>
      </c>
      <c r="B424" s="12">
        <f>IFERROR(INDEX('По дням'!$A$2:$A$3662,MATCH(418,'По дням'!$G$2:$G$3662,0)),"")</f>
        <v/>
      </c>
      <c r="C424" s="12">
        <f>IF(B424="","",INDEX('По дням'!$A$2:$A$3662,MATCH(418,'По дням'!$G$2:$G$3662,0)+COUNTIF('По дням'!$G$2:$G$3662,418)-1))</f>
        <v/>
      </c>
      <c r="D424" s="9">
        <f>IF(B424="","",C424-B424+1)</f>
        <v/>
      </c>
      <c r="E424" s="13">
        <f>IF(B424="","",INDEX('По дням'!$D$2:$D$3662,MATCH(418,'По дням'!$G$2:$G$3662,0)))</f>
        <v/>
      </c>
      <c r="F424" s="9">
        <f>IF(B424="","",INDEX('По дням'!$B$2:$B$3662,MATCH(418,'По дням'!$G$2:$G$3662,0)))</f>
        <v/>
      </c>
      <c r="G424" s="9">
        <f>IF(B424="","",INDEX('По дням'!$C$2:$C$3662,MATCH(418,'По дням'!$G$2:$G$3662,0)))</f>
        <v/>
      </c>
      <c r="H424" s="13">
        <f>IF(OR(B424="",F424=""),"",IF(J424="да",0,ROUND(E424*F424/100*D424/G424,2)))</f>
        <v/>
      </c>
      <c r="I424" s="13">
        <f>IF(B424="","",SUMIF(Оплаты!$A$6:$A$505,C424,Оплаты!$B$6:$B$505))</f>
        <v/>
      </c>
      <c r="J424" s="9">
        <f>IF(B424="","",IF(INDEX('По дням'!$E$2:$E$3662,MATCH(418,'По дням'!$G$2:$G$3662,0))=1,"да",""))</f>
        <v/>
      </c>
    </row>
    <row r="425">
      <c r="A425" s="9">
        <f>IF(B425="","",419)</f>
        <v/>
      </c>
      <c r="B425" s="12">
        <f>IFERROR(INDEX('По дням'!$A$2:$A$3662,MATCH(419,'По дням'!$G$2:$G$3662,0)),"")</f>
        <v/>
      </c>
      <c r="C425" s="12">
        <f>IF(B425="","",INDEX('По дням'!$A$2:$A$3662,MATCH(419,'По дням'!$G$2:$G$3662,0)+COUNTIF('По дням'!$G$2:$G$3662,419)-1))</f>
        <v/>
      </c>
      <c r="D425" s="9">
        <f>IF(B425="","",C425-B425+1)</f>
        <v/>
      </c>
      <c r="E425" s="13">
        <f>IF(B425="","",INDEX('По дням'!$D$2:$D$3662,MATCH(419,'По дням'!$G$2:$G$3662,0)))</f>
        <v/>
      </c>
      <c r="F425" s="9">
        <f>IF(B425="","",INDEX('По дням'!$B$2:$B$3662,MATCH(419,'По дням'!$G$2:$G$3662,0)))</f>
        <v/>
      </c>
      <c r="G425" s="9">
        <f>IF(B425="","",INDEX('По дням'!$C$2:$C$3662,MATCH(419,'По дням'!$G$2:$G$3662,0)))</f>
        <v/>
      </c>
      <c r="H425" s="13">
        <f>IF(OR(B425="",F425=""),"",IF(J425="да",0,ROUND(E425*F425/100*D425/G425,2)))</f>
        <v/>
      </c>
      <c r="I425" s="13">
        <f>IF(B425="","",SUMIF(Оплаты!$A$6:$A$505,C425,Оплаты!$B$6:$B$505))</f>
        <v/>
      </c>
      <c r="J425" s="9">
        <f>IF(B425="","",IF(INDEX('По дням'!$E$2:$E$3662,MATCH(419,'По дням'!$G$2:$G$3662,0))=1,"да",""))</f>
        <v/>
      </c>
    </row>
    <row r="426">
      <c r="A426" s="9">
        <f>IF(B426="","",420)</f>
        <v/>
      </c>
      <c r="B426" s="12">
        <f>IFERROR(INDEX('По дням'!$A$2:$A$3662,MATCH(420,'По дням'!$G$2:$G$3662,0)),"")</f>
        <v/>
      </c>
      <c r="C426" s="12">
        <f>IF(B426="","",INDEX('По дням'!$A$2:$A$3662,MATCH(420,'По дням'!$G$2:$G$3662,0)+COUNTIF('По дням'!$G$2:$G$3662,420)-1))</f>
        <v/>
      </c>
      <c r="D426" s="9">
        <f>IF(B426="","",C426-B426+1)</f>
        <v/>
      </c>
      <c r="E426" s="13">
        <f>IF(B426="","",INDEX('По дням'!$D$2:$D$3662,MATCH(420,'По дням'!$G$2:$G$3662,0)))</f>
        <v/>
      </c>
      <c r="F426" s="9">
        <f>IF(B426="","",INDEX('По дням'!$B$2:$B$3662,MATCH(420,'По дням'!$G$2:$G$3662,0)))</f>
        <v/>
      </c>
      <c r="G426" s="9">
        <f>IF(B426="","",INDEX('По дням'!$C$2:$C$3662,MATCH(420,'По дням'!$G$2:$G$3662,0)))</f>
        <v/>
      </c>
      <c r="H426" s="13">
        <f>IF(OR(B426="",F426=""),"",IF(J426="да",0,ROUND(E426*F426/100*D426/G426,2)))</f>
        <v/>
      </c>
      <c r="I426" s="13">
        <f>IF(B426="","",SUMIF(Оплаты!$A$6:$A$505,C426,Оплаты!$B$6:$B$505))</f>
        <v/>
      </c>
      <c r="J426" s="9">
        <f>IF(B426="","",IF(INDEX('По дням'!$E$2:$E$3662,MATCH(420,'По дням'!$G$2:$G$3662,0))=1,"да",""))</f>
        <v/>
      </c>
    </row>
    <row r="427">
      <c r="A427" s="9">
        <f>IF(B427="","",421)</f>
        <v/>
      </c>
      <c r="B427" s="12">
        <f>IFERROR(INDEX('По дням'!$A$2:$A$3662,MATCH(421,'По дням'!$G$2:$G$3662,0)),"")</f>
        <v/>
      </c>
      <c r="C427" s="12">
        <f>IF(B427="","",INDEX('По дням'!$A$2:$A$3662,MATCH(421,'По дням'!$G$2:$G$3662,0)+COUNTIF('По дням'!$G$2:$G$3662,421)-1))</f>
        <v/>
      </c>
      <c r="D427" s="9">
        <f>IF(B427="","",C427-B427+1)</f>
        <v/>
      </c>
      <c r="E427" s="13">
        <f>IF(B427="","",INDEX('По дням'!$D$2:$D$3662,MATCH(421,'По дням'!$G$2:$G$3662,0)))</f>
        <v/>
      </c>
      <c r="F427" s="9">
        <f>IF(B427="","",INDEX('По дням'!$B$2:$B$3662,MATCH(421,'По дням'!$G$2:$G$3662,0)))</f>
        <v/>
      </c>
      <c r="G427" s="9">
        <f>IF(B427="","",INDEX('По дням'!$C$2:$C$3662,MATCH(421,'По дням'!$G$2:$G$3662,0)))</f>
        <v/>
      </c>
      <c r="H427" s="13">
        <f>IF(OR(B427="",F427=""),"",IF(J427="да",0,ROUND(E427*F427/100*D427/G427,2)))</f>
        <v/>
      </c>
      <c r="I427" s="13">
        <f>IF(B427="","",SUMIF(Оплаты!$A$6:$A$505,C427,Оплаты!$B$6:$B$505))</f>
        <v/>
      </c>
      <c r="J427" s="9">
        <f>IF(B427="","",IF(INDEX('По дням'!$E$2:$E$3662,MATCH(421,'По дням'!$G$2:$G$3662,0))=1,"да",""))</f>
        <v/>
      </c>
    </row>
    <row r="428">
      <c r="A428" s="9">
        <f>IF(B428="","",422)</f>
        <v/>
      </c>
      <c r="B428" s="12">
        <f>IFERROR(INDEX('По дням'!$A$2:$A$3662,MATCH(422,'По дням'!$G$2:$G$3662,0)),"")</f>
        <v/>
      </c>
      <c r="C428" s="12">
        <f>IF(B428="","",INDEX('По дням'!$A$2:$A$3662,MATCH(422,'По дням'!$G$2:$G$3662,0)+COUNTIF('По дням'!$G$2:$G$3662,422)-1))</f>
        <v/>
      </c>
      <c r="D428" s="9">
        <f>IF(B428="","",C428-B428+1)</f>
        <v/>
      </c>
      <c r="E428" s="13">
        <f>IF(B428="","",INDEX('По дням'!$D$2:$D$3662,MATCH(422,'По дням'!$G$2:$G$3662,0)))</f>
        <v/>
      </c>
      <c r="F428" s="9">
        <f>IF(B428="","",INDEX('По дням'!$B$2:$B$3662,MATCH(422,'По дням'!$G$2:$G$3662,0)))</f>
        <v/>
      </c>
      <c r="G428" s="9">
        <f>IF(B428="","",INDEX('По дням'!$C$2:$C$3662,MATCH(422,'По дням'!$G$2:$G$3662,0)))</f>
        <v/>
      </c>
      <c r="H428" s="13">
        <f>IF(OR(B428="",F428=""),"",IF(J428="да",0,ROUND(E428*F428/100*D428/G428,2)))</f>
        <v/>
      </c>
      <c r="I428" s="13">
        <f>IF(B428="","",SUMIF(Оплаты!$A$6:$A$505,C428,Оплаты!$B$6:$B$505))</f>
        <v/>
      </c>
      <c r="J428" s="9">
        <f>IF(B428="","",IF(INDEX('По дням'!$E$2:$E$3662,MATCH(422,'По дням'!$G$2:$G$3662,0))=1,"да",""))</f>
        <v/>
      </c>
    </row>
    <row r="429">
      <c r="A429" s="9">
        <f>IF(B429="","",423)</f>
        <v/>
      </c>
      <c r="B429" s="12">
        <f>IFERROR(INDEX('По дням'!$A$2:$A$3662,MATCH(423,'По дням'!$G$2:$G$3662,0)),"")</f>
        <v/>
      </c>
      <c r="C429" s="12">
        <f>IF(B429="","",INDEX('По дням'!$A$2:$A$3662,MATCH(423,'По дням'!$G$2:$G$3662,0)+COUNTIF('По дням'!$G$2:$G$3662,423)-1))</f>
        <v/>
      </c>
      <c r="D429" s="9">
        <f>IF(B429="","",C429-B429+1)</f>
        <v/>
      </c>
      <c r="E429" s="13">
        <f>IF(B429="","",INDEX('По дням'!$D$2:$D$3662,MATCH(423,'По дням'!$G$2:$G$3662,0)))</f>
        <v/>
      </c>
      <c r="F429" s="9">
        <f>IF(B429="","",INDEX('По дням'!$B$2:$B$3662,MATCH(423,'По дням'!$G$2:$G$3662,0)))</f>
        <v/>
      </c>
      <c r="G429" s="9">
        <f>IF(B429="","",INDEX('По дням'!$C$2:$C$3662,MATCH(423,'По дням'!$G$2:$G$3662,0)))</f>
        <v/>
      </c>
      <c r="H429" s="13">
        <f>IF(OR(B429="",F429=""),"",IF(J429="да",0,ROUND(E429*F429/100*D429/G429,2)))</f>
        <v/>
      </c>
      <c r="I429" s="13">
        <f>IF(B429="","",SUMIF(Оплаты!$A$6:$A$505,C429,Оплаты!$B$6:$B$505))</f>
        <v/>
      </c>
      <c r="J429" s="9">
        <f>IF(B429="","",IF(INDEX('По дням'!$E$2:$E$3662,MATCH(423,'По дням'!$G$2:$G$3662,0))=1,"да",""))</f>
        <v/>
      </c>
    </row>
    <row r="430">
      <c r="A430" s="9">
        <f>IF(B430="","",424)</f>
        <v/>
      </c>
      <c r="B430" s="12">
        <f>IFERROR(INDEX('По дням'!$A$2:$A$3662,MATCH(424,'По дням'!$G$2:$G$3662,0)),"")</f>
        <v/>
      </c>
      <c r="C430" s="12">
        <f>IF(B430="","",INDEX('По дням'!$A$2:$A$3662,MATCH(424,'По дням'!$G$2:$G$3662,0)+COUNTIF('По дням'!$G$2:$G$3662,424)-1))</f>
        <v/>
      </c>
      <c r="D430" s="9">
        <f>IF(B430="","",C430-B430+1)</f>
        <v/>
      </c>
      <c r="E430" s="13">
        <f>IF(B430="","",INDEX('По дням'!$D$2:$D$3662,MATCH(424,'По дням'!$G$2:$G$3662,0)))</f>
        <v/>
      </c>
      <c r="F430" s="9">
        <f>IF(B430="","",INDEX('По дням'!$B$2:$B$3662,MATCH(424,'По дням'!$G$2:$G$3662,0)))</f>
        <v/>
      </c>
      <c r="G430" s="9">
        <f>IF(B430="","",INDEX('По дням'!$C$2:$C$3662,MATCH(424,'По дням'!$G$2:$G$3662,0)))</f>
        <v/>
      </c>
      <c r="H430" s="13">
        <f>IF(OR(B430="",F430=""),"",IF(J430="да",0,ROUND(E430*F430/100*D430/G430,2)))</f>
        <v/>
      </c>
      <c r="I430" s="13">
        <f>IF(B430="","",SUMIF(Оплаты!$A$6:$A$505,C430,Оплаты!$B$6:$B$505))</f>
        <v/>
      </c>
      <c r="J430" s="9">
        <f>IF(B430="","",IF(INDEX('По дням'!$E$2:$E$3662,MATCH(424,'По дням'!$G$2:$G$3662,0))=1,"да",""))</f>
        <v/>
      </c>
    </row>
    <row r="431">
      <c r="A431" s="9">
        <f>IF(B431="","",425)</f>
        <v/>
      </c>
      <c r="B431" s="12">
        <f>IFERROR(INDEX('По дням'!$A$2:$A$3662,MATCH(425,'По дням'!$G$2:$G$3662,0)),"")</f>
        <v/>
      </c>
      <c r="C431" s="12">
        <f>IF(B431="","",INDEX('По дням'!$A$2:$A$3662,MATCH(425,'По дням'!$G$2:$G$3662,0)+COUNTIF('По дням'!$G$2:$G$3662,425)-1))</f>
        <v/>
      </c>
      <c r="D431" s="9">
        <f>IF(B431="","",C431-B431+1)</f>
        <v/>
      </c>
      <c r="E431" s="13">
        <f>IF(B431="","",INDEX('По дням'!$D$2:$D$3662,MATCH(425,'По дням'!$G$2:$G$3662,0)))</f>
        <v/>
      </c>
      <c r="F431" s="9">
        <f>IF(B431="","",INDEX('По дням'!$B$2:$B$3662,MATCH(425,'По дням'!$G$2:$G$3662,0)))</f>
        <v/>
      </c>
      <c r="G431" s="9">
        <f>IF(B431="","",INDEX('По дням'!$C$2:$C$3662,MATCH(425,'По дням'!$G$2:$G$3662,0)))</f>
        <v/>
      </c>
      <c r="H431" s="13">
        <f>IF(OR(B431="",F431=""),"",IF(J431="да",0,ROUND(E431*F431/100*D431/G431,2)))</f>
        <v/>
      </c>
      <c r="I431" s="13">
        <f>IF(B431="","",SUMIF(Оплаты!$A$6:$A$505,C431,Оплаты!$B$6:$B$505))</f>
        <v/>
      </c>
      <c r="J431" s="9">
        <f>IF(B431="","",IF(INDEX('По дням'!$E$2:$E$3662,MATCH(425,'По дням'!$G$2:$G$3662,0))=1,"да",""))</f>
        <v/>
      </c>
    </row>
    <row r="432">
      <c r="A432" s="9">
        <f>IF(B432="","",426)</f>
        <v/>
      </c>
      <c r="B432" s="12">
        <f>IFERROR(INDEX('По дням'!$A$2:$A$3662,MATCH(426,'По дням'!$G$2:$G$3662,0)),"")</f>
        <v/>
      </c>
      <c r="C432" s="12">
        <f>IF(B432="","",INDEX('По дням'!$A$2:$A$3662,MATCH(426,'По дням'!$G$2:$G$3662,0)+COUNTIF('По дням'!$G$2:$G$3662,426)-1))</f>
        <v/>
      </c>
      <c r="D432" s="9">
        <f>IF(B432="","",C432-B432+1)</f>
        <v/>
      </c>
      <c r="E432" s="13">
        <f>IF(B432="","",INDEX('По дням'!$D$2:$D$3662,MATCH(426,'По дням'!$G$2:$G$3662,0)))</f>
        <v/>
      </c>
      <c r="F432" s="9">
        <f>IF(B432="","",INDEX('По дням'!$B$2:$B$3662,MATCH(426,'По дням'!$G$2:$G$3662,0)))</f>
        <v/>
      </c>
      <c r="G432" s="9">
        <f>IF(B432="","",INDEX('По дням'!$C$2:$C$3662,MATCH(426,'По дням'!$G$2:$G$3662,0)))</f>
        <v/>
      </c>
      <c r="H432" s="13">
        <f>IF(OR(B432="",F432=""),"",IF(J432="да",0,ROUND(E432*F432/100*D432/G432,2)))</f>
        <v/>
      </c>
      <c r="I432" s="13">
        <f>IF(B432="","",SUMIF(Оплаты!$A$6:$A$505,C432,Оплаты!$B$6:$B$505))</f>
        <v/>
      </c>
      <c r="J432" s="9">
        <f>IF(B432="","",IF(INDEX('По дням'!$E$2:$E$3662,MATCH(426,'По дням'!$G$2:$G$3662,0))=1,"да",""))</f>
        <v/>
      </c>
    </row>
    <row r="433">
      <c r="A433" s="9">
        <f>IF(B433="","",427)</f>
        <v/>
      </c>
      <c r="B433" s="12">
        <f>IFERROR(INDEX('По дням'!$A$2:$A$3662,MATCH(427,'По дням'!$G$2:$G$3662,0)),"")</f>
        <v/>
      </c>
      <c r="C433" s="12">
        <f>IF(B433="","",INDEX('По дням'!$A$2:$A$3662,MATCH(427,'По дням'!$G$2:$G$3662,0)+COUNTIF('По дням'!$G$2:$G$3662,427)-1))</f>
        <v/>
      </c>
      <c r="D433" s="9">
        <f>IF(B433="","",C433-B433+1)</f>
        <v/>
      </c>
      <c r="E433" s="13">
        <f>IF(B433="","",INDEX('По дням'!$D$2:$D$3662,MATCH(427,'По дням'!$G$2:$G$3662,0)))</f>
        <v/>
      </c>
      <c r="F433" s="9">
        <f>IF(B433="","",INDEX('По дням'!$B$2:$B$3662,MATCH(427,'По дням'!$G$2:$G$3662,0)))</f>
        <v/>
      </c>
      <c r="G433" s="9">
        <f>IF(B433="","",INDEX('По дням'!$C$2:$C$3662,MATCH(427,'По дням'!$G$2:$G$3662,0)))</f>
        <v/>
      </c>
      <c r="H433" s="13">
        <f>IF(OR(B433="",F433=""),"",IF(J433="да",0,ROUND(E433*F433/100*D433/G433,2)))</f>
        <v/>
      </c>
      <c r="I433" s="13">
        <f>IF(B433="","",SUMIF(Оплаты!$A$6:$A$505,C433,Оплаты!$B$6:$B$505))</f>
        <v/>
      </c>
      <c r="J433" s="9">
        <f>IF(B433="","",IF(INDEX('По дням'!$E$2:$E$3662,MATCH(427,'По дням'!$G$2:$G$3662,0))=1,"да",""))</f>
        <v/>
      </c>
    </row>
    <row r="434">
      <c r="A434" s="9">
        <f>IF(B434="","",428)</f>
        <v/>
      </c>
      <c r="B434" s="12">
        <f>IFERROR(INDEX('По дням'!$A$2:$A$3662,MATCH(428,'По дням'!$G$2:$G$3662,0)),"")</f>
        <v/>
      </c>
      <c r="C434" s="12">
        <f>IF(B434="","",INDEX('По дням'!$A$2:$A$3662,MATCH(428,'По дням'!$G$2:$G$3662,0)+COUNTIF('По дням'!$G$2:$G$3662,428)-1))</f>
        <v/>
      </c>
      <c r="D434" s="9">
        <f>IF(B434="","",C434-B434+1)</f>
        <v/>
      </c>
      <c r="E434" s="13">
        <f>IF(B434="","",INDEX('По дням'!$D$2:$D$3662,MATCH(428,'По дням'!$G$2:$G$3662,0)))</f>
        <v/>
      </c>
      <c r="F434" s="9">
        <f>IF(B434="","",INDEX('По дням'!$B$2:$B$3662,MATCH(428,'По дням'!$G$2:$G$3662,0)))</f>
        <v/>
      </c>
      <c r="G434" s="9">
        <f>IF(B434="","",INDEX('По дням'!$C$2:$C$3662,MATCH(428,'По дням'!$G$2:$G$3662,0)))</f>
        <v/>
      </c>
      <c r="H434" s="13">
        <f>IF(OR(B434="",F434=""),"",IF(J434="да",0,ROUND(E434*F434/100*D434/G434,2)))</f>
        <v/>
      </c>
      <c r="I434" s="13">
        <f>IF(B434="","",SUMIF(Оплаты!$A$6:$A$505,C434,Оплаты!$B$6:$B$505))</f>
        <v/>
      </c>
      <c r="J434" s="9">
        <f>IF(B434="","",IF(INDEX('По дням'!$E$2:$E$3662,MATCH(428,'По дням'!$G$2:$G$3662,0))=1,"да",""))</f>
        <v/>
      </c>
    </row>
    <row r="435">
      <c r="A435" s="9">
        <f>IF(B435="","",429)</f>
        <v/>
      </c>
      <c r="B435" s="12">
        <f>IFERROR(INDEX('По дням'!$A$2:$A$3662,MATCH(429,'По дням'!$G$2:$G$3662,0)),"")</f>
        <v/>
      </c>
      <c r="C435" s="12">
        <f>IF(B435="","",INDEX('По дням'!$A$2:$A$3662,MATCH(429,'По дням'!$G$2:$G$3662,0)+COUNTIF('По дням'!$G$2:$G$3662,429)-1))</f>
        <v/>
      </c>
      <c r="D435" s="9">
        <f>IF(B435="","",C435-B435+1)</f>
        <v/>
      </c>
      <c r="E435" s="13">
        <f>IF(B435="","",INDEX('По дням'!$D$2:$D$3662,MATCH(429,'По дням'!$G$2:$G$3662,0)))</f>
        <v/>
      </c>
      <c r="F435" s="9">
        <f>IF(B435="","",INDEX('По дням'!$B$2:$B$3662,MATCH(429,'По дням'!$G$2:$G$3662,0)))</f>
        <v/>
      </c>
      <c r="G435" s="9">
        <f>IF(B435="","",INDEX('По дням'!$C$2:$C$3662,MATCH(429,'По дням'!$G$2:$G$3662,0)))</f>
        <v/>
      </c>
      <c r="H435" s="13">
        <f>IF(OR(B435="",F435=""),"",IF(J435="да",0,ROUND(E435*F435/100*D435/G435,2)))</f>
        <v/>
      </c>
      <c r="I435" s="13">
        <f>IF(B435="","",SUMIF(Оплаты!$A$6:$A$505,C435,Оплаты!$B$6:$B$505))</f>
        <v/>
      </c>
      <c r="J435" s="9">
        <f>IF(B435="","",IF(INDEX('По дням'!$E$2:$E$3662,MATCH(429,'По дням'!$G$2:$G$3662,0))=1,"да",""))</f>
        <v/>
      </c>
    </row>
    <row r="436">
      <c r="A436" s="9">
        <f>IF(B436="","",430)</f>
        <v/>
      </c>
      <c r="B436" s="12">
        <f>IFERROR(INDEX('По дням'!$A$2:$A$3662,MATCH(430,'По дням'!$G$2:$G$3662,0)),"")</f>
        <v/>
      </c>
      <c r="C436" s="12">
        <f>IF(B436="","",INDEX('По дням'!$A$2:$A$3662,MATCH(430,'По дням'!$G$2:$G$3662,0)+COUNTIF('По дням'!$G$2:$G$3662,430)-1))</f>
        <v/>
      </c>
      <c r="D436" s="9">
        <f>IF(B436="","",C436-B436+1)</f>
        <v/>
      </c>
      <c r="E436" s="13">
        <f>IF(B436="","",INDEX('По дням'!$D$2:$D$3662,MATCH(430,'По дням'!$G$2:$G$3662,0)))</f>
        <v/>
      </c>
      <c r="F436" s="9">
        <f>IF(B436="","",INDEX('По дням'!$B$2:$B$3662,MATCH(430,'По дням'!$G$2:$G$3662,0)))</f>
        <v/>
      </c>
      <c r="G436" s="9">
        <f>IF(B436="","",INDEX('По дням'!$C$2:$C$3662,MATCH(430,'По дням'!$G$2:$G$3662,0)))</f>
        <v/>
      </c>
      <c r="H436" s="13">
        <f>IF(OR(B436="",F436=""),"",IF(J436="да",0,ROUND(E436*F436/100*D436/G436,2)))</f>
        <v/>
      </c>
      <c r="I436" s="13">
        <f>IF(B436="","",SUMIF(Оплаты!$A$6:$A$505,C436,Оплаты!$B$6:$B$505))</f>
        <v/>
      </c>
      <c r="J436" s="9">
        <f>IF(B436="","",IF(INDEX('По дням'!$E$2:$E$3662,MATCH(430,'По дням'!$G$2:$G$3662,0))=1,"да",""))</f>
        <v/>
      </c>
    </row>
    <row r="437">
      <c r="A437" s="9">
        <f>IF(B437="","",431)</f>
        <v/>
      </c>
      <c r="B437" s="12">
        <f>IFERROR(INDEX('По дням'!$A$2:$A$3662,MATCH(431,'По дням'!$G$2:$G$3662,0)),"")</f>
        <v/>
      </c>
      <c r="C437" s="12">
        <f>IF(B437="","",INDEX('По дням'!$A$2:$A$3662,MATCH(431,'По дням'!$G$2:$G$3662,0)+COUNTIF('По дням'!$G$2:$G$3662,431)-1))</f>
        <v/>
      </c>
      <c r="D437" s="9">
        <f>IF(B437="","",C437-B437+1)</f>
        <v/>
      </c>
      <c r="E437" s="13">
        <f>IF(B437="","",INDEX('По дням'!$D$2:$D$3662,MATCH(431,'По дням'!$G$2:$G$3662,0)))</f>
        <v/>
      </c>
      <c r="F437" s="9">
        <f>IF(B437="","",INDEX('По дням'!$B$2:$B$3662,MATCH(431,'По дням'!$G$2:$G$3662,0)))</f>
        <v/>
      </c>
      <c r="G437" s="9">
        <f>IF(B437="","",INDEX('По дням'!$C$2:$C$3662,MATCH(431,'По дням'!$G$2:$G$3662,0)))</f>
        <v/>
      </c>
      <c r="H437" s="13">
        <f>IF(OR(B437="",F437=""),"",IF(J437="да",0,ROUND(E437*F437/100*D437/G437,2)))</f>
        <v/>
      </c>
      <c r="I437" s="13">
        <f>IF(B437="","",SUMIF(Оплаты!$A$6:$A$505,C437,Оплаты!$B$6:$B$505))</f>
        <v/>
      </c>
      <c r="J437" s="9">
        <f>IF(B437="","",IF(INDEX('По дням'!$E$2:$E$3662,MATCH(431,'По дням'!$G$2:$G$3662,0))=1,"да",""))</f>
        <v/>
      </c>
    </row>
    <row r="438">
      <c r="A438" s="9">
        <f>IF(B438="","",432)</f>
        <v/>
      </c>
      <c r="B438" s="12">
        <f>IFERROR(INDEX('По дням'!$A$2:$A$3662,MATCH(432,'По дням'!$G$2:$G$3662,0)),"")</f>
        <v/>
      </c>
      <c r="C438" s="12">
        <f>IF(B438="","",INDEX('По дням'!$A$2:$A$3662,MATCH(432,'По дням'!$G$2:$G$3662,0)+COUNTIF('По дням'!$G$2:$G$3662,432)-1))</f>
        <v/>
      </c>
      <c r="D438" s="9">
        <f>IF(B438="","",C438-B438+1)</f>
        <v/>
      </c>
      <c r="E438" s="13">
        <f>IF(B438="","",INDEX('По дням'!$D$2:$D$3662,MATCH(432,'По дням'!$G$2:$G$3662,0)))</f>
        <v/>
      </c>
      <c r="F438" s="9">
        <f>IF(B438="","",INDEX('По дням'!$B$2:$B$3662,MATCH(432,'По дням'!$G$2:$G$3662,0)))</f>
        <v/>
      </c>
      <c r="G438" s="9">
        <f>IF(B438="","",INDEX('По дням'!$C$2:$C$3662,MATCH(432,'По дням'!$G$2:$G$3662,0)))</f>
        <v/>
      </c>
      <c r="H438" s="13">
        <f>IF(OR(B438="",F438=""),"",IF(J438="да",0,ROUND(E438*F438/100*D438/G438,2)))</f>
        <v/>
      </c>
      <c r="I438" s="13">
        <f>IF(B438="","",SUMIF(Оплаты!$A$6:$A$505,C438,Оплаты!$B$6:$B$505))</f>
        <v/>
      </c>
      <c r="J438" s="9">
        <f>IF(B438="","",IF(INDEX('По дням'!$E$2:$E$3662,MATCH(432,'По дням'!$G$2:$G$3662,0))=1,"да",""))</f>
        <v/>
      </c>
    </row>
    <row r="439">
      <c r="A439" s="9">
        <f>IF(B439="","",433)</f>
        <v/>
      </c>
      <c r="B439" s="12">
        <f>IFERROR(INDEX('По дням'!$A$2:$A$3662,MATCH(433,'По дням'!$G$2:$G$3662,0)),"")</f>
        <v/>
      </c>
      <c r="C439" s="12">
        <f>IF(B439="","",INDEX('По дням'!$A$2:$A$3662,MATCH(433,'По дням'!$G$2:$G$3662,0)+COUNTIF('По дням'!$G$2:$G$3662,433)-1))</f>
        <v/>
      </c>
      <c r="D439" s="9">
        <f>IF(B439="","",C439-B439+1)</f>
        <v/>
      </c>
      <c r="E439" s="13">
        <f>IF(B439="","",INDEX('По дням'!$D$2:$D$3662,MATCH(433,'По дням'!$G$2:$G$3662,0)))</f>
        <v/>
      </c>
      <c r="F439" s="9">
        <f>IF(B439="","",INDEX('По дням'!$B$2:$B$3662,MATCH(433,'По дням'!$G$2:$G$3662,0)))</f>
        <v/>
      </c>
      <c r="G439" s="9">
        <f>IF(B439="","",INDEX('По дням'!$C$2:$C$3662,MATCH(433,'По дням'!$G$2:$G$3662,0)))</f>
        <v/>
      </c>
      <c r="H439" s="13">
        <f>IF(OR(B439="",F439=""),"",IF(J439="да",0,ROUND(E439*F439/100*D439/G439,2)))</f>
        <v/>
      </c>
      <c r="I439" s="13">
        <f>IF(B439="","",SUMIF(Оплаты!$A$6:$A$505,C439,Оплаты!$B$6:$B$505))</f>
        <v/>
      </c>
      <c r="J439" s="9">
        <f>IF(B439="","",IF(INDEX('По дням'!$E$2:$E$3662,MATCH(433,'По дням'!$G$2:$G$3662,0))=1,"да",""))</f>
        <v/>
      </c>
    </row>
    <row r="440">
      <c r="A440" s="9">
        <f>IF(B440="","",434)</f>
        <v/>
      </c>
      <c r="B440" s="12">
        <f>IFERROR(INDEX('По дням'!$A$2:$A$3662,MATCH(434,'По дням'!$G$2:$G$3662,0)),"")</f>
        <v/>
      </c>
      <c r="C440" s="12">
        <f>IF(B440="","",INDEX('По дням'!$A$2:$A$3662,MATCH(434,'По дням'!$G$2:$G$3662,0)+COUNTIF('По дням'!$G$2:$G$3662,434)-1))</f>
        <v/>
      </c>
      <c r="D440" s="9">
        <f>IF(B440="","",C440-B440+1)</f>
        <v/>
      </c>
      <c r="E440" s="13">
        <f>IF(B440="","",INDEX('По дням'!$D$2:$D$3662,MATCH(434,'По дням'!$G$2:$G$3662,0)))</f>
        <v/>
      </c>
      <c r="F440" s="9">
        <f>IF(B440="","",INDEX('По дням'!$B$2:$B$3662,MATCH(434,'По дням'!$G$2:$G$3662,0)))</f>
        <v/>
      </c>
      <c r="G440" s="9">
        <f>IF(B440="","",INDEX('По дням'!$C$2:$C$3662,MATCH(434,'По дням'!$G$2:$G$3662,0)))</f>
        <v/>
      </c>
      <c r="H440" s="13">
        <f>IF(OR(B440="",F440=""),"",IF(J440="да",0,ROUND(E440*F440/100*D440/G440,2)))</f>
        <v/>
      </c>
      <c r="I440" s="13">
        <f>IF(B440="","",SUMIF(Оплаты!$A$6:$A$505,C440,Оплаты!$B$6:$B$505))</f>
        <v/>
      </c>
      <c r="J440" s="9">
        <f>IF(B440="","",IF(INDEX('По дням'!$E$2:$E$3662,MATCH(434,'По дням'!$G$2:$G$3662,0))=1,"да",""))</f>
        <v/>
      </c>
    </row>
    <row r="441">
      <c r="A441" s="9">
        <f>IF(B441="","",435)</f>
        <v/>
      </c>
      <c r="B441" s="12">
        <f>IFERROR(INDEX('По дням'!$A$2:$A$3662,MATCH(435,'По дням'!$G$2:$G$3662,0)),"")</f>
        <v/>
      </c>
      <c r="C441" s="12">
        <f>IF(B441="","",INDEX('По дням'!$A$2:$A$3662,MATCH(435,'По дням'!$G$2:$G$3662,0)+COUNTIF('По дням'!$G$2:$G$3662,435)-1))</f>
        <v/>
      </c>
      <c r="D441" s="9">
        <f>IF(B441="","",C441-B441+1)</f>
        <v/>
      </c>
      <c r="E441" s="13">
        <f>IF(B441="","",INDEX('По дням'!$D$2:$D$3662,MATCH(435,'По дням'!$G$2:$G$3662,0)))</f>
        <v/>
      </c>
      <c r="F441" s="9">
        <f>IF(B441="","",INDEX('По дням'!$B$2:$B$3662,MATCH(435,'По дням'!$G$2:$G$3662,0)))</f>
        <v/>
      </c>
      <c r="G441" s="9">
        <f>IF(B441="","",INDEX('По дням'!$C$2:$C$3662,MATCH(435,'По дням'!$G$2:$G$3662,0)))</f>
        <v/>
      </c>
      <c r="H441" s="13">
        <f>IF(OR(B441="",F441=""),"",IF(J441="да",0,ROUND(E441*F441/100*D441/G441,2)))</f>
        <v/>
      </c>
      <c r="I441" s="13">
        <f>IF(B441="","",SUMIF(Оплаты!$A$6:$A$505,C441,Оплаты!$B$6:$B$505))</f>
        <v/>
      </c>
      <c r="J441" s="9">
        <f>IF(B441="","",IF(INDEX('По дням'!$E$2:$E$3662,MATCH(435,'По дням'!$G$2:$G$3662,0))=1,"да",""))</f>
        <v/>
      </c>
    </row>
    <row r="442">
      <c r="A442" s="9">
        <f>IF(B442="","",436)</f>
        <v/>
      </c>
      <c r="B442" s="12">
        <f>IFERROR(INDEX('По дням'!$A$2:$A$3662,MATCH(436,'По дням'!$G$2:$G$3662,0)),"")</f>
        <v/>
      </c>
      <c r="C442" s="12">
        <f>IF(B442="","",INDEX('По дням'!$A$2:$A$3662,MATCH(436,'По дням'!$G$2:$G$3662,0)+COUNTIF('По дням'!$G$2:$G$3662,436)-1))</f>
        <v/>
      </c>
      <c r="D442" s="9">
        <f>IF(B442="","",C442-B442+1)</f>
        <v/>
      </c>
      <c r="E442" s="13">
        <f>IF(B442="","",INDEX('По дням'!$D$2:$D$3662,MATCH(436,'По дням'!$G$2:$G$3662,0)))</f>
        <v/>
      </c>
      <c r="F442" s="9">
        <f>IF(B442="","",INDEX('По дням'!$B$2:$B$3662,MATCH(436,'По дням'!$G$2:$G$3662,0)))</f>
        <v/>
      </c>
      <c r="G442" s="9">
        <f>IF(B442="","",INDEX('По дням'!$C$2:$C$3662,MATCH(436,'По дням'!$G$2:$G$3662,0)))</f>
        <v/>
      </c>
      <c r="H442" s="13">
        <f>IF(OR(B442="",F442=""),"",IF(J442="да",0,ROUND(E442*F442/100*D442/G442,2)))</f>
        <v/>
      </c>
      <c r="I442" s="13">
        <f>IF(B442="","",SUMIF(Оплаты!$A$6:$A$505,C442,Оплаты!$B$6:$B$505))</f>
        <v/>
      </c>
      <c r="J442" s="9">
        <f>IF(B442="","",IF(INDEX('По дням'!$E$2:$E$3662,MATCH(436,'По дням'!$G$2:$G$3662,0))=1,"да",""))</f>
        <v/>
      </c>
    </row>
    <row r="443">
      <c r="A443" s="9">
        <f>IF(B443="","",437)</f>
        <v/>
      </c>
      <c r="B443" s="12">
        <f>IFERROR(INDEX('По дням'!$A$2:$A$3662,MATCH(437,'По дням'!$G$2:$G$3662,0)),"")</f>
        <v/>
      </c>
      <c r="C443" s="12">
        <f>IF(B443="","",INDEX('По дням'!$A$2:$A$3662,MATCH(437,'По дням'!$G$2:$G$3662,0)+COUNTIF('По дням'!$G$2:$G$3662,437)-1))</f>
        <v/>
      </c>
      <c r="D443" s="9">
        <f>IF(B443="","",C443-B443+1)</f>
        <v/>
      </c>
      <c r="E443" s="13">
        <f>IF(B443="","",INDEX('По дням'!$D$2:$D$3662,MATCH(437,'По дням'!$G$2:$G$3662,0)))</f>
        <v/>
      </c>
      <c r="F443" s="9">
        <f>IF(B443="","",INDEX('По дням'!$B$2:$B$3662,MATCH(437,'По дням'!$G$2:$G$3662,0)))</f>
        <v/>
      </c>
      <c r="G443" s="9">
        <f>IF(B443="","",INDEX('По дням'!$C$2:$C$3662,MATCH(437,'По дням'!$G$2:$G$3662,0)))</f>
        <v/>
      </c>
      <c r="H443" s="13">
        <f>IF(OR(B443="",F443=""),"",IF(J443="да",0,ROUND(E443*F443/100*D443/G443,2)))</f>
        <v/>
      </c>
      <c r="I443" s="13">
        <f>IF(B443="","",SUMIF(Оплаты!$A$6:$A$505,C443,Оплаты!$B$6:$B$505))</f>
        <v/>
      </c>
      <c r="J443" s="9">
        <f>IF(B443="","",IF(INDEX('По дням'!$E$2:$E$3662,MATCH(437,'По дням'!$G$2:$G$3662,0))=1,"да",""))</f>
        <v/>
      </c>
    </row>
    <row r="444">
      <c r="A444" s="9">
        <f>IF(B444="","",438)</f>
        <v/>
      </c>
      <c r="B444" s="12">
        <f>IFERROR(INDEX('По дням'!$A$2:$A$3662,MATCH(438,'По дням'!$G$2:$G$3662,0)),"")</f>
        <v/>
      </c>
      <c r="C444" s="12">
        <f>IF(B444="","",INDEX('По дням'!$A$2:$A$3662,MATCH(438,'По дням'!$G$2:$G$3662,0)+COUNTIF('По дням'!$G$2:$G$3662,438)-1))</f>
        <v/>
      </c>
      <c r="D444" s="9">
        <f>IF(B444="","",C444-B444+1)</f>
        <v/>
      </c>
      <c r="E444" s="13">
        <f>IF(B444="","",INDEX('По дням'!$D$2:$D$3662,MATCH(438,'По дням'!$G$2:$G$3662,0)))</f>
        <v/>
      </c>
      <c r="F444" s="9">
        <f>IF(B444="","",INDEX('По дням'!$B$2:$B$3662,MATCH(438,'По дням'!$G$2:$G$3662,0)))</f>
        <v/>
      </c>
      <c r="G444" s="9">
        <f>IF(B444="","",INDEX('По дням'!$C$2:$C$3662,MATCH(438,'По дням'!$G$2:$G$3662,0)))</f>
        <v/>
      </c>
      <c r="H444" s="13">
        <f>IF(OR(B444="",F444=""),"",IF(J444="да",0,ROUND(E444*F444/100*D444/G444,2)))</f>
        <v/>
      </c>
      <c r="I444" s="13">
        <f>IF(B444="","",SUMIF(Оплаты!$A$6:$A$505,C444,Оплаты!$B$6:$B$505))</f>
        <v/>
      </c>
      <c r="J444" s="9">
        <f>IF(B444="","",IF(INDEX('По дням'!$E$2:$E$3662,MATCH(438,'По дням'!$G$2:$G$3662,0))=1,"да",""))</f>
        <v/>
      </c>
    </row>
    <row r="445">
      <c r="A445" s="9">
        <f>IF(B445="","",439)</f>
        <v/>
      </c>
      <c r="B445" s="12">
        <f>IFERROR(INDEX('По дням'!$A$2:$A$3662,MATCH(439,'По дням'!$G$2:$G$3662,0)),"")</f>
        <v/>
      </c>
      <c r="C445" s="12">
        <f>IF(B445="","",INDEX('По дням'!$A$2:$A$3662,MATCH(439,'По дням'!$G$2:$G$3662,0)+COUNTIF('По дням'!$G$2:$G$3662,439)-1))</f>
        <v/>
      </c>
      <c r="D445" s="9">
        <f>IF(B445="","",C445-B445+1)</f>
        <v/>
      </c>
      <c r="E445" s="13">
        <f>IF(B445="","",INDEX('По дням'!$D$2:$D$3662,MATCH(439,'По дням'!$G$2:$G$3662,0)))</f>
        <v/>
      </c>
      <c r="F445" s="9">
        <f>IF(B445="","",INDEX('По дням'!$B$2:$B$3662,MATCH(439,'По дням'!$G$2:$G$3662,0)))</f>
        <v/>
      </c>
      <c r="G445" s="9">
        <f>IF(B445="","",INDEX('По дням'!$C$2:$C$3662,MATCH(439,'По дням'!$G$2:$G$3662,0)))</f>
        <v/>
      </c>
      <c r="H445" s="13">
        <f>IF(OR(B445="",F445=""),"",IF(J445="да",0,ROUND(E445*F445/100*D445/G445,2)))</f>
        <v/>
      </c>
      <c r="I445" s="13">
        <f>IF(B445="","",SUMIF(Оплаты!$A$6:$A$505,C445,Оплаты!$B$6:$B$505))</f>
        <v/>
      </c>
      <c r="J445" s="9">
        <f>IF(B445="","",IF(INDEX('По дням'!$E$2:$E$3662,MATCH(439,'По дням'!$G$2:$G$3662,0))=1,"да",""))</f>
        <v/>
      </c>
    </row>
    <row r="446">
      <c r="A446" s="9">
        <f>IF(B446="","",440)</f>
        <v/>
      </c>
      <c r="B446" s="12">
        <f>IFERROR(INDEX('По дням'!$A$2:$A$3662,MATCH(440,'По дням'!$G$2:$G$3662,0)),"")</f>
        <v/>
      </c>
      <c r="C446" s="12">
        <f>IF(B446="","",INDEX('По дням'!$A$2:$A$3662,MATCH(440,'По дням'!$G$2:$G$3662,0)+COUNTIF('По дням'!$G$2:$G$3662,440)-1))</f>
        <v/>
      </c>
      <c r="D446" s="9">
        <f>IF(B446="","",C446-B446+1)</f>
        <v/>
      </c>
      <c r="E446" s="13">
        <f>IF(B446="","",INDEX('По дням'!$D$2:$D$3662,MATCH(440,'По дням'!$G$2:$G$3662,0)))</f>
        <v/>
      </c>
      <c r="F446" s="9">
        <f>IF(B446="","",INDEX('По дням'!$B$2:$B$3662,MATCH(440,'По дням'!$G$2:$G$3662,0)))</f>
        <v/>
      </c>
      <c r="G446" s="9">
        <f>IF(B446="","",INDEX('По дням'!$C$2:$C$3662,MATCH(440,'По дням'!$G$2:$G$3662,0)))</f>
        <v/>
      </c>
      <c r="H446" s="13">
        <f>IF(OR(B446="",F446=""),"",IF(J446="да",0,ROUND(E446*F446/100*D446/G446,2)))</f>
        <v/>
      </c>
      <c r="I446" s="13">
        <f>IF(B446="","",SUMIF(Оплаты!$A$6:$A$505,C446,Оплаты!$B$6:$B$505))</f>
        <v/>
      </c>
      <c r="J446" s="9">
        <f>IF(B446="","",IF(INDEX('По дням'!$E$2:$E$3662,MATCH(440,'По дням'!$G$2:$G$3662,0))=1,"да",""))</f>
        <v/>
      </c>
    </row>
    <row r="447">
      <c r="A447" s="9">
        <f>IF(B447="","",441)</f>
        <v/>
      </c>
      <c r="B447" s="12">
        <f>IFERROR(INDEX('По дням'!$A$2:$A$3662,MATCH(441,'По дням'!$G$2:$G$3662,0)),"")</f>
        <v/>
      </c>
      <c r="C447" s="12">
        <f>IF(B447="","",INDEX('По дням'!$A$2:$A$3662,MATCH(441,'По дням'!$G$2:$G$3662,0)+COUNTIF('По дням'!$G$2:$G$3662,441)-1))</f>
        <v/>
      </c>
      <c r="D447" s="9">
        <f>IF(B447="","",C447-B447+1)</f>
        <v/>
      </c>
      <c r="E447" s="13">
        <f>IF(B447="","",INDEX('По дням'!$D$2:$D$3662,MATCH(441,'По дням'!$G$2:$G$3662,0)))</f>
        <v/>
      </c>
      <c r="F447" s="9">
        <f>IF(B447="","",INDEX('По дням'!$B$2:$B$3662,MATCH(441,'По дням'!$G$2:$G$3662,0)))</f>
        <v/>
      </c>
      <c r="G447" s="9">
        <f>IF(B447="","",INDEX('По дням'!$C$2:$C$3662,MATCH(441,'По дням'!$G$2:$G$3662,0)))</f>
        <v/>
      </c>
      <c r="H447" s="13">
        <f>IF(OR(B447="",F447=""),"",IF(J447="да",0,ROUND(E447*F447/100*D447/G447,2)))</f>
        <v/>
      </c>
      <c r="I447" s="13">
        <f>IF(B447="","",SUMIF(Оплаты!$A$6:$A$505,C447,Оплаты!$B$6:$B$505))</f>
        <v/>
      </c>
      <c r="J447" s="9">
        <f>IF(B447="","",IF(INDEX('По дням'!$E$2:$E$3662,MATCH(441,'По дням'!$G$2:$G$3662,0))=1,"да",""))</f>
        <v/>
      </c>
    </row>
    <row r="448">
      <c r="A448" s="9">
        <f>IF(B448="","",442)</f>
        <v/>
      </c>
      <c r="B448" s="12">
        <f>IFERROR(INDEX('По дням'!$A$2:$A$3662,MATCH(442,'По дням'!$G$2:$G$3662,0)),"")</f>
        <v/>
      </c>
      <c r="C448" s="12">
        <f>IF(B448="","",INDEX('По дням'!$A$2:$A$3662,MATCH(442,'По дням'!$G$2:$G$3662,0)+COUNTIF('По дням'!$G$2:$G$3662,442)-1))</f>
        <v/>
      </c>
      <c r="D448" s="9">
        <f>IF(B448="","",C448-B448+1)</f>
        <v/>
      </c>
      <c r="E448" s="13">
        <f>IF(B448="","",INDEX('По дням'!$D$2:$D$3662,MATCH(442,'По дням'!$G$2:$G$3662,0)))</f>
        <v/>
      </c>
      <c r="F448" s="9">
        <f>IF(B448="","",INDEX('По дням'!$B$2:$B$3662,MATCH(442,'По дням'!$G$2:$G$3662,0)))</f>
        <v/>
      </c>
      <c r="G448" s="9">
        <f>IF(B448="","",INDEX('По дням'!$C$2:$C$3662,MATCH(442,'По дням'!$G$2:$G$3662,0)))</f>
        <v/>
      </c>
      <c r="H448" s="13">
        <f>IF(OR(B448="",F448=""),"",IF(J448="да",0,ROUND(E448*F448/100*D448/G448,2)))</f>
        <v/>
      </c>
      <c r="I448" s="13">
        <f>IF(B448="","",SUMIF(Оплаты!$A$6:$A$505,C448,Оплаты!$B$6:$B$505))</f>
        <v/>
      </c>
      <c r="J448" s="9">
        <f>IF(B448="","",IF(INDEX('По дням'!$E$2:$E$3662,MATCH(442,'По дням'!$G$2:$G$3662,0))=1,"да",""))</f>
        <v/>
      </c>
    </row>
    <row r="449">
      <c r="A449" s="9">
        <f>IF(B449="","",443)</f>
        <v/>
      </c>
      <c r="B449" s="12">
        <f>IFERROR(INDEX('По дням'!$A$2:$A$3662,MATCH(443,'По дням'!$G$2:$G$3662,0)),"")</f>
        <v/>
      </c>
      <c r="C449" s="12">
        <f>IF(B449="","",INDEX('По дням'!$A$2:$A$3662,MATCH(443,'По дням'!$G$2:$G$3662,0)+COUNTIF('По дням'!$G$2:$G$3662,443)-1))</f>
        <v/>
      </c>
      <c r="D449" s="9">
        <f>IF(B449="","",C449-B449+1)</f>
        <v/>
      </c>
      <c r="E449" s="13">
        <f>IF(B449="","",INDEX('По дням'!$D$2:$D$3662,MATCH(443,'По дням'!$G$2:$G$3662,0)))</f>
        <v/>
      </c>
      <c r="F449" s="9">
        <f>IF(B449="","",INDEX('По дням'!$B$2:$B$3662,MATCH(443,'По дням'!$G$2:$G$3662,0)))</f>
        <v/>
      </c>
      <c r="G449" s="9">
        <f>IF(B449="","",INDEX('По дням'!$C$2:$C$3662,MATCH(443,'По дням'!$G$2:$G$3662,0)))</f>
        <v/>
      </c>
      <c r="H449" s="13">
        <f>IF(OR(B449="",F449=""),"",IF(J449="да",0,ROUND(E449*F449/100*D449/G449,2)))</f>
        <v/>
      </c>
      <c r="I449" s="13">
        <f>IF(B449="","",SUMIF(Оплаты!$A$6:$A$505,C449,Оплаты!$B$6:$B$505))</f>
        <v/>
      </c>
      <c r="J449" s="9">
        <f>IF(B449="","",IF(INDEX('По дням'!$E$2:$E$3662,MATCH(443,'По дням'!$G$2:$G$3662,0))=1,"да",""))</f>
        <v/>
      </c>
    </row>
    <row r="450">
      <c r="A450" s="9">
        <f>IF(B450="","",444)</f>
        <v/>
      </c>
      <c r="B450" s="12">
        <f>IFERROR(INDEX('По дням'!$A$2:$A$3662,MATCH(444,'По дням'!$G$2:$G$3662,0)),"")</f>
        <v/>
      </c>
      <c r="C450" s="12">
        <f>IF(B450="","",INDEX('По дням'!$A$2:$A$3662,MATCH(444,'По дням'!$G$2:$G$3662,0)+COUNTIF('По дням'!$G$2:$G$3662,444)-1))</f>
        <v/>
      </c>
      <c r="D450" s="9">
        <f>IF(B450="","",C450-B450+1)</f>
        <v/>
      </c>
      <c r="E450" s="13">
        <f>IF(B450="","",INDEX('По дням'!$D$2:$D$3662,MATCH(444,'По дням'!$G$2:$G$3662,0)))</f>
        <v/>
      </c>
      <c r="F450" s="9">
        <f>IF(B450="","",INDEX('По дням'!$B$2:$B$3662,MATCH(444,'По дням'!$G$2:$G$3662,0)))</f>
        <v/>
      </c>
      <c r="G450" s="9">
        <f>IF(B450="","",INDEX('По дням'!$C$2:$C$3662,MATCH(444,'По дням'!$G$2:$G$3662,0)))</f>
        <v/>
      </c>
      <c r="H450" s="13">
        <f>IF(OR(B450="",F450=""),"",IF(J450="да",0,ROUND(E450*F450/100*D450/G450,2)))</f>
        <v/>
      </c>
      <c r="I450" s="13">
        <f>IF(B450="","",SUMIF(Оплаты!$A$6:$A$505,C450,Оплаты!$B$6:$B$505))</f>
        <v/>
      </c>
      <c r="J450" s="9">
        <f>IF(B450="","",IF(INDEX('По дням'!$E$2:$E$3662,MATCH(444,'По дням'!$G$2:$G$3662,0))=1,"да",""))</f>
        <v/>
      </c>
    </row>
    <row r="451">
      <c r="A451" s="9">
        <f>IF(B451="","",445)</f>
        <v/>
      </c>
      <c r="B451" s="12">
        <f>IFERROR(INDEX('По дням'!$A$2:$A$3662,MATCH(445,'По дням'!$G$2:$G$3662,0)),"")</f>
        <v/>
      </c>
      <c r="C451" s="12">
        <f>IF(B451="","",INDEX('По дням'!$A$2:$A$3662,MATCH(445,'По дням'!$G$2:$G$3662,0)+COUNTIF('По дням'!$G$2:$G$3662,445)-1))</f>
        <v/>
      </c>
      <c r="D451" s="9">
        <f>IF(B451="","",C451-B451+1)</f>
        <v/>
      </c>
      <c r="E451" s="13">
        <f>IF(B451="","",INDEX('По дням'!$D$2:$D$3662,MATCH(445,'По дням'!$G$2:$G$3662,0)))</f>
        <v/>
      </c>
      <c r="F451" s="9">
        <f>IF(B451="","",INDEX('По дням'!$B$2:$B$3662,MATCH(445,'По дням'!$G$2:$G$3662,0)))</f>
        <v/>
      </c>
      <c r="G451" s="9">
        <f>IF(B451="","",INDEX('По дням'!$C$2:$C$3662,MATCH(445,'По дням'!$G$2:$G$3662,0)))</f>
        <v/>
      </c>
      <c r="H451" s="13">
        <f>IF(OR(B451="",F451=""),"",IF(J451="да",0,ROUND(E451*F451/100*D451/G451,2)))</f>
        <v/>
      </c>
      <c r="I451" s="13">
        <f>IF(B451="","",SUMIF(Оплаты!$A$6:$A$505,C451,Оплаты!$B$6:$B$505))</f>
        <v/>
      </c>
      <c r="J451" s="9">
        <f>IF(B451="","",IF(INDEX('По дням'!$E$2:$E$3662,MATCH(445,'По дням'!$G$2:$G$3662,0))=1,"да",""))</f>
        <v/>
      </c>
    </row>
    <row r="452">
      <c r="A452" s="9">
        <f>IF(B452="","",446)</f>
        <v/>
      </c>
      <c r="B452" s="12">
        <f>IFERROR(INDEX('По дням'!$A$2:$A$3662,MATCH(446,'По дням'!$G$2:$G$3662,0)),"")</f>
        <v/>
      </c>
      <c r="C452" s="12">
        <f>IF(B452="","",INDEX('По дням'!$A$2:$A$3662,MATCH(446,'По дням'!$G$2:$G$3662,0)+COUNTIF('По дням'!$G$2:$G$3662,446)-1))</f>
        <v/>
      </c>
      <c r="D452" s="9">
        <f>IF(B452="","",C452-B452+1)</f>
        <v/>
      </c>
      <c r="E452" s="13">
        <f>IF(B452="","",INDEX('По дням'!$D$2:$D$3662,MATCH(446,'По дням'!$G$2:$G$3662,0)))</f>
        <v/>
      </c>
      <c r="F452" s="9">
        <f>IF(B452="","",INDEX('По дням'!$B$2:$B$3662,MATCH(446,'По дням'!$G$2:$G$3662,0)))</f>
        <v/>
      </c>
      <c r="G452" s="9">
        <f>IF(B452="","",INDEX('По дням'!$C$2:$C$3662,MATCH(446,'По дням'!$G$2:$G$3662,0)))</f>
        <v/>
      </c>
      <c r="H452" s="13">
        <f>IF(OR(B452="",F452=""),"",IF(J452="да",0,ROUND(E452*F452/100*D452/G452,2)))</f>
        <v/>
      </c>
      <c r="I452" s="13">
        <f>IF(B452="","",SUMIF(Оплаты!$A$6:$A$505,C452,Оплаты!$B$6:$B$505))</f>
        <v/>
      </c>
      <c r="J452" s="9">
        <f>IF(B452="","",IF(INDEX('По дням'!$E$2:$E$3662,MATCH(446,'По дням'!$G$2:$G$3662,0))=1,"да",""))</f>
        <v/>
      </c>
    </row>
    <row r="453">
      <c r="A453" s="9">
        <f>IF(B453="","",447)</f>
        <v/>
      </c>
      <c r="B453" s="12">
        <f>IFERROR(INDEX('По дням'!$A$2:$A$3662,MATCH(447,'По дням'!$G$2:$G$3662,0)),"")</f>
        <v/>
      </c>
      <c r="C453" s="12">
        <f>IF(B453="","",INDEX('По дням'!$A$2:$A$3662,MATCH(447,'По дням'!$G$2:$G$3662,0)+COUNTIF('По дням'!$G$2:$G$3662,447)-1))</f>
        <v/>
      </c>
      <c r="D453" s="9">
        <f>IF(B453="","",C453-B453+1)</f>
        <v/>
      </c>
      <c r="E453" s="13">
        <f>IF(B453="","",INDEX('По дням'!$D$2:$D$3662,MATCH(447,'По дням'!$G$2:$G$3662,0)))</f>
        <v/>
      </c>
      <c r="F453" s="9">
        <f>IF(B453="","",INDEX('По дням'!$B$2:$B$3662,MATCH(447,'По дням'!$G$2:$G$3662,0)))</f>
        <v/>
      </c>
      <c r="G453" s="9">
        <f>IF(B453="","",INDEX('По дням'!$C$2:$C$3662,MATCH(447,'По дням'!$G$2:$G$3662,0)))</f>
        <v/>
      </c>
      <c r="H453" s="13">
        <f>IF(OR(B453="",F453=""),"",IF(J453="да",0,ROUND(E453*F453/100*D453/G453,2)))</f>
        <v/>
      </c>
      <c r="I453" s="13">
        <f>IF(B453="","",SUMIF(Оплаты!$A$6:$A$505,C453,Оплаты!$B$6:$B$505))</f>
        <v/>
      </c>
      <c r="J453" s="9">
        <f>IF(B453="","",IF(INDEX('По дням'!$E$2:$E$3662,MATCH(447,'По дням'!$G$2:$G$3662,0))=1,"да",""))</f>
        <v/>
      </c>
    </row>
    <row r="454">
      <c r="A454" s="9">
        <f>IF(B454="","",448)</f>
        <v/>
      </c>
      <c r="B454" s="12">
        <f>IFERROR(INDEX('По дням'!$A$2:$A$3662,MATCH(448,'По дням'!$G$2:$G$3662,0)),"")</f>
        <v/>
      </c>
      <c r="C454" s="12">
        <f>IF(B454="","",INDEX('По дням'!$A$2:$A$3662,MATCH(448,'По дням'!$G$2:$G$3662,0)+COUNTIF('По дням'!$G$2:$G$3662,448)-1))</f>
        <v/>
      </c>
      <c r="D454" s="9">
        <f>IF(B454="","",C454-B454+1)</f>
        <v/>
      </c>
      <c r="E454" s="13">
        <f>IF(B454="","",INDEX('По дням'!$D$2:$D$3662,MATCH(448,'По дням'!$G$2:$G$3662,0)))</f>
        <v/>
      </c>
      <c r="F454" s="9">
        <f>IF(B454="","",INDEX('По дням'!$B$2:$B$3662,MATCH(448,'По дням'!$G$2:$G$3662,0)))</f>
        <v/>
      </c>
      <c r="G454" s="9">
        <f>IF(B454="","",INDEX('По дням'!$C$2:$C$3662,MATCH(448,'По дням'!$G$2:$G$3662,0)))</f>
        <v/>
      </c>
      <c r="H454" s="13">
        <f>IF(OR(B454="",F454=""),"",IF(J454="да",0,ROUND(E454*F454/100*D454/G454,2)))</f>
        <v/>
      </c>
      <c r="I454" s="13">
        <f>IF(B454="","",SUMIF(Оплаты!$A$6:$A$505,C454,Оплаты!$B$6:$B$505))</f>
        <v/>
      </c>
      <c r="J454" s="9">
        <f>IF(B454="","",IF(INDEX('По дням'!$E$2:$E$3662,MATCH(448,'По дням'!$G$2:$G$3662,0))=1,"да",""))</f>
        <v/>
      </c>
    </row>
    <row r="455">
      <c r="A455" s="9">
        <f>IF(B455="","",449)</f>
        <v/>
      </c>
      <c r="B455" s="12">
        <f>IFERROR(INDEX('По дням'!$A$2:$A$3662,MATCH(449,'По дням'!$G$2:$G$3662,0)),"")</f>
        <v/>
      </c>
      <c r="C455" s="12">
        <f>IF(B455="","",INDEX('По дням'!$A$2:$A$3662,MATCH(449,'По дням'!$G$2:$G$3662,0)+COUNTIF('По дням'!$G$2:$G$3662,449)-1))</f>
        <v/>
      </c>
      <c r="D455" s="9">
        <f>IF(B455="","",C455-B455+1)</f>
        <v/>
      </c>
      <c r="E455" s="13">
        <f>IF(B455="","",INDEX('По дням'!$D$2:$D$3662,MATCH(449,'По дням'!$G$2:$G$3662,0)))</f>
        <v/>
      </c>
      <c r="F455" s="9">
        <f>IF(B455="","",INDEX('По дням'!$B$2:$B$3662,MATCH(449,'По дням'!$G$2:$G$3662,0)))</f>
        <v/>
      </c>
      <c r="G455" s="9">
        <f>IF(B455="","",INDEX('По дням'!$C$2:$C$3662,MATCH(449,'По дням'!$G$2:$G$3662,0)))</f>
        <v/>
      </c>
      <c r="H455" s="13">
        <f>IF(OR(B455="",F455=""),"",IF(J455="да",0,ROUND(E455*F455/100*D455/G455,2)))</f>
        <v/>
      </c>
      <c r="I455" s="13">
        <f>IF(B455="","",SUMIF(Оплаты!$A$6:$A$505,C455,Оплаты!$B$6:$B$505))</f>
        <v/>
      </c>
      <c r="J455" s="9">
        <f>IF(B455="","",IF(INDEX('По дням'!$E$2:$E$3662,MATCH(449,'По дням'!$G$2:$G$3662,0))=1,"да",""))</f>
        <v/>
      </c>
    </row>
    <row r="456">
      <c r="A456" s="9">
        <f>IF(B456="","",450)</f>
        <v/>
      </c>
      <c r="B456" s="12">
        <f>IFERROR(INDEX('По дням'!$A$2:$A$3662,MATCH(450,'По дням'!$G$2:$G$3662,0)),"")</f>
        <v/>
      </c>
      <c r="C456" s="12">
        <f>IF(B456="","",INDEX('По дням'!$A$2:$A$3662,MATCH(450,'По дням'!$G$2:$G$3662,0)+COUNTIF('По дням'!$G$2:$G$3662,450)-1))</f>
        <v/>
      </c>
      <c r="D456" s="9">
        <f>IF(B456="","",C456-B456+1)</f>
        <v/>
      </c>
      <c r="E456" s="13">
        <f>IF(B456="","",INDEX('По дням'!$D$2:$D$3662,MATCH(450,'По дням'!$G$2:$G$3662,0)))</f>
        <v/>
      </c>
      <c r="F456" s="9">
        <f>IF(B456="","",INDEX('По дням'!$B$2:$B$3662,MATCH(450,'По дням'!$G$2:$G$3662,0)))</f>
        <v/>
      </c>
      <c r="G456" s="9">
        <f>IF(B456="","",INDEX('По дням'!$C$2:$C$3662,MATCH(450,'По дням'!$G$2:$G$3662,0)))</f>
        <v/>
      </c>
      <c r="H456" s="13">
        <f>IF(OR(B456="",F456=""),"",IF(J456="да",0,ROUND(E456*F456/100*D456/G456,2)))</f>
        <v/>
      </c>
      <c r="I456" s="13">
        <f>IF(B456="","",SUMIF(Оплаты!$A$6:$A$505,C456,Оплаты!$B$6:$B$505))</f>
        <v/>
      </c>
      <c r="J456" s="9">
        <f>IF(B456="","",IF(INDEX('По дням'!$E$2:$E$3662,MATCH(450,'По дням'!$G$2:$G$3662,0))=1,"да",""))</f>
        <v/>
      </c>
    </row>
    <row r="457">
      <c r="A457" s="9">
        <f>IF(B457="","",451)</f>
        <v/>
      </c>
      <c r="B457" s="12">
        <f>IFERROR(INDEX('По дням'!$A$2:$A$3662,MATCH(451,'По дням'!$G$2:$G$3662,0)),"")</f>
        <v/>
      </c>
      <c r="C457" s="12">
        <f>IF(B457="","",INDEX('По дням'!$A$2:$A$3662,MATCH(451,'По дням'!$G$2:$G$3662,0)+COUNTIF('По дням'!$G$2:$G$3662,451)-1))</f>
        <v/>
      </c>
      <c r="D457" s="9">
        <f>IF(B457="","",C457-B457+1)</f>
        <v/>
      </c>
      <c r="E457" s="13">
        <f>IF(B457="","",INDEX('По дням'!$D$2:$D$3662,MATCH(451,'По дням'!$G$2:$G$3662,0)))</f>
        <v/>
      </c>
      <c r="F457" s="9">
        <f>IF(B457="","",INDEX('По дням'!$B$2:$B$3662,MATCH(451,'По дням'!$G$2:$G$3662,0)))</f>
        <v/>
      </c>
      <c r="G457" s="9">
        <f>IF(B457="","",INDEX('По дням'!$C$2:$C$3662,MATCH(451,'По дням'!$G$2:$G$3662,0)))</f>
        <v/>
      </c>
      <c r="H457" s="13">
        <f>IF(OR(B457="",F457=""),"",IF(J457="да",0,ROUND(E457*F457/100*D457/G457,2)))</f>
        <v/>
      </c>
      <c r="I457" s="13">
        <f>IF(B457="","",SUMIF(Оплаты!$A$6:$A$505,C457,Оплаты!$B$6:$B$505))</f>
        <v/>
      </c>
      <c r="J457" s="9">
        <f>IF(B457="","",IF(INDEX('По дням'!$E$2:$E$3662,MATCH(451,'По дням'!$G$2:$G$3662,0))=1,"да",""))</f>
        <v/>
      </c>
    </row>
    <row r="458">
      <c r="A458" s="9">
        <f>IF(B458="","",452)</f>
        <v/>
      </c>
      <c r="B458" s="12">
        <f>IFERROR(INDEX('По дням'!$A$2:$A$3662,MATCH(452,'По дням'!$G$2:$G$3662,0)),"")</f>
        <v/>
      </c>
      <c r="C458" s="12">
        <f>IF(B458="","",INDEX('По дням'!$A$2:$A$3662,MATCH(452,'По дням'!$G$2:$G$3662,0)+COUNTIF('По дням'!$G$2:$G$3662,452)-1))</f>
        <v/>
      </c>
      <c r="D458" s="9">
        <f>IF(B458="","",C458-B458+1)</f>
        <v/>
      </c>
      <c r="E458" s="13">
        <f>IF(B458="","",INDEX('По дням'!$D$2:$D$3662,MATCH(452,'По дням'!$G$2:$G$3662,0)))</f>
        <v/>
      </c>
      <c r="F458" s="9">
        <f>IF(B458="","",INDEX('По дням'!$B$2:$B$3662,MATCH(452,'По дням'!$G$2:$G$3662,0)))</f>
        <v/>
      </c>
      <c r="G458" s="9">
        <f>IF(B458="","",INDEX('По дням'!$C$2:$C$3662,MATCH(452,'По дням'!$G$2:$G$3662,0)))</f>
        <v/>
      </c>
      <c r="H458" s="13">
        <f>IF(OR(B458="",F458=""),"",IF(J458="да",0,ROUND(E458*F458/100*D458/G458,2)))</f>
        <v/>
      </c>
      <c r="I458" s="13">
        <f>IF(B458="","",SUMIF(Оплаты!$A$6:$A$505,C458,Оплаты!$B$6:$B$505))</f>
        <v/>
      </c>
      <c r="J458" s="9">
        <f>IF(B458="","",IF(INDEX('По дням'!$E$2:$E$3662,MATCH(452,'По дням'!$G$2:$G$3662,0))=1,"да",""))</f>
        <v/>
      </c>
    </row>
    <row r="459">
      <c r="A459" s="9">
        <f>IF(B459="","",453)</f>
        <v/>
      </c>
      <c r="B459" s="12">
        <f>IFERROR(INDEX('По дням'!$A$2:$A$3662,MATCH(453,'По дням'!$G$2:$G$3662,0)),"")</f>
        <v/>
      </c>
      <c r="C459" s="12">
        <f>IF(B459="","",INDEX('По дням'!$A$2:$A$3662,MATCH(453,'По дням'!$G$2:$G$3662,0)+COUNTIF('По дням'!$G$2:$G$3662,453)-1))</f>
        <v/>
      </c>
      <c r="D459" s="9">
        <f>IF(B459="","",C459-B459+1)</f>
        <v/>
      </c>
      <c r="E459" s="13">
        <f>IF(B459="","",INDEX('По дням'!$D$2:$D$3662,MATCH(453,'По дням'!$G$2:$G$3662,0)))</f>
        <v/>
      </c>
      <c r="F459" s="9">
        <f>IF(B459="","",INDEX('По дням'!$B$2:$B$3662,MATCH(453,'По дням'!$G$2:$G$3662,0)))</f>
        <v/>
      </c>
      <c r="G459" s="9">
        <f>IF(B459="","",INDEX('По дням'!$C$2:$C$3662,MATCH(453,'По дням'!$G$2:$G$3662,0)))</f>
        <v/>
      </c>
      <c r="H459" s="13">
        <f>IF(OR(B459="",F459=""),"",IF(J459="да",0,ROUND(E459*F459/100*D459/G459,2)))</f>
        <v/>
      </c>
      <c r="I459" s="13">
        <f>IF(B459="","",SUMIF(Оплаты!$A$6:$A$505,C459,Оплаты!$B$6:$B$505))</f>
        <v/>
      </c>
      <c r="J459" s="9">
        <f>IF(B459="","",IF(INDEX('По дням'!$E$2:$E$3662,MATCH(453,'По дням'!$G$2:$G$3662,0))=1,"да",""))</f>
        <v/>
      </c>
    </row>
    <row r="460">
      <c r="A460" s="9">
        <f>IF(B460="","",454)</f>
        <v/>
      </c>
      <c r="B460" s="12">
        <f>IFERROR(INDEX('По дням'!$A$2:$A$3662,MATCH(454,'По дням'!$G$2:$G$3662,0)),"")</f>
        <v/>
      </c>
      <c r="C460" s="12">
        <f>IF(B460="","",INDEX('По дням'!$A$2:$A$3662,MATCH(454,'По дням'!$G$2:$G$3662,0)+COUNTIF('По дням'!$G$2:$G$3662,454)-1))</f>
        <v/>
      </c>
      <c r="D460" s="9">
        <f>IF(B460="","",C460-B460+1)</f>
        <v/>
      </c>
      <c r="E460" s="13">
        <f>IF(B460="","",INDEX('По дням'!$D$2:$D$3662,MATCH(454,'По дням'!$G$2:$G$3662,0)))</f>
        <v/>
      </c>
      <c r="F460" s="9">
        <f>IF(B460="","",INDEX('По дням'!$B$2:$B$3662,MATCH(454,'По дням'!$G$2:$G$3662,0)))</f>
        <v/>
      </c>
      <c r="G460" s="9">
        <f>IF(B460="","",INDEX('По дням'!$C$2:$C$3662,MATCH(454,'По дням'!$G$2:$G$3662,0)))</f>
        <v/>
      </c>
      <c r="H460" s="13">
        <f>IF(OR(B460="",F460=""),"",IF(J460="да",0,ROUND(E460*F460/100*D460/G460,2)))</f>
        <v/>
      </c>
      <c r="I460" s="13">
        <f>IF(B460="","",SUMIF(Оплаты!$A$6:$A$505,C460,Оплаты!$B$6:$B$505))</f>
        <v/>
      </c>
      <c r="J460" s="9">
        <f>IF(B460="","",IF(INDEX('По дням'!$E$2:$E$3662,MATCH(454,'По дням'!$G$2:$G$3662,0))=1,"да",""))</f>
        <v/>
      </c>
    </row>
    <row r="461">
      <c r="A461" s="9">
        <f>IF(B461="","",455)</f>
        <v/>
      </c>
      <c r="B461" s="12">
        <f>IFERROR(INDEX('По дням'!$A$2:$A$3662,MATCH(455,'По дням'!$G$2:$G$3662,0)),"")</f>
        <v/>
      </c>
      <c r="C461" s="12">
        <f>IF(B461="","",INDEX('По дням'!$A$2:$A$3662,MATCH(455,'По дням'!$G$2:$G$3662,0)+COUNTIF('По дням'!$G$2:$G$3662,455)-1))</f>
        <v/>
      </c>
      <c r="D461" s="9">
        <f>IF(B461="","",C461-B461+1)</f>
        <v/>
      </c>
      <c r="E461" s="13">
        <f>IF(B461="","",INDEX('По дням'!$D$2:$D$3662,MATCH(455,'По дням'!$G$2:$G$3662,0)))</f>
        <v/>
      </c>
      <c r="F461" s="9">
        <f>IF(B461="","",INDEX('По дням'!$B$2:$B$3662,MATCH(455,'По дням'!$G$2:$G$3662,0)))</f>
        <v/>
      </c>
      <c r="G461" s="9">
        <f>IF(B461="","",INDEX('По дням'!$C$2:$C$3662,MATCH(455,'По дням'!$G$2:$G$3662,0)))</f>
        <v/>
      </c>
      <c r="H461" s="13">
        <f>IF(OR(B461="",F461=""),"",IF(J461="да",0,ROUND(E461*F461/100*D461/G461,2)))</f>
        <v/>
      </c>
      <c r="I461" s="13">
        <f>IF(B461="","",SUMIF(Оплаты!$A$6:$A$505,C461,Оплаты!$B$6:$B$505))</f>
        <v/>
      </c>
      <c r="J461" s="9">
        <f>IF(B461="","",IF(INDEX('По дням'!$E$2:$E$3662,MATCH(455,'По дням'!$G$2:$G$3662,0))=1,"да",""))</f>
        <v/>
      </c>
    </row>
    <row r="462">
      <c r="A462" s="9">
        <f>IF(B462="","",456)</f>
        <v/>
      </c>
      <c r="B462" s="12">
        <f>IFERROR(INDEX('По дням'!$A$2:$A$3662,MATCH(456,'По дням'!$G$2:$G$3662,0)),"")</f>
        <v/>
      </c>
      <c r="C462" s="12">
        <f>IF(B462="","",INDEX('По дням'!$A$2:$A$3662,MATCH(456,'По дням'!$G$2:$G$3662,0)+COUNTIF('По дням'!$G$2:$G$3662,456)-1))</f>
        <v/>
      </c>
      <c r="D462" s="9">
        <f>IF(B462="","",C462-B462+1)</f>
        <v/>
      </c>
      <c r="E462" s="13">
        <f>IF(B462="","",INDEX('По дням'!$D$2:$D$3662,MATCH(456,'По дням'!$G$2:$G$3662,0)))</f>
        <v/>
      </c>
      <c r="F462" s="9">
        <f>IF(B462="","",INDEX('По дням'!$B$2:$B$3662,MATCH(456,'По дням'!$G$2:$G$3662,0)))</f>
        <v/>
      </c>
      <c r="G462" s="9">
        <f>IF(B462="","",INDEX('По дням'!$C$2:$C$3662,MATCH(456,'По дням'!$G$2:$G$3662,0)))</f>
        <v/>
      </c>
      <c r="H462" s="13">
        <f>IF(OR(B462="",F462=""),"",IF(J462="да",0,ROUND(E462*F462/100*D462/G462,2)))</f>
        <v/>
      </c>
      <c r="I462" s="13">
        <f>IF(B462="","",SUMIF(Оплаты!$A$6:$A$505,C462,Оплаты!$B$6:$B$505))</f>
        <v/>
      </c>
      <c r="J462" s="9">
        <f>IF(B462="","",IF(INDEX('По дням'!$E$2:$E$3662,MATCH(456,'По дням'!$G$2:$G$3662,0))=1,"да",""))</f>
        <v/>
      </c>
    </row>
    <row r="463">
      <c r="A463" s="9">
        <f>IF(B463="","",457)</f>
        <v/>
      </c>
      <c r="B463" s="12">
        <f>IFERROR(INDEX('По дням'!$A$2:$A$3662,MATCH(457,'По дням'!$G$2:$G$3662,0)),"")</f>
        <v/>
      </c>
      <c r="C463" s="12">
        <f>IF(B463="","",INDEX('По дням'!$A$2:$A$3662,MATCH(457,'По дням'!$G$2:$G$3662,0)+COUNTIF('По дням'!$G$2:$G$3662,457)-1))</f>
        <v/>
      </c>
      <c r="D463" s="9">
        <f>IF(B463="","",C463-B463+1)</f>
        <v/>
      </c>
      <c r="E463" s="13">
        <f>IF(B463="","",INDEX('По дням'!$D$2:$D$3662,MATCH(457,'По дням'!$G$2:$G$3662,0)))</f>
        <v/>
      </c>
      <c r="F463" s="9">
        <f>IF(B463="","",INDEX('По дням'!$B$2:$B$3662,MATCH(457,'По дням'!$G$2:$G$3662,0)))</f>
        <v/>
      </c>
      <c r="G463" s="9">
        <f>IF(B463="","",INDEX('По дням'!$C$2:$C$3662,MATCH(457,'По дням'!$G$2:$G$3662,0)))</f>
        <v/>
      </c>
      <c r="H463" s="13">
        <f>IF(OR(B463="",F463=""),"",IF(J463="да",0,ROUND(E463*F463/100*D463/G463,2)))</f>
        <v/>
      </c>
      <c r="I463" s="13">
        <f>IF(B463="","",SUMIF(Оплаты!$A$6:$A$505,C463,Оплаты!$B$6:$B$505))</f>
        <v/>
      </c>
      <c r="J463" s="9">
        <f>IF(B463="","",IF(INDEX('По дням'!$E$2:$E$3662,MATCH(457,'По дням'!$G$2:$G$3662,0))=1,"да",""))</f>
        <v/>
      </c>
    </row>
    <row r="464">
      <c r="A464" s="9">
        <f>IF(B464="","",458)</f>
        <v/>
      </c>
      <c r="B464" s="12">
        <f>IFERROR(INDEX('По дням'!$A$2:$A$3662,MATCH(458,'По дням'!$G$2:$G$3662,0)),"")</f>
        <v/>
      </c>
      <c r="C464" s="12">
        <f>IF(B464="","",INDEX('По дням'!$A$2:$A$3662,MATCH(458,'По дням'!$G$2:$G$3662,0)+COUNTIF('По дням'!$G$2:$G$3662,458)-1))</f>
        <v/>
      </c>
      <c r="D464" s="9">
        <f>IF(B464="","",C464-B464+1)</f>
        <v/>
      </c>
      <c r="E464" s="13">
        <f>IF(B464="","",INDEX('По дням'!$D$2:$D$3662,MATCH(458,'По дням'!$G$2:$G$3662,0)))</f>
        <v/>
      </c>
      <c r="F464" s="9">
        <f>IF(B464="","",INDEX('По дням'!$B$2:$B$3662,MATCH(458,'По дням'!$G$2:$G$3662,0)))</f>
        <v/>
      </c>
      <c r="G464" s="9">
        <f>IF(B464="","",INDEX('По дням'!$C$2:$C$3662,MATCH(458,'По дням'!$G$2:$G$3662,0)))</f>
        <v/>
      </c>
      <c r="H464" s="13">
        <f>IF(OR(B464="",F464=""),"",IF(J464="да",0,ROUND(E464*F464/100*D464/G464,2)))</f>
        <v/>
      </c>
      <c r="I464" s="13">
        <f>IF(B464="","",SUMIF(Оплаты!$A$6:$A$505,C464,Оплаты!$B$6:$B$505))</f>
        <v/>
      </c>
      <c r="J464" s="9">
        <f>IF(B464="","",IF(INDEX('По дням'!$E$2:$E$3662,MATCH(458,'По дням'!$G$2:$G$3662,0))=1,"да",""))</f>
        <v/>
      </c>
    </row>
    <row r="465">
      <c r="A465" s="9">
        <f>IF(B465="","",459)</f>
        <v/>
      </c>
      <c r="B465" s="12">
        <f>IFERROR(INDEX('По дням'!$A$2:$A$3662,MATCH(459,'По дням'!$G$2:$G$3662,0)),"")</f>
        <v/>
      </c>
      <c r="C465" s="12">
        <f>IF(B465="","",INDEX('По дням'!$A$2:$A$3662,MATCH(459,'По дням'!$G$2:$G$3662,0)+COUNTIF('По дням'!$G$2:$G$3662,459)-1))</f>
        <v/>
      </c>
      <c r="D465" s="9">
        <f>IF(B465="","",C465-B465+1)</f>
        <v/>
      </c>
      <c r="E465" s="13">
        <f>IF(B465="","",INDEX('По дням'!$D$2:$D$3662,MATCH(459,'По дням'!$G$2:$G$3662,0)))</f>
        <v/>
      </c>
      <c r="F465" s="9">
        <f>IF(B465="","",INDEX('По дням'!$B$2:$B$3662,MATCH(459,'По дням'!$G$2:$G$3662,0)))</f>
        <v/>
      </c>
      <c r="G465" s="9">
        <f>IF(B465="","",INDEX('По дням'!$C$2:$C$3662,MATCH(459,'По дням'!$G$2:$G$3662,0)))</f>
        <v/>
      </c>
      <c r="H465" s="13">
        <f>IF(OR(B465="",F465=""),"",IF(J465="да",0,ROUND(E465*F465/100*D465/G465,2)))</f>
        <v/>
      </c>
      <c r="I465" s="13">
        <f>IF(B465="","",SUMIF(Оплаты!$A$6:$A$505,C465,Оплаты!$B$6:$B$505))</f>
        <v/>
      </c>
      <c r="J465" s="9">
        <f>IF(B465="","",IF(INDEX('По дням'!$E$2:$E$3662,MATCH(459,'По дням'!$G$2:$G$3662,0))=1,"да",""))</f>
        <v/>
      </c>
    </row>
    <row r="466">
      <c r="A466" s="9">
        <f>IF(B466="","",460)</f>
        <v/>
      </c>
      <c r="B466" s="12">
        <f>IFERROR(INDEX('По дням'!$A$2:$A$3662,MATCH(460,'По дням'!$G$2:$G$3662,0)),"")</f>
        <v/>
      </c>
      <c r="C466" s="12">
        <f>IF(B466="","",INDEX('По дням'!$A$2:$A$3662,MATCH(460,'По дням'!$G$2:$G$3662,0)+COUNTIF('По дням'!$G$2:$G$3662,460)-1))</f>
        <v/>
      </c>
      <c r="D466" s="9">
        <f>IF(B466="","",C466-B466+1)</f>
        <v/>
      </c>
      <c r="E466" s="13">
        <f>IF(B466="","",INDEX('По дням'!$D$2:$D$3662,MATCH(460,'По дням'!$G$2:$G$3662,0)))</f>
        <v/>
      </c>
      <c r="F466" s="9">
        <f>IF(B466="","",INDEX('По дням'!$B$2:$B$3662,MATCH(460,'По дням'!$G$2:$G$3662,0)))</f>
        <v/>
      </c>
      <c r="G466" s="9">
        <f>IF(B466="","",INDEX('По дням'!$C$2:$C$3662,MATCH(460,'По дням'!$G$2:$G$3662,0)))</f>
        <v/>
      </c>
      <c r="H466" s="13">
        <f>IF(OR(B466="",F466=""),"",IF(J466="да",0,ROUND(E466*F466/100*D466/G466,2)))</f>
        <v/>
      </c>
      <c r="I466" s="13">
        <f>IF(B466="","",SUMIF(Оплаты!$A$6:$A$505,C466,Оплаты!$B$6:$B$505))</f>
        <v/>
      </c>
      <c r="J466" s="9">
        <f>IF(B466="","",IF(INDEX('По дням'!$E$2:$E$3662,MATCH(460,'По дням'!$G$2:$G$3662,0))=1,"да",""))</f>
        <v/>
      </c>
    </row>
    <row r="467">
      <c r="A467" s="9">
        <f>IF(B467="","",461)</f>
        <v/>
      </c>
      <c r="B467" s="12">
        <f>IFERROR(INDEX('По дням'!$A$2:$A$3662,MATCH(461,'По дням'!$G$2:$G$3662,0)),"")</f>
        <v/>
      </c>
      <c r="C467" s="12">
        <f>IF(B467="","",INDEX('По дням'!$A$2:$A$3662,MATCH(461,'По дням'!$G$2:$G$3662,0)+COUNTIF('По дням'!$G$2:$G$3662,461)-1))</f>
        <v/>
      </c>
      <c r="D467" s="9">
        <f>IF(B467="","",C467-B467+1)</f>
        <v/>
      </c>
      <c r="E467" s="13">
        <f>IF(B467="","",INDEX('По дням'!$D$2:$D$3662,MATCH(461,'По дням'!$G$2:$G$3662,0)))</f>
        <v/>
      </c>
      <c r="F467" s="9">
        <f>IF(B467="","",INDEX('По дням'!$B$2:$B$3662,MATCH(461,'По дням'!$G$2:$G$3662,0)))</f>
        <v/>
      </c>
      <c r="G467" s="9">
        <f>IF(B467="","",INDEX('По дням'!$C$2:$C$3662,MATCH(461,'По дням'!$G$2:$G$3662,0)))</f>
        <v/>
      </c>
      <c r="H467" s="13">
        <f>IF(OR(B467="",F467=""),"",IF(J467="да",0,ROUND(E467*F467/100*D467/G467,2)))</f>
        <v/>
      </c>
      <c r="I467" s="13">
        <f>IF(B467="","",SUMIF(Оплаты!$A$6:$A$505,C467,Оплаты!$B$6:$B$505))</f>
        <v/>
      </c>
      <c r="J467" s="9">
        <f>IF(B467="","",IF(INDEX('По дням'!$E$2:$E$3662,MATCH(461,'По дням'!$G$2:$G$3662,0))=1,"да",""))</f>
        <v/>
      </c>
    </row>
    <row r="468">
      <c r="A468" s="9">
        <f>IF(B468="","",462)</f>
        <v/>
      </c>
      <c r="B468" s="12">
        <f>IFERROR(INDEX('По дням'!$A$2:$A$3662,MATCH(462,'По дням'!$G$2:$G$3662,0)),"")</f>
        <v/>
      </c>
      <c r="C468" s="12">
        <f>IF(B468="","",INDEX('По дням'!$A$2:$A$3662,MATCH(462,'По дням'!$G$2:$G$3662,0)+COUNTIF('По дням'!$G$2:$G$3662,462)-1))</f>
        <v/>
      </c>
      <c r="D468" s="9">
        <f>IF(B468="","",C468-B468+1)</f>
        <v/>
      </c>
      <c r="E468" s="13">
        <f>IF(B468="","",INDEX('По дням'!$D$2:$D$3662,MATCH(462,'По дням'!$G$2:$G$3662,0)))</f>
        <v/>
      </c>
      <c r="F468" s="9">
        <f>IF(B468="","",INDEX('По дням'!$B$2:$B$3662,MATCH(462,'По дням'!$G$2:$G$3662,0)))</f>
        <v/>
      </c>
      <c r="G468" s="9">
        <f>IF(B468="","",INDEX('По дням'!$C$2:$C$3662,MATCH(462,'По дням'!$G$2:$G$3662,0)))</f>
        <v/>
      </c>
      <c r="H468" s="13">
        <f>IF(OR(B468="",F468=""),"",IF(J468="да",0,ROUND(E468*F468/100*D468/G468,2)))</f>
        <v/>
      </c>
      <c r="I468" s="13">
        <f>IF(B468="","",SUMIF(Оплаты!$A$6:$A$505,C468,Оплаты!$B$6:$B$505))</f>
        <v/>
      </c>
      <c r="J468" s="9">
        <f>IF(B468="","",IF(INDEX('По дням'!$E$2:$E$3662,MATCH(462,'По дням'!$G$2:$G$3662,0))=1,"да",""))</f>
        <v/>
      </c>
    </row>
    <row r="469">
      <c r="A469" s="9">
        <f>IF(B469="","",463)</f>
        <v/>
      </c>
      <c r="B469" s="12">
        <f>IFERROR(INDEX('По дням'!$A$2:$A$3662,MATCH(463,'По дням'!$G$2:$G$3662,0)),"")</f>
        <v/>
      </c>
      <c r="C469" s="12">
        <f>IF(B469="","",INDEX('По дням'!$A$2:$A$3662,MATCH(463,'По дням'!$G$2:$G$3662,0)+COUNTIF('По дням'!$G$2:$G$3662,463)-1))</f>
        <v/>
      </c>
      <c r="D469" s="9">
        <f>IF(B469="","",C469-B469+1)</f>
        <v/>
      </c>
      <c r="E469" s="13">
        <f>IF(B469="","",INDEX('По дням'!$D$2:$D$3662,MATCH(463,'По дням'!$G$2:$G$3662,0)))</f>
        <v/>
      </c>
      <c r="F469" s="9">
        <f>IF(B469="","",INDEX('По дням'!$B$2:$B$3662,MATCH(463,'По дням'!$G$2:$G$3662,0)))</f>
        <v/>
      </c>
      <c r="G469" s="9">
        <f>IF(B469="","",INDEX('По дням'!$C$2:$C$3662,MATCH(463,'По дням'!$G$2:$G$3662,0)))</f>
        <v/>
      </c>
      <c r="H469" s="13">
        <f>IF(OR(B469="",F469=""),"",IF(J469="да",0,ROUND(E469*F469/100*D469/G469,2)))</f>
        <v/>
      </c>
      <c r="I469" s="13">
        <f>IF(B469="","",SUMIF(Оплаты!$A$6:$A$505,C469,Оплаты!$B$6:$B$505))</f>
        <v/>
      </c>
      <c r="J469" s="9">
        <f>IF(B469="","",IF(INDEX('По дням'!$E$2:$E$3662,MATCH(463,'По дням'!$G$2:$G$3662,0))=1,"да",""))</f>
        <v/>
      </c>
    </row>
    <row r="470">
      <c r="A470" s="9">
        <f>IF(B470="","",464)</f>
        <v/>
      </c>
      <c r="B470" s="12">
        <f>IFERROR(INDEX('По дням'!$A$2:$A$3662,MATCH(464,'По дням'!$G$2:$G$3662,0)),"")</f>
        <v/>
      </c>
      <c r="C470" s="12">
        <f>IF(B470="","",INDEX('По дням'!$A$2:$A$3662,MATCH(464,'По дням'!$G$2:$G$3662,0)+COUNTIF('По дням'!$G$2:$G$3662,464)-1))</f>
        <v/>
      </c>
      <c r="D470" s="9">
        <f>IF(B470="","",C470-B470+1)</f>
        <v/>
      </c>
      <c r="E470" s="13">
        <f>IF(B470="","",INDEX('По дням'!$D$2:$D$3662,MATCH(464,'По дням'!$G$2:$G$3662,0)))</f>
        <v/>
      </c>
      <c r="F470" s="9">
        <f>IF(B470="","",INDEX('По дням'!$B$2:$B$3662,MATCH(464,'По дням'!$G$2:$G$3662,0)))</f>
        <v/>
      </c>
      <c r="G470" s="9">
        <f>IF(B470="","",INDEX('По дням'!$C$2:$C$3662,MATCH(464,'По дням'!$G$2:$G$3662,0)))</f>
        <v/>
      </c>
      <c r="H470" s="13">
        <f>IF(OR(B470="",F470=""),"",IF(J470="да",0,ROUND(E470*F470/100*D470/G470,2)))</f>
        <v/>
      </c>
      <c r="I470" s="13">
        <f>IF(B470="","",SUMIF(Оплаты!$A$6:$A$505,C470,Оплаты!$B$6:$B$505))</f>
        <v/>
      </c>
      <c r="J470" s="9">
        <f>IF(B470="","",IF(INDEX('По дням'!$E$2:$E$3662,MATCH(464,'По дням'!$G$2:$G$3662,0))=1,"да",""))</f>
        <v/>
      </c>
    </row>
    <row r="471">
      <c r="A471" s="9">
        <f>IF(B471="","",465)</f>
        <v/>
      </c>
      <c r="B471" s="12">
        <f>IFERROR(INDEX('По дням'!$A$2:$A$3662,MATCH(465,'По дням'!$G$2:$G$3662,0)),"")</f>
        <v/>
      </c>
      <c r="C471" s="12">
        <f>IF(B471="","",INDEX('По дням'!$A$2:$A$3662,MATCH(465,'По дням'!$G$2:$G$3662,0)+COUNTIF('По дням'!$G$2:$G$3662,465)-1))</f>
        <v/>
      </c>
      <c r="D471" s="9">
        <f>IF(B471="","",C471-B471+1)</f>
        <v/>
      </c>
      <c r="E471" s="13">
        <f>IF(B471="","",INDEX('По дням'!$D$2:$D$3662,MATCH(465,'По дням'!$G$2:$G$3662,0)))</f>
        <v/>
      </c>
      <c r="F471" s="9">
        <f>IF(B471="","",INDEX('По дням'!$B$2:$B$3662,MATCH(465,'По дням'!$G$2:$G$3662,0)))</f>
        <v/>
      </c>
      <c r="G471" s="9">
        <f>IF(B471="","",INDEX('По дням'!$C$2:$C$3662,MATCH(465,'По дням'!$G$2:$G$3662,0)))</f>
        <v/>
      </c>
      <c r="H471" s="13">
        <f>IF(OR(B471="",F471=""),"",IF(J471="да",0,ROUND(E471*F471/100*D471/G471,2)))</f>
        <v/>
      </c>
      <c r="I471" s="13">
        <f>IF(B471="","",SUMIF(Оплаты!$A$6:$A$505,C471,Оплаты!$B$6:$B$505))</f>
        <v/>
      </c>
      <c r="J471" s="9">
        <f>IF(B471="","",IF(INDEX('По дням'!$E$2:$E$3662,MATCH(465,'По дням'!$G$2:$G$3662,0))=1,"да",""))</f>
        <v/>
      </c>
    </row>
    <row r="472">
      <c r="A472" s="9">
        <f>IF(B472="","",466)</f>
        <v/>
      </c>
      <c r="B472" s="12">
        <f>IFERROR(INDEX('По дням'!$A$2:$A$3662,MATCH(466,'По дням'!$G$2:$G$3662,0)),"")</f>
        <v/>
      </c>
      <c r="C472" s="12">
        <f>IF(B472="","",INDEX('По дням'!$A$2:$A$3662,MATCH(466,'По дням'!$G$2:$G$3662,0)+COUNTIF('По дням'!$G$2:$G$3662,466)-1))</f>
        <v/>
      </c>
      <c r="D472" s="9">
        <f>IF(B472="","",C472-B472+1)</f>
        <v/>
      </c>
      <c r="E472" s="13">
        <f>IF(B472="","",INDEX('По дням'!$D$2:$D$3662,MATCH(466,'По дням'!$G$2:$G$3662,0)))</f>
        <v/>
      </c>
      <c r="F472" s="9">
        <f>IF(B472="","",INDEX('По дням'!$B$2:$B$3662,MATCH(466,'По дням'!$G$2:$G$3662,0)))</f>
        <v/>
      </c>
      <c r="G472" s="9">
        <f>IF(B472="","",INDEX('По дням'!$C$2:$C$3662,MATCH(466,'По дням'!$G$2:$G$3662,0)))</f>
        <v/>
      </c>
      <c r="H472" s="13">
        <f>IF(OR(B472="",F472=""),"",IF(J472="да",0,ROUND(E472*F472/100*D472/G472,2)))</f>
        <v/>
      </c>
      <c r="I472" s="13">
        <f>IF(B472="","",SUMIF(Оплаты!$A$6:$A$505,C472,Оплаты!$B$6:$B$505))</f>
        <v/>
      </c>
      <c r="J472" s="9">
        <f>IF(B472="","",IF(INDEX('По дням'!$E$2:$E$3662,MATCH(466,'По дням'!$G$2:$G$3662,0))=1,"да",""))</f>
        <v/>
      </c>
    </row>
    <row r="473">
      <c r="A473" s="9">
        <f>IF(B473="","",467)</f>
        <v/>
      </c>
      <c r="B473" s="12">
        <f>IFERROR(INDEX('По дням'!$A$2:$A$3662,MATCH(467,'По дням'!$G$2:$G$3662,0)),"")</f>
        <v/>
      </c>
      <c r="C473" s="12">
        <f>IF(B473="","",INDEX('По дням'!$A$2:$A$3662,MATCH(467,'По дням'!$G$2:$G$3662,0)+COUNTIF('По дням'!$G$2:$G$3662,467)-1))</f>
        <v/>
      </c>
      <c r="D473" s="9">
        <f>IF(B473="","",C473-B473+1)</f>
        <v/>
      </c>
      <c r="E473" s="13">
        <f>IF(B473="","",INDEX('По дням'!$D$2:$D$3662,MATCH(467,'По дням'!$G$2:$G$3662,0)))</f>
        <v/>
      </c>
      <c r="F473" s="9">
        <f>IF(B473="","",INDEX('По дням'!$B$2:$B$3662,MATCH(467,'По дням'!$G$2:$G$3662,0)))</f>
        <v/>
      </c>
      <c r="G473" s="9">
        <f>IF(B473="","",INDEX('По дням'!$C$2:$C$3662,MATCH(467,'По дням'!$G$2:$G$3662,0)))</f>
        <v/>
      </c>
      <c r="H473" s="13">
        <f>IF(OR(B473="",F473=""),"",IF(J473="да",0,ROUND(E473*F473/100*D473/G473,2)))</f>
        <v/>
      </c>
      <c r="I473" s="13">
        <f>IF(B473="","",SUMIF(Оплаты!$A$6:$A$505,C473,Оплаты!$B$6:$B$505))</f>
        <v/>
      </c>
      <c r="J473" s="9">
        <f>IF(B473="","",IF(INDEX('По дням'!$E$2:$E$3662,MATCH(467,'По дням'!$G$2:$G$3662,0))=1,"да",""))</f>
        <v/>
      </c>
    </row>
    <row r="474">
      <c r="A474" s="9">
        <f>IF(B474="","",468)</f>
        <v/>
      </c>
      <c r="B474" s="12">
        <f>IFERROR(INDEX('По дням'!$A$2:$A$3662,MATCH(468,'По дням'!$G$2:$G$3662,0)),"")</f>
        <v/>
      </c>
      <c r="C474" s="12">
        <f>IF(B474="","",INDEX('По дням'!$A$2:$A$3662,MATCH(468,'По дням'!$G$2:$G$3662,0)+COUNTIF('По дням'!$G$2:$G$3662,468)-1))</f>
        <v/>
      </c>
      <c r="D474" s="9">
        <f>IF(B474="","",C474-B474+1)</f>
        <v/>
      </c>
      <c r="E474" s="13">
        <f>IF(B474="","",INDEX('По дням'!$D$2:$D$3662,MATCH(468,'По дням'!$G$2:$G$3662,0)))</f>
        <v/>
      </c>
      <c r="F474" s="9">
        <f>IF(B474="","",INDEX('По дням'!$B$2:$B$3662,MATCH(468,'По дням'!$G$2:$G$3662,0)))</f>
        <v/>
      </c>
      <c r="G474" s="9">
        <f>IF(B474="","",INDEX('По дням'!$C$2:$C$3662,MATCH(468,'По дням'!$G$2:$G$3662,0)))</f>
        <v/>
      </c>
      <c r="H474" s="13">
        <f>IF(OR(B474="",F474=""),"",IF(J474="да",0,ROUND(E474*F474/100*D474/G474,2)))</f>
        <v/>
      </c>
      <c r="I474" s="13">
        <f>IF(B474="","",SUMIF(Оплаты!$A$6:$A$505,C474,Оплаты!$B$6:$B$505))</f>
        <v/>
      </c>
      <c r="J474" s="9">
        <f>IF(B474="","",IF(INDEX('По дням'!$E$2:$E$3662,MATCH(468,'По дням'!$G$2:$G$3662,0))=1,"да",""))</f>
        <v/>
      </c>
    </row>
    <row r="475">
      <c r="A475" s="9">
        <f>IF(B475="","",469)</f>
        <v/>
      </c>
      <c r="B475" s="12">
        <f>IFERROR(INDEX('По дням'!$A$2:$A$3662,MATCH(469,'По дням'!$G$2:$G$3662,0)),"")</f>
        <v/>
      </c>
      <c r="C475" s="12">
        <f>IF(B475="","",INDEX('По дням'!$A$2:$A$3662,MATCH(469,'По дням'!$G$2:$G$3662,0)+COUNTIF('По дням'!$G$2:$G$3662,469)-1))</f>
        <v/>
      </c>
      <c r="D475" s="9">
        <f>IF(B475="","",C475-B475+1)</f>
        <v/>
      </c>
      <c r="E475" s="13">
        <f>IF(B475="","",INDEX('По дням'!$D$2:$D$3662,MATCH(469,'По дням'!$G$2:$G$3662,0)))</f>
        <v/>
      </c>
      <c r="F475" s="9">
        <f>IF(B475="","",INDEX('По дням'!$B$2:$B$3662,MATCH(469,'По дням'!$G$2:$G$3662,0)))</f>
        <v/>
      </c>
      <c r="G475" s="9">
        <f>IF(B475="","",INDEX('По дням'!$C$2:$C$3662,MATCH(469,'По дням'!$G$2:$G$3662,0)))</f>
        <v/>
      </c>
      <c r="H475" s="13">
        <f>IF(OR(B475="",F475=""),"",IF(J475="да",0,ROUND(E475*F475/100*D475/G475,2)))</f>
        <v/>
      </c>
      <c r="I475" s="13">
        <f>IF(B475="","",SUMIF(Оплаты!$A$6:$A$505,C475,Оплаты!$B$6:$B$505))</f>
        <v/>
      </c>
      <c r="J475" s="9">
        <f>IF(B475="","",IF(INDEX('По дням'!$E$2:$E$3662,MATCH(469,'По дням'!$G$2:$G$3662,0))=1,"да",""))</f>
        <v/>
      </c>
    </row>
    <row r="476">
      <c r="A476" s="9">
        <f>IF(B476="","",470)</f>
        <v/>
      </c>
      <c r="B476" s="12">
        <f>IFERROR(INDEX('По дням'!$A$2:$A$3662,MATCH(470,'По дням'!$G$2:$G$3662,0)),"")</f>
        <v/>
      </c>
      <c r="C476" s="12">
        <f>IF(B476="","",INDEX('По дням'!$A$2:$A$3662,MATCH(470,'По дням'!$G$2:$G$3662,0)+COUNTIF('По дням'!$G$2:$G$3662,470)-1))</f>
        <v/>
      </c>
      <c r="D476" s="9">
        <f>IF(B476="","",C476-B476+1)</f>
        <v/>
      </c>
      <c r="E476" s="13">
        <f>IF(B476="","",INDEX('По дням'!$D$2:$D$3662,MATCH(470,'По дням'!$G$2:$G$3662,0)))</f>
        <v/>
      </c>
      <c r="F476" s="9">
        <f>IF(B476="","",INDEX('По дням'!$B$2:$B$3662,MATCH(470,'По дням'!$G$2:$G$3662,0)))</f>
        <v/>
      </c>
      <c r="G476" s="9">
        <f>IF(B476="","",INDEX('По дням'!$C$2:$C$3662,MATCH(470,'По дням'!$G$2:$G$3662,0)))</f>
        <v/>
      </c>
      <c r="H476" s="13">
        <f>IF(OR(B476="",F476=""),"",IF(J476="да",0,ROUND(E476*F476/100*D476/G476,2)))</f>
        <v/>
      </c>
      <c r="I476" s="13">
        <f>IF(B476="","",SUMIF(Оплаты!$A$6:$A$505,C476,Оплаты!$B$6:$B$505))</f>
        <v/>
      </c>
      <c r="J476" s="9">
        <f>IF(B476="","",IF(INDEX('По дням'!$E$2:$E$3662,MATCH(470,'По дням'!$G$2:$G$3662,0))=1,"да",""))</f>
        <v/>
      </c>
    </row>
    <row r="477">
      <c r="A477" s="9">
        <f>IF(B477="","",471)</f>
        <v/>
      </c>
      <c r="B477" s="12">
        <f>IFERROR(INDEX('По дням'!$A$2:$A$3662,MATCH(471,'По дням'!$G$2:$G$3662,0)),"")</f>
        <v/>
      </c>
      <c r="C477" s="12">
        <f>IF(B477="","",INDEX('По дням'!$A$2:$A$3662,MATCH(471,'По дням'!$G$2:$G$3662,0)+COUNTIF('По дням'!$G$2:$G$3662,471)-1))</f>
        <v/>
      </c>
      <c r="D477" s="9">
        <f>IF(B477="","",C477-B477+1)</f>
        <v/>
      </c>
      <c r="E477" s="13">
        <f>IF(B477="","",INDEX('По дням'!$D$2:$D$3662,MATCH(471,'По дням'!$G$2:$G$3662,0)))</f>
        <v/>
      </c>
      <c r="F477" s="9">
        <f>IF(B477="","",INDEX('По дням'!$B$2:$B$3662,MATCH(471,'По дням'!$G$2:$G$3662,0)))</f>
        <v/>
      </c>
      <c r="G477" s="9">
        <f>IF(B477="","",INDEX('По дням'!$C$2:$C$3662,MATCH(471,'По дням'!$G$2:$G$3662,0)))</f>
        <v/>
      </c>
      <c r="H477" s="13">
        <f>IF(OR(B477="",F477=""),"",IF(J477="да",0,ROUND(E477*F477/100*D477/G477,2)))</f>
        <v/>
      </c>
      <c r="I477" s="13">
        <f>IF(B477="","",SUMIF(Оплаты!$A$6:$A$505,C477,Оплаты!$B$6:$B$505))</f>
        <v/>
      </c>
      <c r="J477" s="9">
        <f>IF(B477="","",IF(INDEX('По дням'!$E$2:$E$3662,MATCH(471,'По дням'!$G$2:$G$3662,0))=1,"да",""))</f>
        <v/>
      </c>
    </row>
    <row r="478">
      <c r="A478" s="9">
        <f>IF(B478="","",472)</f>
        <v/>
      </c>
      <c r="B478" s="12">
        <f>IFERROR(INDEX('По дням'!$A$2:$A$3662,MATCH(472,'По дням'!$G$2:$G$3662,0)),"")</f>
        <v/>
      </c>
      <c r="C478" s="12">
        <f>IF(B478="","",INDEX('По дням'!$A$2:$A$3662,MATCH(472,'По дням'!$G$2:$G$3662,0)+COUNTIF('По дням'!$G$2:$G$3662,472)-1))</f>
        <v/>
      </c>
      <c r="D478" s="9">
        <f>IF(B478="","",C478-B478+1)</f>
        <v/>
      </c>
      <c r="E478" s="13">
        <f>IF(B478="","",INDEX('По дням'!$D$2:$D$3662,MATCH(472,'По дням'!$G$2:$G$3662,0)))</f>
        <v/>
      </c>
      <c r="F478" s="9">
        <f>IF(B478="","",INDEX('По дням'!$B$2:$B$3662,MATCH(472,'По дням'!$G$2:$G$3662,0)))</f>
        <v/>
      </c>
      <c r="G478" s="9">
        <f>IF(B478="","",INDEX('По дням'!$C$2:$C$3662,MATCH(472,'По дням'!$G$2:$G$3662,0)))</f>
        <v/>
      </c>
      <c r="H478" s="13">
        <f>IF(OR(B478="",F478=""),"",IF(J478="да",0,ROUND(E478*F478/100*D478/G478,2)))</f>
        <v/>
      </c>
      <c r="I478" s="13">
        <f>IF(B478="","",SUMIF(Оплаты!$A$6:$A$505,C478,Оплаты!$B$6:$B$505))</f>
        <v/>
      </c>
      <c r="J478" s="9">
        <f>IF(B478="","",IF(INDEX('По дням'!$E$2:$E$3662,MATCH(472,'По дням'!$G$2:$G$3662,0))=1,"да",""))</f>
        <v/>
      </c>
    </row>
    <row r="479">
      <c r="A479" s="9">
        <f>IF(B479="","",473)</f>
        <v/>
      </c>
      <c r="B479" s="12">
        <f>IFERROR(INDEX('По дням'!$A$2:$A$3662,MATCH(473,'По дням'!$G$2:$G$3662,0)),"")</f>
        <v/>
      </c>
      <c r="C479" s="12">
        <f>IF(B479="","",INDEX('По дням'!$A$2:$A$3662,MATCH(473,'По дням'!$G$2:$G$3662,0)+COUNTIF('По дням'!$G$2:$G$3662,473)-1))</f>
        <v/>
      </c>
      <c r="D479" s="9">
        <f>IF(B479="","",C479-B479+1)</f>
        <v/>
      </c>
      <c r="E479" s="13">
        <f>IF(B479="","",INDEX('По дням'!$D$2:$D$3662,MATCH(473,'По дням'!$G$2:$G$3662,0)))</f>
        <v/>
      </c>
      <c r="F479" s="9">
        <f>IF(B479="","",INDEX('По дням'!$B$2:$B$3662,MATCH(473,'По дням'!$G$2:$G$3662,0)))</f>
        <v/>
      </c>
      <c r="G479" s="9">
        <f>IF(B479="","",INDEX('По дням'!$C$2:$C$3662,MATCH(473,'По дням'!$G$2:$G$3662,0)))</f>
        <v/>
      </c>
      <c r="H479" s="13">
        <f>IF(OR(B479="",F479=""),"",IF(J479="да",0,ROUND(E479*F479/100*D479/G479,2)))</f>
        <v/>
      </c>
      <c r="I479" s="13">
        <f>IF(B479="","",SUMIF(Оплаты!$A$6:$A$505,C479,Оплаты!$B$6:$B$505))</f>
        <v/>
      </c>
      <c r="J479" s="9">
        <f>IF(B479="","",IF(INDEX('По дням'!$E$2:$E$3662,MATCH(473,'По дням'!$G$2:$G$3662,0))=1,"да",""))</f>
        <v/>
      </c>
    </row>
    <row r="480">
      <c r="A480" s="9">
        <f>IF(B480="","",474)</f>
        <v/>
      </c>
      <c r="B480" s="12">
        <f>IFERROR(INDEX('По дням'!$A$2:$A$3662,MATCH(474,'По дням'!$G$2:$G$3662,0)),"")</f>
        <v/>
      </c>
      <c r="C480" s="12">
        <f>IF(B480="","",INDEX('По дням'!$A$2:$A$3662,MATCH(474,'По дням'!$G$2:$G$3662,0)+COUNTIF('По дням'!$G$2:$G$3662,474)-1))</f>
        <v/>
      </c>
      <c r="D480" s="9">
        <f>IF(B480="","",C480-B480+1)</f>
        <v/>
      </c>
      <c r="E480" s="13">
        <f>IF(B480="","",INDEX('По дням'!$D$2:$D$3662,MATCH(474,'По дням'!$G$2:$G$3662,0)))</f>
        <v/>
      </c>
      <c r="F480" s="9">
        <f>IF(B480="","",INDEX('По дням'!$B$2:$B$3662,MATCH(474,'По дням'!$G$2:$G$3662,0)))</f>
        <v/>
      </c>
      <c r="G480" s="9">
        <f>IF(B480="","",INDEX('По дням'!$C$2:$C$3662,MATCH(474,'По дням'!$G$2:$G$3662,0)))</f>
        <v/>
      </c>
      <c r="H480" s="13">
        <f>IF(OR(B480="",F480=""),"",IF(J480="да",0,ROUND(E480*F480/100*D480/G480,2)))</f>
        <v/>
      </c>
      <c r="I480" s="13">
        <f>IF(B480="","",SUMIF(Оплаты!$A$6:$A$505,C480,Оплаты!$B$6:$B$505))</f>
        <v/>
      </c>
      <c r="J480" s="9">
        <f>IF(B480="","",IF(INDEX('По дням'!$E$2:$E$3662,MATCH(474,'По дням'!$G$2:$G$3662,0))=1,"да",""))</f>
        <v/>
      </c>
    </row>
    <row r="481">
      <c r="A481" s="9">
        <f>IF(B481="","",475)</f>
        <v/>
      </c>
      <c r="B481" s="12">
        <f>IFERROR(INDEX('По дням'!$A$2:$A$3662,MATCH(475,'По дням'!$G$2:$G$3662,0)),"")</f>
        <v/>
      </c>
      <c r="C481" s="12">
        <f>IF(B481="","",INDEX('По дням'!$A$2:$A$3662,MATCH(475,'По дням'!$G$2:$G$3662,0)+COUNTIF('По дням'!$G$2:$G$3662,475)-1))</f>
        <v/>
      </c>
      <c r="D481" s="9">
        <f>IF(B481="","",C481-B481+1)</f>
        <v/>
      </c>
      <c r="E481" s="13">
        <f>IF(B481="","",INDEX('По дням'!$D$2:$D$3662,MATCH(475,'По дням'!$G$2:$G$3662,0)))</f>
        <v/>
      </c>
      <c r="F481" s="9">
        <f>IF(B481="","",INDEX('По дням'!$B$2:$B$3662,MATCH(475,'По дням'!$G$2:$G$3662,0)))</f>
        <v/>
      </c>
      <c r="G481" s="9">
        <f>IF(B481="","",INDEX('По дням'!$C$2:$C$3662,MATCH(475,'По дням'!$G$2:$G$3662,0)))</f>
        <v/>
      </c>
      <c r="H481" s="13">
        <f>IF(OR(B481="",F481=""),"",IF(J481="да",0,ROUND(E481*F481/100*D481/G481,2)))</f>
        <v/>
      </c>
      <c r="I481" s="13">
        <f>IF(B481="","",SUMIF(Оплаты!$A$6:$A$505,C481,Оплаты!$B$6:$B$505))</f>
        <v/>
      </c>
      <c r="J481" s="9">
        <f>IF(B481="","",IF(INDEX('По дням'!$E$2:$E$3662,MATCH(475,'По дням'!$G$2:$G$3662,0))=1,"да",""))</f>
        <v/>
      </c>
    </row>
    <row r="482">
      <c r="A482" s="9">
        <f>IF(B482="","",476)</f>
        <v/>
      </c>
      <c r="B482" s="12">
        <f>IFERROR(INDEX('По дням'!$A$2:$A$3662,MATCH(476,'По дням'!$G$2:$G$3662,0)),"")</f>
        <v/>
      </c>
      <c r="C482" s="12">
        <f>IF(B482="","",INDEX('По дням'!$A$2:$A$3662,MATCH(476,'По дням'!$G$2:$G$3662,0)+COUNTIF('По дням'!$G$2:$G$3662,476)-1))</f>
        <v/>
      </c>
      <c r="D482" s="9">
        <f>IF(B482="","",C482-B482+1)</f>
        <v/>
      </c>
      <c r="E482" s="13">
        <f>IF(B482="","",INDEX('По дням'!$D$2:$D$3662,MATCH(476,'По дням'!$G$2:$G$3662,0)))</f>
        <v/>
      </c>
      <c r="F482" s="9">
        <f>IF(B482="","",INDEX('По дням'!$B$2:$B$3662,MATCH(476,'По дням'!$G$2:$G$3662,0)))</f>
        <v/>
      </c>
      <c r="G482" s="9">
        <f>IF(B482="","",INDEX('По дням'!$C$2:$C$3662,MATCH(476,'По дням'!$G$2:$G$3662,0)))</f>
        <v/>
      </c>
      <c r="H482" s="13">
        <f>IF(OR(B482="",F482=""),"",IF(J482="да",0,ROUND(E482*F482/100*D482/G482,2)))</f>
        <v/>
      </c>
      <c r="I482" s="13">
        <f>IF(B482="","",SUMIF(Оплаты!$A$6:$A$505,C482,Оплаты!$B$6:$B$505))</f>
        <v/>
      </c>
      <c r="J482" s="9">
        <f>IF(B482="","",IF(INDEX('По дням'!$E$2:$E$3662,MATCH(476,'По дням'!$G$2:$G$3662,0))=1,"да",""))</f>
        <v/>
      </c>
    </row>
    <row r="483">
      <c r="A483" s="9">
        <f>IF(B483="","",477)</f>
        <v/>
      </c>
      <c r="B483" s="12">
        <f>IFERROR(INDEX('По дням'!$A$2:$A$3662,MATCH(477,'По дням'!$G$2:$G$3662,0)),"")</f>
        <v/>
      </c>
      <c r="C483" s="12">
        <f>IF(B483="","",INDEX('По дням'!$A$2:$A$3662,MATCH(477,'По дням'!$G$2:$G$3662,0)+COUNTIF('По дням'!$G$2:$G$3662,477)-1))</f>
        <v/>
      </c>
      <c r="D483" s="9">
        <f>IF(B483="","",C483-B483+1)</f>
        <v/>
      </c>
      <c r="E483" s="13">
        <f>IF(B483="","",INDEX('По дням'!$D$2:$D$3662,MATCH(477,'По дням'!$G$2:$G$3662,0)))</f>
        <v/>
      </c>
      <c r="F483" s="9">
        <f>IF(B483="","",INDEX('По дням'!$B$2:$B$3662,MATCH(477,'По дням'!$G$2:$G$3662,0)))</f>
        <v/>
      </c>
      <c r="G483" s="9">
        <f>IF(B483="","",INDEX('По дням'!$C$2:$C$3662,MATCH(477,'По дням'!$G$2:$G$3662,0)))</f>
        <v/>
      </c>
      <c r="H483" s="13">
        <f>IF(OR(B483="",F483=""),"",IF(J483="да",0,ROUND(E483*F483/100*D483/G483,2)))</f>
        <v/>
      </c>
      <c r="I483" s="13">
        <f>IF(B483="","",SUMIF(Оплаты!$A$6:$A$505,C483,Оплаты!$B$6:$B$505))</f>
        <v/>
      </c>
      <c r="J483" s="9">
        <f>IF(B483="","",IF(INDEX('По дням'!$E$2:$E$3662,MATCH(477,'По дням'!$G$2:$G$3662,0))=1,"да",""))</f>
        <v/>
      </c>
    </row>
    <row r="484">
      <c r="A484" s="9">
        <f>IF(B484="","",478)</f>
        <v/>
      </c>
      <c r="B484" s="12">
        <f>IFERROR(INDEX('По дням'!$A$2:$A$3662,MATCH(478,'По дням'!$G$2:$G$3662,0)),"")</f>
        <v/>
      </c>
      <c r="C484" s="12">
        <f>IF(B484="","",INDEX('По дням'!$A$2:$A$3662,MATCH(478,'По дням'!$G$2:$G$3662,0)+COUNTIF('По дням'!$G$2:$G$3662,478)-1))</f>
        <v/>
      </c>
      <c r="D484" s="9">
        <f>IF(B484="","",C484-B484+1)</f>
        <v/>
      </c>
      <c r="E484" s="13">
        <f>IF(B484="","",INDEX('По дням'!$D$2:$D$3662,MATCH(478,'По дням'!$G$2:$G$3662,0)))</f>
        <v/>
      </c>
      <c r="F484" s="9">
        <f>IF(B484="","",INDEX('По дням'!$B$2:$B$3662,MATCH(478,'По дням'!$G$2:$G$3662,0)))</f>
        <v/>
      </c>
      <c r="G484" s="9">
        <f>IF(B484="","",INDEX('По дням'!$C$2:$C$3662,MATCH(478,'По дням'!$G$2:$G$3662,0)))</f>
        <v/>
      </c>
      <c r="H484" s="13">
        <f>IF(OR(B484="",F484=""),"",IF(J484="да",0,ROUND(E484*F484/100*D484/G484,2)))</f>
        <v/>
      </c>
      <c r="I484" s="13">
        <f>IF(B484="","",SUMIF(Оплаты!$A$6:$A$505,C484,Оплаты!$B$6:$B$505))</f>
        <v/>
      </c>
      <c r="J484" s="9">
        <f>IF(B484="","",IF(INDEX('По дням'!$E$2:$E$3662,MATCH(478,'По дням'!$G$2:$G$3662,0))=1,"да",""))</f>
        <v/>
      </c>
    </row>
    <row r="485">
      <c r="A485" s="9">
        <f>IF(B485="","",479)</f>
        <v/>
      </c>
      <c r="B485" s="12">
        <f>IFERROR(INDEX('По дням'!$A$2:$A$3662,MATCH(479,'По дням'!$G$2:$G$3662,0)),"")</f>
        <v/>
      </c>
      <c r="C485" s="12">
        <f>IF(B485="","",INDEX('По дням'!$A$2:$A$3662,MATCH(479,'По дням'!$G$2:$G$3662,0)+COUNTIF('По дням'!$G$2:$G$3662,479)-1))</f>
        <v/>
      </c>
      <c r="D485" s="9">
        <f>IF(B485="","",C485-B485+1)</f>
        <v/>
      </c>
      <c r="E485" s="13">
        <f>IF(B485="","",INDEX('По дням'!$D$2:$D$3662,MATCH(479,'По дням'!$G$2:$G$3662,0)))</f>
        <v/>
      </c>
      <c r="F485" s="9">
        <f>IF(B485="","",INDEX('По дням'!$B$2:$B$3662,MATCH(479,'По дням'!$G$2:$G$3662,0)))</f>
        <v/>
      </c>
      <c r="G485" s="9">
        <f>IF(B485="","",INDEX('По дням'!$C$2:$C$3662,MATCH(479,'По дням'!$G$2:$G$3662,0)))</f>
        <v/>
      </c>
      <c r="H485" s="13">
        <f>IF(OR(B485="",F485=""),"",IF(J485="да",0,ROUND(E485*F485/100*D485/G485,2)))</f>
        <v/>
      </c>
      <c r="I485" s="13">
        <f>IF(B485="","",SUMIF(Оплаты!$A$6:$A$505,C485,Оплаты!$B$6:$B$505))</f>
        <v/>
      </c>
      <c r="J485" s="9">
        <f>IF(B485="","",IF(INDEX('По дням'!$E$2:$E$3662,MATCH(479,'По дням'!$G$2:$G$3662,0))=1,"да",""))</f>
        <v/>
      </c>
    </row>
    <row r="486">
      <c r="A486" s="9">
        <f>IF(B486="","",480)</f>
        <v/>
      </c>
      <c r="B486" s="12">
        <f>IFERROR(INDEX('По дням'!$A$2:$A$3662,MATCH(480,'По дням'!$G$2:$G$3662,0)),"")</f>
        <v/>
      </c>
      <c r="C486" s="12">
        <f>IF(B486="","",INDEX('По дням'!$A$2:$A$3662,MATCH(480,'По дням'!$G$2:$G$3662,0)+COUNTIF('По дням'!$G$2:$G$3662,480)-1))</f>
        <v/>
      </c>
      <c r="D486" s="9">
        <f>IF(B486="","",C486-B486+1)</f>
        <v/>
      </c>
      <c r="E486" s="13">
        <f>IF(B486="","",INDEX('По дням'!$D$2:$D$3662,MATCH(480,'По дням'!$G$2:$G$3662,0)))</f>
        <v/>
      </c>
      <c r="F486" s="9">
        <f>IF(B486="","",INDEX('По дням'!$B$2:$B$3662,MATCH(480,'По дням'!$G$2:$G$3662,0)))</f>
        <v/>
      </c>
      <c r="G486" s="9">
        <f>IF(B486="","",INDEX('По дням'!$C$2:$C$3662,MATCH(480,'По дням'!$G$2:$G$3662,0)))</f>
        <v/>
      </c>
      <c r="H486" s="13">
        <f>IF(OR(B486="",F486=""),"",IF(J486="да",0,ROUND(E486*F486/100*D486/G486,2)))</f>
        <v/>
      </c>
      <c r="I486" s="13">
        <f>IF(B486="","",SUMIF(Оплаты!$A$6:$A$505,C486,Оплаты!$B$6:$B$505))</f>
        <v/>
      </c>
      <c r="J486" s="9">
        <f>IF(B486="","",IF(INDEX('По дням'!$E$2:$E$3662,MATCH(480,'По дням'!$G$2:$G$3662,0))=1,"да",""))</f>
        <v/>
      </c>
    </row>
    <row r="487">
      <c r="A487" s="9">
        <f>IF(B487="","",481)</f>
        <v/>
      </c>
      <c r="B487" s="12">
        <f>IFERROR(INDEX('По дням'!$A$2:$A$3662,MATCH(481,'По дням'!$G$2:$G$3662,0)),"")</f>
        <v/>
      </c>
      <c r="C487" s="12">
        <f>IF(B487="","",INDEX('По дням'!$A$2:$A$3662,MATCH(481,'По дням'!$G$2:$G$3662,0)+COUNTIF('По дням'!$G$2:$G$3662,481)-1))</f>
        <v/>
      </c>
      <c r="D487" s="9">
        <f>IF(B487="","",C487-B487+1)</f>
        <v/>
      </c>
      <c r="E487" s="13">
        <f>IF(B487="","",INDEX('По дням'!$D$2:$D$3662,MATCH(481,'По дням'!$G$2:$G$3662,0)))</f>
        <v/>
      </c>
      <c r="F487" s="9">
        <f>IF(B487="","",INDEX('По дням'!$B$2:$B$3662,MATCH(481,'По дням'!$G$2:$G$3662,0)))</f>
        <v/>
      </c>
      <c r="G487" s="9">
        <f>IF(B487="","",INDEX('По дням'!$C$2:$C$3662,MATCH(481,'По дням'!$G$2:$G$3662,0)))</f>
        <v/>
      </c>
      <c r="H487" s="13">
        <f>IF(OR(B487="",F487=""),"",IF(J487="да",0,ROUND(E487*F487/100*D487/G487,2)))</f>
        <v/>
      </c>
      <c r="I487" s="13">
        <f>IF(B487="","",SUMIF(Оплаты!$A$6:$A$505,C487,Оплаты!$B$6:$B$505))</f>
        <v/>
      </c>
      <c r="J487" s="9">
        <f>IF(B487="","",IF(INDEX('По дням'!$E$2:$E$3662,MATCH(481,'По дням'!$G$2:$G$3662,0))=1,"да",""))</f>
        <v/>
      </c>
    </row>
    <row r="488">
      <c r="A488" s="9">
        <f>IF(B488="","",482)</f>
        <v/>
      </c>
      <c r="B488" s="12">
        <f>IFERROR(INDEX('По дням'!$A$2:$A$3662,MATCH(482,'По дням'!$G$2:$G$3662,0)),"")</f>
        <v/>
      </c>
      <c r="C488" s="12">
        <f>IF(B488="","",INDEX('По дням'!$A$2:$A$3662,MATCH(482,'По дням'!$G$2:$G$3662,0)+COUNTIF('По дням'!$G$2:$G$3662,482)-1))</f>
        <v/>
      </c>
      <c r="D488" s="9">
        <f>IF(B488="","",C488-B488+1)</f>
        <v/>
      </c>
      <c r="E488" s="13">
        <f>IF(B488="","",INDEX('По дням'!$D$2:$D$3662,MATCH(482,'По дням'!$G$2:$G$3662,0)))</f>
        <v/>
      </c>
      <c r="F488" s="9">
        <f>IF(B488="","",INDEX('По дням'!$B$2:$B$3662,MATCH(482,'По дням'!$G$2:$G$3662,0)))</f>
        <v/>
      </c>
      <c r="G488" s="9">
        <f>IF(B488="","",INDEX('По дням'!$C$2:$C$3662,MATCH(482,'По дням'!$G$2:$G$3662,0)))</f>
        <v/>
      </c>
      <c r="H488" s="13">
        <f>IF(OR(B488="",F488=""),"",IF(J488="да",0,ROUND(E488*F488/100*D488/G488,2)))</f>
        <v/>
      </c>
      <c r="I488" s="13">
        <f>IF(B488="","",SUMIF(Оплаты!$A$6:$A$505,C488,Оплаты!$B$6:$B$505))</f>
        <v/>
      </c>
      <c r="J488" s="9">
        <f>IF(B488="","",IF(INDEX('По дням'!$E$2:$E$3662,MATCH(482,'По дням'!$G$2:$G$3662,0))=1,"да",""))</f>
        <v/>
      </c>
    </row>
    <row r="489">
      <c r="A489" s="9">
        <f>IF(B489="","",483)</f>
        <v/>
      </c>
      <c r="B489" s="12">
        <f>IFERROR(INDEX('По дням'!$A$2:$A$3662,MATCH(483,'По дням'!$G$2:$G$3662,0)),"")</f>
        <v/>
      </c>
      <c r="C489" s="12">
        <f>IF(B489="","",INDEX('По дням'!$A$2:$A$3662,MATCH(483,'По дням'!$G$2:$G$3662,0)+COUNTIF('По дням'!$G$2:$G$3662,483)-1))</f>
        <v/>
      </c>
      <c r="D489" s="9">
        <f>IF(B489="","",C489-B489+1)</f>
        <v/>
      </c>
      <c r="E489" s="13">
        <f>IF(B489="","",INDEX('По дням'!$D$2:$D$3662,MATCH(483,'По дням'!$G$2:$G$3662,0)))</f>
        <v/>
      </c>
      <c r="F489" s="9">
        <f>IF(B489="","",INDEX('По дням'!$B$2:$B$3662,MATCH(483,'По дням'!$G$2:$G$3662,0)))</f>
        <v/>
      </c>
      <c r="G489" s="9">
        <f>IF(B489="","",INDEX('По дням'!$C$2:$C$3662,MATCH(483,'По дням'!$G$2:$G$3662,0)))</f>
        <v/>
      </c>
      <c r="H489" s="13">
        <f>IF(OR(B489="",F489=""),"",IF(J489="да",0,ROUND(E489*F489/100*D489/G489,2)))</f>
        <v/>
      </c>
      <c r="I489" s="13">
        <f>IF(B489="","",SUMIF(Оплаты!$A$6:$A$505,C489,Оплаты!$B$6:$B$505))</f>
        <v/>
      </c>
      <c r="J489" s="9">
        <f>IF(B489="","",IF(INDEX('По дням'!$E$2:$E$3662,MATCH(483,'По дням'!$G$2:$G$3662,0))=1,"да",""))</f>
        <v/>
      </c>
    </row>
    <row r="490">
      <c r="A490" s="9">
        <f>IF(B490="","",484)</f>
        <v/>
      </c>
      <c r="B490" s="12">
        <f>IFERROR(INDEX('По дням'!$A$2:$A$3662,MATCH(484,'По дням'!$G$2:$G$3662,0)),"")</f>
        <v/>
      </c>
      <c r="C490" s="12">
        <f>IF(B490="","",INDEX('По дням'!$A$2:$A$3662,MATCH(484,'По дням'!$G$2:$G$3662,0)+COUNTIF('По дням'!$G$2:$G$3662,484)-1))</f>
        <v/>
      </c>
      <c r="D490" s="9">
        <f>IF(B490="","",C490-B490+1)</f>
        <v/>
      </c>
      <c r="E490" s="13">
        <f>IF(B490="","",INDEX('По дням'!$D$2:$D$3662,MATCH(484,'По дням'!$G$2:$G$3662,0)))</f>
        <v/>
      </c>
      <c r="F490" s="9">
        <f>IF(B490="","",INDEX('По дням'!$B$2:$B$3662,MATCH(484,'По дням'!$G$2:$G$3662,0)))</f>
        <v/>
      </c>
      <c r="G490" s="9">
        <f>IF(B490="","",INDEX('По дням'!$C$2:$C$3662,MATCH(484,'По дням'!$G$2:$G$3662,0)))</f>
        <v/>
      </c>
      <c r="H490" s="13">
        <f>IF(OR(B490="",F490=""),"",IF(J490="да",0,ROUND(E490*F490/100*D490/G490,2)))</f>
        <v/>
      </c>
      <c r="I490" s="13">
        <f>IF(B490="","",SUMIF(Оплаты!$A$6:$A$505,C490,Оплаты!$B$6:$B$505))</f>
        <v/>
      </c>
      <c r="J490" s="9">
        <f>IF(B490="","",IF(INDEX('По дням'!$E$2:$E$3662,MATCH(484,'По дням'!$G$2:$G$3662,0))=1,"да",""))</f>
        <v/>
      </c>
    </row>
    <row r="491">
      <c r="A491" s="9">
        <f>IF(B491="","",485)</f>
        <v/>
      </c>
      <c r="B491" s="12">
        <f>IFERROR(INDEX('По дням'!$A$2:$A$3662,MATCH(485,'По дням'!$G$2:$G$3662,0)),"")</f>
        <v/>
      </c>
      <c r="C491" s="12">
        <f>IF(B491="","",INDEX('По дням'!$A$2:$A$3662,MATCH(485,'По дням'!$G$2:$G$3662,0)+COUNTIF('По дням'!$G$2:$G$3662,485)-1))</f>
        <v/>
      </c>
      <c r="D491" s="9">
        <f>IF(B491="","",C491-B491+1)</f>
        <v/>
      </c>
      <c r="E491" s="13">
        <f>IF(B491="","",INDEX('По дням'!$D$2:$D$3662,MATCH(485,'По дням'!$G$2:$G$3662,0)))</f>
        <v/>
      </c>
      <c r="F491" s="9">
        <f>IF(B491="","",INDEX('По дням'!$B$2:$B$3662,MATCH(485,'По дням'!$G$2:$G$3662,0)))</f>
        <v/>
      </c>
      <c r="G491" s="9">
        <f>IF(B491="","",INDEX('По дням'!$C$2:$C$3662,MATCH(485,'По дням'!$G$2:$G$3662,0)))</f>
        <v/>
      </c>
      <c r="H491" s="13">
        <f>IF(OR(B491="",F491=""),"",IF(J491="да",0,ROUND(E491*F491/100*D491/G491,2)))</f>
        <v/>
      </c>
      <c r="I491" s="13">
        <f>IF(B491="","",SUMIF(Оплаты!$A$6:$A$505,C491,Оплаты!$B$6:$B$505))</f>
        <v/>
      </c>
      <c r="J491" s="9">
        <f>IF(B491="","",IF(INDEX('По дням'!$E$2:$E$3662,MATCH(485,'По дням'!$G$2:$G$3662,0))=1,"да",""))</f>
        <v/>
      </c>
    </row>
    <row r="492">
      <c r="A492" s="9">
        <f>IF(B492="","",486)</f>
        <v/>
      </c>
      <c r="B492" s="12">
        <f>IFERROR(INDEX('По дням'!$A$2:$A$3662,MATCH(486,'По дням'!$G$2:$G$3662,0)),"")</f>
        <v/>
      </c>
      <c r="C492" s="12">
        <f>IF(B492="","",INDEX('По дням'!$A$2:$A$3662,MATCH(486,'По дням'!$G$2:$G$3662,0)+COUNTIF('По дням'!$G$2:$G$3662,486)-1))</f>
        <v/>
      </c>
      <c r="D492" s="9">
        <f>IF(B492="","",C492-B492+1)</f>
        <v/>
      </c>
      <c r="E492" s="13">
        <f>IF(B492="","",INDEX('По дням'!$D$2:$D$3662,MATCH(486,'По дням'!$G$2:$G$3662,0)))</f>
        <v/>
      </c>
      <c r="F492" s="9">
        <f>IF(B492="","",INDEX('По дням'!$B$2:$B$3662,MATCH(486,'По дням'!$G$2:$G$3662,0)))</f>
        <v/>
      </c>
      <c r="G492" s="9">
        <f>IF(B492="","",INDEX('По дням'!$C$2:$C$3662,MATCH(486,'По дням'!$G$2:$G$3662,0)))</f>
        <v/>
      </c>
      <c r="H492" s="13">
        <f>IF(OR(B492="",F492=""),"",IF(J492="да",0,ROUND(E492*F492/100*D492/G492,2)))</f>
        <v/>
      </c>
      <c r="I492" s="13">
        <f>IF(B492="","",SUMIF(Оплаты!$A$6:$A$505,C492,Оплаты!$B$6:$B$505))</f>
        <v/>
      </c>
      <c r="J492" s="9">
        <f>IF(B492="","",IF(INDEX('По дням'!$E$2:$E$3662,MATCH(486,'По дням'!$G$2:$G$3662,0))=1,"да",""))</f>
        <v/>
      </c>
    </row>
    <row r="493">
      <c r="A493" s="9">
        <f>IF(B493="","",487)</f>
        <v/>
      </c>
      <c r="B493" s="12">
        <f>IFERROR(INDEX('По дням'!$A$2:$A$3662,MATCH(487,'По дням'!$G$2:$G$3662,0)),"")</f>
        <v/>
      </c>
      <c r="C493" s="12">
        <f>IF(B493="","",INDEX('По дням'!$A$2:$A$3662,MATCH(487,'По дням'!$G$2:$G$3662,0)+COUNTIF('По дням'!$G$2:$G$3662,487)-1))</f>
        <v/>
      </c>
      <c r="D493" s="9">
        <f>IF(B493="","",C493-B493+1)</f>
        <v/>
      </c>
      <c r="E493" s="13">
        <f>IF(B493="","",INDEX('По дням'!$D$2:$D$3662,MATCH(487,'По дням'!$G$2:$G$3662,0)))</f>
        <v/>
      </c>
      <c r="F493" s="9">
        <f>IF(B493="","",INDEX('По дням'!$B$2:$B$3662,MATCH(487,'По дням'!$G$2:$G$3662,0)))</f>
        <v/>
      </c>
      <c r="G493" s="9">
        <f>IF(B493="","",INDEX('По дням'!$C$2:$C$3662,MATCH(487,'По дням'!$G$2:$G$3662,0)))</f>
        <v/>
      </c>
      <c r="H493" s="13">
        <f>IF(OR(B493="",F493=""),"",IF(J493="да",0,ROUND(E493*F493/100*D493/G493,2)))</f>
        <v/>
      </c>
      <c r="I493" s="13">
        <f>IF(B493="","",SUMIF(Оплаты!$A$6:$A$505,C493,Оплаты!$B$6:$B$505))</f>
        <v/>
      </c>
      <c r="J493" s="9">
        <f>IF(B493="","",IF(INDEX('По дням'!$E$2:$E$3662,MATCH(487,'По дням'!$G$2:$G$3662,0))=1,"да",""))</f>
        <v/>
      </c>
    </row>
    <row r="494">
      <c r="A494" s="9">
        <f>IF(B494="","",488)</f>
        <v/>
      </c>
      <c r="B494" s="12">
        <f>IFERROR(INDEX('По дням'!$A$2:$A$3662,MATCH(488,'По дням'!$G$2:$G$3662,0)),"")</f>
        <v/>
      </c>
      <c r="C494" s="12">
        <f>IF(B494="","",INDEX('По дням'!$A$2:$A$3662,MATCH(488,'По дням'!$G$2:$G$3662,0)+COUNTIF('По дням'!$G$2:$G$3662,488)-1))</f>
        <v/>
      </c>
      <c r="D494" s="9">
        <f>IF(B494="","",C494-B494+1)</f>
        <v/>
      </c>
      <c r="E494" s="13">
        <f>IF(B494="","",INDEX('По дням'!$D$2:$D$3662,MATCH(488,'По дням'!$G$2:$G$3662,0)))</f>
        <v/>
      </c>
      <c r="F494" s="9">
        <f>IF(B494="","",INDEX('По дням'!$B$2:$B$3662,MATCH(488,'По дням'!$G$2:$G$3662,0)))</f>
        <v/>
      </c>
      <c r="G494" s="9">
        <f>IF(B494="","",INDEX('По дням'!$C$2:$C$3662,MATCH(488,'По дням'!$G$2:$G$3662,0)))</f>
        <v/>
      </c>
      <c r="H494" s="13">
        <f>IF(OR(B494="",F494=""),"",IF(J494="да",0,ROUND(E494*F494/100*D494/G494,2)))</f>
        <v/>
      </c>
      <c r="I494" s="13">
        <f>IF(B494="","",SUMIF(Оплаты!$A$6:$A$505,C494,Оплаты!$B$6:$B$505))</f>
        <v/>
      </c>
      <c r="J494" s="9">
        <f>IF(B494="","",IF(INDEX('По дням'!$E$2:$E$3662,MATCH(488,'По дням'!$G$2:$G$3662,0))=1,"да",""))</f>
        <v/>
      </c>
    </row>
    <row r="495">
      <c r="A495" s="9">
        <f>IF(B495="","",489)</f>
        <v/>
      </c>
      <c r="B495" s="12">
        <f>IFERROR(INDEX('По дням'!$A$2:$A$3662,MATCH(489,'По дням'!$G$2:$G$3662,0)),"")</f>
        <v/>
      </c>
      <c r="C495" s="12">
        <f>IF(B495="","",INDEX('По дням'!$A$2:$A$3662,MATCH(489,'По дням'!$G$2:$G$3662,0)+COUNTIF('По дням'!$G$2:$G$3662,489)-1))</f>
        <v/>
      </c>
      <c r="D495" s="9">
        <f>IF(B495="","",C495-B495+1)</f>
        <v/>
      </c>
      <c r="E495" s="13">
        <f>IF(B495="","",INDEX('По дням'!$D$2:$D$3662,MATCH(489,'По дням'!$G$2:$G$3662,0)))</f>
        <v/>
      </c>
      <c r="F495" s="9">
        <f>IF(B495="","",INDEX('По дням'!$B$2:$B$3662,MATCH(489,'По дням'!$G$2:$G$3662,0)))</f>
        <v/>
      </c>
      <c r="G495" s="9">
        <f>IF(B495="","",INDEX('По дням'!$C$2:$C$3662,MATCH(489,'По дням'!$G$2:$G$3662,0)))</f>
        <v/>
      </c>
      <c r="H495" s="13">
        <f>IF(OR(B495="",F495=""),"",IF(J495="да",0,ROUND(E495*F495/100*D495/G495,2)))</f>
        <v/>
      </c>
      <c r="I495" s="13">
        <f>IF(B495="","",SUMIF(Оплаты!$A$6:$A$505,C495,Оплаты!$B$6:$B$505))</f>
        <v/>
      </c>
      <c r="J495" s="9">
        <f>IF(B495="","",IF(INDEX('По дням'!$E$2:$E$3662,MATCH(489,'По дням'!$G$2:$G$3662,0))=1,"да",""))</f>
        <v/>
      </c>
    </row>
    <row r="496">
      <c r="A496" s="9">
        <f>IF(B496="","",490)</f>
        <v/>
      </c>
      <c r="B496" s="12">
        <f>IFERROR(INDEX('По дням'!$A$2:$A$3662,MATCH(490,'По дням'!$G$2:$G$3662,0)),"")</f>
        <v/>
      </c>
      <c r="C496" s="12">
        <f>IF(B496="","",INDEX('По дням'!$A$2:$A$3662,MATCH(490,'По дням'!$G$2:$G$3662,0)+COUNTIF('По дням'!$G$2:$G$3662,490)-1))</f>
        <v/>
      </c>
      <c r="D496" s="9">
        <f>IF(B496="","",C496-B496+1)</f>
        <v/>
      </c>
      <c r="E496" s="13">
        <f>IF(B496="","",INDEX('По дням'!$D$2:$D$3662,MATCH(490,'По дням'!$G$2:$G$3662,0)))</f>
        <v/>
      </c>
      <c r="F496" s="9">
        <f>IF(B496="","",INDEX('По дням'!$B$2:$B$3662,MATCH(490,'По дням'!$G$2:$G$3662,0)))</f>
        <v/>
      </c>
      <c r="G496" s="9">
        <f>IF(B496="","",INDEX('По дням'!$C$2:$C$3662,MATCH(490,'По дням'!$G$2:$G$3662,0)))</f>
        <v/>
      </c>
      <c r="H496" s="13">
        <f>IF(OR(B496="",F496=""),"",IF(J496="да",0,ROUND(E496*F496/100*D496/G496,2)))</f>
        <v/>
      </c>
      <c r="I496" s="13">
        <f>IF(B496="","",SUMIF(Оплаты!$A$6:$A$505,C496,Оплаты!$B$6:$B$505))</f>
        <v/>
      </c>
      <c r="J496" s="9">
        <f>IF(B496="","",IF(INDEX('По дням'!$E$2:$E$3662,MATCH(490,'По дням'!$G$2:$G$3662,0))=1,"да",""))</f>
        <v/>
      </c>
    </row>
    <row r="497">
      <c r="A497" s="9">
        <f>IF(B497="","",491)</f>
        <v/>
      </c>
      <c r="B497" s="12">
        <f>IFERROR(INDEX('По дням'!$A$2:$A$3662,MATCH(491,'По дням'!$G$2:$G$3662,0)),"")</f>
        <v/>
      </c>
      <c r="C497" s="12">
        <f>IF(B497="","",INDEX('По дням'!$A$2:$A$3662,MATCH(491,'По дням'!$G$2:$G$3662,0)+COUNTIF('По дням'!$G$2:$G$3662,491)-1))</f>
        <v/>
      </c>
      <c r="D497" s="9">
        <f>IF(B497="","",C497-B497+1)</f>
        <v/>
      </c>
      <c r="E497" s="13">
        <f>IF(B497="","",INDEX('По дням'!$D$2:$D$3662,MATCH(491,'По дням'!$G$2:$G$3662,0)))</f>
        <v/>
      </c>
      <c r="F497" s="9">
        <f>IF(B497="","",INDEX('По дням'!$B$2:$B$3662,MATCH(491,'По дням'!$G$2:$G$3662,0)))</f>
        <v/>
      </c>
      <c r="G497" s="9">
        <f>IF(B497="","",INDEX('По дням'!$C$2:$C$3662,MATCH(491,'По дням'!$G$2:$G$3662,0)))</f>
        <v/>
      </c>
      <c r="H497" s="13">
        <f>IF(OR(B497="",F497=""),"",IF(J497="да",0,ROUND(E497*F497/100*D497/G497,2)))</f>
        <v/>
      </c>
      <c r="I497" s="13">
        <f>IF(B497="","",SUMIF(Оплаты!$A$6:$A$505,C497,Оплаты!$B$6:$B$505))</f>
        <v/>
      </c>
      <c r="J497" s="9">
        <f>IF(B497="","",IF(INDEX('По дням'!$E$2:$E$3662,MATCH(491,'По дням'!$G$2:$G$3662,0))=1,"да",""))</f>
        <v/>
      </c>
    </row>
    <row r="498">
      <c r="A498" s="9">
        <f>IF(B498="","",492)</f>
        <v/>
      </c>
      <c r="B498" s="12">
        <f>IFERROR(INDEX('По дням'!$A$2:$A$3662,MATCH(492,'По дням'!$G$2:$G$3662,0)),"")</f>
        <v/>
      </c>
      <c r="C498" s="12">
        <f>IF(B498="","",INDEX('По дням'!$A$2:$A$3662,MATCH(492,'По дням'!$G$2:$G$3662,0)+COUNTIF('По дням'!$G$2:$G$3662,492)-1))</f>
        <v/>
      </c>
      <c r="D498" s="9">
        <f>IF(B498="","",C498-B498+1)</f>
        <v/>
      </c>
      <c r="E498" s="13">
        <f>IF(B498="","",INDEX('По дням'!$D$2:$D$3662,MATCH(492,'По дням'!$G$2:$G$3662,0)))</f>
        <v/>
      </c>
      <c r="F498" s="9">
        <f>IF(B498="","",INDEX('По дням'!$B$2:$B$3662,MATCH(492,'По дням'!$G$2:$G$3662,0)))</f>
        <v/>
      </c>
      <c r="G498" s="9">
        <f>IF(B498="","",INDEX('По дням'!$C$2:$C$3662,MATCH(492,'По дням'!$G$2:$G$3662,0)))</f>
        <v/>
      </c>
      <c r="H498" s="13">
        <f>IF(OR(B498="",F498=""),"",IF(J498="да",0,ROUND(E498*F498/100*D498/G498,2)))</f>
        <v/>
      </c>
      <c r="I498" s="13">
        <f>IF(B498="","",SUMIF(Оплаты!$A$6:$A$505,C498,Оплаты!$B$6:$B$505))</f>
        <v/>
      </c>
      <c r="J498" s="9">
        <f>IF(B498="","",IF(INDEX('По дням'!$E$2:$E$3662,MATCH(492,'По дням'!$G$2:$G$3662,0))=1,"да",""))</f>
        <v/>
      </c>
    </row>
    <row r="499">
      <c r="A499" s="9">
        <f>IF(B499="","",493)</f>
        <v/>
      </c>
      <c r="B499" s="12">
        <f>IFERROR(INDEX('По дням'!$A$2:$A$3662,MATCH(493,'По дням'!$G$2:$G$3662,0)),"")</f>
        <v/>
      </c>
      <c r="C499" s="12">
        <f>IF(B499="","",INDEX('По дням'!$A$2:$A$3662,MATCH(493,'По дням'!$G$2:$G$3662,0)+COUNTIF('По дням'!$G$2:$G$3662,493)-1))</f>
        <v/>
      </c>
      <c r="D499" s="9">
        <f>IF(B499="","",C499-B499+1)</f>
        <v/>
      </c>
      <c r="E499" s="13">
        <f>IF(B499="","",INDEX('По дням'!$D$2:$D$3662,MATCH(493,'По дням'!$G$2:$G$3662,0)))</f>
        <v/>
      </c>
      <c r="F499" s="9">
        <f>IF(B499="","",INDEX('По дням'!$B$2:$B$3662,MATCH(493,'По дням'!$G$2:$G$3662,0)))</f>
        <v/>
      </c>
      <c r="G499" s="9">
        <f>IF(B499="","",INDEX('По дням'!$C$2:$C$3662,MATCH(493,'По дням'!$G$2:$G$3662,0)))</f>
        <v/>
      </c>
      <c r="H499" s="13">
        <f>IF(OR(B499="",F499=""),"",IF(J499="да",0,ROUND(E499*F499/100*D499/G499,2)))</f>
        <v/>
      </c>
      <c r="I499" s="13">
        <f>IF(B499="","",SUMIF(Оплаты!$A$6:$A$505,C499,Оплаты!$B$6:$B$505))</f>
        <v/>
      </c>
      <c r="J499" s="9">
        <f>IF(B499="","",IF(INDEX('По дням'!$E$2:$E$3662,MATCH(493,'По дням'!$G$2:$G$3662,0))=1,"да",""))</f>
        <v/>
      </c>
    </row>
    <row r="500">
      <c r="A500" s="9">
        <f>IF(B500="","",494)</f>
        <v/>
      </c>
      <c r="B500" s="12">
        <f>IFERROR(INDEX('По дням'!$A$2:$A$3662,MATCH(494,'По дням'!$G$2:$G$3662,0)),"")</f>
        <v/>
      </c>
      <c r="C500" s="12">
        <f>IF(B500="","",INDEX('По дням'!$A$2:$A$3662,MATCH(494,'По дням'!$G$2:$G$3662,0)+COUNTIF('По дням'!$G$2:$G$3662,494)-1))</f>
        <v/>
      </c>
      <c r="D500" s="9">
        <f>IF(B500="","",C500-B500+1)</f>
        <v/>
      </c>
      <c r="E500" s="13">
        <f>IF(B500="","",INDEX('По дням'!$D$2:$D$3662,MATCH(494,'По дням'!$G$2:$G$3662,0)))</f>
        <v/>
      </c>
      <c r="F500" s="9">
        <f>IF(B500="","",INDEX('По дням'!$B$2:$B$3662,MATCH(494,'По дням'!$G$2:$G$3662,0)))</f>
        <v/>
      </c>
      <c r="G500" s="9">
        <f>IF(B500="","",INDEX('По дням'!$C$2:$C$3662,MATCH(494,'По дням'!$G$2:$G$3662,0)))</f>
        <v/>
      </c>
      <c r="H500" s="13">
        <f>IF(OR(B500="",F500=""),"",IF(J500="да",0,ROUND(E500*F500/100*D500/G500,2)))</f>
        <v/>
      </c>
      <c r="I500" s="13">
        <f>IF(B500="","",SUMIF(Оплаты!$A$6:$A$505,C500,Оплаты!$B$6:$B$505))</f>
        <v/>
      </c>
      <c r="J500" s="9">
        <f>IF(B500="","",IF(INDEX('По дням'!$E$2:$E$3662,MATCH(494,'По дням'!$G$2:$G$3662,0))=1,"да",""))</f>
        <v/>
      </c>
    </row>
    <row r="501">
      <c r="A501" s="9">
        <f>IF(B501="","",495)</f>
        <v/>
      </c>
      <c r="B501" s="12">
        <f>IFERROR(INDEX('По дням'!$A$2:$A$3662,MATCH(495,'По дням'!$G$2:$G$3662,0)),"")</f>
        <v/>
      </c>
      <c r="C501" s="12">
        <f>IF(B501="","",INDEX('По дням'!$A$2:$A$3662,MATCH(495,'По дням'!$G$2:$G$3662,0)+COUNTIF('По дням'!$G$2:$G$3662,495)-1))</f>
        <v/>
      </c>
      <c r="D501" s="9">
        <f>IF(B501="","",C501-B501+1)</f>
        <v/>
      </c>
      <c r="E501" s="13">
        <f>IF(B501="","",INDEX('По дням'!$D$2:$D$3662,MATCH(495,'По дням'!$G$2:$G$3662,0)))</f>
        <v/>
      </c>
      <c r="F501" s="9">
        <f>IF(B501="","",INDEX('По дням'!$B$2:$B$3662,MATCH(495,'По дням'!$G$2:$G$3662,0)))</f>
        <v/>
      </c>
      <c r="G501" s="9">
        <f>IF(B501="","",INDEX('По дням'!$C$2:$C$3662,MATCH(495,'По дням'!$G$2:$G$3662,0)))</f>
        <v/>
      </c>
      <c r="H501" s="13">
        <f>IF(OR(B501="",F501=""),"",IF(J501="да",0,ROUND(E501*F501/100*D501/G501,2)))</f>
        <v/>
      </c>
      <c r="I501" s="13">
        <f>IF(B501="","",SUMIF(Оплаты!$A$6:$A$505,C501,Оплаты!$B$6:$B$505))</f>
        <v/>
      </c>
      <c r="J501" s="9">
        <f>IF(B501="","",IF(INDEX('По дням'!$E$2:$E$3662,MATCH(495,'По дням'!$G$2:$G$3662,0))=1,"да",""))</f>
        <v/>
      </c>
    </row>
    <row r="502">
      <c r="A502" s="9">
        <f>IF(B502="","",496)</f>
        <v/>
      </c>
      <c r="B502" s="12">
        <f>IFERROR(INDEX('По дням'!$A$2:$A$3662,MATCH(496,'По дням'!$G$2:$G$3662,0)),"")</f>
        <v/>
      </c>
      <c r="C502" s="12">
        <f>IF(B502="","",INDEX('По дням'!$A$2:$A$3662,MATCH(496,'По дням'!$G$2:$G$3662,0)+COUNTIF('По дням'!$G$2:$G$3662,496)-1))</f>
        <v/>
      </c>
      <c r="D502" s="9">
        <f>IF(B502="","",C502-B502+1)</f>
        <v/>
      </c>
      <c r="E502" s="13">
        <f>IF(B502="","",INDEX('По дням'!$D$2:$D$3662,MATCH(496,'По дням'!$G$2:$G$3662,0)))</f>
        <v/>
      </c>
      <c r="F502" s="9">
        <f>IF(B502="","",INDEX('По дням'!$B$2:$B$3662,MATCH(496,'По дням'!$G$2:$G$3662,0)))</f>
        <v/>
      </c>
      <c r="G502" s="9">
        <f>IF(B502="","",INDEX('По дням'!$C$2:$C$3662,MATCH(496,'По дням'!$G$2:$G$3662,0)))</f>
        <v/>
      </c>
      <c r="H502" s="13">
        <f>IF(OR(B502="",F502=""),"",IF(J502="да",0,ROUND(E502*F502/100*D502/G502,2)))</f>
        <v/>
      </c>
      <c r="I502" s="13">
        <f>IF(B502="","",SUMIF(Оплаты!$A$6:$A$505,C502,Оплаты!$B$6:$B$505))</f>
        <v/>
      </c>
      <c r="J502" s="9">
        <f>IF(B502="","",IF(INDEX('По дням'!$E$2:$E$3662,MATCH(496,'По дням'!$G$2:$G$3662,0))=1,"да",""))</f>
        <v/>
      </c>
    </row>
    <row r="503">
      <c r="A503" s="9">
        <f>IF(B503="","",497)</f>
        <v/>
      </c>
      <c r="B503" s="12">
        <f>IFERROR(INDEX('По дням'!$A$2:$A$3662,MATCH(497,'По дням'!$G$2:$G$3662,0)),"")</f>
        <v/>
      </c>
      <c r="C503" s="12">
        <f>IF(B503="","",INDEX('По дням'!$A$2:$A$3662,MATCH(497,'По дням'!$G$2:$G$3662,0)+COUNTIF('По дням'!$G$2:$G$3662,497)-1))</f>
        <v/>
      </c>
      <c r="D503" s="9">
        <f>IF(B503="","",C503-B503+1)</f>
        <v/>
      </c>
      <c r="E503" s="13">
        <f>IF(B503="","",INDEX('По дням'!$D$2:$D$3662,MATCH(497,'По дням'!$G$2:$G$3662,0)))</f>
        <v/>
      </c>
      <c r="F503" s="9">
        <f>IF(B503="","",INDEX('По дням'!$B$2:$B$3662,MATCH(497,'По дням'!$G$2:$G$3662,0)))</f>
        <v/>
      </c>
      <c r="G503" s="9">
        <f>IF(B503="","",INDEX('По дням'!$C$2:$C$3662,MATCH(497,'По дням'!$G$2:$G$3662,0)))</f>
        <v/>
      </c>
      <c r="H503" s="13">
        <f>IF(OR(B503="",F503=""),"",IF(J503="да",0,ROUND(E503*F503/100*D503/G503,2)))</f>
        <v/>
      </c>
      <c r="I503" s="13">
        <f>IF(B503="","",SUMIF(Оплаты!$A$6:$A$505,C503,Оплаты!$B$6:$B$505))</f>
        <v/>
      </c>
      <c r="J503" s="9">
        <f>IF(B503="","",IF(INDEX('По дням'!$E$2:$E$3662,MATCH(497,'По дням'!$G$2:$G$3662,0))=1,"да",""))</f>
        <v/>
      </c>
    </row>
    <row r="504">
      <c r="A504" s="9">
        <f>IF(B504="","",498)</f>
        <v/>
      </c>
      <c r="B504" s="12">
        <f>IFERROR(INDEX('По дням'!$A$2:$A$3662,MATCH(498,'По дням'!$G$2:$G$3662,0)),"")</f>
        <v/>
      </c>
      <c r="C504" s="12">
        <f>IF(B504="","",INDEX('По дням'!$A$2:$A$3662,MATCH(498,'По дням'!$G$2:$G$3662,0)+COUNTIF('По дням'!$G$2:$G$3662,498)-1))</f>
        <v/>
      </c>
      <c r="D504" s="9">
        <f>IF(B504="","",C504-B504+1)</f>
        <v/>
      </c>
      <c r="E504" s="13">
        <f>IF(B504="","",INDEX('По дням'!$D$2:$D$3662,MATCH(498,'По дням'!$G$2:$G$3662,0)))</f>
        <v/>
      </c>
      <c r="F504" s="9">
        <f>IF(B504="","",INDEX('По дням'!$B$2:$B$3662,MATCH(498,'По дням'!$G$2:$G$3662,0)))</f>
        <v/>
      </c>
      <c r="G504" s="9">
        <f>IF(B504="","",INDEX('По дням'!$C$2:$C$3662,MATCH(498,'По дням'!$G$2:$G$3662,0)))</f>
        <v/>
      </c>
      <c r="H504" s="13">
        <f>IF(OR(B504="",F504=""),"",IF(J504="да",0,ROUND(E504*F504/100*D504/G504,2)))</f>
        <v/>
      </c>
      <c r="I504" s="13">
        <f>IF(B504="","",SUMIF(Оплаты!$A$6:$A$505,C504,Оплаты!$B$6:$B$505))</f>
        <v/>
      </c>
      <c r="J504" s="9">
        <f>IF(B504="","",IF(INDEX('По дням'!$E$2:$E$3662,MATCH(498,'По дням'!$G$2:$G$3662,0))=1,"да",""))</f>
        <v/>
      </c>
    </row>
    <row r="505">
      <c r="A505" s="9">
        <f>IF(B505="","",499)</f>
        <v/>
      </c>
      <c r="B505" s="12">
        <f>IFERROR(INDEX('По дням'!$A$2:$A$3662,MATCH(499,'По дням'!$G$2:$G$3662,0)),"")</f>
        <v/>
      </c>
      <c r="C505" s="12">
        <f>IF(B505="","",INDEX('По дням'!$A$2:$A$3662,MATCH(499,'По дням'!$G$2:$G$3662,0)+COUNTIF('По дням'!$G$2:$G$3662,499)-1))</f>
        <v/>
      </c>
      <c r="D505" s="9">
        <f>IF(B505="","",C505-B505+1)</f>
        <v/>
      </c>
      <c r="E505" s="13">
        <f>IF(B505="","",INDEX('По дням'!$D$2:$D$3662,MATCH(499,'По дням'!$G$2:$G$3662,0)))</f>
        <v/>
      </c>
      <c r="F505" s="9">
        <f>IF(B505="","",INDEX('По дням'!$B$2:$B$3662,MATCH(499,'По дням'!$G$2:$G$3662,0)))</f>
        <v/>
      </c>
      <c r="G505" s="9">
        <f>IF(B505="","",INDEX('По дням'!$C$2:$C$3662,MATCH(499,'По дням'!$G$2:$G$3662,0)))</f>
        <v/>
      </c>
      <c r="H505" s="13">
        <f>IF(OR(B505="",F505=""),"",IF(J505="да",0,ROUND(E505*F505/100*D505/G505,2)))</f>
        <v/>
      </c>
      <c r="I505" s="13">
        <f>IF(B505="","",SUMIF(Оплаты!$A$6:$A$505,C505,Оплаты!$B$6:$B$505))</f>
        <v/>
      </c>
      <c r="J505" s="9">
        <f>IF(B505="","",IF(INDEX('По дням'!$E$2:$E$3662,MATCH(499,'По дням'!$G$2:$G$3662,0))=1,"да",""))</f>
        <v/>
      </c>
    </row>
    <row r="506">
      <c r="A506" s="9">
        <f>IF(B506="","",500)</f>
        <v/>
      </c>
      <c r="B506" s="12">
        <f>IFERROR(INDEX('По дням'!$A$2:$A$3662,MATCH(500,'По дням'!$G$2:$G$3662,0)),"")</f>
        <v/>
      </c>
      <c r="C506" s="12">
        <f>IF(B506="","",INDEX('По дням'!$A$2:$A$3662,MATCH(500,'По дням'!$G$2:$G$3662,0)+COUNTIF('По дням'!$G$2:$G$3662,500)-1))</f>
        <v/>
      </c>
      <c r="D506" s="9">
        <f>IF(B506="","",C506-B506+1)</f>
        <v/>
      </c>
      <c r="E506" s="13">
        <f>IF(B506="","",INDEX('По дням'!$D$2:$D$3662,MATCH(500,'По дням'!$G$2:$G$3662,0)))</f>
        <v/>
      </c>
      <c r="F506" s="9">
        <f>IF(B506="","",INDEX('По дням'!$B$2:$B$3662,MATCH(500,'По дням'!$G$2:$G$3662,0)))</f>
        <v/>
      </c>
      <c r="G506" s="9">
        <f>IF(B506="","",INDEX('По дням'!$C$2:$C$3662,MATCH(500,'По дням'!$G$2:$G$3662,0)))</f>
        <v/>
      </c>
      <c r="H506" s="13">
        <f>IF(OR(B506="",F506=""),"",IF(J506="да",0,ROUND(E506*F506/100*D506/G506,2)))</f>
        <v/>
      </c>
      <c r="I506" s="13">
        <f>IF(B506="","",SUMIF(Оплаты!$A$6:$A$505,C506,Оплаты!$B$6:$B$505))</f>
        <v/>
      </c>
      <c r="J506" s="9">
        <f>IF(B506="","",IF(INDEX('По дням'!$E$2:$E$3662,MATCH(500,'По дням'!$G$2:$G$3662,0))=1,"да",""))</f>
        <v/>
      </c>
    </row>
    <row r="507">
      <c r="A507" s="9">
        <f>IF(B507="","",501)</f>
        <v/>
      </c>
      <c r="B507" s="12">
        <f>IFERROR(INDEX('По дням'!$A$2:$A$3662,MATCH(501,'По дням'!$G$2:$G$3662,0)),"")</f>
        <v/>
      </c>
      <c r="C507" s="12">
        <f>IF(B507="","",INDEX('По дням'!$A$2:$A$3662,MATCH(501,'По дням'!$G$2:$G$3662,0)+COUNTIF('По дням'!$G$2:$G$3662,501)-1))</f>
        <v/>
      </c>
      <c r="D507" s="9">
        <f>IF(B507="","",C507-B507+1)</f>
        <v/>
      </c>
      <c r="E507" s="13">
        <f>IF(B507="","",INDEX('По дням'!$D$2:$D$3662,MATCH(501,'По дням'!$G$2:$G$3662,0)))</f>
        <v/>
      </c>
      <c r="F507" s="9">
        <f>IF(B507="","",INDEX('По дням'!$B$2:$B$3662,MATCH(501,'По дням'!$G$2:$G$3662,0)))</f>
        <v/>
      </c>
      <c r="G507" s="9">
        <f>IF(B507="","",INDEX('По дням'!$C$2:$C$3662,MATCH(501,'По дням'!$G$2:$G$3662,0)))</f>
        <v/>
      </c>
      <c r="H507" s="13">
        <f>IF(OR(B507="",F507=""),"",IF(J507="да",0,ROUND(E507*F507/100*D507/G507,2)))</f>
        <v/>
      </c>
      <c r="I507" s="13">
        <f>IF(B507="","",SUMIF(Оплаты!$A$6:$A$505,C507,Оплаты!$B$6:$B$505))</f>
        <v/>
      </c>
      <c r="J507" s="9">
        <f>IF(B507="","",IF(INDEX('По дням'!$E$2:$E$3662,MATCH(501,'По дням'!$G$2:$G$3662,0))=1,"да",""))</f>
        <v/>
      </c>
    </row>
    <row r="508">
      <c r="A508" s="9">
        <f>IF(B508="","",502)</f>
        <v/>
      </c>
      <c r="B508" s="12">
        <f>IFERROR(INDEX('По дням'!$A$2:$A$3662,MATCH(502,'По дням'!$G$2:$G$3662,0)),"")</f>
        <v/>
      </c>
      <c r="C508" s="12">
        <f>IF(B508="","",INDEX('По дням'!$A$2:$A$3662,MATCH(502,'По дням'!$G$2:$G$3662,0)+COUNTIF('По дням'!$G$2:$G$3662,502)-1))</f>
        <v/>
      </c>
      <c r="D508" s="9">
        <f>IF(B508="","",C508-B508+1)</f>
        <v/>
      </c>
      <c r="E508" s="13">
        <f>IF(B508="","",INDEX('По дням'!$D$2:$D$3662,MATCH(502,'По дням'!$G$2:$G$3662,0)))</f>
        <v/>
      </c>
      <c r="F508" s="9">
        <f>IF(B508="","",INDEX('По дням'!$B$2:$B$3662,MATCH(502,'По дням'!$G$2:$G$3662,0)))</f>
        <v/>
      </c>
      <c r="G508" s="9">
        <f>IF(B508="","",INDEX('По дням'!$C$2:$C$3662,MATCH(502,'По дням'!$G$2:$G$3662,0)))</f>
        <v/>
      </c>
      <c r="H508" s="13">
        <f>IF(OR(B508="",F508=""),"",IF(J508="да",0,ROUND(E508*F508/100*D508/G508,2)))</f>
        <v/>
      </c>
      <c r="I508" s="13">
        <f>IF(B508="","",SUMIF(Оплаты!$A$6:$A$505,C508,Оплаты!$B$6:$B$505))</f>
        <v/>
      </c>
      <c r="J508" s="9">
        <f>IF(B508="","",IF(INDEX('По дням'!$E$2:$E$3662,MATCH(502,'По дням'!$G$2:$G$3662,0))=1,"да",""))</f>
        <v/>
      </c>
    </row>
    <row r="509">
      <c r="A509" s="9">
        <f>IF(B509="","",503)</f>
        <v/>
      </c>
      <c r="B509" s="12">
        <f>IFERROR(INDEX('По дням'!$A$2:$A$3662,MATCH(503,'По дням'!$G$2:$G$3662,0)),"")</f>
        <v/>
      </c>
      <c r="C509" s="12">
        <f>IF(B509="","",INDEX('По дням'!$A$2:$A$3662,MATCH(503,'По дням'!$G$2:$G$3662,0)+COUNTIF('По дням'!$G$2:$G$3662,503)-1))</f>
        <v/>
      </c>
      <c r="D509" s="9">
        <f>IF(B509="","",C509-B509+1)</f>
        <v/>
      </c>
      <c r="E509" s="13">
        <f>IF(B509="","",INDEX('По дням'!$D$2:$D$3662,MATCH(503,'По дням'!$G$2:$G$3662,0)))</f>
        <v/>
      </c>
      <c r="F509" s="9">
        <f>IF(B509="","",INDEX('По дням'!$B$2:$B$3662,MATCH(503,'По дням'!$G$2:$G$3662,0)))</f>
        <v/>
      </c>
      <c r="G509" s="9">
        <f>IF(B509="","",INDEX('По дням'!$C$2:$C$3662,MATCH(503,'По дням'!$G$2:$G$3662,0)))</f>
        <v/>
      </c>
      <c r="H509" s="13">
        <f>IF(OR(B509="",F509=""),"",IF(J509="да",0,ROUND(E509*F509/100*D509/G509,2)))</f>
        <v/>
      </c>
      <c r="I509" s="13">
        <f>IF(B509="","",SUMIF(Оплаты!$A$6:$A$505,C509,Оплаты!$B$6:$B$505))</f>
        <v/>
      </c>
      <c r="J509" s="9">
        <f>IF(B509="","",IF(INDEX('По дням'!$E$2:$E$3662,MATCH(503,'По дням'!$G$2:$G$3662,0))=1,"да",""))</f>
        <v/>
      </c>
    </row>
    <row r="510">
      <c r="A510" s="9">
        <f>IF(B510="","",504)</f>
        <v/>
      </c>
      <c r="B510" s="12">
        <f>IFERROR(INDEX('По дням'!$A$2:$A$3662,MATCH(504,'По дням'!$G$2:$G$3662,0)),"")</f>
        <v/>
      </c>
      <c r="C510" s="12">
        <f>IF(B510="","",INDEX('По дням'!$A$2:$A$3662,MATCH(504,'По дням'!$G$2:$G$3662,0)+COUNTIF('По дням'!$G$2:$G$3662,504)-1))</f>
        <v/>
      </c>
      <c r="D510" s="9">
        <f>IF(B510="","",C510-B510+1)</f>
        <v/>
      </c>
      <c r="E510" s="13">
        <f>IF(B510="","",INDEX('По дням'!$D$2:$D$3662,MATCH(504,'По дням'!$G$2:$G$3662,0)))</f>
        <v/>
      </c>
      <c r="F510" s="9">
        <f>IF(B510="","",INDEX('По дням'!$B$2:$B$3662,MATCH(504,'По дням'!$G$2:$G$3662,0)))</f>
        <v/>
      </c>
      <c r="G510" s="9">
        <f>IF(B510="","",INDEX('По дням'!$C$2:$C$3662,MATCH(504,'По дням'!$G$2:$G$3662,0)))</f>
        <v/>
      </c>
      <c r="H510" s="13">
        <f>IF(OR(B510="",F510=""),"",IF(J510="да",0,ROUND(E510*F510/100*D510/G510,2)))</f>
        <v/>
      </c>
      <c r="I510" s="13">
        <f>IF(B510="","",SUMIF(Оплаты!$A$6:$A$505,C510,Оплаты!$B$6:$B$505))</f>
        <v/>
      </c>
      <c r="J510" s="9">
        <f>IF(B510="","",IF(INDEX('По дням'!$E$2:$E$3662,MATCH(504,'По дням'!$G$2:$G$3662,0))=1,"да",""))</f>
        <v/>
      </c>
    </row>
    <row r="511">
      <c r="A511" s="9">
        <f>IF(B511="","",505)</f>
        <v/>
      </c>
      <c r="B511" s="12">
        <f>IFERROR(INDEX('По дням'!$A$2:$A$3662,MATCH(505,'По дням'!$G$2:$G$3662,0)),"")</f>
        <v/>
      </c>
      <c r="C511" s="12">
        <f>IF(B511="","",INDEX('По дням'!$A$2:$A$3662,MATCH(505,'По дням'!$G$2:$G$3662,0)+COUNTIF('По дням'!$G$2:$G$3662,505)-1))</f>
        <v/>
      </c>
      <c r="D511" s="9">
        <f>IF(B511="","",C511-B511+1)</f>
        <v/>
      </c>
      <c r="E511" s="13">
        <f>IF(B511="","",INDEX('По дням'!$D$2:$D$3662,MATCH(505,'По дням'!$G$2:$G$3662,0)))</f>
        <v/>
      </c>
      <c r="F511" s="9">
        <f>IF(B511="","",INDEX('По дням'!$B$2:$B$3662,MATCH(505,'По дням'!$G$2:$G$3662,0)))</f>
        <v/>
      </c>
      <c r="G511" s="9">
        <f>IF(B511="","",INDEX('По дням'!$C$2:$C$3662,MATCH(505,'По дням'!$G$2:$G$3662,0)))</f>
        <v/>
      </c>
      <c r="H511" s="13">
        <f>IF(OR(B511="",F511=""),"",IF(J511="да",0,ROUND(E511*F511/100*D511/G511,2)))</f>
        <v/>
      </c>
      <c r="I511" s="13">
        <f>IF(B511="","",SUMIF(Оплаты!$A$6:$A$505,C511,Оплаты!$B$6:$B$505))</f>
        <v/>
      </c>
      <c r="J511" s="9">
        <f>IF(B511="","",IF(INDEX('По дням'!$E$2:$E$3662,MATCH(505,'По дням'!$G$2:$G$3662,0))=1,"да",""))</f>
        <v/>
      </c>
    </row>
    <row r="512">
      <c r="A512" s="9">
        <f>IF(B512="","",506)</f>
        <v/>
      </c>
      <c r="B512" s="12">
        <f>IFERROR(INDEX('По дням'!$A$2:$A$3662,MATCH(506,'По дням'!$G$2:$G$3662,0)),"")</f>
        <v/>
      </c>
      <c r="C512" s="12">
        <f>IF(B512="","",INDEX('По дням'!$A$2:$A$3662,MATCH(506,'По дням'!$G$2:$G$3662,0)+COUNTIF('По дням'!$G$2:$G$3662,506)-1))</f>
        <v/>
      </c>
      <c r="D512" s="9">
        <f>IF(B512="","",C512-B512+1)</f>
        <v/>
      </c>
      <c r="E512" s="13">
        <f>IF(B512="","",INDEX('По дням'!$D$2:$D$3662,MATCH(506,'По дням'!$G$2:$G$3662,0)))</f>
        <v/>
      </c>
      <c r="F512" s="9">
        <f>IF(B512="","",INDEX('По дням'!$B$2:$B$3662,MATCH(506,'По дням'!$G$2:$G$3662,0)))</f>
        <v/>
      </c>
      <c r="G512" s="9">
        <f>IF(B512="","",INDEX('По дням'!$C$2:$C$3662,MATCH(506,'По дням'!$G$2:$G$3662,0)))</f>
        <v/>
      </c>
      <c r="H512" s="13">
        <f>IF(OR(B512="",F512=""),"",IF(J512="да",0,ROUND(E512*F512/100*D512/G512,2)))</f>
        <v/>
      </c>
      <c r="I512" s="13">
        <f>IF(B512="","",SUMIF(Оплаты!$A$6:$A$505,C512,Оплаты!$B$6:$B$505))</f>
        <v/>
      </c>
      <c r="J512" s="9">
        <f>IF(B512="","",IF(INDEX('По дням'!$E$2:$E$3662,MATCH(506,'По дням'!$G$2:$G$3662,0))=1,"да",""))</f>
        <v/>
      </c>
    </row>
    <row r="513">
      <c r="A513" s="9">
        <f>IF(B513="","",507)</f>
        <v/>
      </c>
      <c r="B513" s="12">
        <f>IFERROR(INDEX('По дням'!$A$2:$A$3662,MATCH(507,'По дням'!$G$2:$G$3662,0)),"")</f>
        <v/>
      </c>
      <c r="C513" s="12">
        <f>IF(B513="","",INDEX('По дням'!$A$2:$A$3662,MATCH(507,'По дням'!$G$2:$G$3662,0)+COUNTIF('По дням'!$G$2:$G$3662,507)-1))</f>
        <v/>
      </c>
      <c r="D513" s="9">
        <f>IF(B513="","",C513-B513+1)</f>
        <v/>
      </c>
      <c r="E513" s="13">
        <f>IF(B513="","",INDEX('По дням'!$D$2:$D$3662,MATCH(507,'По дням'!$G$2:$G$3662,0)))</f>
        <v/>
      </c>
      <c r="F513" s="9">
        <f>IF(B513="","",INDEX('По дням'!$B$2:$B$3662,MATCH(507,'По дням'!$G$2:$G$3662,0)))</f>
        <v/>
      </c>
      <c r="G513" s="9">
        <f>IF(B513="","",INDEX('По дням'!$C$2:$C$3662,MATCH(507,'По дням'!$G$2:$G$3662,0)))</f>
        <v/>
      </c>
      <c r="H513" s="13">
        <f>IF(OR(B513="",F513=""),"",IF(J513="да",0,ROUND(E513*F513/100*D513/G513,2)))</f>
        <v/>
      </c>
      <c r="I513" s="13">
        <f>IF(B513="","",SUMIF(Оплаты!$A$6:$A$505,C513,Оплаты!$B$6:$B$505))</f>
        <v/>
      </c>
      <c r="J513" s="9">
        <f>IF(B513="","",IF(INDEX('По дням'!$E$2:$E$3662,MATCH(507,'По дням'!$G$2:$G$3662,0))=1,"да",""))</f>
        <v/>
      </c>
    </row>
    <row r="514">
      <c r="A514" s="9">
        <f>IF(B514="","",508)</f>
        <v/>
      </c>
      <c r="B514" s="12">
        <f>IFERROR(INDEX('По дням'!$A$2:$A$3662,MATCH(508,'По дням'!$G$2:$G$3662,0)),"")</f>
        <v/>
      </c>
      <c r="C514" s="12">
        <f>IF(B514="","",INDEX('По дням'!$A$2:$A$3662,MATCH(508,'По дням'!$G$2:$G$3662,0)+COUNTIF('По дням'!$G$2:$G$3662,508)-1))</f>
        <v/>
      </c>
      <c r="D514" s="9">
        <f>IF(B514="","",C514-B514+1)</f>
        <v/>
      </c>
      <c r="E514" s="13">
        <f>IF(B514="","",INDEX('По дням'!$D$2:$D$3662,MATCH(508,'По дням'!$G$2:$G$3662,0)))</f>
        <v/>
      </c>
      <c r="F514" s="9">
        <f>IF(B514="","",INDEX('По дням'!$B$2:$B$3662,MATCH(508,'По дням'!$G$2:$G$3662,0)))</f>
        <v/>
      </c>
      <c r="G514" s="9">
        <f>IF(B514="","",INDEX('По дням'!$C$2:$C$3662,MATCH(508,'По дням'!$G$2:$G$3662,0)))</f>
        <v/>
      </c>
      <c r="H514" s="13">
        <f>IF(OR(B514="",F514=""),"",IF(J514="да",0,ROUND(E514*F514/100*D514/G514,2)))</f>
        <v/>
      </c>
      <c r="I514" s="13">
        <f>IF(B514="","",SUMIF(Оплаты!$A$6:$A$505,C514,Оплаты!$B$6:$B$505))</f>
        <v/>
      </c>
      <c r="J514" s="9">
        <f>IF(B514="","",IF(INDEX('По дням'!$E$2:$E$3662,MATCH(508,'По дням'!$G$2:$G$3662,0))=1,"да",""))</f>
        <v/>
      </c>
    </row>
    <row r="515">
      <c r="A515" s="9">
        <f>IF(B515="","",509)</f>
        <v/>
      </c>
      <c r="B515" s="12">
        <f>IFERROR(INDEX('По дням'!$A$2:$A$3662,MATCH(509,'По дням'!$G$2:$G$3662,0)),"")</f>
        <v/>
      </c>
      <c r="C515" s="12">
        <f>IF(B515="","",INDEX('По дням'!$A$2:$A$3662,MATCH(509,'По дням'!$G$2:$G$3662,0)+COUNTIF('По дням'!$G$2:$G$3662,509)-1))</f>
        <v/>
      </c>
      <c r="D515" s="9">
        <f>IF(B515="","",C515-B515+1)</f>
        <v/>
      </c>
      <c r="E515" s="13">
        <f>IF(B515="","",INDEX('По дням'!$D$2:$D$3662,MATCH(509,'По дням'!$G$2:$G$3662,0)))</f>
        <v/>
      </c>
      <c r="F515" s="9">
        <f>IF(B515="","",INDEX('По дням'!$B$2:$B$3662,MATCH(509,'По дням'!$G$2:$G$3662,0)))</f>
        <v/>
      </c>
      <c r="G515" s="9">
        <f>IF(B515="","",INDEX('По дням'!$C$2:$C$3662,MATCH(509,'По дням'!$G$2:$G$3662,0)))</f>
        <v/>
      </c>
      <c r="H515" s="13">
        <f>IF(OR(B515="",F515=""),"",IF(J515="да",0,ROUND(E515*F515/100*D515/G515,2)))</f>
        <v/>
      </c>
      <c r="I515" s="13">
        <f>IF(B515="","",SUMIF(Оплаты!$A$6:$A$505,C515,Оплаты!$B$6:$B$505))</f>
        <v/>
      </c>
      <c r="J515" s="9">
        <f>IF(B515="","",IF(INDEX('По дням'!$E$2:$E$3662,MATCH(509,'По дням'!$G$2:$G$3662,0))=1,"да",""))</f>
        <v/>
      </c>
    </row>
    <row r="516">
      <c r="A516" s="9">
        <f>IF(B516="","",510)</f>
        <v/>
      </c>
      <c r="B516" s="12">
        <f>IFERROR(INDEX('По дням'!$A$2:$A$3662,MATCH(510,'По дням'!$G$2:$G$3662,0)),"")</f>
        <v/>
      </c>
      <c r="C516" s="12">
        <f>IF(B516="","",INDEX('По дням'!$A$2:$A$3662,MATCH(510,'По дням'!$G$2:$G$3662,0)+COUNTIF('По дням'!$G$2:$G$3662,510)-1))</f>
        <v/>
      </c>
      <c r="D516" s="9">
        <f>IF(B516="","",C516-B516+1)</f>
        <v/>
      </c>
      <c r="E516" s="13">
        <f>IF(B516="","",INDEX('По дням'!$D$2:$D$3662,MATCH(510,'По дням'!$G$2:$G$3662,0)))</f>
        <v/>
      </c>
      <c r="F516" s="9">
        <f>IF(B516="","",INDEX('По дням'!$B$2:$B$3662,MATCH(510,'По дням'!$G$2:$G$3662,0)))</f>
        <v/>
      </c>
      <c r="G516" s="9">
        <f>IF(B516="","",INDEX('По дням'!$C$2:$C$3662,MATCH(510,'По дням'!$G$2:$G$3662,0)))</f>
        <v/>
      </c>
      <c r="H516" s="13">
        <f>IF(OR(B516="",F516=""),"",IF(J516="да",0,ROUND(E516*F516/100*D516/G516,2)))</f>
        <v/>
      </c>
      <c r="I516" s="13">
        <f>IF(B516="","",SUMIF(Оплаты!$A$6:$A$505,C516,Оплаты!$B$6:$B$505))</f>
        <v/>
      </c>
      <c r="J516" s="9">
        <f>IF(B516="","",IF(INDEX('По дням'!$E$2:$E$3662,MATCH(510,'По дням'!$G$2:$G$3662,0))=1,"да",""))</f>
        <v/>
      </c>
    </row>
    <row r="517">
      <c r="A517" s="9">
        <f>IF(B517="","",511)</f>
        <v/>
      </c>
      <c r="B517" s="12">
        <f>IFERROR(INDEX('По дням'!$A$2:$A$3662,MATCH(511,'По дням'!$G$2:$G$3662,0)),"")</f>
        <v/>
      </c>
      <c r="C517" s="12">
        <f>IF(B517="","",INDEX('По дням'!$A$2:$A$3662,MATCH(511,'По дням'!$G$2:$G$3662,0)+COUNTIF('По дням'!$G$2:$G$3662,511)-1))</f>
        <v/>
      </c>
      <c r="D517" s="9">
        <f>IF(B517="","",C517-B517+1)</f>
        <v/>
      </c>
      <c r="E517" s="13">
        <f>IF(B517="","",INDEX('По дням'!$D$2:$D$3662,MATCH(511,'По дням'!$G$2:$G$3662,0)))</f>
        <v/>
      </c>
      <c r="F517" s="9">
        <f>IF(B517="","",INDEX('По дням'!$B$2:$B$3662,MATCH(511,'По дням'!$G$2:$G$3662,0)))</f>
        <v/>
      </c>
      <c r="G517" s="9">
        <f>IF(B517="","",INDEX('По дням'!$C$2:$C$3662,MATCH(511,'По дням'!$G$2:$G$3662,0)))</f>
        <v/>
      </c>
      <c r="H517" s="13">
        <f>IF(OR(B517="",F517=""),"",IF(J517="да",0,ROUND(E517*F517/100*D517/G517,2)))</f>
        <v/>
      </c>
      <c r="I517" s="13">
        <f>IF(B517="","",SUMIF(Оплаты!$A$6:$A$505,C517,Оплаты!$B$6:$B$505))</f>
        <v/>
      </c>
      <c r="J517" s="9">
        <f>IF(B517="","",IF(INDEX('По дням'!$E$2:$E$3662,MATCH(511,'По дням'!$G$2:$G$3662,0))=1,"да",""))</f>
        <v/>
      </c>
    </row>
    <row r="518">
      <c r="A518" s="9">
        <f>IF(B518="","",512)</f>
        <v/>
      </c>
      <c r="B518" s="12">
        <f>IFERROR(INDEX('По дням'!$A$2:$A$3662,MATCH(512,'По дням'!$G$2:$G$3662,0)),"")</f>
        <v/>
      </c>
      <c r="C518" s="12">
        <f>IF(B518="","",INDEX('По дням'!$A$2:$A$3662,MATCH(512,'По дням'!$G$2:$G$3662,0)+COUNTIF('По дням'!$G$2:$G$3662,512)-1))</f>
        <v/>
      </c>
      <c r="D518" s="9">
        <f>IF(B518="","",C518-B518+1)</f>
        <v/>
      </c>
      <c r="E518" s="13">
        <f>IF(B518="","",INDEX('По дням'!$D$2:$D$3662,MATCH(512,'По дням'!$G$2:$G$3662,0)))</f>
        <v/>
      </c>
      <c r="F518" s="9">
        <f>IF(B518="","",INDEX('По дням'!$B$2:$B$3662,MATCH(512,'По дням'!$G$2:$G$3662,0)))</f>
        <v/>
      </c>
      <c r="G518" s="9">
        <f>IF(B518="","",INDEX('По дням'!$C$2:$C$3662,MATCH(512,'По дням'!$G$2:$G$3662,0)))</f>
        <v/>
      </c>
      <c r="H518" s="13">
        <f>IF(OR(B518="",F518=""),"",IF(J518="да",0,ROUND(E518*F518/100*D518/G518,2)))</f>
        <v/>
      </c>
      <c r="I518" s="13">
        <f>IF(B518="","",SUMIF(Оплаты!$A$6:$A$505,C518,Оплаты!$B$6:$B$505))</f>
        <v/>
      </c>
      <c r="J518" s="9">
        <f>IF(B518="","",IF(INDEX('По дням'!$E$2:$E$3662,MATCH(512,'По дням'!$G$2:$G$3662,0))=1,"да",""))</f>
        <v/>
      </c>
    </row>
    <row r="519">
      <c r="A519" s="9">
        <f>IF(B519="","",513)</f>
        <v/>
      </c>
      <c r="B519" s="12">
        <f>IFERROR(INDEX('По дням'!$A$2:$A$3662,MATCH(513,'По дням'!$G$2:$G$3662,0)),"")</f>
        <v/>
      </c>
      <c r="C519" s="12">
        <f>IF(B519="","",INDEX('По дням'!$A$2:$A$3662,MATCH(513,'По дням'!$G$2:$G$3662,0)+COUNTIF('По дням'!$G$2:$G$3662,513)-1))</f>
        <v/>
      </c>
      <c r="D519" s="9">
        <f>IF(B519="","",C519-B519+1)</f>
        <v/>
      </c>
      <c r="E519" s="13">
        <f>IF(B519="","",INDEX('По дням'!$D$2:$D$3662,MATCH(513,'По дням'!$G$2:$G$3662,0)))</f>
        <v/>
      </c>
      <c r="F519" s="9">
        <f>IF(B519="","",INDEX('По дням'!$B$2:$B$3662,MATCH(513,'По дням'!$G$2:$G$3662,0)))</f>
        <v/>
      </c>
      <c r="G519" s="9">
        <f>IF(B519="","",INDEX('По дням'!$C$2:$C$3662,MATCH(513,'По дням'!$G$2:$G$3662,0)))</f>
        <v/>
      </c>
      <c r="H519" s="13">
        <f>IF(OR(B519="",F519=""),"",IF(J519="да",0,ROUND(E519*F519/100*D519/G519,2)))</f>
        <v/>
      </c>
      <c r="I519" s="13">
        <f>IF(B519="","",SUMIF(Оплаты!$A$6:$A$505,C519,Оплаты!$B$6:$B$505))</f>
        <v/>
      </c>
      <c r="J519" s="9">
        <f>IF(B519="","",IF(INDEX('По дням'!$E$2:$E$3662,MATCH(513,'По дням'!$G$2:$G$3662,0))=1,"да",""))</f>
        <v/>
      </c>
    </row>
    <row r="520">
      <c r="A520" s="9">
        <f>IF(B520="","",514)</f>
        <v/>
      </c>
      <c r="B520" s="12">
        <f>IFERROR(INDEX('По дням'!$A$2:$A$3662,MATCH(514,'По дням'!$G$2:$G$3662,0)),"")</f>
        <v/>
      </c>
      <c r="C520" s="12">
        <f>IF(B520="","",INDEX('По дням'!$A$2:$A$3662,MATCH(514,'По дням'!$G$2:$G$3662,0)+COUNTIF('По дням'!$G$2:$G$3662,514)-1))</f>
        <v/>
      </c>
      <c r="D520" s="9">
        <f>IF(B520="","",C520-B520+1)</f>
        <v/>
      </c>
      <c r="E520" s="13">
        <f>IF(B520="","",INDEX('По дням'!$D$2:$D$3662,MATCH(514,'По дням'!$G$2:$G$3662,0)))</f>
        <v/>
      </c>
      <c r="F520" s="9">
        <f>IF(B520="","",INDEX('По дням'!$B$2:$B$3662,MATCH(514,'По дням'!$G$2:$G$3662,0)))</f>
        <v/>
      </c>
      <c r="G520" s="9">
        <f>IF(B520="","",INDEX('По дням'!$C$2:$C$3662,MATCH(514,'По дням'!$G$2:$G$3662,0)))</f>
        <v/>
      </c>
      <c r="H520" s="13">
        <f>IF(OR(B520="",F520=""),"",IF(J520="да",0,ROUND(E520*F520/100*D520/G520,2)))</f>
        <v/>
      </c>
      <c r="I520" s="13">
        <f>IF(B520="","",SUMIF(Оплаты!$A$6:$A$505,C520,Оплаты!$B$6:$B$505))</f>
        <v/>
      </c>
      <c r="J520" s="9">
        <f>IF(B520="","",IF(INDEX('По дням'!$E$2:$E$3662,MATCH(514,'По дням'!$G$2:$G$3662,0))=1,"да",""))</f>
        <v/>
      </c>
    </row>
    <row r="521">
      <c r="A521" s="9">
        <f>IF(B521="","",515)</f>
        <v/>
      </c>
      <c r="B521" s="12">
        <f>IFERROR(INDEX('По дням'!$A$2:$A$3662,MATCH(515,'По дням'!$G$2:$G$3662,0)),"")</f>
        <v/>
      </c>
      <c r="C521" s="12">
        <f>IF(B521="","",INDEX('По дням'!$A$2:$A$3662,MATCH(515,'По дням'!$G$2:$G$3662,0)+COUNTIF('По дням'!$G$2:$G$3662,515)-1))</f>
        <v/>
      </c>
      <c r="D521" s="9">
        <f>IF(B521="","",C521-B521+1)</f>
        <v/>
      </c>
      <c r="E521" s="13">
        <f>IF(B521="","",INDEX('По дням'!$D$2:$D$3662,MATCH(515,'По дням'!$G$2:$G$3662,0)))</f>
        <v/>
      </c>
      <c r="F521" s="9">
        <f>IF(B521="","",INDEX('По дням'!$B$2:$B$3662,MATCH(515,'По дням'!$G$2:$G$3662,0)))</f>
        <v/>
      </c>
      <c r="G521" s="9">
        <f>IF(B521="","",INDEX('По дням'!$C$2:$C$3662,MATCH(515,'По дням'!$G$2:$G$3662,0)))</f>
        <v/>
      </c>
      <c r="H521" s="13">
        <f>IF(OR(B521="",F521=""),"",IF(J521="да",0,ROUND(E521*F521/100*D521/G521,2)))</f>
        <v/>
      </c>
      <c r="I521" s="13">
        <f>IF(B521="","",SUMIF(Оплаты!$A$6:$A$505,C521,Оплаты!$B$6:$B$505))</f>
        <v/>
      </c>
      <c r="J521" s="9">
        <f>IF(B521="","",IF(INDEX('По дням'!$E$2:$E$3662,MATCH(515,'По дням'!$G$2:$G$3662,0))=1,"да",""))</f>
        <v/>
      </c>
    </row>
    <row r="522">
      <c r="A522" s="9">
        <f>IF(B522="","",516)</f>
        <v/>
      </c>
      <c r="B522" s="12">
        <f>IFERROR(INDEX('По дням'!$A$2:$A$3662,MATCH(516,'По дням'!$G$2:$G$3662,0)),"")</f>
        <v/>
      </c>
      <c r="C522" s="12">
        <f>IF(B522="","",INDEX('По дням'!$A$2:$A$3662,MATCH(516,'По дням'!$G$2:$G$3662,0)+COUNTIF('По дням'!$G$2:$G$3662,516)-1))</f>
        <v/>
      </c>
      <c r="D522" s="9">
        <f>IF(B522="","",C522-B522+1)</f>
        <v/>
      </c>
      <c r="E522" s="13">
        <f>IF(B522="","",INDEX('По дням'!$D$2:$D$3662,MATCH(516,'По дням'!$G$2:$G$3662,0)))</f>
        <v/>
      </c>
      <c r="F522" s="9">
        <f>IF(B522="","",INDEX('По дням'!$B$2:$B$3662,MATCH(516,'По дням'!$G$2:$G$3662,0)))</f>
        <v/>
      </c>
      <c r="G522" s="9">
        <f>IF(B522="","",INDEX('По дням'!$C$2:$C$3662,MATCH(516,'По дням'!$G$2:$G$3662,0)))</f>
        <v/>
      </c>
      <c r="H522" s="13">
        <f>IF(OR(B522="",F522=""),"",IF(J522="да",0,ROUND(E522*F522/100*D522/G522,2)))</f>
        <v/>
      </c>
      <c r="I522" s="13">
        <f>IF(B522="","",SUMIF(Оплаты!$A$6:$A$505,C522,Оплаты!$B$6:$B$505))</f>
        <v/>
      </c>
      <c r="J522" s="9">
        <f>IF(B522="","",IF(INDEX('По дням'!$E$2:$E$3662,MATCH(516,'По дням'!$G$2:$G$3662,0))=1,"да",""))</f>
        <v/>
      </c>
    </row>
    <row r="523">
      <c r="A523" s="9">
        <f>IF(B523="","",517)</f>
        <v/>
      </c>
      <c r="B523" s="12">
        <f>IFERROR(INDEX('По дням'!$A$2:$A$3662,MATCH(517,'По дням'!$G$2:$G$3662,0)),"")</f>
        <v/>
      </c>
      <c r="C523" s="12">
        <f>IF(B523="","",INDEX('По дням'!$A$2:$A$3662,MATCH(517,'По дням'!$G$2:$G$3662,0)+COUNTIF('По дням'!$G$2:$G$3662,517)-1))</f>
        <v/>
      </c>
      <c r="D523" s="9">
        <f>IF(B523="","",C523-B523+1)</f>
        <v/>
      </c>
      <c r="E523" s="13">
        <f>IF(B523="","",INDEX('По дням'!$D$2:$D$3662,MATCH(517,'По дням'!$G$2:$G$3662,0)))</f>
        <v/>
      </c>
      <c r="F523" s="9">
        <f>IF(B523="","",INDEX('По дням'!$B$2:$B$3662,MATCH(517,'По дням'!$G$2:$G$3662,0)))</f>
        <v/>
      </c>
      <c r="G523" s="9">
        <f>IF(B523="","",INDEX('По дням'!$C$2:$C$3662,MATCH(517,'По дням'!$G$2:$G$3662,0)))</f>
        <v/>
      </c>
      <c r="H523" s="13">
        <f>IF(OR(B523="",F523=""),"",IF(J523="да",0,ROUND(E523*F523/100*D523/G523,2)))</f>
        <v/>
      </c>
      <c r="I523" s="13">
        <f>IF(B523="","",SUMIF(Оплаты!$A$6:$A$505,C523,Оплаты!$B$6:$B$505))</f>
        <v/>
      </c>
      <c r="J523" s="9">
        <f>IF(B523="","",IF(INDEX('По дням'!$E$2:$E$3662,MATCH(517,'По дням'!$G$2:$G$3662,0))=1,"да",""))</f>
        <v/>
      </c>
    </row>
    <row r="524">
      <c r="A524" s="9">
        <f>IF(B524="","",518)</f>
        <v/>
      </c>
      <c r="B524" s="12">
        <f>IFERROR(INDEX('По дням'!$A$2:$A$3662,MATCH(518,'По дням'!$G$2:$G$3662,0)),"")</f>
        <v/>
      </c>
      <c r="C524" s="12">
        <f>IF(B524="","",INDEX('По дням'!$A$2:$A$3662,MATCH(518,'По дням'!$G$2:$G$3662,0)+COUNTIF('По дням'!$G$2:$G$3662,518)-1))</f>
        <v/>
      </c>
      <c r="D524" s="9">
        <f>IF(B524="","",C524-B524+1)</f>
        <v/>
      </c>
      <c r="E524" s="13">
        <f>IF(B524="","",INDEX('По дням'!$D$2:$D$3662,MATCH(518,'По дням'!$G$2:$G$3662,0)))</f>
        <v/>
      </c>
      <c r="F524" s="9">
        <f>IF(B524="","",INDEX('По дням'!$B$2:$B$3662,MATCH(518,'По дням'!$G$2:$G$3662,0)))</f>
        <v/>
      </c>
      <c r="G524" s="9">
        <f>IF(B524="","",INDEX('По дням'!$C$2:$C$3662,MATCH(518,'По дням'!$G$2:$G$3662,0)))</f>
        <v/>
      </c>
      <c r="H524" s="13">
        <f>IF(OR(B524="",F524=""),"",IF(J524="да",0,ROUND(E524*F524/100*D524/G524,2)))</f>
        <v/>
      </c>
      <c r="I524" s="13">
        <f>IF(B524="","",SUMIF(Оплаты!$A$6:$A$505,C524,Оплаты!$B$6:$B$505))</f>
        <v/>
      </c>
      <c r="J524" s="9">
        <f>IF(B524="","",IF(INDEX('По дням'!$E$2:$E$3662,MATCH(518,'По дням'!$G$2:$G$3662,0))=1,"да",""))</f>
        <v/>
      </c>
    </row>
    <row r="525">
      <c r="A525" s="9">
        <f>IF(B525="","",519)</f>
        <v/>
      </c>
      <c r="B525" s="12">
        <f>IFERROR(INDEX('По дням'!$A$2:$A$3662,MATCH(519,'По дням'!$G$2:$G$3662,0)),"")</f>
        <v/>
      </c>
      <c r="C525" s="12">
        <f>IF(B525="","",INDEX('По дням'!$A$2:$A$3662,MATCH(519,'По дням'!$G$2:$G$3662,0)+COUNTIF('По дням'!$G$2:$G$3662,519)-1))</f>
        <v/>
      </c>
      <c r="D525" s="9">
        <f>IF(B525="","",C525-B525+1)</f>
        <v/>
      </c>
      <c r="E525" s="13">
        <f>IF(B525="","",INDEX('По дням'!$D$2:$D$3662,MATCH(519,'По дням'!$G$2:$G$3662,0)))</f>
        <v/>
      </c>
      <c r="F525" s="9">
        <f>IF(B525="","",INDEX('По дням'!$B$2:$B$3662,MATCH(519,'По дням'!$G$2:$G$3662,0)))</f>
        <v/>
      </c>
      <c r="G525" s="9">
        <f>IF(B525="","",INDEX('По дням'!$C$2:$C$3662,MATCH(519,'По дням'!$G$2:$G$3662,0)))</f>
        <v/>
      </c>
      <c r="H525" s="13">
        <f>IF(OR(B525="",F525=""),"",IF(J525="да",0,ROUND(E525*F525/100*D525/G525,2)))</f>
        <v/>
      </c>
      <c r="I525" s="13">
        <f>IF(B525="","",SUMIF(Оплаты!$A$6:$A$505,C525,Оплаты!$B$6:$B$505))</f>
        <v/>
      </c>
      <c r="J525" s="9">
        <f>IF(B525="","",IF(INDEX('По дням'!$E$2:$E$3662,MATCH(519,'По дням'!$G$2:$G$3662,0))=1,"да",""))</f>
        <v/>
      </c>
    </row>
    <row r="526">
      <c r="A526" s="9">
        <f>IF(B526="","",520)</f>
        <v/>
      </c>
      <c r="B526" s="12">
        <f>IFERROR(INDEX('По дням'!$A$2:$A$3662,MATCH(520,'По дням'!$G$2:$G$3662,0)),"")</f>
        <v/>
      </c>
      <c r="C526" s="12">
        <f>IF(B526="","",INDEX('По дням'!$A$2:$A$3662,MATCH(520,'По дням'!$G$2:$G$3662,0)+COUNTIF('По дням'!$G$2:$G$3662,520)-1))</f>
        <v/>
      </c>
      <c r="D526" s="9">
        <f>IF(B526="","",C526-B526+1)</f>
        <v/>
      </c>
      <c r="E526" s="13">
        <f>IF(B526="","",INDEX('По дням'!$D$2:$D$3662,MATCH(520,'По дням'!$G$2:$G$3662,0)))</f>
        <v/>
      </c>
      <c r="F526" s="9">
        <f>IF(B526="","",INDEX('По дням'!$B$2:$B$3662,MATCH(520,'По дням'!$G$2:$G$3662,0)))</f>
        <v/>
      </c>
      <c r="G526" s="9">
        <f>IF(B526="","",INDEX('По дням'!$C$2:$C$3662,MATCH(520,'По дням'!$G$2:$G$3662,0)))</f>
        <v/>
      </c>
      <c r="H526" s="13">
        <f>IF(OR(B526="",F526=""),"",IF(J526="да",0,ROUND(E526*F526/100*D526/G526,2)))</f>
        <v/>
      </c>
      <c r="I526" s="13">
        <f>IF(B526="","",SUMIF(Оплаты!$A$6:$A$505,C526,Оплаты!$B$6:$B$505))</f>
        <v/>
      </c>
      <c r="J526" s="9">
        <f>IF(B526="","",IF(INDEX('По дням'!$E$2:$E$3662,MATCH(520,'По дням'!$G$2:$G$3662,0))=1,"да",""))</f>
        <v/>
      </c>
    </row>
    <row r="527">
      <c r="A527" s="9">
        <f>IF(B527="","",521)</f>
        <v/>
      </c>
      <c r="B527" s="12">
        <f>IFERROR(INDEX('По дням'!$A$2:$A$3662,MATCH(521,'По дням'!$G$2:$G$3662,0)),"")</f>
        <v/>
      </c>
      <c r="C527" s="12">
        <f>IF(B527="","",INDEX('По дням'!$A$2:$A$3662,MATCH(521,'По дням'!$G$2:$G$3662,0)+COUNTIF('По дням'!$G$2:$G$3662,521)-1))</f>
        <v/>
      </c>
      <c r="D527" s="9">
        <f>IF(B527="","",C527-B527+1)</f>
        <v/>
      </c>
      <c r="E527" s="13">
        <f>IF(B527="","",INDEX('По дням'!$D$2:$D$3662,MATCH(521,'По дням'!$G$2:$G$3662,0)))</f>
        <v/>
      </c>
      <c r="F527" s="9">
        <f>IF(B527="","",INDEX('По дням'!$B$2:$B$3662,MATCH(521,'По дням'!$G$2:$G$3662,0)))</f>
        <v/>
      </c>
      <c r="G527" s="9">
        <f>IF(B527="","",INDEX('По дням'!$C$2:$C$3662,MATCH(521,'По дням'!$G$2:$G$3662,0)))</f>
        <v/>
      </c>
      <c r="H527" s="13">
        <f>IF(OR(B527="",F527=""),"",IF(J527="да",0,ROUND(E527*F527/100*D527/G527,2)))</f>
        <v/>
      </c>
      <c r="I527" s="13">
        <f>IF(B527="","",SUMIF(Оплаты!$A$6:$A$505,C527,Оплаты!$B$6:$B$505))</f>
        <v/>
      </c>
      <c r="J527" s="9">
        <f>IF(B527="","",IF(INDEX('По дням'!$E$2:$E$3662,MATCH(521,'По дням'!$G$2:$G$3662,0))=1,"да",""))</f>
        <v/>
      </c>
    </row>
    <row r="528">
      <c r="A528" s="9">
        <f>IF(B528="","",522)</f>
        <v/>
      </c>
      <c r="B528" s="12">
        <f>IFERROR(INDEX('По дням'!$A$2:$A$3662,MATCH(522,'По дням'!$G$2:$G$3662,0)),"")</f>
        <v/>
      </c>
      <c r="C528" s="12">
        <f>IF(B528="","",INDEX('По дням'!$A$2:$A$3662,MATCH(522,'По дням'!$G$2:$G$3662,0)+COUNTIF('По дням'!$G$2:$G$3662,522)-1))</f>
        <v/>
      </c>
      <c r="D528" s="9">
        <f>IF(B528="","",C528-B528+1)</f>
        <v/>
      </c>
      <c r="E528" s="13">
        <f>IF(B528="","",INDEX('По дням'!$D$2:$D$3662,MATCH(522,'По дням'!$G$2:$G$3662,0)))</f>
        <v/>
      </c>
      <c r="F528" s="9">
        <f>IF(B528="","",INDEX('По дням'!$B$2:$B$3662,MATCH(522,'По дням'!$G$2:$G$3662,0)))</f>
        <v/>
      </c>
      <c r="G528" s="9">
        <f>IF(B528="","",INDEX('По дням'!$C$2:$C$3662,MATCH(522,'По дням'!$G$2:$G$3662,0)))</f>
        <v/>
      </c>
      <c r="H528" s="13">
        <f>IF(OR(B528="",F528=""),"",IF(J528="да",0,ROUND(E528*F528/100*D528/G528,2)))</f>
        <v/>
      </c>
      <c r="I528" s="13">
        <f>IF(B528="","",SUMIF(Оплаты!$A$6:$A$505,C528,Оплаты!$B$6:$B$505))</f>
        <v/>
      </c>
      <c r="J528" s="9">
        <f>IF(B528="","",IF(INDEX('По дням'!$E$2:$E$3662,MATCH(522,'По дням'!$G$2:$G$3662,0))=1,"да",""))</f>
        <v/>
      </c>
    </row>
    <row r="529">
      <c r="A529" s="9">
        <f>IF(B529="","",523)</f>
        <v/>
      </c>
      <c r="B529" s="12">
        <f>IFERROR(INDEX('По дням'!$A$2:$A$3662,MATCH(523,'По дням'!$G$2:$G$3662,0)),"")</f>
        <v/>
      </c>
      <c r="C529" s="12">
        <f>IF(B529="","",INDEX('По дням'!$A$2:$A$3662,MATCH(523,'По дням'!$G$2:$G$3662,0)+COUNTIF('По дням'!$G$2:$G$3662,523)-1))</f>
        <v/>
      </c>
      <c r="D529" s="9">
        <f>IF(B529="","",C529-B529+1)</f>
        <v/>
      </c>
      <c r="E529" s="13">
        <f>IF(B529="","",INDEX('По дням'!$D$2:$D$3662,MATCH(523,'По дням'!$G$2:$G$3662,0)))</f>
        <v/>
      </c>
      <c r="F529" s="9">
        <f>IF(B529="","",INDEX('По дням'!$B$2:$B$3662,MATCH(523,'По дням'!$G$2:$G$3662,0)))</f>
        <v/>
      </c>
      <c r="G529" s="9">
        <f>IF(B529="","",INDEX('По дням'!$C$2:$C$3662,MATCH(523,'По дням'!$G$2:$G$3662,0)))</f>
        <v/>
      </c>
      <c r="H529" s="13">
        <f>IF(OR(B529="",F529=""),"",IF(J529="да",0,ROUND(E529*F529/100*D529/G529,2)))</f>
        <v/>
      </c>
      <c r="I529" s="13">
        <f>IF(B529="","",SUMIF(Оплаты!$A$6:$A$505,C529,Оплаты!$B$6:$B$505))</f>
        <v/>
      </c>
      <c r="J529" s="9">
        <f>IF(B529="","",IF(INDEX('По дням'!$E$2:$E$3662,MATCH(523,'По дням'!$G$2:$G$3662,0))=1,"да",""))</f>
        <v/>
      </c>
    </row>
    <row r="530">
      <c r="A530" s="9">
        <f>IF(B530="","",524)</f>
        <v/>
      </c>
      <c r="B530" s="12">
        <f>IFERROR(INDEX('По дням'!$A$2:$A$3662,MATCH(524,'По дням'!$G$2:$G$3662,0)),"")</f>
        <v/>
      </c>
      <c r="C530" s="12">
        <f>IF(B530="","",INDEX('По дням'!$A$2:$A$3662,MATCH(524,'По дням'!$G$2:$G$3662,0)+COUNTIF('По дням'!$G$2:$G$3662,524)-1))</f>
        <v/>
      </c>
      <c r="D530" s="9">
        <f>IF(B530="","",C530-B530+1)</f>
        <v/>
      </c>
      <c r="E530" s="13">
        <f>IF(B530="","",INDEX('По дням'!$D$2:$D$3662,MATCH(524,'По дням'!$G$2:$G$3662,0)))</f>
        <v/>
      </c>
      <c r="F530" s="9">
        <f>IF(B530="","",INDEX('По дням'!$B$2:$B$3662,MATCH(524,'По дням'!$G$2:$G$3662,0)))</f>
        <v/>
      </c>
      <c r="G530" s="9">
        <f>IF(B530="","",INDEX('По дням'!$C$2:$C$3662,MATCH(524,'По дням'!$G$2:$G$3662,0)))</f>
        <v/>
      </c>
      <c r="H530" s="13">
        <f>IF(OR(B530="",F530=""),"",IF(J530="да",0,ROUND(E530*F530/100*D530/G530,2)))</f>
        <v/>
      </c>
      <c r="I530" s="13">
        <f>IF(B530="","",SUMIF(Оплаты!$A$6:$A$505,C530,Оплаты!$B$6:$B$505))</f>
        <v/>
      </c>
      <c r="J530" s="9">
        <f>IF(B530="","",IF(INDEX('По дням'!$E$2:$E$3662,MATCH(524,'По дням'!$G$2:$G$3662,0))=1,"да",""))</f>
        <v/>
      </c>
    </row>
    <row r="531">
      <c r="A531" s="9">
        <f>IF(B531="","",525)</f>
        <v/>
      </c>
      <c r="B531" s="12">
        <f>IFERROR(INDEX('По дням'!$A$2:$A$3662,MATCH(525,'По дням'!$G$2:$G$3662,0)),"")</f>
        <v/>
      </c>
      <c r="C531" s="12">
        <f>IF(B531="","",INDEX('По дням'!$A$2:$A$3662,MATCH(525,'По дням'!$G$2:$G$3662,0)+COUNTIF('По дням'!$G$2:$G$3662,525)-1))</f>
        <v/>
      </c>
      <c r="D531" s="9">
        <f>IF(B531="","",C531-B531+1)</f>
        <v/>
      </c>
      <c r="E531" s="13">
        <f>IF(B531="","",INDEX('По дням'!$D$2:$D$3662,MATCH(525,'По дням'!$G$2:$G$3662,0)))</f>
        <v/>
      </c>
      <c r="F531" s="9">
        <f>IF(B531="","",INDEX('По дням'!$B$2:$B$3662,MATCH(525,'По дням'!$G$2:$G$3662,0)))</f>
        <v/>
      </c>
      <c r="G531" s="9">
        <f>IF(B531="","",INDEX('По дням'!$C$2:$C$3662,MATCH(525,'По дням'!$G$2:$G$3662,0)))</f>
        <v/>
      </c>
      <c r="H531" s="13">
        <f>IF(OR(B531="",F531=""),"",IF(J531="да",0,ROUND(E531*F531/100*D531/G531,2)))</f>
        <v/>
      </c>
      <c r="I531" s="13">
        <f>IF(B531="","",SUMIF(Оплаты!$A$6:$A$505,C531,Оплаты!$B$6:$B$505))</f>
        <v/>
      </c>
      <c r="J531" s="9">
        <f>IF(B531="","",IF(INDEX('По дням'!$E$2:$E$3662,MATCH(525,'По дням'!$G$2:$G$3662,0))=1,"да",""))</f>
        <v/>
      </c>
    </row>
    <row r="532">
      <c r="A532" s="9">
        <f>IF(B532="","",526)</f>
        <v/>
      </c>
      <c r="B532" s="12">
        <f>IFERROR(INDEX('По дням'!$A$2:$A$3662,MATCH(526,'По дням'!$G$2:$G$3662,0)),"")</f>
        <v/>
      </c>
      <c r="C532" s="12">
        <f>IF(B532="","",INDEX('По дням'!$A$2:$A$3662,MATCH(526,'По дням'!$G$2:$G$3662,0)+COUNTIF('По дням'!$G$2:$G$3662,526)-1))</f>
        <v/>
      </c>
      <c r="D532" s="9">
        <f>IF(B532="","",C532-B532+1)</f>
        <v/>
      </c>
      <c r="E532" s="13">
        <f>IF(B532="","",INDEX('По дням'!$D$2:$D$3662,MATCH(526,'По дням'!$G$2:$G$3662,0)))</f>
        <v/>
      </c>
      <c r="F532" s="9">
        <f>IF(B532="","",INDEX('По дням'!$B$2:$B$3662,MATCH(526,'По дням'!$G$2:$G$3662,0)))</f>
        <v/>
      </c>
      <c r="G532" s="9">
        <f>IF(B532="","",INDEX('По дням'!$C$2:$C$3662,MATCH(526,'По дням'!$G$2:$G$3662,0)))</f>
        <v/>
      </c>
      <c r="H532" s="13">
        <f>IF(OR(B532="",F532=""),"",IF(J532="да",0,ROUND(E532*F532/100*D532/G532,2)))</f>
        <v/>
      </c>
      <c r="I532" s="13">
        <f>IF(B532="","",SUMIF(Оплаты!$A$6:$A$505,C532,Оплаты!$B$6:$B$505))</f>
        <v/>
      </c>
      <c r="J532" s="9">
        <f>IF(B532="","",IF(INDEX('По дням'!$E$2:$E$3662,MATCH(526,'По дням'!$G$2:$G$3662,0))=1,"да",""))</f>
        <v/>
      </c>
    </row>
    <row r="533">
      <c r="A533" s="9">
        <f>IF(B533="","",527)</f>
        <v/>
      </c>
      <c r="B533" s="12">
        <f>IFERROR(INDEX('По дням'!$A$2:$A$3662,MATCH(527,'По дням'!$G$2:$G$3662,0)),"")</f>
        <v/>
      </c>
      <c r="C533" s="12">
        <f>IF(B533="","",INDEX('По дням'!$A$2:$A$3662,MATCH(527,'По дням'!$G$2:$G$3662,0)+COUNTIF('По дням'!$G$2:$G$3662,527)-1))</f>
        <v/>
      </c>
      <c r="D533" s="9">
        <f>IF(B533="","",C533-B533+1)</f>
        <v/>
      </c>
      <c r="E533" s="13">
        <f>IF(B533="","",INDEX('По дням'!$D$2:$D$3662,MATCH(527,'По дням'!$G$2:$G$3662,0)))</f>
        <v/>
      </c>
      <c r="F533" s="9">
        <f>IF(B533="","",INDEX('По дням'!$B$2:$B$3662,MATCH(527,'По дням'!$G$2:$G$3662,0)))</f>
        <v/>
      </c>
      <c r="G533" s="9">
        <f>IF(B533="","",INDEX('По дням'!$C$2:$C$3662,MATCH(527,'По дням'!$G$2:$G$3662,0)))</f>
        <v/>
      </c>
      <c r="H533" s="13">
        <f>IF(OR(B533="",F533=""),"",IF(J533="да",0,ROUND(E533*F533/100*D533/G533,2)))</f>
        <v/>
      </c>
      <c r="I533" s="13">
        <f>IF(B533="","",SUMIF(Оплаты!$A$6:$A$505,C533,Оплаты!$B$6:$B$505))</f>
        <v/>
      </c>
      <c r="J533" s="9">
        <f>IF(B533="","",IF(INDEX('По дням'!$E$2:$E$3662,MATCH(527,'По дням'!$G$2:$G$3662,0))=1,"да",""))</f>
        <v/>
      </c>
    </row>
    <row r="534">
      <c r="A534" s="9">
        <f>IF(B534="","",528)</f>
        <v/>
      </c>
      <c r="B534" s="12">
        <f>IFERROR(INDEX('По дням'!$A$2:$A$3662,MATCH(528,'По дням'!$G$2:$G$3662,0)),"")</f>
        <v/>
      </c>
      <c r="C534" s="12">
        <f>IF(B534="","",INDEX('По дням'!$A$2:$A$3662,MATCH(528,'По дням'!$G$2:$G$3662,0)+COUNTIF('По дням'!$G$2:$G$3662,528)-1))</f>
        <v/>
      </c>
      <c r="D534" s="9">
        <f>IF(B534="","",C534-B534+1)</f>
        <v/>
      </c>
      <c r="E534" s="13">
        <f>IF(B534="","",INDEX('По дням'!$D$2:$D$3662,MATCH(528,'По дням'!$G$2:$G$3662,0)))</f>
        <v/>
      </c>
      <c r="F534" s="9">
        <f>IF(B534="","",INDEX('По дням'!$B$2:$B$3662,MATCH(528,'По дням'!$G$2:$G$3662,0)))</f>
        <v/>
      </c>
      <c r="G534" s="9">
        <f>IF(B534="","",INDEX('По дням'!$C$2:$C$3662,MATCH(528,'По дням'!$G$2:$G$3662,0)))</f>
        <v/>
      </c>
      <c r="H534" s="13">
        <f>IF(OR(B534="",F534=""),"",IF(J534="да",0,ROUND(E534*F534/100*D534/G534,2)))</f>
        <v/>
      </c>
      <c r="I534" s="13">
        <f>IF(B534="","",SUMIF(Оплаты!$A$6:$A$505,C534,Оплаты!$B$6:$B$505))</f>
        <v/>
      </c>
      <c r="J534" s="9">
        <f>IF(B534="","",IF(INDEX('По дням'!$E$2:$E$3662,MATCH(528,'По дням'!$G$2:$G$3662,0))=1,"да",""))</f>
        <v/>
      </c>
    </row>
    <row r="535">
      <c r="A535" s="9">
        <f>IF(B535="","",529)</f>
        <v/>
      </c>
      <c r="B535" s="12">
        <f>IFERROR(INDEX('По дням'!$A$2:$A$3662,MATCH(529,'По дням'!$G$2:$G$3662,0)),"")</f>
        <v/>
      </c>
      <c r="C535" s="12">
        <f>IF(B535="","",INDEX('По дням'!$A$2:$A$3662,MATCH(529,'По дням'!$G$2:$G$3662,0)+COUNTIF('По дням'!$G$2:$G$3662,529)-1))</f>
        <v/>
      </c>
      <c r="D535" s="9">
        <f>IF(B535="","",C535-B535+1)</f>
        <v/>
      </c>
      <c r="E535" s="13">
        <f>IF(B535="","",INDEX('По дням'!$D$2:$D$3662,MATCH(529,'По дням'!$G$2:$G$3662,0)))</f>
        <v/>
      </c>
      <c r="F535" s="9">
        <f>IF(B535="","",INDEX('По дням'!$B$2:$B$3662,MATCH(529,'По дням'!$G$2:$G$3662,0)))</f>
        <v/>
      </c>
      <c r="G535" s="9">
        <f>IF(B535="","",INDEX('По дням'!$C$2:$C$3662,MATCH(529,'По дням'!$G$2:$G$3662,0)))</f>
        <v/>
      </c>
      <c r="H535" s="13">
        <f>IF(OR(B535="",F535=""),"",IF(J535="да",0,ROUND(E535*F535/100*D535/G535,2)))</f>
        <v/>
      </c>
      <c r="I535" s="13">
        <f>IF(B535="","",SUMIF(Оплаты!$A$6:$A$505,C535,Оплаты!$B$6:$B$505))</f>
        <v/>
      </c>
      <c r="J535" s="9">
        <f>IF(B535="","",IF(INDEX('По дням'!$E$2:$E$3662,MATCH(529,'По дням'!$G$2:$G$3662,0))=1,"да",""))</f>
        <v/>
      </c>
    </row>
    <row r="536">
      <c r="A536" s="9">
        <f>IF(B536="","",530)</f>
        <v/>
      </c>
      <c r="B536" s="12">
        <f>IFERROR(INDEX('По дням'!$A$2:$A$3662,MATCH(530,'По дням'!$G$2:$G$3662,0)),"")</f>
        <v/>
      </c>
      <c r="C536" s="12">
        <f>IF(B536="","",INDEX('По дням'!$A$2:$A$3662,MATCH(530,'По дням'!$G$2:$G$3662,0)+COUNTIF('По дням'!$G$2:$G$3662,530)-1))</f>
        <v/>
      </c>
      <c r="D536" s="9">
        <f>IF(B536="","",C536-B536+1)</f>
        <v/>
      </c>
      <c r="E536" s="13">
        <f>IF(B536="","",INDEX('По дням'!$D$2:$D$3662,MATCH(530,'По дням'!$G$2:$G$3662,0)))</f>
        <v/>
      </c>
      <c r="F536" s="9">
        <f>IF(B536="","",INDEX('По дням'!$B$2:$B$3662,MATCH(530,'По дням'!$G$2:$G$3662,0)))</f>
        <v/>
      </c>
      <c r="G536" s="9">
        <f>IF(B536="","",INDEX('По дням'!$C$2:$C$3662,MATCH(530,'По дням'!$G$2:$G$3662,0)))</f>
        <v/>
      </c>
      <c r="H536" s="13">
        <f>IF(OR(B536="",F536=""),"",IF(J536="да",0,ROUND(E536*F536/100*D536/G536,2)))</f>
        <v/>
      </c>
      <c r="I536" s="13">
        <f>IF(B536="","",SUMIF(Оплаты!$A$6:$A$505,C536,Оплаты!$B$6:$B$505))</f>
        <v/>
      </c>
      <c r="J536" s="9">
        <f>IF(B536="","",IF(INDEX('По дням'!$E$2:$E$3662,MATCH(530,'По дням'!$G$2:$G$3662,0))=1,"да",""))</f>
        <v/>
      </c>
    </row>
    <row r="537">
      <c r="A537" s="9">
        <f>IF(B537="","",531)</f>
        <v/>
      </c>
      <c r="B537" s="12">
        <f>IFERROR(INDEX('По дням'!$A$2:$A$3662,MATCH(531,'По дням'!$G$2:$G$3662,0)),"")</f>
        <v/>
      </c>
      <c r="C537" s="12">
        <f>IF(B537="","",INDEX('По дням'!$A$2:$A$3662,MATCH(531,'По дням'!$G$2:$G$3662,0)+COUNTIF('По дням'!$G$2:$G$3662,531)-1))</f>
        <v/>
      </c>
      <c r="D537" s="9">
        <f>IF(B537="","",C537-B537+1)</f>
        <v/>
      </c>
      <c r="E537" s="13">
        <f>IF(B537="","",INDEX('По дням'!$D$2:$D$3662,MATCH(531,'По дням'!$G$2:$G$3662,0)))</f>
        <v/>
      </c>
      <c r="F537" s="9">
        <f>IF(B537="","",INDEX('По дням'!$B$2:$B$3662,MATCH(531,'По дням'!$G$2:$G$3662,0)))</f>
        <v/>
      </c>
      <c r="G537" s="9">
        <f>IF(B537="","",INDEX('По дням'!$C$2:$C$3662,MATCH(531,'По дням'!$G$2:$G$3662,0)))</f>
        <v/>
      </c>
      <c r="H537" s="13">
        <f>IF(OR(B537="",F537=""),"",IF(J537="да",0,ROUND(E537*F537/100*D537/G537,2)))</f>
        <v/>
      </c>
      <c r="I537" s="13">
        <f>IF(B537="","",SUMIF(Оплаты!$A$6:$A$505,C537,Оплаты!$B$6:$B$505))</f>
        <v/>
      </c>
      <c r="J537" s="9">
        <f>IF(B537="","",IF(INDEX('По дням'!$E$2:$E$3662,MATCH(531,'По дням'!$G$2:$G$3662,0))=1,"да",""))</f>
        <v/>
      </c>
    </row>
    <row r="538">
      <c r="A538" s="9">
        <f>IF(B538="","",532)</f>
        <v/>
      </c>
      <c r="B538" s="12">
        <f>IFERROR(INDEX('По дням'!$A$2:$A$3662,MATCH(532,'По дням'!$G$2:$G$3662,0)),"")</f>
        <v/>
      </c>
      <c r="C538" s="12">
        <f>IF(B538="","",INDEX('По дням'!$A$2:$A$3662,MATCH(532,'По дням'!$G$2:$G$3662,0)+COUNTIF('По дням'!$G$2:$G$3662,532)-1))</f>
        <v/>
      </c>
      <c r="D538" s="9">
        <f>IF(B538="","",C538-B538+1)</f>
        <v/>
      </c>
      <c r="E538" s="13">
        <f>IF(B538="","",INDEX('По дням'!$D$2:$D$3662,MATCH(532,'По дням'!$G$2:$G$3662,0)))</f>
        <v/>
      </c>
      <c r="F538" s="9">
        <f>IF(B538="","",INDEX('По дням'!$B$2:$B$3662,MATCH(532,'По дням'!$G$2:$G$3662,0)))</f>
        <v/>
      </c>
      <c r="G538" s="9">
        <f>IF(B538="","",INDEX('По дням'!$C$2:$C$3662,MATCH(532,'По дням'!$G$2:$G$3662,0)))</f>
        <v/>
      </c>
      <c r="H538" s="13">
        <f>IF(OR(B538="",F538=""),"",IF(J538="да",0,ROUND(E538*F538/100*D538/G538,2)))</f>
        <v/>
      </c>
      <c r="I538" s="13">
        <f>IF(B538="","",SUMIF(Оплаты!$A$6:$A$505,C538,Оплаты!$B$6:$B$505))</f>
        <v/>
      </c>
      <c r="J538" s="9">
        <f>IF(B538="","",IF(INDEX('По дням'!$E$2:$E$3662,MATCH(532,'По дням'!$G$2:$G$3662,0))=1,"да",""))</f>
        <v/>
      </c>
    </row>
    <row r="539">
      <c r="A539" s="9">
        <f>IF(B539="","",533)</f>
        <v/>
      </c>
      <c r="B539" s="12">
        <f>IFERROR(INDEX('По дням'!$A$2:$A$3662,MATCH(533,'По дням'!$G$2:$G$3662,0)),"")</f>
        <v/>
      </c>
      <c r="C539" s="12">
        <f>IF(B539="","",INDEX('По дням'!$A$2:$A$3662,MATCH(533,'По дням'!$G$2:$G$3662,0)+COUNTIF('По дням'!$G$2:$G$3662,533)-1))</f>
        <v/>
      </c>
      <c r="D539" s="9">
        <f>IF(B539="","",C539-B539+1)</f>
        <v/>
      </c>
      <c r="E539" s="13">
        <f>IF(B539="","",INDEX('По дням'!$D$2:$D$3662,MATCH(533,'По дням'!$G$2:$G$3662,0)))</f>
        <v/>
      </c>
      <c r="F539" s="9">
        <f>IF(B539="","",INDEX('По дням'!$B$2:$B$3662,MATCH(533,'По дням'!$G$2:$G$3662,0)))</f>
        <v/>
      </c>
      <c r="G539" s="9">
        <f>IF(B539="","",INDEX('По дням'!$C$2:$C$3662,MATCH(533,'По дням'!$G$2:$G$3662,0)))</f>
        <v/>
      </c>
      <c r="H539" s="13">
        <f>IF(OR(B539="",F539=""),"",IF(J539="да",0,ROUND(E539*F539/100*D539/G539,2)))</f>
        <v/>
      </c>
      <c r="I539" s="13">
        <f>IF(B539="","",SUMIF(Оплаты!$A$6:$A$505,C539,Оплаты!$B$6:$B$505))</f>
        <v/>
      </c>
      <c r="J539" s="9">
        <f>IF(B539="","",IF(INDEX('По дням'!$E$2:$E$3662,MATCH(533,'По дням'!$G$2:$G$3662,0))=1,"да",""))</f>
        <v/>
      </c>
    </row>
    <row r="540">
      <c r="A540" s="9">
        <f>IF(B540="","",534)</f>
        <v/>
      </c>
      <c r="B540" s="12">
        <f>IFERROR(INDEX('По дням'!$A$2:$A$3662,MATCH(534,'По дням'!$G$2:$G$3662,0)),"")</f>
        <v/>
      </c>
      <c r="C540" s="12">
        <f>IF(B540="","",INDEX('По дням'!$A$2:$A$3662,MATCH(534,'По дням'!$G$2:$G$3662,0)+COUNTIF('По дням'!$G$2:$G$3662,534)-1))</f>
        <v/>
      </c>
      <c r="D540" s="9">
        <f>IF(B540="","",C540-B540+1)</f>
        <v/>
      </c>
      <c r="E540" s="13">
        <f>IF(B540="","",INDEX('По дням'!$D$2:$D$3662,MATCH(534,'По дням'!$G$2:$G$3662,0)))</f>
        <v/>
      </c>
      <c r="F540" s="9">
        <f>IF(B540="","",INDEX('По дням'!$B$2:$B$3662,MATCH(534,'По дням'!$G$2:$G$3662,0)))</f>
        <v/>
      </c>
      <c r="G540" s="9">
        <f>IF(B540="","",INDEX('По дням'!$C$2:$C$3662,MATCH(534,'По дням'!$G$2:$G$3662,0)))</f>
        <v/>
      </c>
      <c r="H540" s="13">
        <f>IF(OR(B540="",F540=""),"",IF(J540="да",0,ROUND(E540*F540/100*D540/G540,2)))</f>
        <v/>
      </c>
      <c r="I540" s="13">
        <f>IF(B540="","",SUMIF(Оплаты!$A$6:$A$505,C540,Оплаты!$B$6:$B$505))</f>
        <v/>
      </c>
      <c r="J540" s="9">
        <f>IF(B540="","",IF(INDEX('По дням'!$E$2:$E$3662,MATCH(534,'По дням'!$G$2:$G$3662,0))=1,"да",""))</f>
        <v/>
      </c>
    </row>
    <row r="541">
      <c r="A541" s="9">
        <f>IF(B541="","",535)</f>
        <v/>
      </c>
      <c r="B541" s="12">
        <f>IFERROR(INDEX('По дням'!$A$2:$A$3662,MATCH(535,'По дням'!$G$2:$G$3662,0)),"")</f>
        <v/>
      </c>
      <c r="C541" s="12">
        <f>IF(B541="","",INDEX('По дням'!$A$2:$A$3662,MATCH(535,'По дням'!$G$2:$G$3662,0)+COUNTIF('По дням'!$G$2:$G$3662,535)-1))</f>
        <v/>
      </c>
      <c r="D541" s="9">
        <f>IF(B541="","",C541-B541+1)</f>
        <v/>
      </c>
      <c r="E541" s="13">
        <f>IF(B541="","",INDEX('По дням'!$D$2:$D$3662,MATCH(535,'По дням'!$G$2:$G$3662,0)))</f>
        <v/>
      </c>
      <c r="F541" s="9">
        <f>IF(B541="","",INDEX('По дням'!$B$2:$B$3662,MATCH(535,'По дням'!$G$2:$G$3662,0)))</f>
        <v/>
      </c>
      <c r="G541" s="9">
        <f>IF(B541="","",INDEX('По дням'!$C$2:$C$3662,MATCH(535,'По дням'!$G$2:$G$3662,0)))</f>
        <v/>
      </c>
      <c r="H541" s="13">
        <f>IF(OR(B541="",F541=""),"",IF(J541="да",0,ROUND(E541*F541/100*D541/G541,2)))</f>
        <v/>
      </c>
      <c r="I541" s="13">
        <f>IF(B541="","",SUMIF(Оплаты!$A$6:$A$505,C541,Оплаты!$B$6:$B$505))</f>
        <v/>
      </c>
      <c r="J541" s="9">
        <f>IF(B541="","",IF(INDEX('По дням'!$E$2:$E$3662,MATCH(535,'По дням'!$G$2:$G$3662,0))=1,"да",""))</f>
        <v/>
      </c>
    </row>
    <row r="542">
      <c r="A542" s="9">
        <f>IF(B542="","",536)</f>
        <v/>
      </c>
      <c r="B542" s="12">
        <f>IFERROR(INDEX('По дням'!$A$2:$A$3662,MATCH(536,'По дням'!$G$2:$G$3662,0)),"")</f>
        <v/>
      </c>
      <c r="C542" s="12">
        <f>IF(B542="","",INDEX('По дням'!$A$2:$A$3662,MATCH(536,'По дням'!$G$2:$G$3662,0)+COUNTIF('По дням'!$G$2:$G$3662,536)-1))</f>
        <v/>
      </c>
      <c r="D542" s="9">
        <f>IF(B542="","",C542-B542+1)</f>
        <v/>
      </c>
      <c r="E542" s="13">
        <f>IF(B542="","",INDEX('По дням'!$D$2:$D$3662,MATCH(536,'По дням'!$G$2:$G$3662,0)))</f>
        <v/>
      </c>
      <c r="F542" s="9">
        <f>IF(B542="","",INDEX('По дням'!$B$2:$B$3662,MATCH(536,'По дням'!$G$2:$G$3662,0)))</f>
        <v/>
      </c>
      <c r="G542" s="9">
        <f>IF(B542="","",INDEX('По дням'!$C$2:$C$3662,MATCH(536,'По дням'!$G$2:$G$3662,0)))</f>
        <v/>
      </c>
      <c r="H542" s="13">
        <f>IF(OR(B542="",F542=""),"",IF(J542="да",0,ROUND(E542*F542/100*D542/G542,2)))</f>
        <v/>
      </c>
      <c r="I542" s="13">
        <f>IF(B542="","",SUMIF(Оплаты!$A$6:$A$505,C542,Оплаты!$B$6:$B$505))</f>
        <v/>
      </c>
      <c r="J542" s="9">
        <f>IF(B542="","",IF(INDEX('По дням'!$E$2:$E$3662,MATCH(536,'По дням'!$G$2:$G$3662,0))=1,"да",""))</f>
        <v/>
      </c>
    </row>
    <row r="543">
      <c r="A543" s="9">
        <f>IF(B543="","",537)</f>
        <v/>
      </c>
      <c r="B543" s="12">
        <f>IFERROR(INDEX('По дням'!$A$2:$A$3662,MATCH(537,'По дням'!$G$2:$G$3662,0)),"")</f>
        <v/>
      </c>
      <c r="C543" s="12">
        <f>IF(B543="","",INDEX('По дням'!$A$2:$A$3662,MATCH(537,'По дням'!$G$2:$G$3662,0)+COUNTIF('По дням'!$G$2:$G$3662,537)-1))</f>
        <v/>
      </c>
      <c r="D543" s="9">
        <f>IF(B543="","",C543-B543+1)</f>
        <v/>
      </c>
      <c r="E543" s="13">
        <f>IF(B543="","",INDEX('По дням'!$D$2:$D$3662,MATCH(537,'По дням'!$G$2:$G$3662,0)))</f>
        <v/>
      </c>
      <c r="F543" s="9">
        <f>IF(B543="","",INDEX('По дням'!$B$2:$B$3662,MATCH(537,'По дням'!$G$2:$G$3662,0)))</f>
        <v/>
      </c>
      <c r="G543" s="9">
        <f>IF(B543="","",INDEX('По дням'!$C$2:$C$3662,MATCH(537,'По дням'!$G$2:$G$3662,0)))</f>
        <v/>
      </c>
      <c r="H543" s="13">
        <f>IF(OR(B543="",F543=""),"",IF(J543="да",0,ROUND(E543*F543/100*D543/G543,2)))</f>
        <v/>
      </c>
      <c r="I543" s="13">
        <f>IF(B543="","",SUMIF(Оплаты!$A$6:$A$505,C543,Оплаты!$B$6:$B$505))</f>
        <v/>
      </c>
      <c r="J543" s="9">
        <f>IF(B543="","",IF(INDEX('По дням'!$E$2:$E$3662,MATCH(537,'По дням'!$G$2:$G$3662,0))=1,"да",""))</f>
        <v/>
      </c>
    </row>
    <row r="544">
      <c r="A544" s="9">
        <f>IF(B544="","",538)</f>
        <v/>
      </c>
      <c r="B544" s="12">
        <f>IFERROR(INDEX('По дням'!$A$2:$A$3662,MATCH(538,'По дням'!$G$2:$G$3662,0)),"")</f>
        <v/>
      </c>
      <c r="C544" s="12">
        <f>IF(B544="","",INDEX('По дням'!$A$2:$A$3662,MATCH(538,'По дням'!$G$2:$G$3662,0)+COUNTIF('По дням'!$G$2:$G$3662,538)-1))</f>
        <v/>
      </c>
      <c r="D544" s="9">
        <f>IF(B544="","",C544-B544+1)</f>
        <v/>
      </c>
      <c r="E544" s="13">
        <f>IF(B544="","",INDEX('По дням'!$D$2:$D$3662,MATCH(538,'По дням'!$G$2:$G$3662,0)))</f>
        <v/>
      </c>
      <c r="F544" s="9">
        <f>IF(B544="","",INDEX('По дням'!$B$2:$B$3662,MATCH(538,'По дням'!$G$2:$G$3662,0)))</f>
        <v/>
      </c>
      <c r="G544" s="9">
        <f>IF(B544="","",INDEX('По дням'!$C$2:$C$3662,MATCH(538,'По дням'!$G$2:$G$3662,0)))</f>
        <v/>
      </c>
      <c r="H544" s="13">
        <f>IF(OR(B544="",F544=""),"",IF(J544="да",0,ROUND(E544*F544/100*D544/G544,2)))</f>
        <v/>
      </c>
      <c r="I544" s="13">
        <f>IF(B544="","",SUMIF(Оплаты!$A$6:$A$505,C544,Оплаты!$B$6:$B$505))</f>
        <v/>
      </c>
      <c r="J544" s="9">
        <f>IF(B544="","",IF(INDEX('По дням'!$E$2:$E$3662,MATCH(538,'По дням'!$G$2:$G$3662,0))=1,"да",""))</f>
        <v/>
      </c>
    </row>
    <row r="545">
      <c r="A545" s="9">
        <f>IF(B545="","",539)</f>
        <v/>
      </c>
      <c r="B545" s="12">
        <f>IFERROR(INDEX('По дням'!$A$2:$A$3662,MATCH(539,'По дням'!$G$2:$G$3662,0)),"")</f>
        <v/>
      </c>
      <c r="C545" s="12">
        <f>IF(B545="","",INDEX('По дням'!$A$2:$A$3662,MATCH(539,'По дням'!$G$2:$G$3662,0)+COUNTIF('По дням'!$G$2:$G$3662,539)-1))</f>
        <v/>
      </c>
      <c r="D545" s="9">
        <f>IF(B545="","",C545-B545+1)</f>
        <v/>
      </c>
      <c r="E545" s="13">
        <f>IF(B545="","",INDEX('По дням'!$D$2:$D$3662,MATCH(539,'По дням'!$G$2:$G$3662,0)))</f>
        <v/>
      </c>
      <c r="F545" s="9">
        <f>IF(B545="","",INDEX('По дням'!$B$2:$B$3662,MATCH(539,'По дням'!$G$2:$G$3662,0)))</f>
        <v/>
      </c>
      <c r="G545" s="9">
        <f>IF(B545="","",INDEX('По дням'!$C$2:$C$3662,MATCH(539,'По дням'!$G$2:$G$3662,0)))</f>
        <v/>
      </c>
      <c r="H545" s="13">
        <f>IF(OR(B545="",F545=""),"",IF(J545="да",0,ROUND(E545*F545/100*D545/G545,2)))</f>
        <v/>
      </c>
      <c r="I545" s="13">
        <f>IF(B545="","",SUMIF(Оплаты!$A$6:$A$505,C545,Оплаты!$B$6:$B$505))</f>
        <v/>
      </c>
      <c r="J545" s="9">
        <f>IF(B545="","",IF(INDEX('По дням'!$E$2:$E$3662,MATCH(539,'По дням'!$G$2:$G$3662,0))=1,"да",""))</f>
        <v/>
      </c>
    </row>
    <row r="546">
      <c r="A546" s="9">
        <f>IF(B546="","",540)</f>
        <v/>
      </c>
      <c r="B546" s="12">
        <f>IFERROR(INDEX('По дням'!$A$2:$A$3662,MATCH(540,'По дням'!$G$2:$G$3662,0)),"")</f>
        <v/>
      </c>
      <c r="C546" s="12">
        <f>IF(B546="","",INDEX('По дням'!$A$2:$A$3662,MATCH(540,'По дням'!$G$2:$G$3662,0)+COUNTIF('По дням'!$G$2:$G$3662,540)-1))</f>
        <v/>
      </c>
      <c r="D546" s="9">
        <f>IF(B546="","",C546-B546+1)</f>
        <v/>
      </c>
      <c r="E546" s="13">
        <f>IF(B546="","",INDEX('По дням'!$D$2:$D$3662,MATCH(540,'По дням'!$G$2:$G$3662,0)))</f>
        <v/>
      </c>
      <c r="F546" s="9">
        <f>IF(B546="","",INDEX('По дням'!$B$2:$B$3662,MATCH(540,'По дням'!$G$2:$G$3662,0)))</f>
        <v/>
      </c>
      <c r="G546" s="9">
        <f>IF(B546="","",INDEX('По дням'!$C$2:$C$3662,MATCH(540,'По дням'!$G$2:$G$3662,0)))</f>
        <v/>
      </c>
      <c r="H546" s="13">
        <f>IF(OR(B546="",F546=""),"",IF(J546="да",0,ROUND(E546*F546/100*D546/G546,2)))</f>
        <v/>
      </c>
      <c r="I546" s="13">
        <f>IF(B546="","",SUMIF(Оплаты!$A$6:$A$505,C546,Оплаты!$B$6:$B$505))</f>
        <v/>
      </c>
      <c r="J546" s="9">
        <f>IF(B546="","",IF(INDEX('По дням'!$E$2:$E$3662,MATCH(540,'По дням'!$G$2:$G$3662,0))=1,"да",""))</f>
        <v/>
      </c>
    </row>
    <row r="547">
      <c r="A547" s="9">
        <f>IF(B547="","",541)</f>
        <v/>
      </c>
      <c r="B547" s="12">
        <f>IFERROR(INDEX('По дням'!$A$2:$A$3662,MATCH(541,'По дням'!$G$2:$G$3662,0)),"")</f>
        <v/>
      </c>
      <c r="C547" s="12">
        <f>IF(B547="","",INDEX('По дням'!$A$2:$A$3662,MATCH(541,'По дням'!$G$2:$G$3662,0)+COUNTIF('По дням'!$G$2:$G$3662,541)-1))</f>
        <v/>
      </c>
      <c r="D547" s="9">
        <f>IF(B547="","",C547-B547+1)</f>
        <v/>
      </c>
      <c r="E547" s="13">
        <f>IF(B547="","",INDEX('По дням'!$D$2:$D$3662,MATCH(541,'По дням'!$G$2:$G$3662,0)))</f>
        <v/>
      </c>
      <c r="F547" s="9">
        <f>IF(B547="","",INDEX('По дням'!$B$2:$B$3662,MATCH(541,'По дням'!$G$2:$G$3662,0)))</f>
        <v/>
      </c>
      <c r="G547" s="9">
        <f>IF(B547="","",INDEX('По дням'!$C$2:$C$3662,MATCH(541,'По дням'!$G$2:$G$3662,0)))</f>
        <v/>
      </c>
      <c r="H547" s="13">
        <f>IF(OR(B547="",F547=""),"",IF(J547="да",0,ROUND(E547*F547/100*D547/G547,2)))</f>
        <v/>
      </c>
      <c r="I547" s="13">
        <f>IF(B547="","",SUMIF(Оплаты!$A$6:$A$505,C547,Оплаты!$B$6:$B$505))</f>
        <v/>
      </c>
      <c r="J547" s="9">
        <f>IF(B547="","",IF(INDEX('По дням'!$E$2:$E$3662,MATCH(541,'По дням'!$G$2:$G$3662,0))=1,"да",""))</f>
        <v/>
      </c>
    </row>
    <row r="548">
      <c r="A548" s="9">
        <f>IF(B548="","",542)</f>
        <v/>
      </c>
      <c r="B548" s="12">
        <f>IFERROR(INDEX('По дням'!$A$2:$A$3662,MATCH(542,'По дням'!$G$2:$G$3662,0)),"")</f>
        <v/>
      </c>
      <c r="C548" s="12">
        <f>IF(B548="","",INDEX('По дням'!$A$2:$A$3662,MATCH(542,'По дням'!$G$2:$G$3662,0)+COUNTIF('По дням'!$G$2:$G$3662,542)-1))</f>
        <v/>
      </c>
      <c r="D548" s="9">
        <f>IF(B548="","",C548-B548+1)</f>
        <v/>
      </c>
      <c r="E548" s="13">
        <f>IF(B548="","",INDEX('По дням'!$D$2:$D$3662,MATCH(542,'По дням'!$G$2:$G$3662,0)))</f>
        <v/>
      </c>
      <c r="F548" s="9">
        <f>IF(B548="","",INDEX('По дням'!$B$2:$B$3662,MATCH(542,'По дням'!$G$2:$G$3662,0)))</f>
        <v/>
      </c>
      <c r="G548" s="9">
        <f>IF(B548="","",INDEX('По дням'!$C$2:$C$3662,MATCH(542,'По дням'!$G$2:$G$3662,0)))</f>
        <v/>
      </c>
      <c r="H548" s="13">
        <f>IF(OR(B548="",F548=""),"",IF(J548="да",0,ROUND(E548*F548/100*D548/G548,2)))</f>
        <v/>
      </c>
      <c r="I548" s="13">
        <f>IF(B548="","",SUMIF(Оплаты!$A$6:$A$505,C548,Оплаты!$B$6:$B$505))</f>
        <v/>
      </c>
      <c r="J548" s="9">
        <f>IF(B548="","",IF(INDEX('По дням'!$E$2:$E$3662,MATCH(542,'По дням'!$G$2:$G$3662,0))=1,"да",""))</f>
        <v/>
      </c>
    </row>
    <row r="549">
      <c r="A549" s="9">
        <f>IF(B549="","",543)</f>
        <v/>
      </c>
      <c r="B549" s="12">
        <f>IFERROR(INDEX('По дням'!$A$2:$A$3662,MATCH(543,'По дням'!$G$2:$G$3662,0)),"")</f>
        <v/>
      </c>
      <c r="C549" s="12">
        <f>IF(B549="","",INDEX('По дням'!$A$2:$A$3662,MATCH(543,'По дням'!$G$2:$G$3662,0)+COUNTIF('По дням'!$G$2:$G$3662,543)-1))</f>
        <v/>
      </c>
      <c r="D549" s="9">
        <f>IF(B549="","",C549-B549+1)</f>
        <v/>
      </c>
      <c r="E549" s="13">
        <f>IF(B549="","",INDEX('По дням'!$D$2:$D$3662,MATCH(543,'По дням'!$G$2:$G$3662,0)))</f>
        <v/>
      </c>
      <c r="F549" s="9">
        <f>IF(B549="","",INDEX('По дням'!$B$2:$B$3662,MATCH(543,'По дням'!$G$2:$G$3662,0)))</f>
        <v/>
      </c>
      <c r="G549" s="9">
        <f>IF(B549="","",INDEX('По дням'!$C$2:$C$3662,MATCH(543,'По дням'!$G$2:$G$3662,0)))</f>
        <v/>
      </c>
      <c r="H549" s="13">
        <f>IF(OR(B549="",F549=""),"",IF(J549="да",0,ROUND(E549*F549/100*D549/G549,2)))</f>
        <v/>
      </c>
      <c r="I549" s="13">
        <f>IF(B549="","",SUMIF(Оплаты!$A$6:$A$505,C549,Оплаты!$B$6:$B$505))</f>
        <v/>
      </c>
      <c r="J549" s="9">
        <f>IF(B549="","",IF(INDEX('По дням'!$E$2:$E$3662,MATCH(543,'По дням'!$G$2:$G$3662,0))=1,"да",""))</f>
        <v/>
      </c>
    </row>
    <row r="550">
      <c r="A550" s="9">
        <f>IF(B550="","",544)</f>
        <v/>
      </c>
      <c r="B550" s="12">
        <f>IFERROR(INDEX('По дням'!$A$2:$A$3662,MATCH(544,'По дням'!$G$2:$G$3662,0)),"")</f>
        <v/>
      </c>
      <c r="C550" s="12">
        <f>IF(B550="","",INDEX('По дням'!$A$2:$A$3662,MATCH(544,'По дням'!$G$2:$G$3662,0)+COUNTIF('По дням'!$G$2:$G$3662,544)-1))</f>
        <v/>
      </c>
      <c r="D550" s="9">
        <f>IF(B550="","",C550-B550+1)</f>
        <v/>
      </c>
      <c r="E550" s="13">
        <f>IF(B550="","",INDEX('По дням'!$D$2:$D$3662,MATCH(544,'По дням'!$G$2:$G$3662,0)))</f>
        <v/>
      </c>
      <c r="F550" s="9">
        <f>IF(B550="","",INDEX('По дням'!$B$2:$B$3662,MATCH(544,'По дням'!$G$2:$G$3662,0)))</f>
        <v/>
      </c>
      <c r="G550" s="9">
        <f>IF(B550="","",INDEX('По дням'!$C$2:$C$3662,MATCH(544,'По дням'!$G$2:$G$3662,0)))</f>
        <v/>
      </c>
      <c r="H550" s="13">
        <f>IF(OR(B550="",F550=""),"",IF(J550="да",0,ROUND(E550*F550/100*D550/G550,2)))</f>
        <v/>
      </c>
      <c r="I550" s="13">
        <f>IF(B550="","",SUMIF(Оплаты!$A$6:$A$505,C550,Оплаты!$B$6:$B$505))</f>
        <v/>
      </c>
      <c r="J550" s="9">
        <f>IF(B550="","",IF(INDEX('По дням'!$E$2:$E$3662,MATCH(544,'По дням'!$G$2:$G$3662,0))=1,"да",""))</f>
        <v/>
      </c>
    </row>
    <row r="551">
      <c r="A551" s="9">
        <f>IF(B551="","",545)</f>
        <v/>
      </c>
      <c r="B551" s="12">
        <f>IFERROR(INDEX('По дням'!$A$2:$A$3662,MATCH(545,'По дням'!$G$2:$G$3662,0)),"")</f>
        <v/>
      </c>
      <c r="C551" s="12">
        <f>IF(B551="","",INDEX('По дням'!$A$2:$A$3662,MATCH(545,'По дням'!$G$2:$G$3662,0)+COUNTIF('По дням'!$G$2:$G$3662,545)-1))</f>
        <v/>
      </c>
      <c r="D551" s="9">
        <f>IF(B551="","",C551-B551+1)</f>
        <v/>
      </c>
      <c r="E551" s="13">
        <f>IF(B551="","",INDEX('По дням'!$D$2:$D$3662,MATCH(545,'По дням'!$G$2:$G$3662,0)))</f>
        <v/>
      </c>
      <c r="F551" s="9">
        <f>IF(B551="","",INDEX('По дням'!$B$2:$B$3662,MATCH(545,'По дням'!$G$2:$G$3662,0)))</f>
        <v/>
      </c>
      <c r="G551" s="9">
        <f>IF(B551="","",INDEX('По дням'!$C$2:$C$3662,MATCH(545,'По дням'!$G$2:$G$3662,0)))</f>
        <v/>
      </c>
      <c r="H551" s="13">
        <f>IF(OR(B551="",F551=""),"",IF(J551="да",0,ROUND(E551*F551/100*D551/G551,2)))</f>
        <v/>
      </c>
      <c r="I551" s="13">
        <f>IF(B551="","",SUMIF(Оплаты!$A$6:$A$505,C551,Оплаты!$B$6:$B$505))</f>
        <v/>
      </c>
      <c r="J551" s="9">
        <f>IF(B551="","",IF(INDEX('По дням'!$E$2:$E$3662,MATCH(545,'По дням'!$G$2:$G$3662,0))=1,"да",""))</f>
        <v/>
      </c>
    </row>
    <row r="552">
      <c r="A552" s="9">
        <f>IF(B552="","",546)</f>
        <v/>
      </c>
      <c r="B552" s="12">
        <f>IFERROR(INDEX('По дням'!$A$2:$A$3662,MATCH(546,'По дням'!$G$2:$G$3662,0)),"")</f>
        <v/>
      </c>
      <c r="C552" s="12">
        <f>IF(B552="","",INDEX('По дням'!$A$2:$A$3662,MATCH(546,'По дням'!$G$2:$G$3662,0)+COUNTIF('По дням'!$G$2:$G$3662,546)-1))</f>
        <v/>
      </c>
      <c r="D552" s="9">
        <f>IF(B552="","",C552-B552+1)</f>
        <v/>
      </c>
      <c r="E552" s="13">
        <f>IF(B552="","",INDEX('По дням'!$D$2:$D$3662,MATCH(546,'По дням'!$G$2:$G$3662,0)))</f>
        <v/>
      </c>
      <c r="F552" s="9">
        <f>IF(B552="","",INDEX('По дням'!$B$2:$B$3662,MATCH(546,'По дням'!$G$2:$G$3662,0)))</f>
        <v/>
      </c>
      <c r="G552" s="9">
        <f>IF(B552="","",INDEX('По дням'!$C$2:$C$3662,MATCH(546,'По дням'!$G$2:$G$3662,0)))</f>
        <v/>
      </c>
      <c r="H552" s="13">
        <f>IF(OR(B552="",F552=""),"",IF(J552="да",0,ROUND(E552*F552/100*D552/G552,2)))</f>
        <v/>
      </c>
      <c r="I552" s="13">
        <f>IF(B552="","",SUMIF(Оплаты!$A$6:$A$505,C552,Оплаты!$B$6:$B$505))</f>
        <v/>
      </c>
      <c r="J552" s="9">
        <f>IF(B552="","",IF(INDEX('По дням'!$E$2:$E$3662,MATCH(546,'По дням'!$G$2:$G$3662,0))=1,"да",""))</f>
        <v/>
      </c>
    </row>
    <row r="553">
      <c r="A553" s="9">
        <f>IF(B553="","",547)</f>
        <v/>
      </c>
      <c r="B553" s="12">
        <f>IFERROR(INDEX('По дням'!$A$2:$A$3662,MATCH(547,'По дням'!$G$2:$G$3662,0)),"")</f>
        <v/>
      </c>
      <c r="C553" s="12">
        <f>IF(B553="","",INDEX('По дням'!$A$2:$A$3662,MATCH(547,'По дням'!$G$2:$G$3662,0)+COUNTIF('По дням'!$G$2:$G$3662,547)-1))</f>
        <v/>
      </c>
      <c r="D553" s="9">
        <f>IF(B553="","",C553-B553+1)</f>
        <v/>
      </c>
      <c r="E553" s="13">
        <f>IF(B553="","",INDEX('По дням'!$D$2:$D$3662,MATCH(547,'По дням'!$G$2:$G$3662,0)))</f>
        <v/>
      </c>
      <c r="F553" s="9">
        <f>IF(B553="","",INDEX('По дням'!$B$2:$B$3662,MATCH(547,'По дням'!$G$2:$G$3662,0)))</f>
        <v/>
      </c>
      <c r="G553" s="9">
        <f>IF(B553="","",INDEX('По дням'!$C$2:$C$3662,MATCH(547,'По дням'!$G$2:$G$3662,0)))</f>
        <v/>
      </c>
      <c r="H553" s="13">
        <f>IF(OR(B553="",F553=""),"",IF(J553="да",0,ROUND(E553*F553/100*D553/G553,2)))</f>
        <v/>
      </c>
      <c r="I553" s="13">
        <f>IF(B553="","",SUMIF(Оплаты!$A$6:$A$505,C553,Оплаты!$B$6:$B$505))</f>
        <v/>
      </c>
      <c r="J553" s="9">
        <f>IF(B553="","",IF(INDEX('По дням'!$E$2:$E$3662,MATCH(547,'По дням'!$G$2:$G$3662,0))=1,"да",""))</f>
        <v/>
      </c>
    </row>
    <row r="554">
      <c r="A554" s="9">
        <f>IF(B554="","",548)</f>
        <v/>
      </c>
      <c r="B554" s="12">
        <f>IFERROR(INDEX('По дням'!$A$2:$A$3662,MATCH(548,'По дням'!$G$2:$G$3662,0)),"")</f>
        <v/>
      </c>
      <c r="C554" s="12">
        <f>IF(B554="","",INDEX('По дням'!$A$2:$A$3662,MATCH(548,'По дням'!$G$2:$G$3662,0)+COUNTIF('По дням'!$G$2:$G$3662,548)-1))</f>
        <v/>
      </c>
      <c r="D554" s="9">
        <f>IF(B554="","",C554-B554+1)</f>
        <v/>
      </c>
      <c r="E554" s="13">
        <f>IF(B554="","",INDEX('По дням'!$D$2:$D$3662,MATCH(548,'По дням'!$G$2:$G$3662,0)))</f>
        <v/>
      </c>
      <c r="F554" s="9">
        <f>IF(B554="","",INDEX('По дням'!$B$2:$B$3662,MATCH(548,'По дням'!$G$2:$G$3662,0)))</f>
        <v/>
      </c>
      <c r="G554" s="9">
        <f>IF(B554="","",INDEX('По дням'!$C$2:$C$3662,MATCH(548,'По дням'!$G$2:$G$3662,0)))</f>
        <v/>
      </c>
      <c r="H554" s="13">
        <f>IF(OR(B554="",F554=""),"",IF(J554="да",0,ROUND(E554*F554/100*D554/G554,2)))</f>
        <v/>
      </c>
      <c r="I554" s="13">
        <f>IF(B554="","",SUMIF(Оплаты!$A$6:$A$505,C554,Оплаты!$B$6:$B$505))</f>
        <v/>
      </c>
      <c r="J554" s="9">
        <f>IF(B554="","",IF(INDEX('По дням'!$E$2:$E$3662,MATCH(548,'По дням'!$G$2:$G$3662,0))=1,"да",""))</f>
        <v/>
      </c>
    </row>
    <row r="555">
      <c r="A555" s="9">
        <f>IF(B555="","",549)</f>
        <v/>
      </c>
      <c r="B555" s="12">
        <f>IFERROR(INDEX('По дням'!$A$2:$A$3662,MATCH(549,'По дням'!$G$2:$G$3662,0)),"")</f>
        <v/>
      </c>
      <c r="C555" s="12">
        <f>IF(B555="","",INDEX('По дням'!$A$2:$A$3662,MATCH(549,'По дням'!$G$2:$G$3662,0)+COUNTIF('По дням'!$G$2:$G$3662,549)-1))</f>
        <v/>
      </c>
      <c r="D555" s="9">
        <f>IF(B555="","",C555-B555+1)</f>
        <v/>
      </c>
      <c r="E555" s="13">
        <f>IF(B555="","",INDEX('По дням'!$D$2:$D$3662,MATCH(549,'По дням'!$G$2:$G$3662,0)))</f>
        <v/>
      </c>
      <c r="F555" s="9">
        <f>IF(B555="","",INDEX('По дням'!$B$2:$B$3662,MATCH(549,'По дням'!$G$2:$G$3662,0)))</f>
        <v/>
      </c>
      <c r="G555" s="9">
        <f>IF(B555="","",INDEX('По дням'!$C$2:$C$3662,MATCH(549,'По дням'!$G$2:$G$3662,0)))</f>
        <v/>
      </c>
      <c r="H555" s="13">
        <f>IF(OR(B555="",F555=""),"",IF(J555="да",0,ROUND(E555*F555/100*D555/G555,2)))</f>
        <v/>
      </c>
      <c r="I555" s="13">
        <f>IF(B555="","",SUMIF(Оплаты!$A$6:$A$505,C555,Оплаты!$B$6:$B$505))</f>
        <v/>
      </c>
      <c r="J555" s="9">
        <f>IF(B555="","",IF(INDEX('По дням'!$E$2:$E$3662,MATCH(549,'По дням'!$G$2:$G$3662,0))=1,"да",""))</f>
        <v/>
      </c>
    </row>
    <row r="556">
      <c r="A556" s="9">
        <f>IF(B556="","",550)</f>
        <v/>
      </c>
      <c r="B556" s="12">
        <f>IFERROR(INDEX('По дням'!$A$2:$A$3662,MATCH(550,'По дням'!$G$2:$G$3662,0)),"")</f>
        <v/>
      </c>
      <c r="C556" s="12">
        <f>IF(B556="","",INDEX('По дням'!$A$2:$A$3662,MATCH(550,'По дням'!$G$2:$G$3662,0)+COUNTIF('По дням'!$G$2:$G$3662,550)-1))</f>
        <v/>
      </c>
      <c r="D556" s="9">
        <f>IF(B556="","",C556-B556+1)</f>
        <v/>
      </c>
      <c r="E556" s="13">
        <f>IF(B556="","",INDEX('По дням'!$D$2:$D$3662,MATCH(550,'По дням'!$G$2:$G$3662,0)))</f>
        <v/>
      </c>
      <c r="F556" s="9">
        <f>IF(B556="","",INDEX('По дням'!$B$2:$B$3662,MATCH(550,'По дням'!$G$2:$G$3662,0)))</f>
        <v/>
      </c>
      <c r="G556" s="9">
        <f>IF(B556="","",INDEX('По дням'!$C$2:$C$3662,MATCH(550,'По дням'!$G$2:$G$3662,0)))</f>
        <v/>
      </c>
      <c r="H556" s="13">
        <f>IF(OR(B556="",F556=""),"",IF(J556="да",0,ROUND(E556*F556/100*D556/G556,2)))</f>
        <v/>
      </c>
      <c r="I556" s="13">
        <f>IF(B556="","",SUMIF(Оплаты!$A$6:$A$505,C556,Оплаты!$B$6:$B$505))</f>
        <v/>
      </c>
      <c r="J556" s="9">
        <f>IF(B556="","",IF(INDEX('По дням'!$E$2:$E$3662,MATCH(550,'По дням'!$G$2:$G$3662,0))=1,"да",""))</f>
        <v/>
      </c>
    </row>
    <row r="557">
      <c r="A557" s="9">
        <f>IF(B557="","",551)</f>
        <v/>
      </c>
      <c r="B557" s="12">
        <f>IFERROR(INDEX('По дням'!$A$2:$A$3662,MATCH(551,'По дням'!$G$2:$G$3662,0)),"")</f>
        <v/>
      </c>
      <c r="C557" s="12">
        <f>IF(B557="","",INDEX('По дням'!$A$2:$A$3662,MATCH(551,'По дням'!$G$2:$G$3662,0)+COUNTIF('По дням'!$G$2:$G$3662,551)-1))</f>
        <v/>
      </c>
      <c r="D557" s="9">
        <f>IF(B557="","",C557-B557+1)</f>
        <v/>
      </c>
      <c r="E557" s="13">
        <f>IF(B557="","",INDEX('По дням'!$D$2:$D$3662,MATCH(551,'По дням'!$G$2:$G$3662,0)))</f>
        <v/>
      </c>
      <c r="F557" s="9">
        <f>IF(B557="","",INDEX('По дням'!$B$2:$B$3662,MATCH(551,'По дням'!$G$2:$G$3662,0)))</f>
        <v/>
      </c>
      <c r="G557" s="9">
        <f>IF(B557="","",INDEX('По дням'!$C$2:$C$3662,MATCH(551,'По дням'!$G$2:$G$3662,0)))</f>
        <v/>
      </c>
      <c r="H557" s="13">
        <f>IF(OR(B557="",F557=""),"",IF(J557="да",0,ROUND(E557*F557/100*D557/G557,2)))</f>
        <v/>
      </c>
      <c r="I557" s="13">
        <f>IF(B557="","",SUMIF(Оплаты!$A$6:$A$505,C557,Оплаты!$B$6:$B$505))</f>
        <v/>
      </c>
      <c r="J557" s="9">
        <f>IF(B557="","",IF(INDEX('По дням'!$E$2:$E$3662,MATCH(551,'По дням'!$G$2:$G$3662,0))=1,"да",""))</f>
        <v/>
      </c>
    </row>
    <row r="558">
      <c r="A558" s="9">
        <f>IF(B558="","",552)</f>
        <v/>
      </c>
      <c r="B558" s="12">
        <f>IFERROR(INDEX('По дням'!$A$2:$A$3662,MATCH(552,'По дням'!$G$2:$G$3662,0)),"")</f>
        <v/>
      </c>
      <c r="C558" s="12">
        <f>IF(B558="","",INDEX('По дням'!$A$2:$A$3662,MATCH(552,'По дням'!$G$2:$G$3662,0)+COUNTIF('По дням'!$G$2:$G$3662,552)-1))</f>
        <v/>
      </c>
      <c r="D558" s="9">
        <f>IF(B558="","",C558-B558+1)</f>
        <v/>
      </c>
      <c r="E558" s="13">
        <f>IF(B558="","",INDEX('По дням'!$D$2:$D$3662,MATCH(552,'По дням'!$G$2:$G$3662,0)))</f>
        <v/>
      </c>
      <c r="F558" s="9">
        <f>IF(B558="","",INDEX('По дням'!$B$2:$B$3662,MATCH(552,'По дням'!$G$2:$G$3662,0)))</f>
        <v/>
      </c>
      <c r="G558" s="9">
        <f>IF(B558="","",INDEX('По дням'!$C$2:$C$3662,MATCH(552,'По дням'!$G$2:$G$3662,0)))</f>
        <v/>
      </c>
      <c r="H558" s="13">
        <f>IF(OR(B558="",F558=""),"",IF(J558="да",0,ROUND(E558*F558/100*D558/G558,2)))</f>
        <v/>
      </c>
      <c r="I558" s="13">
        <f>IF(B558="","",SUMIF(Оплаты!$A$6:$A$505,C558,Оплаты!$B$6:$B$505))</f>
        <v/>
      </c>
      <c r="J558" s="9">
        <f>IF(B558="","",IF(INDEX('По дням'!$E$2:$E$3662,MATCH(552,'По дням'!$G$2:$G$3662,0))=1,"да",""))</f>
        <v/>
      </c>
    </row>
    <row r="559">
      <c r="A559" s="9">
        <f>IF(B559="","",553)</f>
        <v/>
      </c>
      <c r="B559" s="12">
        <f>IFERROR(INDEX('По дням'!$A$2:$A$3662,MATCH(553,'По дням'!$G$2:$G$3662,0)),"")</f>
        <v/>
      </c>
      <c r="C559" s="12">
        <f>IF(B559="","",INDEX('По дням'!$A$2:$A$3662,MATCH(553,'По дням'!$G$2:$G$3662,0)+COUNTIF('По дням'!$G$2:$G$3662,553)-1))</f>
        <v/>
      </c>
      <c r="D559" s="9">
        <f>IF(B559="","",C559-B559+1)</f>
        <v/>
      </c>
      <c r="E559" s="13">
        <f>IF(B559="","",INDEX('По дням'!$D$2:$D$3662,MATCH(553,'По дням'!$G$2:$G$3662,0)))</f>
        <v/>
      </c>
      <c r="F559" s="9">
        <f>IF(B559="","",INDEX('По дням'!$B$2:$B$3662,MATCH(553,'По дням'!$G$2:$G$3662,0)))</f>
        <v/>
      </c>
      <c r="G559" s="9">
        <f>IF(B559="","",INDEX('По дням'!$C$2:$C$3662,MATCH(553,'По дням'!$G$2:$G$3662,0)))</f>
        <v/>
      </c>
      <c r="H559" s="13">
        <f>IF(OR(B559="",F559=""),"",IF(J559="да",0,ROUND(E559*F559/100*D559/G559,2)))</f>
        <v/>
      </c>
      <c r="I559" s="13">
        <f>IF(B559="","",SUMIF(Оплаты!$A$6:$A$505,C559,Оплаты!$B$6:$B$505))</f>
        <v/>
      </c>
      <c r="J559" s="9">
        <f>IF(B559="","",IF(INDEX('По дням'!$E$2:$E$3662,MATCH(553,'По дням'!$G$2:$G$3662,0))=1,"да",""))</f>
        <v/>
      </c>
    </row>
    <row r="560">
      <c r="A560" s="9">
        <f>IF(B560="","",554)</f>
        <v/>
      </c>
      <c r="B560" s="12">
        <f>IFERROR(INDEX('По дням'!$A$2:$A$3662,MATCH(554,'По дням'!$G$2:$G$3662,0)),"")</f>
        <v/>
      </c>
      <c r="C560" s="12">
        <f>IF(B560="","",INDEX('По дням'!$A$2:$A$3662,MATCH(554,'По дням'!$G$2:$G$3662,0)+COUNTIF('По дням'!$G$2:$G$3662,554)-1))</f>
        <v/>
      </c>
      <c r="D560" s="9">
        <f>IF(B560="","",C560-B560+1)</f>
        <v/>
      </c>
      <c r="E560" s="13">
        <f>IF(B560="","",INDEX('По дням'!$D$2:$D$3662,MATCH(554,'По дням'!$G$2:$G$3662,0)))</f>
        <v/>
      </c>
      <c r="F560" s="9">
        <f>IF(B560="","",INDEX('По дням'!$B$2:$B$3662,MATCH(554,'По дням'!$G$2:$G$3662,0)))</f>
        <v/>
      </c>
      <c r="G560" s="9">
        <f>IF(B560="","",INDEX('По дням'!$C$2:$C$3662,MATCH(554,'По дням'!$G$2:$G$3662,0)))</f>
        <v/>
      </c>
      <c r="H560" s="13">
        <f>IF(OR(B560="",F560=""),"",IF(J560="да",0,ROUND(E560*F560/100*D560/G560,2)))</f>
        <v/>
      </c>
      <c r="I560" s="13">
        <f>IF(B560="","",SUMIF(Оплаты!$A$6:$A$505,C560,Оплаты!$B$6:$B$505))</f>
        <v/>
      </c>
      <c r="J560" s="9">
        <f>IF(B560="","",IF(INDEX('По дням'!$E$2:$E$3662,MATCH(554,'По дням'!$G$2:$G$3662,0))=1,"да",""))</f>
        <v/>
      </c>
    </row>
    <row r="561">
      <c r="A561" s="9">
        <f>IF(B561="","",555)</f>
        <v/>
      </c>
      <c r="B561" s="12">
        <f>IFERROR(INDEX('По дням'!$A$2:$A$3662,MATCH(555,'По дням'!$G$2:$G$3662,0)),"")</f>
        <v/>
      </c>
      <c r="C561" s="12">
        <f>IF(B561="","",INDEX('По дням'!$A$2:$A$3662,MATCH(555,'По дням'!$G$2:$G$3662,0)+COUNTIF('По дням'!$G$2:$G$3662,555)-1))</f>
        <v/>
      </c>
      <c r="D561" s="9">
        <f>IF(B561="","",C561-B561+1)</f>
        <v/>
      </c>
      <c r="E561" s="13">
        <f>IF(B561="","",INDEX('По дням'!$D$2:$D$3662,MATCH(555,'По дням'!$G$2:$G$3662,0)))</f>
        <v/>
      </c>
      <c r="F561" s="9">
        <f>IF(B561="","",INDEX('По дням'!$B$2:$B$3662,MATCH(555,'По дням'!$G$2:$G$3662,0)))</f>
        <v/>
      </c>
      <c r="G561" s="9">
        <f>IF(B561="","",INDEX('По дням'!$C$2:$C$3662,MATCH(555,'По дням'!$G$2:$G$3662,0)))</f>
        <v/>
      </c>
      <c r="H561" s="13">
        <f>IF(OR(B561="",F561=""),"",IF(J561="да",0,ROUND(E561*F561/100*D561/G561,2)))</f>
        <v/>
      </c>
      <c r="I561" s="13">
        <f>IF(B561="","",SUMIF(Оплаты!$A$6:$A$505,C561,Оплаты!$B$6:$B$505))</f>
        <v/>
      </c>
      <c r="J561" s="9">
        <f>IF(B561="","",IF(INDEX('По дням'!$E$2:$E$3662,MATCH(555,'По дням'!$G$2:$G$3662,0))=1,"да",""))</f>
        <v/>
      </c>
    </row>
    <row r="562">
      <c r="A562" s="9">
        <f>IF(B562="","",556)</f>
        <v/>
      </c>
      <c r="B562" s="12">
        <f>IFERROR(INDEX('По дням'!$A$2:$A$3662,MATCH(556,'По дням'!$G$2:$G$3662,0)),"")</f>
        <v/>
      </c>
      <c r="C562" s="12">
        <f>IF(B562="","",INDEX('По дням'!$A$2:$A$3662,MATCH(556,'По дням'!$G$2:$G$3662,0)+COUNTIF('По дням'!$G$2:$G$3662,556)-1))</f>
        <v/>
      </c>
      <c r="D562" s="9">
        <f>IF(B562="","",C562-B562+1)</f>
        <v/>
      </c>
      <c r="E562" s="13">
        <f>IF(B562="","",INDEX('По дням'!$D$2:$D$3662,MATCH(556,'По дням'!$G$2:$G$3662,0)))</f>
        <v/>
      </c>
      <c r="F562" s="9">
        <f>IF(B562="","",INDEX('По дням'!$B$2:$B$3662,MATCH(556,'По дням'!$G$2:$G$3662,0)))</f>
        <v/>
      </c>
      <c r="G562" s="9">
        <f>IF(B562="","",INDEX('По дням'!$C$2:$C$3662,MATCH(556,'По дням'!$G$2:$G$3662,0)))</f>
        <v/>
      </c>
      <c r="H562" s="13">
        <f>IF(OR(B562="",F562=""),"",IF(J562="да",0,ROUND(E562*F562/100*D562/G562,2)))</f>
        <v/>
      </c>
      <c r="I562" s="13">
        <f>IF(B562="","",SUMIF(Оплаты!$A$6:$A$505,C562,Оплаты!$B$6:$B$505))</f>
        <v/>
      </c>
      <c r="J562" s="9">
        <f>IF(B562="","",IF(INDEX('По дням'!$E$2:$E$3662,MATCH(556,'По дням'!$G$2:$G$3662,0))=1,"да",""))</f>
        <v/>
      </c>
    </row>
    <row r="563">
      <c r="A563" s="9">
        <f>IF(B563="","",557)</f>
        <v/>
      </c>
      <c r="B563" s="12">
        <f>IFERROR(INDEX('По дням'!$A$2:$A$3662,MATCH(557,'По дням'!$G$2:$G$3662,0)),"")</f>
        <v/>
      </c>
      <c r="C563" s="12">
        <f>IF(B563="","",INDEX('По дням'!$A$2:$A$3662,MATCH(557,'По дням'!$G$2:$G$3662,0)+COUNTIF('По дням'!$G$2:$G$3662,557)-1))</f>
        <v/>
      </c>
      <c r="D563" s="9">
        <f>IF(B563="","",C563-B563+1)</f>
        <v/>
      </c>
      <c r="E563" s="13">
        <f>IF(B563="","",INDEX('По дням'!$D$2:$D$3662,MATCH(557,'По дням'!$G$2:$G$3662,0)))</f>
        <v/>
      </c>
      <c r="F563" s="9">
        <f>IF(B563="","",INDEX('По дням'!$B$2:$B$3662,MATCH(557,'По дням'!$G$2:$G$3662,0)))</f>
        <v/>
      </c>
      <c r="G563" s="9">
        <f>IF(B563="","",INDEX('По дням'!$C$2:$C$3662,MATCH(557,'По дням'!$G$2:$G$3662,0)))</f>
        <v/>
      </c>
      <c r="H563" s="13">
        <f>IF(OR(B563="",F563=""),"",IF(J563="да",0,ROUND(E563*F563/100*D563/G563,2)))</f>
        <v/>
      </c>
      <c r="I563" s="13">
        <f>IF(B563="","",SUMIF(Оплаты!$A$6:$A$505,C563,Оплаты!$B$6:$B$505))</f>
        <v/>
      </c>
      <c r="J563" s="9">
        <f>IF(B563="","",IF(INDEX('По дням'!$E$2:$E$3662,MATCH(557,'По дням'!$G$2:$G$3662,0))=1,"да",""))</f>
        <v/>
      </c>
    </row>
    <row r="564">
      <c r="A564" s="9">
        <f>IF(B564="","",558)</f>
        <v/>
      </c>
      <c r="B564" s="12">
        <f>IFERROR(INDEX('По дням'!$A$2:$A$3662,MATCH(558,'По дням'!$G$2:$G$3662,0)),"")</f>
        <v/>
      </c>
      <c r="C564" s="12">
        <f>IF(B564="","",INDEX('По дням'!$A$2:$A$3662,MATCH(558,'По дням'!$G$2:$G$3662,0)+COUNTIF('По дням'!$G$2:$G$3662,558)-1))</f>
        <v/>
      </c>
      <c r="D564" s="9">
        <f>IF(B564="","",C564-B564+1)</f>
        <v/>
      </c>
      <c r="E564" s="13">
        <f>IF(B564="","",INDEX('По дням'!$D$2:$D$3662,MATCH(558,'По дням'!$G$2:$G$3662,0)))</f>
        <v/>
      </c>
      <c r="F564" s="9">
        <f>IF(B564="","",INDEX('По дням'!$B$2:$B$3662,MATCH(558,'По дням'!$G$2:$G$3662,0)))</f>
        <v/>
      </c>
      <c r="G564" s="9">
        <f>IF(B564="","",INDEX('По дням'!$C$2:$C$3662,MATCH(558,'По дням'!$G$2:$G$3662,0)))</f>
        <v/>
      </c>
      <c r="H564" s="13">
        <f>IF(OR(B564="",F564=""),"",IF(J564="да",0,ROUND(E564*F564/100*D564/G564,2)))</f>
        <v/>
      </c>
      <c r="I564" s="13">
        <f>IF(B564="","",SUMIF(Оплаты!$A$6:$A$505,C564,Оплаты!$B$6:$B$505))</f>
        <v/>
      </c>
      <c r="J564" s="9">
        <f>IF(B564="","",IF(INDEX('По дням'!$E$2:$E$3662,MATCH(558,'По дням'!$G$2:$G$3662,0))=1,"да",""))</f>
        <v/>
      </c>
    </row>
    <row r="565">
      <c r="A565" s="9">
        <f>IF(B565="","",559)</f>
        <v/>
      </c>
      <c r="B565" s="12">
        <f>IFERROR(INDEX('По дням'!$A$2:$A$3662,MATCH(559,'По дням'!$G$2:$G$3662,0)),"")</f>
        <v/>
      </c>
      <c r="C565" s="12">
        <f>IF(B565="","",INDEX('По дням'!$A$2:$A$3662,MATCH(559,'По дням'!$G$2:$G$3662,0)+COUNTIF('По дням'!$G$2:$G$3662,559)-1))</f>
        <v/>
      </c>
      <c r="D565" s="9">
        <f>IF(B565="","",C565-B565+1)</f>
        <v/>
      </c>
      <c r="E565" s="13">
        <f>IF(B565="","",INDEX('По дням'!$D$2:$D$3662,MATCH(559,'По дням'!$G$2:$G$3662,0)))</f>
        <v/>
      </c>
      <c r="F565" s="9">
        <f>IF(B565="","",INDEX('По дням'!$B$2:$B$3662,MATCH(559,'По дням'!$G$2:$G$3662,0)))</f>
        <v/>
      </c>
      <c r="G565" s="9">
        <f>IF(B565="","",INDEX('По дням'!$C$2:$C$3662,MATCH(559,'По дням'!$G$2:$G$3662,0)))</f>
        <v/>
      </c>
      <c r="H565" s="13">
        <f>IF(OR(B565="",F565=""),"",IF(J565="да",0,ROUND(E565*F565/100*D565/G565,2)))</f>
        <v/>
      </c>
      <c r="I565" s="13">
        <f>IF(B565="","",SUMIF(Оплаты!$A$6:$A$505,C565,Оплаты!$B$6:$B$505))</f>
        <v/>
      </c>
      <c r="J565" s="9">
        <f>IF(B565="","",IF(INDEX('По дням'!$E$2:$E$3662,MATCH(559,'По дням'!$G$2:$G$3662,0))=1,"да",""))</f>
        <v/>
      </c>
    </row>
    <row r="566">
      <c r="A566" s="9">
        <f>IF(B566="","",560)</f>
        <v/>
      </c>
      <c r="B566" s="12">
        <f>IFERROR(INDEX('По дням'!$A$2:$A$3662,MATCH(560,'По дням'!$G$2:$G$3662,0)),"")</f>
        <v/>
      </c>
      <c r="C566" s="12">
        <f>IF(B566="","",INDEX('По дням'!$A$2:$A$3662,MATCH(560,'По дням'!$G$2:$G$3662,0)+COUNTIF('По дням'!$G$2:$G$3662,560)-1))</f>
        <v/>
      </c>
      <c r="D566" s="9">
        <f>IF(B566="","",C566-B566+1)</f>
        <v/>
      </c>
      <c r="E566" s="13">
        <f>IF(B566="","",INDEX('По дням'!$D$2:$D$3662,MATCH(560,'По дням'!$G$2:$G$3662,0)))</f>
        <v/>
      </c>
      <c r="F566" s="9">
        <f>IF(B566="","",INDEX('По дням'!$B$2:$B$3662,MATCH(560,'По дням'!$G$2:$G$3662,0)))</f>
        <v/>
      </c>
      <c r="G566" s="9">
        <f>IF(B566="","",INDEX('По дням'!$C$2:$C$3662,MATCH(560,'По дням'!$G$2:$G$3662,0)))</f>
        <v/>
      </c>
      <c r="H566" s="13">
        <f>IF(OR(B566="",F566=""),"",IF(J566="да",0,ROUND(E566*F566/100*D566/G566,2)))</f>
        <v/>
      </c>
      <c r="I566" s="13">
        <f>IF(B566="","",SUMIF(Оплаты!$A$6:$A$505,C566,Оплаты!$B$6:$B$505))</f>
        <v/>
      </c>
      <c r="J566" s="9">
        <f>IF(B566="","",IF(INDEX('По дням'!$E$2:$E$3662,MATCH(560,'По дням'!$G$2:$G$3662,0))=1,"да",""))</f>
        <v/>
      </c>
    </row>
    <row r="567">
      <c r="A567" s="9">
        <f>IF(B567="","",561)</f>
        <v/>
      </c>
      <c r="B567" s="12">
        <f>IFERROR(INDEX('По дням'!$A$2:$A$3662,MATCH(561,'По дням'!$G$2:$G$3662,0)),"")</f>
        <v/>
      </c>
      <c r="C567" s="12">
        <f>IF(B567="","",INDEX('По дням'!$A$2:$A$3662,MATCH(561,'По дням'!$G$2:$G$3662,0)+COUNTIF('По дням'!$G$2:$G$3662,561)-1))</f>
        <v/>
      </c>
      <c r="D567" s="9">
        <f>IF(B567="","",C567-B567+1)</f>
        <v/>
      </c>
      <c r="E567" s="13">
        <f>IF(B567="","",INDEX('По дням'!$D$2:$D$3662,MATCH(561,'По дням'!$G$2:$G$3662,0)))</f>
        <v/>
      </c>
      <c r="F567" s="9">
        <f>IF(B567="","",INDEX('По дням'!$B$2:$B$3662,MATCH(561,'По дням'!$G$2:$G$3662,0)))</f>
        <v/>
      </c>
      <c r="G567" s="9">
        <f>IF(B567="","",INDEX('По дням'!$C$2:$C$3662,MATCH(561,'По дням'!$G$2:$G$3662,0)))</f>
        <v/>
      </c>
      <c r="H567" s="13">
        <f>IF(OR(B567="",F567=""),"",IF(J567="да",0,ROUND(E567*F567/100*D567/G567,2)))</f>
        <v/>
      </c>
      <c r="I567" s="13">
        <f>IF(B567="","",SUMIF(Оплаты!$A$6:$A$505,C567,Оплаты!$B$6:$B$505))</f>
        <v/>
      </c>
      <c r="J567" s="9">
        <f>IF(B567="","",IF(INDEX('По дням'!$E$2:$E$3662,MATCH(561,'По дням'!$G$2:$G$3662,0))=1,"да",""))</f>
        <v/>
      </c>
    </row>
    <row r="568">
      <c r="A568" s="9">
        <f>IF(B568="","",562)</f>
        <v/>
      </c>
      <c r="B568" s="12">
        <f>IFERROR(INDEX('По дням'!$A$2:$A$3662,MATCH(562,'По дням'!$G$2:$G$3662,0)),"")</f>
        <v/>
      </c>
      <c r="C568" s="12">
        <f>IF(B568="","",INDEX('По дням'!$A$2:$A$3662,MATCH(562,'По дням'!$G$2:$G$3662,0)+COUNTIF('По дням'!$G$2:$G$3662,562)-1))</f>
        <v/>
      </c>
      <c r="D568" s="9">
        <f>IF(B568="","",C568-B568+1)</f>
        <v/>
      </c>
      <c r="E568" s="13">
        <f>IF(B568="","",INDEX('По дням'!$D$2:$D$3662,MATCH(562,'По дням'!$G$2:$G$3662,0)))</f>
        <v/>
      </c>
      <c r="F568" s="9">
        <f>IF(B568="","",INDEX('По дням'!$B$2:$B$3662,MATCH(562,'По дням'!$G$2:$G$3662,0)))</f>
        <v/>
      </c>
      <c r="G568" s="9">
        <f>IF(B568="","",INDEX('По дням'!$C$2:$C$3662,MATCH(562,'По дням'!$G$2:$G$3662,0)))</f>
        <v/>
      </c>
      <c r="H568" s="13">
        <f>IF(OR(B568="",F568=""),"",IF(J568="да",0,ROUND(E568*F568/100*D568/G568,2)))</f>
        <v/>
      </c>
      <c r="I568" s="13">
        <f>IF(B568="","",SUMIF(Оплаты!$A$6:$A$505,C568,Оплаты!$B$6:$B$505))</f>
        <v/>
      </c>
      <c r="J568" s="9">
        <f>IF(B568="","",IF(INDEX('По дням'!$E$2:$E$3662,MATCH(562,'По дням'!$G$2:$G$3662,0))=1,"да",""))</f>
        <v/>
      </c>
    </row>
    <row r="569">
      <c r="A569" s="9">
        <f>IF(B569="","",563)</f>
        <v/>
      </c>
      <c r="B569" s="12">
        <f>IFERROR(INDEX('По дням'!$A$2:$A$3662,MATCH(563,'По дням'!$G$2:$G$3662,0)),"")</f>
        <v/>
      </c>
      <c r="C569" s="12">
        <f>IF(B569="","",INDEX('По дням'!$A$2:$A$3662,MATCH(563,'По дням'!$G$2:$G$3662,0)+COUNTIF('По дням'!$G$2:$G$3662,563)-1))</f>
        <v/>
      </c>
      <c r="D569" s="9">
        <f>IF(B569="","",C569-B569+1)</f>
        <v/>
      </c>
      <c r="E569" s="13">
        <f>IF(B569="","",INDEX('По дням'!$D$2:$D$3662,MATCH(563,'По дням'!$G$2:$G$3662,0)))</f>
        <v/>
      </c>
      <c r="F569" s="9">
        <f>IF(B569="","",INDEX('По дням'!$B$2:$B$3662,MATCH(563,'По дням'!$G$2:$G$3662,0)))</f>
        <v/>
      </c>
      <c r="G569" s="9">
        <f>IF(B569="","",INDEX('По дням'!$C$2:$C$3662,MATCH(563,'По дням'!$G$2:$G$3662,0)))</f>
        <v/>
      </c>
      <c r="H569" s="13">
        <f>IF(OR(B569="",F569=""),"",IF(J569="да",0,ROUND(E569*F569/100*D569/G569,2)))</f>
        <v/>
      </c>
      <c r="I569" s="13">
        <f>IF(B569="","",SUMIF(Оплаты!$A$6:$A$505,C569,Оплаты!$B$6:$B$505))</f>
        <v/>
      </c>
      <c r="J569" s="9">
        <f>IF(B569="","",IF(INDEX('По дням'!$E$2:$E$3662,MATCH(563,'По дням'!$G$2:$G$3662,0))=1,"да",""))</f>
        <v/>
      </c>
    </row>
    <row r="570">
      <c r="A570" s="9">
        <f>IF(B570="","",564)</f>
        <v/>
      </c>
      <c r="B570" s="12">
        <f>IFERROR(INDEX('По дням'!$A$2:$A$3662,MATCH(564,'По дням'!$G$2:$G$3662,0)),"")</f>
        <v/>
      </c>
      <c r="C570" s="12">
        <f>IF(B570="","",INDEX('По дням'!$A$2:$A$3662,MATCH(564,'По дням'!$G$2:$G$3662,0)+COUNTIF('По дням'!$G$2:$G$3662,564)-1))</f>
        <v/>
      </c>
      <c r="D570" s="9">
        <f>IF(B570="","",C570-B570+1)</f>
        <v/>
      </c>
      <c r="E570" s="13">
        <f>IF(B570="","",INDEX('По дням'!$D$2:$D$3662,MATCH(564,'По дням'!$G$2:$G$3662,0)))</f>
        <v/>
      </c>
      <c r="F570" s="9">
        <f>IF(B570="","",INDEX('По дням'!$B$2:$B$3662,MATCH(564,'По дням'!$G$2:$G$3662,0)))</f>
        <v/>
      </c>
      <c r="G570" s="9">
        <f>IF(B570="","",INDEX('По дням'!$C$2:$C$3662,MATCH(564,'По дням'!$G$2:$G$3662,0)))</f>
        <v/>
      </c>
      <c r="H570" s="13">
        <f>IF(OR(B570="",F570=""),"",IF(J570="да",0,ROUND(E570*F570/100*D570/G570,2)))</f>
        <v/>
      </c>
      <c r="I570" s="13">
        <f>IF(B570="","",SUMIF(Оплаты!$A$6:$A$505,C570,Оплаты!$B$6:$B$505))</f>
        <v/>
      </c>
      <c r="J570" s="9">
        <f>IF(B570="","",IF(INDEX('По дням'!$E$2:$E$3662,MATCH(564,'По дням'!$G$2:$G$3662,0))=1,"да",""))</f>
        <v/>
      </c>
    </row>
    <row r="571">
      <c r="A571" s="9">
        <f>IF(B571="","",565)</f>
        <v/>
      </c>
      <c r="B571" s="12">
        <f>IFERROR(INDEX('По дням'!$A$2:$A$3662,MATCH(565,'По дням'!$G$2:$G$3662,0)),"")</f>
        <v/>
      </c>
      <c r="C571" s="12">
        <f>IF(B571="","",INDEX('По дням'!$A$2:$A$3662,MATCH(565,'По дням'!$G$2:$G$3662,0)+COUNTIF('По дням'!$G$2:$G$3662,565)-1))</f>
        <v/>
      </c>
      <c r="D571" s="9">
        <f>IF(B571="","",C571-B571+1)</f>
        <v/>
      </c>
      <c r="E571" s="13">
        <f>IF(B571="","",INDEX('По дням'!$D$2:$D$3662,MATCH(565,'По дням'!$G$2:$G$3662,0)))</f>
        <v/>
      </c>
      <c r="F571" s="9">
        <f>IF(B571="","",INDEX('По дням'!$B$2:$B$3662,MATCH(565,'По дням'!$G$2:$G$3662,0)))</f>
        <v/>
      </c>
      <c r="G571" s="9">
        <f>IF(B571="","",INDEX('По дням'!$C$2:$C$3662,MATCH(565,'По дням'!$G$2:$G$3662,0)))</f>
        <v/>
      </c>
      <c r="H571" s="13">
        <f>IF(OR(B571="",F571=""),"",IF(J571="да",0,ROUND(E571*F571/100*D571/G571,2)))</f>
        <v/>
      </c>
      <c r="I571" s="13">
        <f>IF(B571="","",SUMIF(Оплаты!$A$6:$A$505,C571,Оплаты!$B$6:$B$505))</f>
        <v/>
      </c>
      <c r="J571" s="9">
        <f>IF(B571="","",IF(INDEX('По дням'!$E$2:$E$3662,MATCH(565,'По дням'!$G$2:$G$3662,0))=1,"да",""))</f>
        <v/>
      </c>
    </row>
    <row r="572">
      <c r="A572" s="9">
        <f>IF(B572="","",566)</f>
        <v/>
      </c>
      <c r="B572" s="12">
        <f>IFERROR(INDEX('По дням'!$A$2:$A$3662,MATCH(566,'По дням'!$G$2:$G$3662,0)),"")</f>
        <v/>
      </c>
      <c r="C572" s="12">
        <f>IF(B572="","",INDEX('По дням'!$A$2:$A$3662,MATCH(566,'По дням'!$G$2:$G$3662,0)+COUNTIF('По дням'!$G$2:$G$3662,566)-1))</f>
        <v/>
      </c>
      <c r="D572" s="9">
        <f>IF(B572="","",C572-B572+1)</f>
        <v/>
      </c>
      <c r="E572" s="13">
        <f>IF(B572="","",INDEX('По дням'!$D$2:$D$3662,MATCH(566,'По дням'!$G$2:$G$3662,0)))</f>
        <v/>
      </c>
      <c r="F572" s="9">
        <f>IF(B572="","",INDEX('По дням'!$B$2:$B$3662,MATCH(566,'По дням'!$G$2:$G$3662,0)))</f>
        <v/>
      </c>
      <c r="G572" s="9">
        <f>IF(B572="","",INDEX('По дням'!$C$2:$C$3662,MATCH(566,'По дням'!$G$2:$G$3662,0)))</f>
        <v/>
      </c>
      <c r="H572" s="13">
        <f>IF(OR(B572="",F572=""),"",IF(J572="да",0,ROUND(E572*F572/100*D572/G572,2)))</f>
        <v/>
      </c>
      <c r="I572" s="13">
        <f>IF(B572="","",SUMIF(Оплаты!$A$6:$A$505,C572,Оплаты!$B$6:$B$505))</f>
        <v/>
      </c>
      <c r="J572" s="9">
        <f>IF(B572="","",IF(INDEX('По дням'!$E$2:$E$3662,MATCH(566,'По дням'!$G$2:$G$3662,0))=1,"да",""))</f>
        <v/>
      </c>
    </row>
    <row r="573">
      <c r="A573" s="9">
        <f>IF(B573="","",567)</f>
        <v/>
      </c>
      <c r="B573" s="12">
        <f>IFERROR(INDEX('По дням'!$A$2:$A$3662,MATCH(567,'По дням'!$G$2:$G$3662,0)),"")</f>
        <v/>
      </c>
      <c r="C573" s="12">
        <f>IF(B573="","",INDEX('По дням'!$A$2:$A$3662,MATCH(567,'По дням'!$G$2:$G$3662,0)+COUNTIF('По дням'!$G$2:$G$3662,567)-1))</f>
        <v/>
      </c>
      <c r="D573" s="9">
        <f>IF(B573="","",C573-B573+1)</f>
        <v/>
      </c>
      <c r="E573" s="13">
        <f>IF(B573="","",INDEX('По дням'!$D$2:$D$3662,MATCH(567,'По дням'!$G$2:$G$3662,0)))</f>
        <v/>
      </c>
      <c r="F573" s="9">
        <f>IF(B573="","",INDEX('По дням'!$B$2:$B$3662,MATCH(567,'По дням'!$G$2:$G$3662,0)))</f>
        <v/>
      </c>
      <c r="G573" s="9">
        <f>IF(B573="","",INDEX('По дням'!$C$2:$C$3662,MATCH(567,'По дням'!$G$2:$G$3662,0)))</f>
        <v/>
      </c>
      <c r="H573" s="13">
        <f>IF(OR(B573="",F573=""),"",IF(J573="да",0,ROUND(E573*F573/100*D573/G573,2)))</f>
        <v/>
      </c>
      <c r="I573" s="13">
        <f>IF(B573="","",SUMIF(Оплаты!$A$6:$A$505,C573,Оплаты!$B$6:$B$505))</f>
        <v/>
      </c>
      <c r="J573" s="9">
        <f>IF(B573="","",IF(INDEX('По дням'!$E$2:$E$3662,MATCH(567,'По дням'!$G$2:$G$3662,0))=1,"да",""))</f>
        <v/>
      </c>
    </row>
    <row r="574">
      <c r="A574" s="9">
        <f>IF(B574="","",568)</f>
        <v/>
      </c>
      <c r="B574" s="12">
        <f>IFERROR(INDEX('По дням'!$A$2:$A$3662,MATCH(568,'По дням'!$G$2:$G$3662,0)),"")</f>
        <v/>
      </c>
      <c r="C574" s="12">
        <f>IF(B574="","",INDEX('По дням'!$A$2:$A$3662,MATCH(568,'По дням'!$G$2:$G$3662,0)+COUNTIF('По дням'!$G$2:$G$3662,568)-1))</f>
        <v/>
      </c>
      <c r="D574" s="9">
        <f>IF(B574="","",C574-B574+1)</f>
        <v/>
      </c>
      <c r="E574" s="13">
        <f>IF(B574="","",INDEX('По дням'!$D$2:$D$3662,MATCH(568,'По дням'!$G$2:$G$3662,0)))</f>
        <v/>
      </c>
      <c r="F574" s="9">
        <f>IF(B574="","",INDEX('По дням'!$B$2:$B$3662,MATCH(568,'По дням'!$G$2:$G$3662,0)))</f>
        <v/>
      </c>
      <c r="G574" s="9">
        <f>IF(B574="","",INDEX('По дням'!$C$2:$C$3662,MATCH(568,'По дням'!$G$2:$G$3662,0)))</f>
        <v/>
      </c>
      <c r="H574" s="13">
        <f>IF(OR(B574="",F574=""),"",IF(J574="да",0,ROUND(E574*F574/100*D574/G574,2)))</f>
        <v/>
      </c>
      <c r="I574" s="13">
        <f>IF(B574="","",SUMIF(Оплаты!$A$6:$A$505,C574,Оплаты!$B$6:$B$505))</f>
        <v/>
      </c>
      <c r="J574" s="9">
        <f>IF(B574="","",IF(INDEX('По дням'!$E$2:$E$3662,MATCH(568,'По дням'!$G$2:$G$3662,0))=1,"да",""))</f>
        <v/>
      </c>
    </row>
    <row r="575">
      <c r="A575" s="9">
        <f>IF(B575="","",569)</f>
        <v/>
      </c>
      <c r="B575" s="12">
        <f>IFERROR(INDEX('По дням'!$A$2:$A$3662,MATCH(569,'По дням'!$G$2:$G$3662,0)),"")</f>
        <v/>
      </c>
      <c r="C575" s="12">
        <f>IF(B575="","",INDEX('По дням'!$A$2:$A$3662,MATCH(569,'По дням'!$G$2:$G$3662,0)+COUNTIF('По дням'!$G$2:$G$3662,569)-1))</f>
        <v/>
      </c>
      <c r="D575" s="9">
        <f>IF(B575="","",C575-B575+1)</f>
        <v/>
      </c>
      <c r="E575" s="13">
        <f>IF(B575="","",INDEX('По дням'!$D$2:$D$3662,MATCH(569,'По дням'!$G$2:$G$3662,0)))</f>
        <v/>
      </c>
      <c r="F575" s="9">
        <f>IF(B575="","",INDEX('По дням'!$B$2:$B$3662,MATCH(569,'По дням'!$G$2:$G$3662,0)))</f>
        <v/>
      </c>
      <c r="G575" s="9">
        <f>IF(B575="","",INDEX('По дням'!$C$2:$C$3662,MATCH(569,'По дням'!$G$2:$G$3662,0)))</f>
        <v/>
      </c>
      <c r="H575" s="13">
        <f>IF(OR(B575="",F575=""),"",IF(J575="да",0,ROUND(E575*F575/100*D575/G575,2)))</f>
        <v/>
      </c>
      <c r="I575" s="13">
        <f>IF(B575="","",SUMIF(Оплаты!$A$6:$A$505,C575,Оплаты!$B$6:$B$505))</f>
        <v/>
      </c>
      <c r="J575" s="9">
        <f>IF(B575="","",IF(INDEX('По дням'!$E$2:$E$3662,MATCH(569,'По дням'!$G$2:$G$3662,0))=1,"да",""))</f>
        <v/>
      </c>
    </row>
    <row r="576">
      <c r="A576" s="9">
        <f>IF(B576="","",570)</f>
        <v/>
      </c>
      <c r="B576" s="12">
        <f>IFERROR(INDEX('По дням'!$A$2:$A$3662,MATCH(570,'По дням'!$G$2:$G$3662,0)),"")</f>
        <v/>
      </c>
      <c r="C576" s="12">
        <f>IF(B576="","",INDEX('По дням'!$A$2:$A$3662,MATCH(570,'По дням'!$G$2:$G$3662,0)+COUNTIF('По дням'!$G$2:$G$3662,570)-1))</f>
        <v/>
      </c>
      <c r="D576" s="9">
        <f>IF(B576="","",C576-B576+1)</f>
        <v/>
      </c>
      <c r="E576" s="13">
        <f>IF(B576="","",INDEX('По дням'!$D$2:$D$3662,MATCH(570,'По дням'!$G$2:$G$3662,0)))</f>
        <v/>
      </c>
      <c r="F576" s="9">
        <f>IF(B576="","",INDEX('По дням'!$B$2:$B$3662,MATCH(570,'По дням'!$G$2:$G$3662,0)))</f>
        <v/>
      </c>
      <c r="G576" s="9">
        <f>IF(B576="","",INDEX('По дням'!$C$2:$C$3662,MATCH(570,'По дням'!$G$2:$G$3662,0)))</f>
        <v/>
      </c>
      <c r="H576" s="13">
        <f>IF(OR(B576="",F576=""),"",IF(J576="да",0,ROUND(E576*F576/100*D576/G576,2)))</f>
        <v/>
      </c>
      <c r="I576" s="13">
        <f>IF(B576="","",SUMIF(Оплаты!$A$6:$A$505,C576,Оплаты!$B$6:$B$505))</f>
        <v/>
      </c>
      <c r="J576" s="9">
        <f>IF(B576="","",IF(INDEX('По дням'!$E$2:$E$3662,MATCH(570,'По дням'!$G$2:$G$3662,0))=1,"да",""))</f>
        <v/>
      </c>
    </row>
    <row r="577">
      <c r="A577" s="9">
        <f>IF(B577="","",571)</f>
        <v/>
      </c>
      <c r="B577" s="12">
        <f>IFERROR(INDEX('По дням'!$A$2:$A$3662,MATCH(571,'По дням'!$G$2:$G$3662,0)),"")</f>
        <v/>
      </c>
      <c r="C577" s="12">
        <f>IF(B577="","",INDEX('По дням'!$A$2:$A$3662,MATCH(571,'По дням'!$G$2:$G$3662,0)+COUNTIF('По дням'!$G$2:$G$3662,571)-1))</f>
        <v/>
      </c>
      <c r="D577" s="9">
        <f>IF(B577="","",C577-B577+1)</f>
        <v/>
      </c>
      <c r="E577" s="13">
        <f>IF(B577="","",INDEX('По дням'!$D$2:$D$3662,MATCH(571,'По дням'!$G$2:$G$3662,0)))</f>
        <v/>
      </c>
      <c r="F577" s="9">
        <f>IF(B577="","",INDEX('По дням'!$B$2:$B$3662,MATCH(571,'По дням'!$G$2:$G$3662,0)))</f>
        <v/>
      </c>
      <c r="G577" s="9">
        <f>IF(B577="","",INDEX('По дням'!$C$2:$C$3662,MATCH(571,'По дням'!$G$2:$G$3662,0)))</f>
        <v/>
      </c>
      <c r="H577" s="13">
        <f>IF(OR(B577="",F577=""),"",IF(J577="да",0,ROUND(E577*F577/100*D577/G577,2)))</f>
        <v/>
      </c>
      <c r="I577" s="13">
        <f>IF(B577="","",SUMIF(Оплаты!$A$6:$A$505,C577,Оплаты!$B$6:$B$505))</f>
        <v/>
      </c>
      <c r="J577" s="9">
        <f>IF(B577="","",IF(INDEX('По дням'!$E$2:$E$3662,MATCH(571,'По дням'!$G$2:$G$3662,0))=1,"да",""))</f>
        <v/>
      </c>
    </row>
    <row r="578">
      <c r="A578" s="9">
        <f>IF(B578="","",572)</f>
        <v/>
      </c>
      <c r="B578" s="12">
        <f>IFERROR(INDEX('По дням'!$A$2:$A$3662,MATCH(572,'По дням'!$G$2:$G$3662,0)),"")</f>
        <v/>
      </c>
      <c r="C578" s="12">
        <f>IF(B578="","",INDEX('По дням'!$A$2:$A$3662,MATCH(572,'По дням'!$G$2:$G$3662,0)+COUNTIF('По дням'!$G$2:$G$3662,572)-1))</f>
        <v/>
      </c>
      <c r="D578" s="9">
        <f>IF(B578="","",C578-B578+1)</f>
        <v/>
      </c>
      <c r="E578" s="13">
        <f>IF(B578="","",INDEX('По дням'!$D$2:$D$3662,MATCH(572,'По дням'!$G$2:$G$3662,0)))</f>
        <v/>
      </c>
      <c r="F578" s="9">
        <f>IF(B578="","",INDEX('По дням'!$B$2:$B$3662,MATCH(572,'По дням'!$G$2:$G$3662,0)))</f>
        <v/>
      </c>
      <c r="G578" s="9">
        <f>IF(B578="","",INDEX('По дням'!$C$2:$C$3662,MATCH(572,'По дням'!$G$2:$G$3662,0)))</f>
        <v/>
      </c>
      <c r="H578" s="13">
        <f>IF(OR(B578="",F578=""),"",IF(J578="да",0,ROUND(E578*F578/100*D578/G578,2)))</f>
        <v/>
      </c>
      <c r="I578" s="13">
        <f>IF(B578="","",SUMIF(Оплаты!$A$6:$A$505,C578,Оплаты!$B$6:$B$505))</f>
        <v/>
      </c>
      <c r="J578" s="9">
        <f>IF(B578="","",IF(INDEX('По дням'!$E$2:$E$3662,MATCH(572,'По дням'!$G$2:$G$3662,0))=1,"да",""))</f>
        <v/>
      </c>
    </row>
    <row r="579">
      <c r="A579" s="9">
        <f>IF(B579="","",573)</f>
        <v/>
      </c>
      <c r="B579" s="12">
        <f>IFERROR(INDEX('По дням'!$A$2:$A$3662,MATCH(573,'По дням'!$G$2:$G$3662,0)),"")</f>
        <v/>
      </c>
      <c r="C579" s="12">
        <f>IF(B579="","",INDEX('По дням'!$A$2:$A$3662,MATCH(573,'По дням'!$G$2:$G$3662,0)+COUNTIF('По дням'!$G$2:$G$3662,573)-1))</f>
        <v/>
      </c>
      <c r="D579" s="9">
        <f>IF(B579="","",C579-B579+1)</f>
        <v/>
      </c>
      <c r="E579" s="13">
        <f>IF(B579="","",INDEX('По дням'!$D$2:$D$3662,MATCH(573,'По дням'!$G$2:$G$3662,0)))</f>
        <v/>
      </c>
      <c r="F579" s="9">
        <f>IF(B579="","",INDEX('По дням'!$B$2:$B$3662,MATCH(573,'По дням'!$G$2:$G$3662,0)))</f>
        <v/>
      </c>
      <c r="G579" s="9">
        <f>IF(B579="","",INDEX('По дням'!$C$2:$C$3662,MATCH(573,'По дням'!$G$2:$G$3662,0)))</f>
        <v/>
      </c>
      <c r="H579" s="13">
        <f>IF(OR(B579="",F579=""),"",IF(J579="да",0,ROUND(E579*F579/100*D579/G579,2)))</f>
        <v/>
      </c>
      <c r="I579" s="13">
        <f>IF(B579="","",SUMIF(Оплаты!$A$6:$A$505,C579,Оплаты!$B$6:$B$505))</f>
        <v/>
      </c>
      <c r="J579" s="9">
        <f>IF(B579="","",IF(INDEX('По дням'!$E$2:$E$3662,MATCH(573,'По дням'!$G$2:$G$3662,0))=1,"да",""))</f>
        <v/>
      </c>
    </row>
    <row r="580">
      <c r="A580" s="9">
        <f>IF(B580="","",574)</f>
        <v/>
      </c>
      <c r="B580" s="12">
        <f>IFERROR(INDEX('По дням'!$A$2:$A$3662,MATCH(574,'По дням'!$G$2:$G$3662,0)),"")</f>
        <v/>
      </c>
      <c r="C580" s="12">
        <f>IF(B580="","",INDEX('По дням'!$A$2:$A$3662,MATCH(574,'По дням'!$G$2:$G$3662,0)+COUNTIF('По дням'!$G$2:$G$3662,574)-1))</f>
        <v/>
      </c>
      <c r="D580" s="9">
        <f>IF(B580="","",C580-B580+1)</f>
        <v/>
      </c>
      <c r="E580" s="13">
        <f>IF(B580="","",INDEX('По дням'!$D$2:$D$3662,MATCH(574,'По дням'!$G$2:$G$3662,0)))</f>
        <v/>
      </c>
      <c r="F580" s="9">
        <f>IF(B580="","",INDEX('По дням'!$B$2:$B$3662,MATCH(574,'По дням'!$G$2:$G$3662,0)))</f>
        <v/>
      </c>
      <c r="G580" s="9">
        <f>IF(B580="","",INDEX('По дням'!$C$2:$C$3662,MATCH(574,'По дням'!$G$2:$G$3662,0)))</f>
        <v/>
      </c>
      <c r="H580" s="13">
        <f>IF(OR(B580="",F580=""),"",IF(J580="да",0,ROUND(E580*F580/100*D580/G580,2)))</f>
        <v/>
      </c>
      <c r="I580" s="13">
        <f>IF(B580="","",SUMIF(Оплаты!$A$6:$A$505,C580,Оплаты!$B$6:$B$505))</f>
        <v/>
      </c>
      <c r="J580" s="9">
        <f>IF(B580="","",IF(INDEX('По дням'!$E$2:$E$3662,MATCH(574,'По дням'!$G$2:$G$3662,0))=1,"да",""))</f>
        <v/>
      </c>
    </row>
    <row r="581">
      <c r="A581" s="9">
        <f>IF(B581="","",575)</f>
        <v/>
      </c>
      <c r="B581" s="12">
        <f>IFERROR(INDEX('По дням'!$A$2:$A$3662,MATCH(575,'По дням'!$G$2:$G$3662,0)),"")</f>
        <v/>
      </c>
      <c r="C581" s="12">
        <f>IF(B581="","",INDEX('По дням'!$A$2:$A$3662,MATCH(575,'По дням'!$G$2:$G$3662,0)+COUNTIF('По дням'!$G$2:$G$3662,575)-1))</f>
        <v/>
      </c>
      <c r="D581" s="9">
        <f>IF(B581="","",C581-B581+1)</f>
        <v/>
      </c>
      <c r="E581" s="13">
        <f>IF(B581="","",INDEX('По дням'!$D$2:$D$3662,MATCH(575,'По дням'!$G$2:$G$3662,0)))</f>
        <v/>
      </c>
      <c r="F581" s="9">
        <f>IF(B581="","",INDEX('По дням'!$B$2:$B$3662,MATCH(575,'По дням'!$G$2:$G$3662,0)))</f>
        <v/>
      </c>
      <c r="G581" s="9">
        <f>IF(B581="","",INDEX('По дням'!$C$2:$C$3662,MATCH(575,'По дням'!$G$2:$G$3662,0)))</f>
        <v/>
      </c>
      <c r="H581" s="13">
        <f>IF(OR(B581="",F581=""),"",IF(J581="да",0,ROUND(E581*F581/100*D581/G581,2)))</f>
        <v/>
      </c>
      <c r="I581" s="13">
        <f>IF(B581="","",SUMIF(Оплаты!$A$6:$A$505,C581,Оплаты!$B$6:$B$505))</f>
        <v/>
      </c>
      <c r="J581" s="9">
        <f>IF(B581="","",IF(INDEX('По дням'!$E$2:$E$3662,MATCH(575,'По дням'!$G$2:$G$3662,0))=1,"да",""))</f>
        <v/>
      </c>
    </row>
    <row r="582">
      <c r="A582" s="9">
        <f>IF(B582="","",576)</f>
        <v/>
      </c>
      <c r="B582" s="12">
        <f>IFERROR(INDEX('По дням'!$A$2:$A$3662,MATCH(576,'По дням'!$G$2:$G$3662,0)),"")</f>
        <v/>
      </c>
      <c r="C582" s="12">
        <f>IF(B582="","",INDEX('По дням'!$A$2:$A$3662,MATCH(576,'По дням'!$G$2:$G$3662,0)+COUNTIF('По дням'!$G$2:$G$3662,576)-1))</f>
        <v/>
      </c>
      <c r="D582" s="9">
        <f>IF(B582="","",C582-B582+1)</f>
        <v/>
      </c>
      <c r="E582" s="13">
        <f>IF(B582="","",INDEX('По дням'!$D$2:$D$3662,MATCH(576,'По дням'!$G$2:$G$3662,0)))</f>
        <v/>
      </c>
      <c r="F582" s="9">
        <f>IF(B582="","",INDEX('По дням'!$B$2:$B$3662,MATCH(576,'По дням'!$G$2:$G$3662,0)))</f>
        <v/>
      </c>
      <c r="G582" s="9">
        <f>IF(B582="","",INDEX('По дням'!$C$2:$C$3662,MATCH(576,'По дням'!$G$2:$G$3662,0)))</f>
        <v/>
      </c>
      <c r="H582" s="13">
        <f>IF(OR(B582="",F582=""),"",IF(J582="да",0,ROUND(E582*F582/100*D582/G582,2)))</f>
        <v/>
      </c>
      <c r="I582" s="13">
        <f>IF(B582="","",SUMIF(Оплаты!$A$6:$A$505,C582,Оплаты!$B$6:$B$505))</f>
        <v/>
      </c>
      <c r="J582" s="9">
        <f>IF(B582="","",IF(INDEX('По дням'!$E$2:$E$3662,MATCH(576,'По дням'!$G$2:$G$3662,0))=1,"да",""))</f>
        <v/>
      </c>
    </row>
    <row r="583">
      <c r="A583" s="9">
        <f>IF(B583="","",577)</f>
        <v/>
      </c>
      <c r="B583" s="12">
        <f>IFERROR(INDEX('По дням'!$A$2:$A$3662,MATCH(577,'По дням'!$G$2:$G$3662,0)),"")</f>
        <v/>
      </c>
      <c r="C583" s="12">
        <f>IF(B583="","",INDEX('По дням'!$A$2:$A$3662,MATCH(577,'По дням'!$G$2:$G$3662,0)+COUNTIF('По дням'!$G$2:$G$3662,577)-1))</f>
        <v/>
      </c>
      <c r="D583" s="9">
        <f>IF(B583="","",C583-B583+1)</f>
        <v/>
      </c>
      <c r="E583" s="13">
        <f>IF(B583="","",INDEX('По дням'!$D$2:$D$3662,MATCH(577,'По дням'!$G$2:$G$3662,0)))</f>
        <v/>
      </c>
      <c r="F583" s="9">
        <f>IF(B583="","",INDEX('По дням'!$B$2:$B$3662,MATCH(577,'По дням'!$G$2:$G$3662,0)))</f>
        <v/>
      </c>
      <c r="G583" s="9">
        <f>IF(B583="","",INDEX('По дням'!$C$2:$C$3662,MATCH(577,'По дням'!$G$2:$G$3662,0)))</f>
        <v/>
      </c>
      <c r="H583" s="13">
        <f>IF(OR(B583="",F583=""),"",IF(J583="да",0,ROUND(E583*F583/100*D583/G583,2)))</f>
        <v/>
      </c>
      <c r="I583" s="13">
        <f>IF(B583="","",SUMIF(Оплаты!$A$6:$A$505,C583,Оплаты!$B$6:$B$505))</f>
        <v/>
      </c>
      <c r="J583" s="9">
        <f>IF(B583="","",IF(INDEX('По дням'!$E$2:$E$3662,MATCH(577,'По дням'!$G$2:$G$3662,0))=1,"да",""))</f>
        <v/>
      </c>
    </row>
    <row r="584">
      <c r="A584" s="9">
        <f>IF(B584="","",578)</f>
        <v/>
      </c>
      <c r="B584" s="12">
        <f>IFERROR(INDEX('По дням'!$A$2:$A$3662,MATCH(578,'По дням'!$G$2:$G$3662,0)),"")</f>
        <v/>
      </c>
      <c r="C584" s="12">
        <f>IF(B584="","",INDEX('По дням'!$A$2:$A$3662,MATCH(578,'По дням'!$G$2:$G$3662,0)+COUNTIF('По дням'!$G$2:$G$3662,578)-1))</f>
        <v/>
      </c>
      <c r="D584" s="9">
        <f>IF(B584="","",C584-B584+1)</f>
        <v/>
      </c>
      <c r="E584" s="13">
        <f>IF(B584="","",INDEX('По дням'!$D$2:$D$3662,MATCH(578,'По дням'!$G$2:$G$3662,0)))</f>
        <v/>
      </c>
      <c r="F584" s="9">
        <f>IF(B584="","",INDEX('По дням'!$B$2:$B$3662,MATCH(578,'По дням'!$G$2:$G$3662,0)))</f>
        <v/>
      </c>
      <c r="G584" s="9">
        <f>IF(B584="","",INDEX('По дням'!$C$2:$C$3662,MATCH(578,'По дням'!$G$2:$G$3662,0)))</f>
        <v/>
      </c>
      <c r="H584" s="13">
        <f>IF(OR(B584="",F584=""),"",IF(J584="да",0,ROUND(E584*F584/100*D584/G584,2)))</f>
        <v/>
      </c>
      <c r="I584" s="13">
        <f>IF(B584="","",SUMIF(Оплаты!$A$6:$A$505,C584,Оплаты!$B$6:$B$505))</f>
        <v/>
      </c>
      <c r="J584" s="9">
        <f>IF(B584="","",IF(INDEX('По дням'!$E$2:$E$3662,MATCH(578,'По дням'!$G$2:$G$3662,0))=1,"да",""))</f>
        <v/>
      </c>
    </row>
    <row r="585">
      <c r="A585" s="9">
        <f>IF(B585="","",579)</f>
        <v/>
      </c>
      <c r="B585" s="12">
        <f>IFERROR(INDEX('По дням'!$A$2:$A$3662,MATCH(579,'По дням'!$G$2:$G$3662,0)),"")</f>
        <v/>
      </c>
      <c r="C585" s="12">
        <f>IF(B585="","",INDEX('По дням'!$A$2:$A$3662,MATCH(579,'По дням'!$G$2:$G$3662,0)+COUNTIF('По дням'!$G$2:$G$3662,579)-1))</f>
        <v/>
      </c>
      <c r="D585" s="9">
        <f>IF(B585="","",C585-B585+1)</f>
        <v/>
      </c>
      <c r="E585" s="13">
        <f>IF(B585="","",INDEX('По дням'!$D$2:$D$3662,MATCH(579,'По дням'!$G$2:$G$3662,0)))</f>
        <v/>
      </c>
      <c r="F585" s="9">
        <f>IF(B585="","",INDEX('По дням'!$B$2:$B$3662,MATCH(579,'По дням'!$G$2:$G$3662,0)))</f>
        <v/>
      </c>
      <c r="G585" s="9">
        <f>IF(B585="","",INDEX('По дням'!$C$2:$C$3662,MATCH(579,'По дням'!$G$2:$G$3662,0)))</f>
        <v/>
      </c>
      <c r="H585" s="13">
        <f>IF(OR(B585="",F585=""),"",IF(J585="да",0,ROUND(E585*F585/100*D585/G585,2)))</f>
        <v/>
      </c>
      <c r="I585" s="13">
        <f>IF(B585="","",SUMIF(Оплаты!$A$6:$A$505,C585,Оплаты!$B$6:$B$505))</f>
        <v/>
      </c>
      <c r="J585" s="9">
        <f>IF(B585="","",IF(INDEX('По дням'!$E$2:$E$3662,MATCH(579,'По дням'!$G$2:$G$3662,0))=1,"да",""))</f>
        <v/>
      </c>
    </row>
    <row r="586">
      <c r="A586" s="9">
        <f>IF(B586="","",580)</f>
        <v/>
      </c>
      <c r="B586" s="12">
        <f>IFERROR(INDEX('По дням'!$A$2:$A$3662,MATCH(580,'По дням'!$G$2:$G$3662,0)),"")</f>
        <v/>
      </c>
      <c r="C586" s="12">
        <f>IF(B586="","",INDEX('По дням'!$A$2:$A$3662,MATCH(580,'По дням'!$G$2:$G$3662,0)+COUNTIF('По дням'!$G$2:$G$3662,580)-1))</f>
        <v/>
      </c>
      <c r="D586" s="9">
        <f>IF(B586="","",C586-B586+1)</f>
        <v/>
      </c>
      <c r="E586" s="13">
        <f>IF(B586="","",INDEX('По дням'!$D$2:$D$3662,MATCH(580,'По дням'!$G$2:$G$3662,0)))</f>
        <v/>
      </c>
      <c r="F586" s="9">
        <f>IF(B586="","",INDEX('По дням'!$B$2:$B$3662,MATCH(580,'По дням'!$G$2:$G$3662,0)))</f>
        <v/>
      </c>
      <c r="G586" s="9">
        <f>IF(B586="","",INDEX('По дням'!$C$2:$C$3662,MATCH(580,'По дням'!$G$2:$G$3662,0)))</f>
        <v/>
      </c>
      <c r="H586" s="13">
        <f>IF(OR(B586="",F586=""),"",IF(J586="да",0,ROUND(E586*F586/100*D586/G586,2)))</f>
        <v/>
      </c>
      <c r="I586" s="13">
        <f>IF(B586="","",SUMIF(Оплаты!$A$6:$A$505,C586,Оплаты!$B$6:$B$505))</f>
        <v/>
      </c>
      <c r="J586" s="9">
        <f>IF(B586="","",IF(INDEX('По дням'!$E$2:$E$3662,MATCH(580,'По дням'!$G$2:$G$3662,0))=1,"да",""))</f>
        <v/>
      </c>
    </row>
    <row r="587">
      <c r="A587" s="9">
        <f>IF(B587="","",581)</f>
        <v/>
      </c>
      <c r="B587" s="12">
        <f>IFERROR(INDEX('По дням'!$A$2:$A$3662,MATCH(581,'По дням'!$G$2:$G$3662,0)),"")</f>
        <v/>
      </c>
      <c r="C587" s="12">
        <f>IF(B587="","",INDEX('По дням'!$A$2:$A$3662,MATCH(581,'По дням'!$G$2:$G$3662,0)+COUNTIF('По дням'!$G$2:$G$3662,581)-1))</f>
        <v/>
      </c>
      <c r="D587" s="9">
        <f>IF(B587="","",C587-B587+1)</f>
        <v/>
      </c>
      <c r="E587" s="13">
        <f>IF(B587="","",INDEX('По дням'!$D$2:$D$3662,MATCH(581,'По дням'!$G$2:$G$3662,0)))</f>
        <v/>
      </c>
      <c r="F587" s="9">
        <f>IF(B587="","",INDEX('По дням'!$B$2:$B$3662,MATCH(581,'По дням'!$G$2:$G$3662,0)))</f>
        <v/>
      </c>
      <c r="G587" s="9">
        <f>IF(B587="","",INDEX('По дням'!$C$2:$C$3662,MATCH(581,'По дням'!$G$2:$G$3662,0)))</f>
        <v/>
      </c>
      <c r="H587" s="13">
        <f>IF(OR(B587="",F587=""),"",IF(J587="да",0,ROUND(E587*F587/100*D587/G587,2)))</f>
        <v/>
      </c>
      <c r="I587" s="13">
        <f>IF(B587="","",SUMIF(Оплаты!$A$6:$A$505,C587,Оплаты!$B$6:$B$505))</f>
        <v/>
      </c>
      <c r="J587" s="9">
        <f>IF(B587="","",IF(INDEX('По дням'!$E$2:$E$3662,MATCH(581,'По дням'!$G$2:$G$3662,0))=1,"да",""))</f>
        <v/>
      </c>
    </row>
    <row r="588">
      <c r="A588" s="9">
        <f>IF(B588="","",582)</f>
        <v/>
      </c>
      <c r="B588" s="12">
        <f>IFERROR(INDEX('По дням'!$A$2:$A$3662,MATCH(582,'По дням'!$G$2:$G$3662,0)),"")</f>
        <v/>
      </c>
      <c r="C588" s="12">
        <f>IF(B588="","",INDEX('По дням'!$A$2:$A$3662,MATCH(582,'По дням'!$G$2:$G$3662,0)+COUNTIF('По дням'!$G$2:$G$3662,582)-1))</f>
        <v/>
      </c>
      <c r="D588" s="9">
        <f>IF(B588="","",C588-B588+1)</f>
        <v/>
      </c>
      <c r="E588" s="13">
        <f>IF(B588="","",INDEX('По дням'!$D$2:$D$3662,MATCH(582,'По дням'!$G$2:$G$3662,0)))</f>
        <v/>
      </c>
      <c r="F588" s="9">
        <f>IF(B588="","",INDEX('По дням'!$B$2:$B$3662,MATCH(582,'По дням'!$G$2:$G$3662,0)))</f>
        <v/>
      </c>
      <c r="G588" s="9">
        <f>IF(B588="","",INDEX('По дням'!$C$2:$C$3662,MATCH(582,'По дням'!$G$2:$G$3662,0)))</f>
        <v/>
      </c>
      <c r="H588" s="13">
        <f>IF(OR(B588="",F588=""),"",IF(J588="да",0,ROUND(E588*F588/100*D588/G588,2)))</f>
        <v/>
      </c>
      <c r="I588" s="13">
        <f>IF(B588="","",SUMIF(Оплаты!$A$6:$A$505,C588,Оплаты!$B$6:$B$505))</f>
        <v/>
      </c>
      <c r="J588" s="9">
        <f>IF(B588="","",IF(INDEX('По дням'!$E$2:$E$3662,MATCH(582,'По дням'!$G$2:$G$3662,0))=1,"да",""))</f>
        <v/>
      </c>
    </row>
    <row r="589">
      <c r="A589" s="9">
        <f>IF(B589="","",583)</f>
        <v/>
      </c>
      <c r="B589" s="12">
        <f>IFERROR(INDEX('По дням'!$A$2:$A$3662,MATCH(583,'По дням'!$G$2:$G$3662,0)),"")</f>
        <v/>
      </c>
      <c r="C589" s="12">
        <f>IF(B589="","",INDEX('По дням'!$A$2:$A$3662,MATCH(583,'По дням'!$G$2:$G$3662,0)+COUNTIF('По дням'!$G$2:$G$3662,583)-1))</f>
        <v/>
      </c>
      <c r="D589" s="9">
        <f>IF(B589="","",C589-B589+1)</f>
        <v/>
      </c>
      <c r="E589" s="13">
        <f>IF(B589="","",INDEX('По дням'!$D$2:$D$3662,MATCH(583,'По дням'!$G$2:$G$3662,0)))</f>
        <v/>
      </c>
      <c r="F589" s="9">
        <f>IF(B589="","",INDEX('По дням'!$B$2:$B$3662,MATCH(583,'По дням'!$G$2:$G$3662,0)))</f>
        <v/>
      </c>
      <c r="G589" s="9">
        <f>IF(B589="","",INDEX('По дням'!$C$2:$C$3662,MATCH(583,'По дням'!$G$2:$G$3662,0)))</f>
        <v/>
      </c>
      <c r="H589" s="13">
        <f>IF(OR(B589="",F589=""),"",IF(J589="да",0,ROUND(E589*F589/100*D589/G589,2)))</f>
        <v/>
      </c>
      <c r="I589" s="13">
        <f>IF(B589="","",SUMIF(Оплаты!$A$6:$A$505,C589,Оплаты!$B$6:$B$505))</f>
        <v/>
      </c>
      <c r="J589" s="9">
        <f>IF(B589="","",IF(INDEX('По дням'!$E$2:$E$3662,MATCH(583,'По дням'!$G$2:$G$3662,0))=1,"да",""))</f>
        <v/>
      </c>
    </row>
    <row r="590">
      <c r="A590" s="9">
        <f>IF(B590="","",584)</f>
        <v/>
      </c>
      <c r="B590" s="12">
        <f>IFERROR(INDEX('По дням'!$A$2:$A$3662,MATCH(584,'По дням'!$G$2:$G$3662,0)),"")</f>
        <v/>
      </c>
      <c r="C590" s="12">
        <f>IF(B590="","",INDEX('По дням'!$A$2:$A$3662,MATCH(584,'По дням'!$G$2:$G$3662,0)+COUNTIF('По дням'!$G$2:$G$3662,584)-1))</f>
        <v/>
      </c>
      <c r="D590" s="9">
        <f>IF(B590="","",C590-B590+1)</f>
        <v/>
      </c>
      <c r="E590" s="13">
        <f>IF(B590="","",INDEX('По дням'!$D$2:$D$3662,MATCH(584,'По дням'!$G$2:$G$3662,0)))</f>
        <v/>
      </c>
      <c r="F590" s="9">
        <f>IF(B590="","",INDEX('По дням'!$B$2:$B$3662,MATCH(584,'По дням'!$G$2:$G$3662,0)))</f>
        <v/>
      </c>
      <c r="G590" s="9">
        <f>IF(B590="","",INDEX('По дням'!$C$2:$C$3662,MATCH(584,'По дням'!$G$2:$G$3662,0)))</f>
        <v/>
      </c>
      <c r="H590" s="13">
        <f>IF(OR(B590="",F590=""),"",IF(J590="да",0,ROUND(E590*F590/100*D590/G590,2)))</f>
        <v/>
      </c>
      <c r="I590" s="13">
        <f>IF(B590="","",SUMIF(Оплаты!$A$6:$A$505,C590,Оплаты!$B$6:$B$505))</f>
        <v/>
      </c>
      <c r="J590" s="9">
        <f>IF(B590="","",IF(INDEX('По дням'!$E$2:$E$3662,MATCH(584,'По дням'!$G$2:$G$3662,0))=1,"да",""))</f>
        <v/>
      </c>
    </row>
    <row r="591">
      <c r="A591" s="9">
        <f>IF(B591="","",585)</f>
        <v/>
      </c>
      <c r="B591" s="12">
        <f>IFERROR(INDEX('По дням'!$A$2:$A$3662,MATCH(585,'По дням'!$G$2:$G$3662,0)),"")</f>
        <v/>
      </c>
      <c r="C591" s="12">
        <f>IF(B591="","",INDEX('По дням'!$A$2:$A$3662,MATCH(585,'По дням'!$G$2:$G$3662,0)+COUNTIF('По дням'!$G$2:$G$3662,585)-1))</f>
        <v/>
      </c>
      <c r="D591" s="9">
        <f>IF(B591="","",C591-B591+1)</f>
        <v/>
      </c>
      <c r="E591" s="13">
        <f>IF(B591="","",INDEX('По дням'!$D$2:$D$3662,MATCH(585,'По дням'!$G$2:$G$3662,0)))</f>
        <v/>
      </c>
      <c r="F591" s="9">
        <f>IF(B591="","",INDEX('По дням'!$B$2:$B$3662,MATCH(585,'По дням'!$G$2:$G$3662,0)))</f>
        <v/>
      </c>
      <c r="G591" s="9">
        <f>IF(B591="","",INDEX('По дням'!$C$2:$C$3662,MATCH(585,'По дням'!$G$2:$G$3662,0)))</f>
        <v/>
      </c>
      <c r="H591" s="13">
        <f>IF(OR(B591="",F591=""),"",IF(J591="да",0,ROUND(E591*F591/100*D591/G591,2)))</f>
        <v/>
      </c>
      <c r="I591" s="13">
        <f>IF(B591="","",SUMIF(Оплаты!$A$6:$A$505,C591,Оплаты!$B$6:$B$505))</f>
        <v/>
      </c>
      <c r="J591" s="9">
        <f>IF(B591="","",IF(INDEX('По дням'!$E$2:$E$3662,MATCH(585,'По дням'!$G$2:$G$3662,0))=1,"да",""))</f>
        <v/>
      </c>
    </row>
    <row r="592">
      <c r="A592" s="9">
        <f>IF(B592="","",586)</f>
        <v/>
      </c>
      <c r="B592" s="12">
        <f>IFERROR(INDEX('По дням'!$A$2:$A$3662,MATCH(586,'По дням'!$G$2:$G$3662,0)),"")</f>
        <v/>
      </c>
      <c r="C592" s="12">
        <f>IF(B592="","",INDEX('По дням'!$A$2:$A$3662,MATCH(586,'По дням'!$G$2:$G$3662,0)+COUNTIF('По дням'!$G$2:$G$3662,586)-1))</f>
        <v/>
      </c>
      <c r="D592" s="9">
        <f>IF(B592="","",C592-B592+1)</f>
        <v/>
      </c>
      <c r="E592" s="13">
        <f>IF(B592="","",INDEX('По дням'!$D$2:$D$3662,MATCH(586,'По дням'!$G$2:$G$3662,0)))</f>
        <v/>
      </c>
      <c r="F592" s="9">
        <f>IF(B592="","",INDEX('По дням'!$B$2:$B$3662,MATCH(586,'По дням'!$G$2:$G$3662,0)))</f>
        <v/>
      </c>
      <c r="G592" s="9">
        <f>IF(B592="","",INDEX('По дням'!$C$2:$C$3662,MATCH(586,'По дням'!$G$2:$G$3662,0)))</f>
        <v/>
      </c>
      <c r="H592" s="13">
        <f>IF(OR(B592="",F592=""),"",IF(J592="да",0,ROUND(E592*F592/100*D592/G592,2)))</f>
        <v/>
      </c>
      <c r="I592" s="13">
        <f>IF(B592="","",SUMIF(Оплаты!$A$6:$A$505,C592,Оплаты!$B$6:$B$505))</f>
        <v/>
      </c>
      <c r="J592" s="9">
        <f>IF(B592="","",IF(INDEX('По дням'!$E$2:$E$3662,MATCH(586,'По дням'!$G$2:$G$3662,0))=1,"да",""))</f>
        <v/>
      </c>
    </row>
    <row r="593">
      <c r="A593" s="9">
        <f>IF(B593="","",587)</f>
        <v/>
      </c>
      <c r="B593" s="12">
        <f>IFERROR(INDEX('По дням'!$A$2:$A$3662,MATCH(587,'По дням'!$G$2:$G$3662,0)),"")</f>
        <v/>
      </c>
      <c r="C593" s="12">
        <f>IF(B593="","",INDEX('По дням'!$A$2:$A$3662,MATCH(587,'По дням'!$G$2:$G$3662,0)+COUNTIF('По дням'!$G$2:$G$3662,587)-1))</f>
        <v/>
      </c>
      <c r="D593" s="9">
        <f>IF(B593="","",C593-B593+1)</f>
        <v/>
      </c>
      <c r="E593" s="13">
        <f>IF(B593="","",INDEX('По дням'!$D$2:$D$3662,MATCH(587,'По дням'!$G$2:$G$3662,0)))</f>
        <v/>
      </c>
      <c r="F593" s="9">
        <f>IF(B593="","",INDEX('По дням'!$B$2:$B$3662,MATCH(587,'По дням'!$G$2:$G$3662,0)))</f>
        <v/>
      </c>
      <c r="G593" s="9">
        <f>IF(B593="","",INDEX('По дням'!$C$2:$C$3662,MATCH(587,'По дням'!$G$2:$G$3662,0)))</f>
        <v/>
      </c>
      <c r="H593" s="13">
        <f>IF(OR(B593="",F593=""),"",IF(J593="да",0,ROUND(E593*F593/100*D593/G593,2)))</f>
        <v/>
      </c>
      <c r="I593" s="13">
        <f>IF(B593="","",SUMIF(Оплаты!$A$6:$A$505,C593,Оплаты!$B$6:$B$505))</f>
        <v/>
      </c>
      <c r="J593" s="9">
        <f>IF(B593="","",IF(INDEX('По дням'!$E$2:$E$3662,MATCH(587,'По дням'!$G$2:$G$3662,0))=1,"да",""))</f>
        <v/>
      </c>
    </row>
    <row r="594">
      <c r="A594" s="9">
        <f>IF(B594="","",588)</f>
        <v/>
      </c>
      <c r="B594" s="12">
        <f>IFERROR(INDEX('По дням'!$A$2:$A$3662,MATCH(588,'По дням'!$G$2:$G$3662,0)),"")</f>
        <v/>
      </c>
      <c r="C594" s="12">
        <f>IF(B594="","",INDEX('По дням'!$A$2:$A$3662,MATCH(588,'По дням'!$G$2:$G$3662,0)+COUNTIF('По дням'!$G$2:$G$3662,588)-1))</f>
        <v/>
      </c>
      <c r="D594" s="9">
        <f>IF(B594="","",C594-B594+1)</f>
        <v/>
      </c>
      <c r="E594" s="13">
        <f>IF(B594="","",INDEX('По дням'!$D$2:$D$3662,MATCH(588,'По дням'!$G$2:$G$3662,0)))</f>
        <v/>
      </c>
      <c r="F594" s="9">
        <f>IF(B594="","",INDEX('По дням'!$B$2:$B$3662,MATCH(588,'По дням'!$G$2:$G$3662,0)))</f>
        <v/>
      </c>
      <c r="G594" s="9">
        <f>IF(B594="","",INDEX('По дням'!$C$2:$C$3662,MATCH(588,'По дням'!$G$2:$G$3662,0)))</f>
        <v/>
      </c>
      <c r="H594" s="13">
        <f>IF(OR(B594="",F594=""),"",IF(J594="да",0,ROUND(E594*F594/100*D594/G594,2)))</f>
        <v/>
      </c>
      <c r="I594" s="13">
        <f>IF(B594="","",SUMIF(Оплаты!$A$6:$A$505,C594,Оплаты!$B$6:$B$505))</f>
        <v/>
      </c>
      <c r="J594" s="9">
        <f>IF(B594="","",IF(INDEX('По дням'!$E$2:$E$3662,MATCH(588,'По дням'!$G$2:$G$3662,0))=1,"да",""))</f>
        <v/>
      </c>
    </row>
    <row r="595">
      <c r="A595" s="9">
        <f>IF(B595="","",589)</f>
        <v/>
      </c>
      <c r="B595" s="12">
        <f>IFERROR(INDEX('По дням'!$A$2:$A$3662,MATCH(589,'По дням'!$G$2:$G$3662,0)),"")</f>
        <v/>
      </c>
      <c r="C595" s="12">
        <f>IF(B595="","",INDEX('По дням'!$A$2:$A$3662,MATCH(589,'По дням'!$G$2:$G$3662,0)+COUNTIF('По дням'!$G$2:$G$3662,589)-1))</f>
        <v/>
      </c>
      <c r="D595" s="9">
        <f>IF(B595="","",C595-B595+1)</f>
        <v/>
      </c>
      <c r="E595" s="13">
        <f>IF(B595="","",INDEX('По дням'!$D$2:$D$3662,MATCH(589,'По дням'!$G$2:$G$3662,0)))</f>
        <v/>
      </c>
      <c r="F595" s="9">
        <f>IF(B595="","",INDEX('По дням'!$B$2:$B$3662,MATCH(589,'По дням'!$G$2:$G$3662,0)))</f>
        <v/>
      </c>
      <c r="G595" s="9">
        <f>IF(B595="","",INDEX('По дням'!$C$2:$C$3662,MATCH(589,'По дням'!$G$2:$G$3662,0)))</f>
        <v/>
      </c>
      <c r="H595" s="13">
        <f>IF(OR(B595="",F595=""),"",IF(J595="да",0,ROUND(E595*F595/100*D595/G595,2)))</f>
        <v/>
      </c>
      <c r="I595" s="13">
        <f>IF(B595="","",SUMIF(Оплаты!$A$6:$A$505,C595,Оплаты!$B$6:$B$505))</f>
        <v/>
      </c>
      <c r="J595" s="9">
        <f>IF(B595="","",IF(INDEX('По дням'!$E$2:$E$3662,MATCH(589,'По дням'!$G$2:$G$3662,0))=1,"да",""))</f>
        <v/>
      </c>
    </row>
    <row r="596">
      <c r="A596" s="9">
        <f>IF(B596="","",590)</f>
        <v/>
      </c>
      <c r="B596" s="12">
        <f>IFERROR(INDEX('По дням'!$A$2:$A$3662,MATCH(590,'По дням'!$G$2:$G$3662,0)),"")</f>
        <v/>
      </c>
      <c r="C596" s="12">
        <f>IF(B596="","",INDEX('По дням'!$A$2:$A$3662,MATCH(590,'По дням'!$G$2:$G$3662,0)+COUNTIF('По дням'!$G$2:$G$3662,590)-1))</f>
        <v/>
      </c>
      <c r="D596" s="9">
        <f>IF(B596="","",C596-B596+1)</f>
        <v/>
      </c>
      <c r="E596" s="13">
        <f>IF(B596="","",INDEX('По дням'!$D$2:$D$3662,MATCH(590,'По дням'!$G$2:$G$3662,0)))</f>
        <v/>
      </c>
      <c r="F596" s="9">
        <f>IF(B596="","",INDEX('По дням'!$B$2:$B$3662,MATCH(590,'По дням'!$G$2:$G$3662,0)))</f>
        <v/>
      </c>
      <c r="G596" s="9">
        <f>IF(B596="","",INDEX('По дням'!$C$2:$C$3662,MATCH(590,'По дням'!$G$2:$G$3662,0)))</f>
        <v/>
      </c>
      <c r="H596" s="13">
        <f>IF(OR(B596="",F596=""),"",IF(J596="да",0,ROUND(E596*F596/100*D596/G596,2)))</f>
        <v/>
      </c>
      <c r="I596" s="13">
        <f>IF(B596="","",SUMIF(Оплаты!$A$6:$A$505,C596,Оплаты!$B$6:$B$505))</f>
        <v/>
      </c>
      <c r="J596" s="9">
        <f>IF(B596="","",IF(INDEX('По дням'!$E$2:$E$3662,MATCH(590,'По дням'!$G$2:$G$3662,0))=1,"да",""))</f>
        <v/>
      </c>
    </row>
    <row r="597">
      <c r="A597" s="9">
        <f>IF(B597="","",591)</f>
        <v/>
      </c>
      <c r="B597" s="12">
        <f>IFERROR(INDEX('По дням'!$A$2:$A$3662,MATCH(591,'По дням'!$G$2:$G$3662,0)),"")</f>
        <v/>
      </c>
      <c r="C597" s="12">
        <f>IF(B597="","",INDEX('По дням'!$A$2:$A$3662,MATCH(591,'По дням'!$G$2:$G$3662,0)+COUNTIF('По дням'!$G$2:$G$3662,591)-1))</f>
        <v/>
      </c>
      <c r="D597" s="9">
        <f>IF(B597="","",C597-B597+1)</f>
        <v/>
      </c>
      <c r="E597" s="13">
        <f>IF(B597="","",INDEX('По дням'!$D$2:$D$3662,MATCH(591,'По дням'!$G$2:$G$3662,0)))</f>
        <v/>
      </c>
      <c r="F597" s="9">
        <f>IF(B597="","",INDEX('По дням'!$B$2:$B$3662,MATCH(591,'По дням'!$G$2:$G$3662,0)))</f>
        <v/>
      </c>
      <c r="G597" s="9">
        <f>IF(B597="","",INDEX('По дням'!$C$2:$C$3662,MATCH(591,'По дням'!$G$2:$G$3662,0)))</f>
        <v/>
      </c>
      <c r="H597" s="13">
        <f>IF(OR(B597="",F597=""),"",IF(J597="да",0,ROUND(E597*F597/100*D597/G597,2)))</f>
        <v/>
      </c>
      <c r="I597" s="13">
        <f>IF(B597="","",SUMIF(Оплаты!$A$6:$A$505,C597,Оплаты!$B$6:$B$505))</f>
        <v/>
      </c>
      <c r="J597" s="9">
        <f>IF(B597="","",IF(INDEX('По дням'!$E$2:$E$3662,MATCH(591,'По дням'!$G$2:$G$3662,0))=1,"да",""))</f>
        <v/>
      </c>
    </row>
    <row r="598">
      <c r="A598" s="9">
        <f>IF(B598="","",592)</f>
        <v/>
      </c>
      <c r="B598" s="12">
        <f>IFERROR(INDEX('По дням'!$A$2:$A$3662,MATCH(592,'По дням'!$G$2:$G$3662,0)),"")</f>
        <v/>
      </c>
      <c r="C598" s="12">
        <f>IF(B598="","",INDEX('По дням'!$A$2:$A$3662,MATCH(592,'По дням'!$G$2:$G$3662,0)+COUNTIF('По дням'!$G$2:$G$3662,592)-1))</f>
        <v/>
      </c>
      <c r="D598" s="9">
        <f>IF(B598="","",C598-B598+1)</f>
        <v/>
      </c>
      <c r="E598" s="13">
        <f>IF(B598="","",INDEX('По дням'!$D$2:$D$3662,MATCH(592,'По дням'!$G$2:$G$3662,0)))</f>
        <v/>
      </c>
      <c r="F598" s="9">
        <f>IF(B598="","",INDEX('По дням'!$B$2:$B$3662,MATCH(592,'По дням'!$G$2:$G$3662,0)))</f>
        <v/>
      </c>
      <c r="G598" s="9">
        <f>IF(B598="","",INDEX('По дням'!$C$2:$C$3662,MATCH(592,'По дням'!$G$2:$G$3662,0)))</f>
        <v/>
      </c>
      <c r="H598" s="13">
        <f>IF(OR(B598="",F598=""),"",IF(J598="да",0,ROUND(E598*F598/100*D598/G598,2)))</f>
        <v/>
      </c>
      <c r="I598" s="13">
        <f>IF(B598="","",SUMIF(Оплаты!$A$6:$A$505,C598,Оплаты!$B$6:$B$505))</f>
        <v/>
      </c>
      <c r="J598" s="9">
        <f>IF(B598="","",IF(INDEX('По дням'!$E$2:$E$3662,MATCH(592,'По дням'!$G$2:$G$3662,0))=1,"да",""))</f>
        <v/>
      </c>
    </row>
    <row r="599">
      <c r="A599" s="9">
        <f>IF(B599="","",593)</f>
        <v/>
      </c>
      <c r="B599" s="12">
        <f>IFERROR(INDEX('По дням'!$A$2:$A$3662,MATCH(593,'По дням'!$G$2:$G$3662,0)),"")</f>
        <v/>
      </c>
      <c r="C599" s="12">
        <f>IF(B599="","",INDEX('По дням'!$A$2:$A$3662,MATCH(593,'По дням'!$G$2:$G$3662,0)+COUNTIF('По дням'!$G$2:$G$3662,593)-1))</f>
        <v/>
      </c>
      <c r="D599" s="9">
        <f>IF(B599="","",C599-B599+1)</f>
        <v/>
      </c>
      <c r="E599" s="13">
        <f>IF(B599="","",INDEX('По дням'!$D$2:$D$3662,MATCH(593,'По дням'!$G$2:$G$3662,0)))</f>
        <v/>
      </c>
      <c r="F599" s="9">
        <f>IF(B599="","",INDEX('По дням'!$B$2:$B$3662,MATCH(593,'По дням'!$G$2:$G$3662,0)))</f>
        <v/>
      </c>
      <c r="G599" s="9">
        <f>IF(B599="","",INDEX('По дням'!$C$2:$C$3662,MATCH(593,'По дням'!$G$2:$G$3662,0)))</f>
        <v/>
      </c>
      <c r="H599" s="13">
        <f>IF(OR(B599="",F599=""),"",IF(J599="да",0,ROUND(E599*F599/100*D599/G599,2)))</f>
        <v/>
      </c>
      <c r="I599" s="13">
        <f>IF(B599="","",SUMIF(Оплаты!$A$6:$A$505,C599,Оплаты!$B$6:$B$505))</f>
        <v/>
      </c>
      <c r="J599" s="9">
        <f>IF(B599="","",IF(INDEX('По дням'!$E$2:$E$3662,MATCH(593,'По дням'!$G$2:$G$3662,0))=1,"да",""))</f>
        <v/>
      </c>
    </row>
    <row r="600">
      <c r="A600" s="9">
        <f>IF(B600="","",594)</f>
        <v/>
      </c>
      <c r="B600" s="12">
        <f>IFERROR(INDEX('По дням'!$A$2:$A$3662,MATCH(594,'По дням'!$G$2:$G$3662,0)),"")</f>
        <v/>
      </c>
      <c r="C600" s="12">
        <f>IF(B600="","",INDEX('По дням'!$A$2:$A$3662,MATCH(594,'По дням'!$G$2:$G$3662,0)+COUNTIF('По дням'!$G$2:$G$3662,594)-1))</f>
        <v/>
      </c>
      <c r="D600" s="9">
        <f>IF(B600="","",C600-B600+1)</f>
        <v/>
      </c>
      <c r="E600" s="13">
        <f>IF(B600="","",INDEX('По дням'!$D$2:$D$3662,MATCH(594,'По дням'!$G$2:$G$3662,0)))</f>
        <v/>
      </c>
      <c r="F600" s="9">
        <f>IF(B600="","",INDEX('По дням'!$B$2:$B$3662,MATCH(594,'По дням'!$G$2:$G$3662,0)))</f>
        <v/>
      </c>
      <c r="G600" s="9">
        <f>IF(B600="","",INDEX('По дням'!$C$2:$C$3662,MATCH(594,'По дням'!$G$2:$G$3662,0)))</f>
        <v/>
      </c>
      <c r="H600" s="13">
        <f>IF(OR(B600="",F600=""),"",IF(J600="да",0,ROUND(E600*F600/100*D600/G600,2)))</f>
        <v/>
      </c>
      <c r="I600" s="13">
        <f>IF(B600="","",SUMIF(Оплаты!$A$6:$A$505,C600,Оплаты!$B$6:$B$505))</f>
        <v/>
      </c>
      <c r="J600" s="9">
        <f>IF(B600="","",IF(INDEX('По дням'!$E$2:$E$3662,MATCH(594,'По дням'!$G$2:$G$3662,0))=1,"да",""))</f>
        <v/>
      </c>
    </row>
    <row r="601">
      <c r="A601" s="9">
        <f>IF(B601="","",595)</f>
        <v/>
      </c>
      <c r="B601" s="12">
        <f>IFERROR(INDEX('По дням'!$A$2:$A$3662,MATCH(595,'По дням'!$G$2:$G$3662,0)),"")</f>
        <v/>
      </c>
      <c r="C601" s="12">
        <f>IF(B601="","",INDEX('По дням'!$A$2:$A$3662,MATCH(595,'По дням'!$G$2:$G$3662,0)+COUNTIF('По дням'!$G$2:$G$3662,595)-1))</f>
        <v/>
      </c>
      <c r="D601" s="9">
        <f>IF(B601="","",C601-B601+1)</f>
        <v/>
      </c>
      <c r="E601" s="13">
        <f>IF(B601="","",INDEX('По дням'!$D$2:$D$3662,MATCH(595,'По дням'!$G$2:$G$3662,0)))</f>
        <v/>
      </c>
      <c r="F601" s="9">
        <f>IF(B601="","",INDEX('По дням'!$B$2:$B$3662,MATCH(595,'По дням'!$G$2:$G$3662,0)))</f>
        <v/>
      </c>
      <c r="G601" s="9">
        <f>IF(B601="","",INDEX('По дням'!$C$2:$C$3662,MATCH(595,'По дням'!$G$2:$G$3662,0)))</f>
        <v/>
      </c>
      <c r="H601" s="13">
        <f>IF(OR(B601="",F601=""),"",IF(J601="да",0,ROUND(E601*F601/100*D601/G601,2)))</f>
        <v/>
      </c>
      <c r="I601" s="13">
        <f>IF(B601="","",SUMIF(Оплаты!$A$6:$A$505,C601,Оплаты!$B$6:$B$505))</f>
        <v/>
      </c>
      <c r="J601" s="9">
        <f>IF(B601="","",IF(INDEX('По дням'!$E$2:$E$3662,MATCH(595,'По дням'!$G$2:$G$3662,0))=1,"да",""))</f>
        <v/>
      </c>
    </row>
    <row r="602">
      <c r="A602" s="9">
        <f>IF(B602="","",596)</f>
        <v/>
      </c>
      <c r="B602" s="12">
        <f>IFERROR(INDEX('По дням'!$A$2:$A$3662,MATCH(596,'По дням'!$G$2:$G$3662,0)),"")</f>
        <v/>
      </c>
      <c r="C602" s="12">
        <f>IF(B602="","",INDEX('По дням'!$A$2:$A$3662,MATCH(596,'По дням'!$G$2:$G$3662,0)+COUNTIF('По дням'!$G$2:$G$3662,596)-1))</f>
        <v/>
      </c>
      <c r="D602" s="9">
        <f>IF(B602="","",C602-B602+1)</f>
        <v/>
      </c>
      <c r="E602" s="13">
        <f>IF(B602="","",INDEX('По дням'!$D$2:$D$3662,MATCH(596,'По дням'!$G$2:$G$3662,0)))</f>
        <v/>
      </c>
      <c r="F602" s="9">
        <f>IF(B602="","",INDEX('По дням'!$B$2:$B$3662,MATCH(596,'По дням'!$G$2:$G$3662,0)))</f>
        <v/>
      </c>
      <c r="G602" s="9">
        <f>IF(B602="","",INDEX('По дням'!$C$2:$C$3662,MATCH(596,'По дням'!$G$2:$G$3662,0)))</f>
        <v/>
      </c>
      <c r="H602" s="13">
        <f>IF(OR(B602="",F602=""),"",IF(J602="да",0,ROUND(E602*F602/100*D602/G602,2)))</f>
        <v/>
      </c>
      <c r="I602" s="13">
        <f>IF(B602="","",SUMIF(Оплаты!$A$6:$A$505,C602,Оплаты!$B$6:$B$505))</f>
        <v/>
      </c>
      <c r="J602" s="9">
        <f>IF(B602="","",IF(INDEX('По дням'!$E$2:$E$3662,MATCH(596,'По дням'!$G$2:$G$3662,0))=1,"да",""))</f>
        <v/>
      </c>
    </row>
    <row r="603">
      <c r="A603" s="9">
        <f>IF(B603="","",597)</f>
        <v/>
      </c>
      <c r="B603" s="12">
        <f>IFERROR(INDEX('По дням'!$A$2:$A$3662,MATCH(597,'По дням'!$G$2:$G$3662,0)),"")</f>
        <v/>
      </c>
      <c r="C603" s="12">
        <f>IF(B603="","",INDEX('По дням'!$A$2:$A$3662,MATCH(597,'По дням'!$G$2:$G$3662,0)+COUNTIF('По дням'!$G$2:$G$3662,597)-1))</f>
        <v/>
      </c>
      <c r="D603" s="9">
        <f>IF(B603="","",C603-B603+1)</f>
        <v/>
      </c>
      <c r="E603" s="13">
        <f>IF(B603="","",INDEX('По дням'!$D$2:$D$3662,MATCH(597,'По дням'!$G$2:$G$3662,0)))</f>
        <v/>
      </c>
      <c r="F603" s="9">
        <f>IF(B603="","",INDEX('По дням'!$B$2:$B$3662,MATCH(597,'По дням'!$G$2:$G$3662,0)))</f>
        <v/>
      </c>
      <c r="G603" s="9">
        <f>IF(B603="","",INDEX('По дням'!$C$2:$C$3662,MATCH(597,'По дням'!$G$2:$G$3662,0)))</f>
        <v/>
      </c>
      <c r="H603" s="13">
        <f>IF(OR(B603="",F603=""),"",IF(J603="да",0,ROUND(E603*F603/100*D603/G603,2)))</f>
        <v/>
      </c>
      <c r="I603" s="13">
        <f>IF(B603="","",SUMIF(Оплаты!$A$6:$A$505,C603,Оплаты!$B$6:$B$505))</f>
        <v/>
      </c>
      <c r="J603" s="9">
        <f>IF(B603="","",IF(INDEX('По дням'!$E$2:$E$3662,MATCH(597,'По дням'!$G$2:$G$3662,0))=1,"да",""))</f>
        <v/>
      </c>
    </row>
    <row r="604">
      <c r="A604" s="9">
        <f>IF(B604="","",598)</f>
        <v/>
      </c>
      <c r="B604" s="12">
        <f>IFERROR(INDEX('По дням'!$A$2:$A$3662,MATCH(598,'По дням'!$G$2:$G$3662,0)),"")</f>
        <v/>
      </c>
      <c r="C604" s="12">
        <f>IF(B604="","",INDEX('По дням'!$A$2:$A$3662,MATCH(598,'По дням'!$G$2:$G$3662,0)+COUNTIF('По дням'!$G$2:$G$3662,598)-1))</f>
        <v/>
      </c>
      <c r="D604" s="9">
        <f>IF(B604="","",C604-B604+1)</f>
        <v/>
      </c>
      <c r="E604" s="13">
        <f>IF(B604="","",INDEX('По дням'!$D$2:$D$3662,MATCH(598,'По дням'!$G$2:$G$3662,0)))</f>
        <v/>
      </c>
      <c r="F604" s="9">
        <f>IF(B604="","",INDEX('По дням'!$B$2:$B$3662,MATCH(598,'По дням'!$G$2:$G$3662,0)))</f>
        <v/>
      </c>
      <c r="G604" s="9">
        <f>IF(B604="","",INDEX('По дням'!$C$2:$C$3662,MATCH(598,'По дням'!$G$2:$G$3662,0)))</f>
        <v/>
      </c>
      <c r="H604" s="13">
        <f>IF(OR(B604="",F604=""),"",IF(J604="да",0,ROUND(E604*F604/100*D604/G604,2)))</f>
        <v/>
      </c>
      <c r="I604" s="13">
        <f>IF(B604="","",SUMIF(Оплаты!$A$6:$A$505,C604,Оплаты!$B$6:$B$505))</f>
        <v/>
      </c>
      <c r="J604" s="9">
        <f>IF(B604="","",IF(INDEX('По дням'!$E$2:$E$3662,MATCH(598,'По дням'!$G$2:$G$3662,0))=1,"да",""))</f>
        <v/>
      </c>
    </row>
    <row r="605">
      <c r="A605" s="9">
        <f>IF(B605="","",599)</f>
        <v/>
      </c>
      <c r="B605" s="12">
        <f>IFERROR(INDEX('По дням'!$A$2:$A$3662,MATCH(599,'По дням'!$G$2:$G$3662,0)),"")</f>
        <v/>
      </c>
      <c r="C605" s="12">
        <f>IF(B605="","",INDEX('По дням'!$A$2:$A$3662,MATCH(599,'По дням'!$G$2:$G$3662,0)+COUNTIF('По дням'!$G$2:$G$3662,599)-1))</f>
        <v/>
      </c>
      <c r="D605" s="9">
        <f>IF(B605="","",C605-B605+1)</f>
        <v/>
      </c>
      <c r="E605" s="13">
        <f>IF(B605="","",INDEX('По дням'!$D$2:$D$3662,MATCH(599,'По дням'!$G$2:$G$3662,0)))</f>
        <v/>
      </c>
      <c r="F605" s="9">
        <f>IF(B605="","",INDEX('По дням'!$B$2:$B$3662,MATCH(599,'По дням'!$G$2:$G$3662,0)))</f>
        <v/>
      </c>
      <c r="G605" s="9">
        <f>IF(B605="","",INDEX('По дням'!$C$2:$C$3662,MATCH(599,'По дням'!$G$2:$G$3662,0)))</f>
        <v/>
      </c>
      <c r="H605" s="13">
        <f>IF(OR(B605="",F605=""),"",IF(J605="да",0,ROUND(E605*F605/100*D605/G605,2)))</f>
        <v/>
      </c>
      <c r="I605" s="13">
        <f>IF(B605="","",SUMIF(Оплаты!$A$6:$A$505,C605,Оплаты!$B$6:$B$505))</f>
        <v/>
      </c>
      <c r="J605" s="9">
        <f>IF(B605="","",IF(INDEX('По дням'!$E$2:$E$3662,MATCH(599,'По дням'!$G$2:$G$3662,0))=1,"да",""))</f>
        <v/>
      </c>
    </row>
    <row r="606">
      <c r="A606" s="9">
        <f>IF(B606="","",600)</f>
        <v/>
      </c>
      <c r="B606" s="12">
        <f>IFERROR(INDEX('По дням'!$A$2:$A$3662,MATCH(600,'По дням'!$G$2:$G$3662,0)),"")</f>
        <v/>
      </c>
      <c r="C606" s="12">
        <f>IF(B606="","",INDEX('По дням'!$A$2:$A$3662,MATCH(600,'По дням'!$G$2:$G$3662,0)+COUNTIF('По дням'!$G$2:$G$3662,600)-1))</f>
        <v/>
      </c>
      <c r="D606" s="9">
        <f>IF(B606="","",C606-B606+1)</f>
        <v/>
      </c>
      <c r="E606" s="13">
        <f>IF(B606="","",INDEX('По дням'!$D$2:$D$3662,MATCH(600,'По дням'!$G$2:$G$3662,0)))</f>
        <v/>
      </c>
      <c r="F606" s="9">
        <f>IF(B606="","",INDEX('По дням'!$B$2:$B$3662,MATCH(600,'По дням'!$G$2:$G$3662,0)))</f>
        <v/>
      </c>
      <c r="G606" s="9">
        <f>IF(B606="","",INDEX('По дням'!$C$2:$C$3662,MATCH(600,'По дням'!$G$2:$G$3662,0)))</f>
        <v/>
      </c>
      <c r="H606" s="13">
        <f>IF(OR(B606="",F606=""),"",IF(J606="да",0,ROUND(E606*F606/100*D606/G606,2)))</f>
        <v/>
      </c>
      <c r="I606" s="13">
        <f>IF(B606="","",SUMIF(Оплаты!$A$6:$A$505,C606,Оплаты!$B$6:$B$505))</f>
        <v/>
      </c>
      <c r="J606" s="9">
        <f>IF(B606="","",IF(INDEX('По дням'!$E$2:$E$3662,MATCH(600,'По дням'!$G$2:$G$3662,0))=1,"да",""))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80" customWidth="1" min="3" max="3"/>
  </cols>
  <sheetData>
    <row r="1">
      <c r="A1" s="6" t="inlineStr">
        <is>
          <t>№</t>
        </is>
      </c>
      <c r="B1" s="6" t="inlineStr">
        <is>
          <t>Проверка</t>
        </is>
      </c>
      <c r="C1" s="6" t="inlineStr">
        <is>
          <t>Результат</t>
        </is>
      </c>
    </row>
    <row r="2">
      <c r="A2" s="9" t="n">
        <v>1</v>
      </c>
      <c r="B2" s="9" t="inlineStr">
        <is>
          <t>Сумма долга</t>
        </is>
      </c>
      <c r="C2" s="9">
        <f>IF(AND(ISNUMBER(Ввод!B4),N(Ввод!B4)&gt;0),"ок","БЛОК: введите сумму долга больше нуля")</f>
        <v/>
      </c>
    </row>
    <row r="3">
      <c r="A3" s="9" t="n">
        <v>2</v>
      </c>
      <c r="B3" s="9" t="inlineStr">
        <is>
          <t>Даты расчёта</t>
        </is>
      </c>
      <c r="C3" s="9">
        <f>IF(AND(ISNUMBER(Ввод!B5),ISNUMBER(Ввод!B6)),IF(Ввод!B6&gt;=Ввод!B5,"ок","БЛОК: последний день раньше первого"),"БЛОК: введите первый и последний день")</f>
        <v/>
      </c>
    </row>
    <row r="4">
      <c r="A4" s="9" t="n">
        <v>3</v>
      </c>
      <c r="B4" s="9" t="inlineStr">
        <is>
          <t>Длина расчёта</t>
        </is>
      </c>
      <c r="C4" s="9">
        <f>IF(AND(ISNUMBER(Ввод!B5),ISNUMBER(Ввод!B6)),IF(Ввод!B6-Ввод!B5+1&gt;3661,"БЛОК: более 3661 дней — разбейте расчёт на части","ок"),"ок")</f>
        <v/>
      </c>
    </row>
    <row r="5">
      <c r="A5" s="9" t="n">
        <v>4</v>
      </c>
      <c r="B5" s="9" t="inlineStr">
        <is>
          <t>Ставка на первый день просрочки</t>
        </is>
      </c>
      <c r="C5" s="9">
        <f>IF(COUNT(Ввод!A12:A71)=0,"БЛОК: введите ставку",IF(MIN(Ввод!A12:A71)&gt;N(Ввод!B5),"БЛОК: нет ставки, действовавшей в первый день просрочки","ок"))</f>
        <v/>
      </c>
    </row>
    <row r="6">
      <c r="A6" s="9" t="n">
        <v>5</v>
      </c>
      <c r="B6" s="9" t="inlineStr">
        <is>
          <t>Таблица ставок</t>
        </is>
      </c>
      <c r="C6" s="9">
        <f>IF(COUNTIF(Ввод!C12:C71,"БЛОК*")&gt;0,"БЛОК: ошибка в таблице ставок — колонка «Проверка»","ок")</f>
        <v/>
      </c>
    </row>
    <row r="7">
      <c r="A7" s="9" t="n">
        <v>6</v>
      </c>
      <c r="B7" s="9" t="inlineStr">
        <is>
          <t>Ставки за пределами таблицы</t>
        </is>
      </c>
      <c r="C7" s="9">
        <f>IF(COUNTA(Ввод!A72:C400)&gt;0,"БЛОК: ниже строки 71 есть данные — перенесите в таблицу","ок")</f>
        <v/>
      </c>
    </row>
    <row r="8">
      <c r="A8" s="9" t="n">
        <v>7</v>
      </c>
      <c r="B8" s="9" t="inlineStr">
        <is>
          <t>Таблица оплат</t>
        </is>
      </c>
      <c r="C8" s="9">
        <f>IF(COUNTIF(Оплаты!D6:D505,"БЛОК*")&gt;0,"БЛОК: ошибка в оплатах — колонка «Проверка»","ок")</f>
        <v/>
      </c>
    </row>
    <row r="9">
      <c r="A9" s="9" t="n">
        <v>8</v>
      </c>
      <c r="B9" s="9" t="inlineStr">
        <is>
          <t>Оплаты за пределами таблицы</t>
        </is>
      </c>
      <c r="C9" s="9">
        <f>IF(COUNTA(Оплаты!A506:D20000)&gt;0,"БЛОК: ниже строки 505 есть оплаты — они не были бы учтены; перенесите их в таблицу","ок")</f>
        <v/>
      </c>
    </row>
    <row r="10">
      <c r="A10" s="9" t="n">
        <v>9</v>
      </c>
      <c r="B10" s="9" t="inlineStr">
        <is>
          <t>Оплаты не больше долга</t>
        </is>
      </c>
      <c r="C10" s="9">
        <f>IF(SUM(Оплаты!B6:B505)&gt;N(Ввод!B4),"БЛОК: оплат больше суммы долга — проверьте ввод","ок")</f>
        <v/>
      </c>
    </row>
    <row r="11">
      <c r="A11" s="9" t="n">
        <v>10</v>
      </c>
      <c r="B11" s="9" t="inlineStr">
        <is>
          <t>Периоды без начисления</t>
        </is>
      </c>
      <c r="C11" s="9">
        <f>IF(COUNTIF(Ввод!H12:H31,"БЛОК*")+COUNTA(Ввод!F32:H400)&gt;0,"БЛОК: ошибка или данные ниже таблицы","ок")</f>
        <v/>
      </c>
    </row>
    <row r="12">
      <c r="A12" s="9" t="n">
        <v>11</v>
      </c>
      <c r="B12" s="9" t="inlineStr">
        <is>
          <t>Ставка есть на каждый день</t>
        </is>
      </c>
      <c r="C12" s="9">
        <f>IF(COUNT('По дням'!$A$2:$A$3662)=COUNT('По дням'!B2:B3662),"ок","БЛОК: не на каждый день найдена ставка")</f>
        <v/>
      </c>
    </row>
    <row r="13">
      <c r="A13" s="9" t="n">
        <v>12</v>
      </c>
      <c r="B13" s="9" t="inlineStr">
        <is>
          <t>Число периодов</t>
        </is>
      </c>
      <c r="C13" s="9">
        <f>IF(N(MAX('По дням'!$G$2:$G$3662))&gt;600,"БЛОК: более 600 периодов — разбейте расчёт","ок")</f>
        <v/>
      </c>
    </row>
    <row r="15">
      <c r="B15" s="5" t="inlineStr">
        <is>
          <t>СТАТУС РАСЧЁТА</t>
        </is>
      </c>
      <c r="C15" s="5">
        <f>IF(COUNTIF(C2:C13,"БЛОК*")&gt;0,"ЗАБЛОКИРОВАН","ГОТОВ")</f>
        <v/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66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6" customWidth="1" min="4" max="4"/>
    <col width="10" customWidth="1" min="5" max="5"/>
    <col width="14" customWidth="1" min="6" max="6"/>
    <col width="10" customWidth="1" min="7" max="7"/>
  </cols>
  <sheetData>
    <row r="1">
      <c r="A1" s="6" t="inlineStr">
        <is>
          <t>Дата</t>
        </is>
      </c>
      <c r="B1" s="6" t="inlineStr">
        <is>
          <t>Ставка, %</t>
        </is>
      </c>
      <c r="C1" s="6" t="inlineStr">
        <is>
          <t>Дней в году</t>
        </is>
      </c>
      <c r="D1" s="6" t="inlineStr">
        <is>
          <t>Долг на день</t>
        </is>
      </c>
      <c r="E1" s="6" t="inlineStr">
        <is>
          <t>Исключён</t>
        </is>
      </c>
      <c r="F1" s="6" t="inlineStr">
        <is>
          <t>Проценты за день</t>
        </is>
      </c>
      <c r="G1" s="6" t="inlineStr">
        <is>
          <t>Период</t>
        </is>
      </c>
    </row>
    <row r="2">
      <c r="A2" s="14">
        <f>IF(OR(NOT(ISNUMBER(Ввод!$B$5)),NOT(ISNUMBER(Ввод!$B$6))),"",IF(Ввод!$B$5+0&gt;Ввод!$B$6,"",Ввод!$B$5+0))</f>
        <v/>
      </c>
      <c r="B2">
        <f>IF(A2="","",IFERROR(INDEX(Ввод!$B$12:$B$71,MATCH(A2,Ввод!$D$12:$D$71,1)),""))</f>
        <v/>
      </c>
      <c r="C2">
        <f>IF(A2="","",DATE(YEAR(A2),12,31)-DATE(YEAR(A2),1,1)+1)</f>
        <v/>
      </c>
      <c r="D2">
        <f>IF(A2="","",Ввод!$B$4-SUMIF(Оплаты!$A$6:$A$505,"&lt;"&amp;A2,Оплаты!$B$6:$B$505))</f>
        <v/>
      </c>
      <c r="E2">
        <f>IF(A2="","",IF(SUMPRODUCT((Ввод!$F$12:$F$31&lt;&gt;"")*(Ввод!$F$12:$F$31&lt;=A2)*(Ввод!$G$12:$G$31&gt;=A2))&gt;0,1,0))</f>
        <v/>
      </c>
      <c r="F2">
        <f>IF(OR(A2="",B2=""),"",IF(E2=1,0,D2*B2/100/C2))</f>
        <v/>
      </c>
      <c r="G2">
        <f>IF(A2="","",1)</f>
        <v/>
      </c>
    </row>
    <row r="3">
      <c r="A3" s="14">
        <f>IF(OR(NOT(ISNUMBER(Ввод!$B$5)),NOT(ISNUMBER(Ввод!$B$6))),"",IF(Ввод!$B$5+1&gt;Ввод!$B$6,"",Ввод!$B$5+1))</f>
        <v/>
      </c>
      <c r="B3">
        <f>IF(A3="","",IFERROR(INDEX(Ввод!$B$12:$B$71,MATCH(A3,Ввод!$D$12:$D$71,1)),""))</f>
        <v/>
      </c>
      <c r="C3">
        <f>IF(A3="","",DATE(YEAR(A3),12,31)-DATE(YEAR(A3),1,1)+1)</f>
        <v/>
      </c>
      <c r="D3">
        <f>IF(A3="","",Ввод!$B$4-SUMIF(Оплаты!$A$6:$A$505,"&lt;"&amp;A3,Оплаты!$B$6:$B$505))</f>
        <v/>
      </c>
      <c r="E3">
        <f>IF(A3="","",IF(SUMPRODUCT((Ввод!$F$12:$F$31&lt;&gt;"")*(Ввод!$F$12:$F$31&lt;=A3)*(Ввод!$G$12:$G$31&gt;=A3))&gt;0,1,0))</f>
        <v/>
      </c>
      <c r="F3">
        <f>IF(OR(A3="",B3=""),"",IF(E3=1,0,D3*B3/100/C3))</f>
        <v/>
      </c>
      <c r="G3">
        <f>IF(A3="","",IF(OR(B3&lt;&gt;B2,C3&lt;&gt;C2,D3&lt;&gt;D2,E3&lt;&gt;E2),G2+1,G2))</f>
        <v/>
      </c>
    </row>
    <row r="4">
      <c r="A4" s="14">
        <f>IF(OR(NOT(ISNUMBER(Ввод!$B$5)),NOT(ISNUMBER(Ввод!$B$6))),"",IF(Ввод!$B$5+2&gt;Ввод!$B$6,"",Ввод!$B$5+2))</f>
        <v/>
      </c>
      <c r="B4">
        <f>IF(A4="","",IFERROR(INDEX(Ввод!$B$12:$B$71,MATCH(A4,Ввод!$D$12:$D$71,1)),""))</f>
        <v/>
      </c>
      <c r="C4">
        <f>IF(A4="","",DATE(YEAR(A4),12,31)-DATE(YEAR(A4),1,1)+1)</f>
        <v/>
      </c>
      <c r="D4">
        <f>IF(A4="","",Ввод!$B$4-SUMIF(Оплаты!$A$6:$A$505,"&lt;"&amp;A4,Оплаты!$B$6:$B$505))</f>
        <v/>
      </c>
      <c r="E4">
        <f>IF(A4="","",IF(SUMPRODUCT((Ввод!$F$12:$F$31&lt;&gt;"")*(Ввод!$F$12:$F$31&lt;=A4)*(Ввод!$G$12:$G$31&gt;=A4))&gt;0,1,0))</f>
        <v/>
      </c>
      <c r="F4">
        <f>IF(OR(A4="",B4=""),"",IF(E4=1,0,D4*B4/100/C4))</f>
        <v/>
      </c>
      <c r="G4">
        <f>IF(A4="","",IF(OR(B4&lt;&gt;B3,C4&lt;&gt;C3,D4&lt;&gt;D3,E4&lt;&gt;E3),G3+1,G3))</f>
        <v/>
      </c>
    </row>
    <row r="5">
      <c r="A5" s="14">
        <f>IF(OR(NOT(ISNUMBER(Ввод!$B$5)),NOT(ISNUMBER(Ввод!$B$6))),"",IF(Ввод!$B$5+3&gt;Ввод!$B$6,"",Ввод!$B$5+3))</f>
        <v/>
      </c>
      <c r="B5">
        <f>IF(A5="","",IFERROR(INDEX(Ввод!$B$12:$B$71,MATCH(A5,Ввод!$D$12:$D$71,1)),""))</f>
        <v/>
      </c>
      <c r="C5">
        <f>IF(A5="","",DATE(YEAR(A5),12,31)-DATE(YEAR(A5),1,1)+1)</f>
        <v/>
      </c>
      <c r="D5">
        <f>IF(A5="","",Ввод!$B$4-SUMIF(Оплаты!$A$6:$A$505,"&lt;"&amp;A5,Оплаты!$B$6:$B$505))</f>
        <v/>
      </c>
      <c r="E5">
        <f>IF(A5="","",IF(SUMPRODUCT((Ввод!$F$12:$F$31&lt;&gt;"")*(Ввод!$F$12:$F$31&lt;=A5)*(Ввод!$G$12:$G$31&gt;=A5))&gt;0,1,0))</f>
        <v/>
      </c>
      <c r="F5">
        <f>IF(OR(A5="",B5=""),"",IF(E5=1,0,D5*B5/100/C5))</f>
        <v/>
      </c>
      <c r="G5">
        <f>IF(A5="","",IF(OR(B5&lt;&gt;B4,C5&lt;&gt;C4,D5&lt;&gt;D4,E5&lt;&gt;E4),G4+1,G4))</f>
        <v/>
      </c>
    </row>
    <row r="6">
      <c r="A6" s="14">
        <f>IF(OR(NOT(ISNUMBER(Ввод!$B$5)),NOT(ISNUMBER(Ввод!$B$6))),"",IF(Ввод!$B$5+4&gt;Ввод!$B$6,"",Ввод!$B$5+4))</f>
        <v/>
      </c>
      <c r="B6">
        <f>IF(A6="","",IFERROR(INDEX(Ввод!$B$12:$B$71,MATCH(A6,Ввод!$D$12:$D$71,1)),""))</f>
        <v/>
      </c>
      <c r="C6">
        <f>IF(A6="","",DATE(YEAR(A6),12,31)-DATE(YEAR(A6),1,1)+1)</f>
        <v/>
      </c>
      <c r="D6">
        <f>IF(A6="","",Ввод!$B$4-SUMIF(Оплаты!$A$6:$A$505,"&lt;"&amp;A6,Оплаты!$B$6:$B$505))</f>
        <v/>
      </c>
      <c r="E6">
        <f>IF(A6="","",IF(SUMPRODUCT((Ввод!$F$12:$F$31&lt;&gt;"")*(Ввод!$F$12:$F$31&lt;=A6)*(Ввод!$G$12:$G$31&gt;=A6))&gt;0,1,0))</f>
        <v/>
      </c>
      <c r="F6">
        <f>IF(OR(A6="",B6=""),"",IF(E6=1,0,D6*B6/100/C6))</f>
        <v/>
      </c>
      <c r="G6">
        <f>IF(A6="","",IF(OR(B6&lt;&gt;B5,C6&lt;&gt;C5,D6&lt;&gt;D5,E6&lt;&gt;E5),G5+1,G5))</f>
        <v/>
      </c>
    </row>
    <row r="7">
      <c r="A7" s="14">
        <f>IF(OR(NOT(ISNUMBER(Ввод!$B$5)),NOT(ISNUMBER(Ввод!$B$6))),"",IF(Ввод!$B$5+5&gt;Ввод!$B$6,"",Ввод!$B$5+5))</f>
        <v/>
      </c>
      <c r="B7">
        <f>IF(A7="","",IFERROR(INDEX(Ввод!$B$12:$B$71,MATCH(A7,Ввод!$D$12:$D$71,1)),""))</f>
        <v/>
      </c>
      <c r="C7">
        <f>IF(A7="","",DATE(YEAR(A7),12,31)-DATE(YEAR(A7),1,1)+1)</f>
        <v/>
      </c>
      <c r="D7">
        <f>IF(A7="","",Ввод!$B$4-SUMIF(Оплаты!$A$6:$A$505,"&lt;"&amp;A7,Оплаты!$B$6:$B$505))</f>
        <v/>
      </c>
      <c r="E7">
        <f>IF(A7="","",IF(SUMPRODUCT((Ввод!$F$12:$F$31&lt;&gt;"")*(Ввод!$F$12:$F$31&lt;=A7)*(Ввод!$G$12:$G$31&gt;=A7))&gt;0,1,0))</f>
        <v/>
      </c>
      <c r="F7">
        <f>IF(OR(A7="",B7=""),"",IF(E7=1,0,D7*B7/100/C7))</f>
        <v/>
      </c>
      <c r="G7">
        <f>IF(A7="","",IF(OR(B7&lt;&gt;B6,C7&lt;&gt;C6,D7&lt;&gt;D6,E7&lt;&gt;E6),G6+1,G6))</f>
        <v/>
      </c>
    </row>
    <row r="8">
      <c r="A8" s="14">
        <f>IF(OR(NOT(ISNUMBER(Ввод!$B$5)),NOT(ISNUMBER(Ввод!$B$6))),"",IF(Ввод!$B$5+6&gt;Ввод!$B$6,"",Ввод!$B$5+6))</f>
        <v/>
      </c>
      <c r="B8">
        <f>IF(A8="","",IFERROR(INDEX(Ввод!$B$12:$B$71,MATCH(A8,Ввод!$D$12:$D$71,1)),""))</f>
        <v/>
      </c>
      <c r="C8">
        <f>IF(A8="","",DATE(YEAR(A8),12,31)-DATE(YEAR(A8),1,1)+1)</f>
        <v/>
      </c>
      <c r="D8">
        <f>IF(A8="","",Ввод!$B$4-SUMIF(Оплаты!$A$6:$A$505,"&lt;"&amp;A8,Оплаты!$B$6:$B$505))</f>
        <v/>
      </c>
      <c r="E8">
        <f>IF(A8="","",IF(SUMPRODUCT((Ввод!$F$12:$F$31&lt;&gt;"")*(Ввод!$F$12:$F$31&lt;=A8)*(Ввод!$G$12:$G$31&gt;=A8))&gt;0,1,0))</f>
        <v/>
      </c>
      <c r="F8">
        <f>IF(OR(A8="",B8=""),"",IF(E8=1,0,D8*B8/100/C8))</f>
        <v/>
      </c>
      <c r="G8">
        <f>IF(A8="","",IF(OR(B8&lt;&gt;B7,C8&lt;&gt;C7,D8&lt;&gt;D7,E8&lt;&gt;E7),G7+1,G7))</f>
        <v/>
      </c>
    </row>
    <row r="9">
      <c r="A9" s="14">
        <f>IF(OR(NOT(ISNUMBER(Ввод!$B$5)),NOT(ISNUMBER(Ввод!$B$6))),"",IF(Ввод!$B$5+7&gt;Ввод!$B$6,"",Ввод!$B$5+7))</f>
        <v/>
      </c>
      <c r="B9">
        <f>IF(A9="","",IFERROR(INDEX(Ввод!$B$12:$B$71,MATCH(A9,Ввод!$D$12:$D$71,1)),""))</f>
        <v/>
      </c>
      <c r="C9">
        <f>IF(A9="","",DATE(YEAR(A9),12,31)-DATE(YEAR(A9),1,1)+1)</f>
        <v/>
      </c>
      <c r="D9">
        <f>IF(A9="","",Ввод!$B$4-SUMIF(Оплаты!$A$6:$A$505,"&lt;"&amp;A9,Оплаты!$B$6:$B$505))</f>
        <v/>
      </c>
      <c r="E9">
        <f>IF(A9="","",IF(SUMPRODUCT((Ввод!$F$12:$F$31&lt;&gt;"")*(Ввод!$F$12:$F$31&lt;=A9)*(Ввод!$G$12:$G$31&gt;=A9))&gt;0,1,0))</f>
        <v/>
      </c>
      <c r="F9">
        <f>IF(OR(A9="",B9=""),"",IF(E9=1,0,D9*B9/100/C9))</f>
        <v/>
      </c>
      <c r="G9">
        <f>IF(A9="","",IF(OR(B9&lt;&gt;B8,C9&lt;&gt;C8,D9&lt;&gt;D8,E9&lt;&gt;E8),G8+1,G8))</f>
        <v/>
      </c>
    </row>
    <row r="10">
      <c r="A10" s="14">
        <f>IF(OR(NOT(ISNUMBER(Ввод!$B$5)),NOT(ISNUMBER(Ввод!$B$6))),"",IF(Ввод!$B$5+8&gt;Ввод!$B$6,"",Ввод!$B$5+8))</f>
        <v/>
      </c>
      <c r="B10">
        <f>IF(A10="","",IFERROR(INDEX(Ввод!$B$12:$B$71,MATCH(A10,Ввод!$D$12:$D$71,1)),""))</f>
        <v/>
      </c>
      <c r="C10">
        <f>IF(A10="","",DATE(YEAR(A10),12,31)-DATE(YEAR(A10),1,1)+1)</f>
        <v/>
      </c>
      <c r="D10">
        <f>IF(A10="","",Ввод!$B$4-SUMIF(Оплаты!$A$6:$A$505,"&lt;"&amp;A10,Оплаты!$B$6:$B$505))</f>
        <v/>
      </c>
      <c r="E10">
        <f>IF(A10="","",IF(SUMPRODUCT((Ввод!$F$12:$F$31&lt;&gt;"")*(Ввод!$F$12:$F$31&lt;=A10)*(Ввод!$G$12:$G$31&gt;=A10))&gt;0,1,0))</f>
        <v/>
      </c>
      <c r="F10">
        <f>IF(OR(A10="",B10=""),"",IF(E10=1,0,D10*B10/100/C10))</f>
        <v/>
      </c>
      <c r="G10">
        <f>IF(A10="","",IF(OR(B10&lt;&gt;B9,C10&lt;&gt;C9,D10&lt;&gt;D9,E10&lt;&gt;E9),G9+1,G9))</f>
        <v/>
      </c>
    </row>
    <row r="11">
      <c r="A11" s="14">
        <f>IF(OR(NOT(ISNUMBER(Ввод!$B$5)),NOT(ISNUMBER(Ввод!$B$6))),"",IF(Ввод!$B$5+9&gt;Ввод!$B$6,"",Ввод!$B$5+9))</f>
        <v/>
      </c>
      <c r="B11">
        <f>IF(A11="","",IFERROR(INDEX(Ввод!$B$12:$B$71,MATCH(A11,Ввод!$D$12:$D$71,1)),""))</f>
        <v/>
      </c>
      <c r="C11">
        <f>IF(A11="","",DATE(YEAR(A11),12,31)-DATE(YEAR(A11),1,1)+1)</f>
        <v/>
      </c>
      <c r="D11">
        <f>IF(A11="","",Ввод!$B$4-SUMIF(Оплаты!$A$6:$A$505,"&lt;"&amp;A11,Оплаты!$B$6:$B$505))</f>
        <v/>
      </c>
      <c r="E11">
        <f>IF(A11="","",IF(SUMPRODUCT((Ввод!$F$12:$F$31&lt;&gt;"")*(Ввод!$F$12:$F$31&lt;=A11)*(Ввод!$G$12:$G$31&gt;=A11))&gt;0,1,0))</f>
        <v/>
      </c>
      <c r="F11">
        <f>IF(OR(A11="",B11=""),"",IF(E11=1,0,D11*B11/100/C11))</f>
        <v/>
      </c>
      <c r="G11">
        <f>IF(A11="","",IF(OR(B11&lt;&gt;B10,C11&lt;&gt;C10,D11&lt;&gt;D10,E11&lt;&gt;E10),G10+1,G10))</f>
        <v/>
      </c>
    </row>
    <row r="12">
      <c r="A12" s="14">
        <f>IF(OR(NOT(ISNUMBER(Ввод!$B$5)),NOT(ISNUMBER(Ввод!$B$6))),"",IF(Ввод!$B$5+10&gt;Ввод!$B$6,"",Ввод!$B$5+10))</f>
        <v/>
      </c>
      <c r="B12">
        <f>IF(A12="","",IFERROR(INDEX(Ввод!$B$12:$B$71,MATCH(A12,Ввод!$D$12:$D$71,1)),""))</f>
        <v/>
      </c>
      <c r="C12">
        <f>IF(A12="","",DATE(YEAR(A12),12,31)-DATE(YEAR(A12),1,1)+1)</f>
        <v/>
      </c>
      <c r="D12">
        <f>IF(A12="","",Ввод!$B$4-SUMIF(Оплаты!$A$6:$A$505,"&lt;"&amp;A12,Оплаты!$B$6:$B$505))</f>
        <v/>
      </c>
      <c r="E12">
        <f>IF(A12="","",IF(SUMPRODUCT((Ввод!$F$12:$F$31&lt;&gt;"")*(Ввод!$F$12:$F$31&lt;=A12)*(Ввод!$G$12:$G$31&gt;=A12))&gt;0,1,0))</f>
        <v/>
      </c>
      <c r="F12">
        <f>IF(OR(A12="",B12=""),"",IF(E12=1,0,D12*B12/100/C12))</f>
        <v/>
      </c>
      <c r="G12">
        <f>IF(A12="","",IF(OR(B12&lt;&gt;B11,C12&lt;&gt;C11,D12&lt;&gt;D11,E12&lt;&gt;E11),G11+1,G11))</f>
        <v/>
      </c>
    </row>
    <row r="13">
      <c r="A13" s="14">
        <f>IF(OR(NOT(ISNUMBER(Ввод!$B$5)),NOT(ISNUMBER(Ввод!$B$6))),"",IF(Ввод!$B$5+11&gt;Ввод!$B$6,"",Ввод!$B$5+11))</f>
        <v/>
      </c>
      <c r="B13">
        <f>IF(A13="","",IFERROR(INDEX(Ввод!$B$12:$B$71,MATCH(A13,Ввод!$D$12:$D$71,1)),""))</f>
        <v/>
      </c>
      <c r="C13">
        <f>IF(A13="","",DATE(YEAR(A13),12,31)-DATE(YEAR(A13),1,1)+1)</f>
        <v/>
      </c>
      <c r="D13">
        <f>IF(A13="","",Ввод!$B$4-SUMIF(Оплаты!$A$6:$A$505,"&lt;"&amp;A13,Оплаты!$B$6:$B$505))</f>
        <v/>
      </c>
      <c r="E13">
        <f>IF(A13="","",IF(SUMPRODUCT((Ввод!$F$12:$F$31&lt;&gt;"")*(Ввод!$F$12:$F$31&lt;=A13)*(Ввод!$G$12:$G$31&gt;=A13))&gt;0,1,0))</f>
        <v/>
      </c>
      <c r="F13">
        <f>IF(OR(A13="",B13=""),"",IF(E13=1,0,D13*B13/100/C13))</f>
        <v/>
      </c>
      <c r="G13">
        <f>IF(A13="","",IF(OR(B13&lt;&gt;B12,C13&lt;&gt;C12,D13&lt;&gt;D12,E13&lt;&gt;E12),G12+1,G12))</f>
        <v/>
      </c>
    </row>
    <row r="14">
      <c r="A14" s="14">
        <f>IF(OR(NOT(ISNUMBER(Ввод!$B$5)),NOT(ISNUMBER(Ввод!$B$6))),"",IF(Ввод!$B$5+12&gt;Ввод!$B$6,"",Ввод!$B$5+12))</f>
        <v/>
      </c>
      <c r="B14">
        <f>IF(A14="","",IFERROR(INDEX(Ввод!$B$12:$B$71,MATCH(A14,Ввод!$D$12:$D$71,1)),""))</f>
        <v/>
      </c>
      <c r="C14">
        <f>IF(A14="","",DATE(YEAR(A14),12,31)-DATE(YEAR(A14),1,1)+1)</f>
        <v/>
      </c>
      <c r="D14">
        <f>IF(A14="","",Ввод!$B$4-SUMIF(Оплаты!$A$6:$A$505,"&lt;"&amp;A14,Оплаты!$B$6:$B$505))</f>
        <v/>
      </c>
      <c r="E14">
        <f>IF(A14="","",IF(SUMPRODUCT((Ввод!$F$12:$F$31&lt;&gt;"")*(Ввод!$F$12:$F$31&lt;=A14)*(Ввод!$G$12:$G$31&gt;=A14))&gt;0,1,0))</f>
        <v/>
      </c>
      <c r="F14">
        <f>IF(OR(A14="",B14=""),"",IF(E14=1,0,D14*B14/100/C14))</f>
        <v/>
      </c>
      <c r="G14">
        <f>IF(A14="","",IF(OR(B14&lt;&gt;B13,C14&lt;&gt;C13,D14&lt;&gt;D13,E14&lt;&gt;E13),G13+1,G13))</f>
        <v/>
      </c>
    </row>
    <row r="15">
      <c r="A15" s="14">
        <f>IF(OR(NOT(ISNUMBER(Ввод!$B$5)),NOT(ISNUMBER(Ввод!$B$6))),"",IF(Ввод!$B$5+13&gt;Ввод!$B$6,"",Ввод!$B$5+13))</f>
        <v/>
      </c>
      <c r="B15">
        <f>IF(A15="","",IFERROR(INDEX(Ввод!$B$12:$B$71,MATCH(A15,Ввод!$D$12:$D$71,1)),""))</f>
        <v/>
      </c>
      <c r="C15">
        <f>IF(A15="","",DATE(YEAR(A15),12,31)-DATE(YEAR(A15),1,1)+1)</f>
        <v/>
      </c>
      <c r="D15">
        <f>IF(A15="","",Ввод!$B$4-SUMIF(Оплаты!$A$6:$A$505,"&lt;"&amp;A15,Оплаты!$B$6:$B$505))</f>
        <v/>
      </c>
      <c r="E15">
        <f>IF(A15="","",IF(SUMPRODUCT((Ввод!$F$12:$F$31&lt;&gt;"")*(Ввод!$F$12:$F$31&lt;=A15)*(Ввод!$G$12:$G$31&gt;=A15))&gt;0,1,0))</f>
        <v/>
      </c>
      <c r="F15">
        <f>IF(OR(A15="",B15=""),"",IF(E15=1,0,D15*B15/100/C15))</f>
        <v/>
      </c>
      <c r="G15">
        <f>IF(A15="","",IF(OR(B15&lt;&gt;B14,C15&lt;&gt;C14,D15&lt;&gt;D14,E15&lt;&gt;E14),G14+1,G14))</f>
        <v/>
      </c>
    </row>
    <row r="16">
      <c r="A16" s="14">
        <f>IF(OR(NOT(ISNUMBER(Ввод!$B$5)),NOT(ISNUMBER(Ввод!$B$6))),"",IF(Ввод!$B$5+14&gt;Ввод!$B$6,"",Ввод!$B$5+14))</f>
        <v/>
      </c>
      <c r="B16">
        <f>IF(A16="","",IFERROR(INDEX(Ввод!$B$12:$B$71,MATCH(A16,Ввод!$D$12:$D$71,1)),""))</f>
        <v/>
      </c>
      <c r="C16">
        <f>IF(A16="","",DATE(YEAR(A16),12,31)-DATE(YEAR(A16),1,1)+1)</f>
        <v/>
      </c>
      <c r="D16">
        <f>IF(A16="","",Ввод!$B$4-SUMIF(Оплаты!$A$6:$A$505,"&lt;"&amp;A16,Оплаты!$B$6:$B$505))</f>
        <v/>
      </c>
      <c r="E16">
        <f>IF(A16="","",IF(SUMPRODUCT((Ввод!$F$12:$F$31&lt;&gt;"")*(Ввод!$F$12:$F$31&lt;=A16)*(Ввод!$G$12:$G$31&gt;=A16))&gt;0,1,0))</f>
        <v/>
      </c>
      <c r="F16">
        <f>IF(OR(A16="",B16=""),"",IF(E16=1,0,D16*B16/100/C16))</f>
        <v/>
      </c>
      <c r="G16">
        <f>IF(A16="","",IF(OR(B16&lt;&gt;B15,C16&lt;&gt;C15,D16&lt;&gt;D15,E16&lt;&gt;E15),G15+1,G15))</f>
        <v/>
      </c>
    </row>
    <row r="17">
      <c r="A17" s="14">
        <f>IF(OR(NOT(ISNUMBER(Ввод!$B$5)),NOT(ISNUMBER(Ввод!$B$6))),"",IF(Ввод!$B$5+15&gt;Ввод!$B$6,"",Ввод!$B$5+15))</f>
        <v/>
      </c>
      <c r="B17">
        <f>IF(A17="","",IFERROR(INDEX(Ввод!$B$12:$B$71,MATCH(A17,Ввод!$D$12:$D$71,1)),""))</f>
        <v/>
      </c>
      <c r="C17">
        <f>IF(A17="","",DATE(YEAR(A17),12,31)-DATE(YEAR(A17),1,1)+1)</f>
        <v/>
      </c>
      <c r="D17">
        <f>IF(A17="","",Ввод!$B$4-SUMIF(Оплаты!$A$6:$A$505,"&lt;"&amp;A17,Оплаты!$B$6:$B$505))</f>
        <v/>
      </c>
      <c r="E17">
        <f>IF(A17="","",IF(SUMPRODUCT((Ввод!$F$12:$F$31&lt;&gt;"")*(Ввод!$F$12:$F$31&lt;=A17)*(Ввод!$G$12:$G$31&gt;=A17))&gt;0,1,0))</f>
        <v/>
      </c>
      <c r="F17">
        <f>IF(OR(A17="",B17=""),"",IF(E17=1,0,D17*B17/100/C17))</f>
        <v/>
      </c>
      <c r="G17">
        <f>IF(A17="","",IF(OR(B17&lt;&gt;B16,C17&lt;&gt;C16,D17&lt;&gt;D16,E17&lt;&gt;E16),G16+1,G16))</f>
        <v/>
      </c>
    </row>
    <row r="18">
      <c r="A18" s="14">
        <f>IF(OR(NOT(ISNUMBER(Ввод!$B$5)),NOT(ISNUMBER(Ввод!$B$6))),"",IF(Ввод!$B$5+16&gt;Ввод!$B$6,"",Ввод!$B$5+16))</f>
        <v/>
      </c>
      <c r="B18">
        <f>IF(A18="","",IFERROR(INDEX(Ввод!$B$12:$B$71,MATCH(A18,Ввод!$D$12:$D$71,1)),""))</f>
        <v/>
      </c>
      <c r="C18">
        <f>IF(A18="","",DATE(YEAR(A18),12,31)-DATE(YEAR(A18),1,1)+1)</f>
        <v/>
      </c>
      <c r="D18">
        <f>IF(A18="","",Ввод!$B$4-SUMIF(Оплаты!$A$6:$A$505,"&lt;"&amp;A18,Оплаты!$B$6:$B$505))</f>
        <v/>
      </c>
      <c r="E18">
        <f>IF(A18="","",IF(SUMPRODUCT((Ввод!$F$12:$F$31&lt;&gt;"")*(Ввод!$F$12:$F$31&lt;=A18)*(Ввод!$G$12:$G$31&gt;=A18))&gt;0,1,0))</f>
        <v/>
      </c>
      <c r="F18">
        <f>IF(OR(A18="",B18=""),"",IF(E18=1,0,D18*B18/100/C18))</f>
        <v/>
      </c>
      <c r="G18">
        <f>IF(A18="","",IF(OR(B18&lt;&gt;B17,C18&lt;&gt;C17,D18&lt;&gt;D17,E18&lt;&gt;E17),G17+1,G17))</f>
        <v/>
      </c>
    </row>
    <row r="19">
      <c r="A19" s="14">
        <f>IF(OR(NOT(ISNUMBER(Ввод!$B$5)),NOT(ISNUMBER(Ввод!$B$6))),"",IF(Ввод!$B$5+17&gt;Ввод!$B$6,"",Ввод!$B$5+17))</f>
        <v/>
      </c>
      <c r="B19">
        <f>IF(A19="","",IFERROR(INDEX(Ввод!$B$12:$B$71,MATCH(A19,Ввод!$D$12:$D$71,1)),""))</f>
        <v/>
      </c>
      <c r="C19">
        <f>IF(A19="","",DATE(YEAR(A19),12,31)-DATE(YEAR(A19),1,1)+1)</f>
        <v/>
      </c>
      <c r="D19">
        <f>IF(A19="","",Ввод!$B$4-SUMIF(Оплаты!$A$6:$A$505,"&lt;"&amp;A19,Оплаты!$B$6:$B$505))</f>
        <v/>
      </c>
      <c r="E19">
        <f>IF(A19="","",IF(SUMPRODUCT((Ввод!$F$12:$F$31&lt;&gt;"")*(Ввод!$F$12:$F$31&lt;=A19)*(Ввод!$G$12:$G$31&gt;=A19))&gt;0,1,0))</f>
        <v/>
      </c>
      <c r="F19">
        <f>IF(OR(A19="",B19=""),"",IF(E19=1,0,D19*B19/100/C19))</f>
        <v/>
      </c>
      <c r="G19">
        <f>IF(A19="","",IF(OR(B19&lt;&gt;B18,C19&lt;&gt;C18,D19&lt;&gt;D18,E19&lt;&gt;E18),G18+1,G18))</f>
        <v/>
      </c>
    </row>
    <row r="20">
      <c r="A20" s="14">
        <f>IF(OR(NOT(ISNUMBER(Ввод!$B$5)),NOT(ISNUMBER(Ввод!$B$6))),"",IF(Ввод!$B$5+18&gt;Ввод!$B$6,"",Ввод!$B$5+18))</f>
        <v/>
      </c>
      <c r="B20">
        <f>IF(A20="","",IFERROR(INDEX(Ввод!$B$12:$B$71,MATCH(A20,Ввод!$D$12:$D$71,1)),""))</f>
        <v/>
      </c>
      <c r="C20">
        <f>IF(A20="","",DATE(YEAR(A20),12,31)-DATE(YEAR(A20),1,1)+1)</f>
        <v/>
      </c>
      <c r="D20">
        <f>IF(A20="","",Ввод!$B$4-SUMIF(Оплаты!$A$6:$A$505,"&lt;"&amp;A20,Оплаты!$B$6:$B$505))</f>
        <v/>
      </c>
      <c r="E20">
        <f>IF(A20="","",IF(SUMPRODUCT((Ввод!$F$12:$F$31&lt;&gt;"")*(Ввод!$F$12:$F$31&lt;=A20)*(Ввод!$G$12:$G$31&gt;=A20))&gt;0,1,0))</f>
        <v/>
      </c>
      <c r="F20">
        <f>IF(OR(A20="",B20=""),"",IF(E20=1,0,D20*B20/100/C20))</f>
        <v/>
      </c>
      <c r="G20">
        <f>IF(A20="","",IF(OR(B20&lt;&gt;B19,C20&lt;&gt;C19,D20&lt;&gt;D19,E20&lt;&gt;E19),G19+1,G19))</f>
        <v/>
      </c>
    </row>
    <row r="21">
      <c r="A21" s="14">
        <f>IF(OR(NOT(ISNUMBER(Ввод!$B$5)),NOT(ISNUMBER(Ввод!$B$6))),"",IF(Ввод!$B$5+19&gt;Ввод!$B$6,"",Ввод!$B$5+19))</f>
        <v/>
      </c>
      <c r="B21">
        <f>IF(A21="","",IFERROR(INDEX(Ввод!$B$12:$B$71,MATCH(A21,Ввод!$D$12:$D$71,1)),""))</f>
        <v/>
      </c>
      <c r="C21">
        <f>IF(A21="","",DATE(YEAR(A21),12,31)-DATE(YEAR(A21),1,1)+1)</f>
        <v/>
      </c>
      <c r="D21">
        <f>IF(A21="","",Ввод!$B$4-SUMIF(Оплаты!$A$6:$A$505,"&lt;"&amp;A21,Оплаты!$B$6:$B$505))</f>
        <v/>
      </c>
      <c r="E21">
        <f>IF(A21="","",IF(SUMPRODUCT((Ввод!$F$12:$F$31&lt;&gt;"")*(Ввод!$F$12:$F$31&lt;=A21)*(Ввод!$G$12:$G$31&gt;=A21))&gt;0,1,0))</f>
        <v/>
      </c>
      <c r="F21">
        <f>IF(OR(A21="",B21=""),"",IF(E21=1,0,D21*B21/100/C21))</f>
        <v/>
      </c>
      <c r="G21">
        <f>IF(A21="","",IF(OR(B21&lt;&gt;B20,C21&lt;&gt;C20,D21&lt;&gt;D20,E21&lt;&gt;E20),G20+1,G20))</f>
        <v/>
      </c>
    </row>
    <row r="22">
      <c r="A22" s="14">
        <f>IF(OR(NOT(ISNUMBER(Ввод!$B$5)),NOT(ISNUMBER(Ввод!$B$6))),"",IF(Ввод!$B$5+20&gt;Ввод!$B$6,"",Ввод!$B$5+20))</f>
        <v/>
      </c>
      <c r="B22">
        <f>IF(A22="","",IFERROR(INDEX(Ввод!$B$12:$B$71,MATCH(A22,Ввод!$D$12:$D$71,1)),""))</f>
        <v/>
      </c>
      <c r="C22">
        <f>IF(A22="","",DATE(YEAR(A22),12,31)-DATE(YEAR(A22),1,1)+1)</f>
        <v/>
      </c>
      <c r="D22">
        <f>IF(A22="","",Ввод!$B$4-SUMIF(Оплаты!$A$6:$A$505,"&lt;"&amp;A22,Оплаты!$B$6:$B$505))</f>
        <v/>
      </c>
      <c r="E22">
        <f>IF(A22="","",IF(SUMPRODUCT((Ввод!$F$12:$F$31&lt;&gt;"")*(Ввод!$F$12:$F$31&lt;=A22)*(Ввод!$G$12:$G$31&gt;=A22))&gt;0,1,0))</f>
        <v/>
      </c>
      <c r="F22">
        <f>IF(OR(A22="",B22=""),"",IF(E22=1,0,D22*B22/100/C22))</f>
        <v/>
      </c>
      <c r="G22">
        <f>IF(A22="","",IF(OR(B22&lt;&gt;B21,C22&lt;&gt;C21,D22&lt;&gt;D21,E22&lt;&gt;E21),G21+1,G21))</f>
        <v/>
      </c>
    </row>
    <row r="23">
      <c r="A23" s="14">
        <f>IF(OR(NOT(ISNUMBER(Ввод!$B$5)),NOT(ISNUMBER(Ввод!$B$6))),"",IF(Ввод!$B$5+21&gt;Ввод!$B$6,"",Ввод!$B$5+21))</f>
        <v/>
      </c>
      <c r="B23">
        <f>IF(A23="","",IFERROR(INDEX(Ввод!$B$12:$B$71,MATCH(A23,Ввод!$D$12:$D$71,1)),""))</f>
        <v/>
      </c>
      <c r="C23">
        <f>IF(A23="","",DATE(YEAR(A23),12,31)-DATE(YEAR(A23),1,1)+1)</f>
        <v/>
      </c>
      <c r="D23">
        <f>IF(A23="","",Ввод!$B$4-SUMIF(Оплаты!$A$6:$A$505,"&lt;"&amp;A23,Оплаты!$B$6:$B$505))</f>
        <v/>
      </c>
      <c r="E23">
        <f>IF(A23="","",IF(SUMPRODUCT((Ввод!$F$12:$F$31&lt;&gt;"")*(Ввод!$F$12:$F$31&lt;=A23)*(Ввод!$G$12:$G$31&gt;=A23))&gt;0,1,0))</f>
        <v/>
      </c>
      <c r="F23">
        <f>IF(OR(A23="",B23=""),"",IF(E23=1,0,D23*B23/100/C23))</f>
        <v/>
      </c>
      <c r="G23">
        <f>IF(A23="","",IF(OR(B23&lt;&gt;B22,C23&lt;&gt;C22,D23&lt;&gt;D22,E23&lt;&gt;E22),G22+1,G22))</f>
        <v/>
      </c>
    </row>
    <row r="24">
      <c r="A24" s="14">
        <f>IF(OR(NOT(ISNUMBER(Ввод!$B$5)),NOT(ISNUMBER(Ввод!$B$6))),"",IF(Ввод!$B$5+22&gt;Ввод!$B$6,"",Ввод!$B$5+22))</f>
        <v/>
      </c>
      <c r="B24">
        <f>IF(A24="","",IFERROR(INDEX(Ввод!$B$12:$B$71,MATCH(A24,Ввод!$D$12:$D$71,1)),""))</f>
        <v/>
      </c>
      <c r="C24">
        <f>IF(A24="","",DATE(YEAR(A24),12,31)-DATE(YEAR(A24),1,1)+1)</f>
        <v/>
      </c>
      <c r="D24">
        <f>IF(A24="","",Ввод!$B$4-SUMIF(Оплаты!$A$6:$A$505,"&lt;"&amp;A24,Оплаты!$B$6:$B$505))</f>
        <v/>
      </c>
      <c r="E24">
        <f>IF(A24="","",IF(SUMPRODUCT((Ввод!$F$12:$F$31&lt;&gt;"")*(Ввод!$F$12:$F$31&lt;=A24)*(Ввод!$G$12:$G$31&gt;=A24))&gt;0,1,0))</f>
        <v/>
      </c>
      <c r="F24">
        <f>IF(OR(A24="",B24=""),"",IF(E24=1,0,D24*B24/100/C24))</f>
        <v/>
      </c>
      <c r="G24">
        <f>IF(A24="","",IF(OR(B24&lt;&gt;B23,C24&lt;&gt;C23,D24&lt;&gt;D23,E24&lt;&gt;E23),G23+1,G23))</f>
        <v/>
      </c>
    </row>
    <row r="25">
      <c r="A25" s="14">
        <f>IF(OR(NOT(ISNUMBER(Ввод!$B$5)),NOT(ISNUMBER(Ввод!$B$6))),"",IF(Ввод!$B$5+23&gt;Ввод!$B$6,"",Ввод!$B$5+23))</f>
        <v/>
      </c>
      <c r="B25">
        <f>IF(A25="","",IFERROR(INDEX(Ввод!$B$12:$B$71,MATCH(A25,Ввод!$D$12:$D$71,1)),""))</f>
        <v/>
      </c>
      <c r="C25">
        <f>IF(A25="","",DATE(YEAR(A25),12,31)-DATE(YEAR(A25),1,1)+1)</f>
        <v/>
      </c>
      <c r="D25">
        <f>IF(A25="","",Ввод!$B$4-SUMIF(Оплаты!$A$6:$A$505,"&lt;"&amp;A25,Оплаты!$B$6:$B$505))</f>
        <v/>
      </c>
      <c r="E25">
        <f>IF(A25="","",IF(SUMPRODUCT((Ввод!$F$12:$F$31&lt;&gt;"")*(Ввод!$F$12:$F$31&lt;=A25)*(Ввод!$G$12:$G$31&gt;=A25))&gt;0,1,0))</f>
        <v/>
      </c>
      <c r="F25">
        <f>IF(OR(A25="",B25=""),"",IF(E25=1,0,D25*B25/100/C25))</f>
        <v/>
      </c>
      <c r="G25">
        <f>IF(A25="","",IF(OR(B25&lt;&gt;B24,C25&lt;&gt;C24,D25&lt;&gt;D24,E25&lt;&gt;E24),G24+1,G24))</f>
        <v/>
      </c>
    </row>
    <row r="26">
      <c r="A26" s="14">
        <f>IF(OR(NOT(ISNUMBER(Ввод!$B$5)),NOT(ISNUMBER(Ввод!$B$6))),"",IF(Ввод!$B$5+24&gt;Ввод!$B$6,"",Ввод!$B$5+24))</f>
        <v/>
      </c>
      <c r="B26">
        <f>IF(A26="","",IFERROR(INDEX(Ввод!$B$12:$B$71,MATCH(A26,Ввод!$D$12:$D$71,1)),""))</f>
        <v/>
      </c>
      <c r="C26">
        <f>IF(A26="","",DATE(YEAR(A26),12,31)-DATE(YEAR(A26),1,1)+1)</f>
        <v/>
      </c>
      <c r="D26">
        <f>IF(A26="","",Ввод!$B$4-SUMIF(Оплаты!$A$6:$A$505,"&lt;"&amp;A26,Оплаты!$B$6:$B$505))</f>
        <v/>
      </c>
      <c r="E26">
        <f>IF(A26="","",IF(SUMPRODUCT((Ввод!$F$12:$F$31&lt;&gt;"")*(Ввод!$F$12:$F$31&lt;=A26)*(Ввод!$G$12:$G$31&gt;=A26))&gt;0,1,0))</f>
        <v/>
      </c>
      <c r="F26">
        <f>IF(OR(A26="",B26=""),"",IF(E26=1,0,D26*B26/100/C26))</f>
        <v/>
      </c>
      <c r="G26">
        <f>IF(A26="","",IF(OR(B26&lt;&gt;B25,C26&lt;&gt;C25,D26&lt;&gt;D25,E26&lt;&gt;E25),G25+1,G25))</f>
        <v/>
      </c>
    </row>
    <row r="27">
      <c r="A27" s="14">
        <f>IF(OR(NOT(ISNUMBER(Ввод!$B$5)),NOT(ISNUMBER(Ввод!$B$6))),"",IF(Ввод!$B$5+25&gt;Ввод!$B$6,"",Ввод!$B$5+25))</f>
        <v/>
      </c>
      <c r="B27">
        <f>IF(A27="","",IFERROR(INDEX(Ввод!$B$12:$B$71,MATCH(A27,Ввод!$D$12:$D$71,1)),""))</f>
        <v/>
      </c>
      <c r="C27">
        <f>IF(A27="","",DATE(YEAR(A27),12,31)-DATE(YEAR(A27),1,1)+1)</f>
        <v/>
      </c>
      <c r="D27">
        <f>IF(A27="","",Ввод!$B$4-SUMIF(Оплаты!$A$6:$A$505,"&lt;"&amp;A27,Оплаты!$B$6:$B$505))</f>
        <v/>
      </c>
      <c r="E27">
        <f>IF(A27="","",IF(SUMPRODUCT((Ввод!$F$12:$F$31&lt;&gt;"")*(Ввод!$F$12:$F$31&lt;=A27)*(Ввод!$G$12:$G$31&gt;=A27))&gt;0,1,0))</f>
        <v/>
      </c>
      <c r="F27">
        <f>IF(OR(A27="",B27=""),"",IF(E27=1,0,D27*B27/100/C27))</f>
        <v/>
      </c>
      <c r="G27">
        <f>IF(A27="","",IF(OR(B27&lt;&gt;B26,C27&lt;&gt;C26,D27&lt;&gt;D26,E27&lt;&gt;E26),G26+1,G26))</f>
        <v/>
      </c>
    </row>
    <row r="28">
      <c r="A28" s="14">
        <f>IF(OR(NOT(ISNUMBER(Ввод!$B$5)),NOT(ISNUMBER(Ввод!$B$6))),"",IF(Ввод!$B$5+26&gt;Ввод!$B$6,"",Ввод!$B$5+26))</f>
        <v/>
      </c>
      <c r="B28">
        <f>IF(A28="","",IFERROR(INDEX(Ввод!$B$12:$B$71,MATCH(A28,Ввод!$D$12:$D$71,1)),""))</f>
        <v/>
      </c>
      <c r="C28">
        <f>IF(A28="","",DATE(YEAR(A28),12,31)-DATE(YEAR(A28),1,1)+1)</f>
        <v/>
      </c>
      <c r="D28">
        <f>IF(A28="","",Ввод!$B$4-SUMIF(Оплаты!$A$6:$A$505,"&lt;"&amp;A28,Оплаты!$B$6:$B$505))</f>
        <v/>
      </c>
      <c r="E28">
        <f>IF(A28="","",IF(SUMPRODUCT((Ввод!$F$12:$F$31&lt;&gt;"")*(Ввод!$F$12:$F$31&lt;=A28)*(Ввод!$G$12:$G$31&gt;=A28))&gt;0,1,0))</f>
        <v/>
      </c>
      <c r="F28">
        <f>IF(OR(A28="",B28=""),"",IF(E28=1,0,D28*B28/100/C28))</f>
        <v/>
      </c>
      <c r="G28">
        <f>IF(A28="","",IF(OR(B28&lt;&gt;B27,C28&lt;&gt;C27,D28&lt;&gt;D27,E28&lt;&gt;E27),G27+1,G27))</f>
        <v/>
      </c>
    </row>
    <row r="29">
      <c r="A29" s="14">
        <f>IF(OR(NOT(ISNUMBER(Ввод!$B$5)),NOT(ISNUMBER(Ввод!$B$6))),"",IF(Ввод!$B$5+27&gt;Ввод!$B$6,"",Ввод!$B$5+27))</f>
        <v/>
      </c>
      <c r="B29">
        <f>IF(A29="","",IFERROR(INDEX(Ввод!$B$12:$B$71,MATCH(A29,Ввод!$D$12:$D$71,1)),""))</f>
        <v/>
      </c>
      <c r="C29">
        <f>IF(A29="","",DATE(YEAR(A29),12,31)-DATE(YEAR(A29),1,1)+1)</f>
        <v/>
      </c>
      <c r="D29">
        <f>IF(A29="","",Ввод!$B$4-SUMIF(Оплаты!$A$6:$A$505,"&lt;"&amp;A29,Оплаты!$B$6:$B$505))</f>
        <v/>
      </c>
      <c r="E29">
        <f>IF(A29="","",IF(SUMPRODUCT((Ввод!$F$12:$F$31&lt;&gt;"")*(Ввод!$F$12:$F$31&lt;=A29)*(Ввод!$G$12:$G$31&gt;=A29))&gt;0,1,0))</f>
        <v/>
      </c>
      <c r="F29">
        <f>IF(OR(A29="",B29=""),"",IF(E29=1,0,D29*B29/100/C29))</f>
        <v/>
      </c>
      <c r="G29">
        <f>IF(A29="","",IF(OR(B29&lt;&gt;B28,C29&lt;&gt;C28,D29&lt;&gt;D28,E29&lt;&gt;E28),G28+1,G28))</f>
        <v/>
      </c>
    </row>
    <row r="30">
      <c r="A30" s="14">
        <f>IF(OR(NOT(ISNUMBER(Ввод!$B$5)),NOT(ISNUMBER(Ввод!$B$6))),"",IF(Ввод!$B$5+28&gt;Ввод!$B$6,"",Ввод!$B$5+28))</f>
        <v/>
      </c>
      <c r="B30">
        <f>IF(A30="","",IFERROR(INDEX(Ввод!$B$12:$B$71,MATCH(A30,Ввод!$D$12:$D$71,1)),""))</f>
        <v/>
      </c>
      <c r="C30">
        <f>IF(A30="","",DATE(YEAR(A30),12,31)-DATE(YEAR(A30),1,1)+1)</f>
        <v/>
      </c>
      <c r="D30">
        <f>IF(A30="","",Ввод!$B$4-SUMIF(Оплаты!$A$6:$A$505,"&lt;"&amp;A30,Оплаты!$B$6:$B$505))</f>
        <v/>
      </c>
      <c r="E30">
        <f>IF(A30="","",IF(SUMPRODUCT((Ввод!$F$12:$F$31&lt;&gt;"")*(Ввод!$F$12:$F$31&lt;=A30)*(Ввод!$G$12:$G$31&gt;=A30))&gt;0,1,0))</f>
        <v/>
      </c>
      <c r="F30">
        <f>IF(OR(A30="",B30=""),"",IF(E30=1,0,D30*B30/100/C30))</f>
        <v/>
      </c>
      <c r="G30">
        <f>IF(A30="","",IF(OR(B30&lt;&gt;B29,C30&lt;&gt;C29,D30&lt;&gt;D29,E30&lt;&gt;E29),G29+1,G29))</f>
        <v/>
      </c>
    </row>
    <row r="31">
      <c r="A31" s="14">
        <f>IF(OR(NOT(ISNUMBER(Ввод!$B$5)),NOT(ISNUMBER(Ввод!$B$6))),"",IF(Ввод!$B$5+29&gt;Ввод!$B$6,"",Ввод!$B$5+29))</f>
        <v/>
      </c>
      <c r="B31">
        <f>IF(A31="","",IFERROR(INDEX(Ввод!$B$12:$B$71,MATCH(A31,Ввод!$D$12:$D$71,1)),""))</f>
        <v/>
      </c>
      <c r="C31">
        <f>IF(A31="","",DATE(YEAR(A31),12,31)-DATE(YEAR(A31),1,1)+1)</f>
        <v/>
      </c>
      <c r="D31">
        <f>IF(A31="","",Ввод!$B$4-SUMIF(Оплаты!$A$6:$A$505,"&lt;"&amp;A31,Оплаты!$B$6:$B$505))</f>
        <v/>
      </c>
      <c r="E31">
        <f>IF(A31="","",IF(SUMPRODUCT((Ввод!$F$12:$F$31&lt;&gt;"")*(Ввод!$F$12:$F$31&lt;=A31)*(Ввод!$G$12:$G$31&gt;=A31))&gt;0,1,0))</f>
        <v/>
      </c>
      <c r="F31">
        <f>IF(OR(A31="",B31=""),"",IF(E31=1,0,D31*B31/100/C31))</f>
        <v/>
      </c>
      <c r="G31">
        <f>IF(A31="","",IF(OR(B31&lt;&gt;B30,C31&lt;&gt;C30,D31&lt;&gt;D30,E31&lt;&gt;E30),G30+1,G30))</f>
        <v/>
      </c>
    </row>
    <row r="32">
      <c r="A32" s="14">
        <f>IF(OR(NOT(ISNUMBER(Ввод!$B$5)),NOT(ISNUMBER(Ввод!$B$6))),"",IF(Ввод!$B$5+30&gt;Ввод!$B$6,"",Ввод!$B$5+30))</f>
        <v/>
      </c>
      <c r="B32">
        <f>IF(A32="","",IFERROR(INDEX(Ввод!$B$12:$B$71,MATCH(A32,Ввод!$D$12:$D$71,1)),""))</f>
        <v/>
      </c>
      <c r="C32">
        <f>IF(A32="","",DATE(YEAR(A32),12,31)-DATE(YEAR(A32),1,1)+1)</f>
        <v/>
      </c>
      <c r="D32">
        <f>IF(A32="","",Ввод!$B$4-SUMIF(Оплаты!$A$6:$A$505,"&lt;"&amp;A32,Оплаты!$B$6:$B$505))</f>
        <v/>
      </c>
      <c r="E32">
        <f>IF(A32="","",IF(SUMPRODUCT((Ввод!$F$12:$F$31&lt;&gt;"")*(Ввод!$F$12:$F$31&lt;=A32)*(Ввод!$G$12:$G$31&gt;=A32))&gt;0,1,0))</f>
        <v/>
      </c>
      <c r="F32">
        <f>IF(OR(A32="",B32=""),"",IF(E32=1,0,D32*B32/100/C32))</f>
        <v/>
      </c>
      <c r="G32">
        <f>IF(A32="","",IF(OR(B32&lt;&gt;B31,C32&lt;&gt;C31,D32&lt;&gt;D31,E32&lt;&gt;E31),G31+1,G31))</f>
        <v/>
      </c>
    </row>
    <row r="33">
      <c r="A33" s="14">
        <f>IF(OR(NOT(ISNUMBER(Ввод!$B$5)),NOT(ISNUMBER(Ввод!$B$6))),"",IF(Ввод!$B$5+31&gt;Ввод!$B$6,"",Ввод!$B$5+31))</f>
        <v/>
      </c>
      <c r="B33">
        <f>IF(A33="","",IFERROR(INDEX(Ввод!$B$12:$B$71,MATCH(A33,Ввод!$D$12:$D$71,1)),""))</f>
        <v/>
      </c>
      <c r="C33">
        <f>IF(A33="","",DATE(YEAR(A33),12,31)-DATE(YEAR(A33),1,1)+1)</f>
        <v/>
      </c>
      <c r="D33">
        <f>IF(A33="","",Ввод!$B$4-SUMIF(Оплаты!$A$6:$A$505,"&lt;"&amp;A33,Оплаты!$B$6:$B$505))</f>
        <v/>
      </c>
      <c r="E33">
        <f>IF(A33="","",IF(SUMPRODUCT((Ввод!$F$12:$F$31&lt;&gt;"")*(Ввод!$F$12:$F$31&lt;=A33)*(Ввод!$G$12:$G$31&gt;=A33))&gt;0,1,0))</f>
        <v/>
      </c>
      <c r="F33">
        <f>IF(OR(A33="",B33=""),"",IF(E33=1,0,D33*B33/100/C33))</f>
        <v/>
      </c>
      <c r="G33">
        <f>IF(A33="","",IF(OR(B33&lt;&gt;B32,C33&lt;&gt;C32,D33&lt;&gt;D32,E33&lt;&gt;E32),G32+1,G32))</f>
        <v/>
      </c>
    </row>
    <row r="34">
      <c r="A34" s="14">
        <f>IF(OR(NOT(ISNUMBER(Ввод!$B$5)),NOT(ISNUMBER(Ввод!$B$6))),"",IF(Ввод!$B$5+32&gt;Ввод!$B$6,"",Ввод!$B$5+32))</f>
        <v/>
      </c>
      <c r="B34">
        <f>IF(A34="","",IFERROR(INDEX(Ввод!$B$12:$B$71,MATCH(A34,Ввод!$D$12:$D$71,1)),""))</f>
        <v/>
      </c>
      <c r="C34">
        <f>IF(A34="","",DATE(YEAR(A34),12,31)-DATE(YEAR(A34),1,1)+1)</f>
        <v/>
      </c>
      <c r="D34">
        <f>IF(A34="","",Ввод!$B$4-SUMIF(Оплаты!$A$6:$A$505,"&lt;"&amp;A34,Оплаты!$B$6:$B$505))</f>
        <v/>
      </c>
      <c r="E34">
        <f>IF(A34="","",IF(SUMPRODUCT((Ввод!$F$12:$F$31&lt;&gt;"")*(Ввод!$F$12:$F$31&lt;=A34)*(Ввод!$G$12:$G$31&gt;=A34))&gt;0,1,0))</f>
        <v/>
      </c>
      <c r="F34">
        <f>IF(OR(A34="",B34=""),"",IF(E34=1,0,D34*B34/100/C34))</f>
        <v/>
      </c>
      <c r="G34">
        <f>IF(A34="","",IF(OR(B34&lt;&gt;B33,C34&lt;&gt;C33,D34&lt;&gt;D33,E34&lt;&gt;E33),G33+1,G33))</f>
        <v/>
      </c>
    </row>
    <row r="35">
      <c r="A35" s="14">
        <f>IF(OR(NOT(ISNUMBER(Ввод!$B$5)),NOT(ISNUMBER(Ввод!$B$6))),"",IF(Ввод!$B$5+33&gt;Ввод!$B$6,"",Ввод!$B$5+33))</f>
        <v/>
      </c>
      <c r="B35">
        <f>IF(A35="","",IFERROR(INDEX(Ввод!$B$12:$B$71,MATCH(A35,Ввод!$D$12:$D$71,1)),""))</f>
        <v/>
      </c>
      <c r="C35">
        <f>IF(A35="","",DATE(YEAR(A35),12,31)-DATE(YEAR(A35),1,1)+1)</f>
        <v/>
      </c>
      <c r="D35">
        <f>IF(A35="","",Ввод!$B$4-SUMIF(Оплаты!$A$6:$A$505,"&lt;"&amp;A35,Оплаты!$B$6:$B$505))</f>
        <v/>
      </c>
      <c r="E35">
        <f>IF(A35="","",IF(SUMPRODUCT((Ввод!$F$12:$F$31&lt;&gt;"")*(Ввод!$F$12:$F$31&lt;=A35)*(Ввод!$G$12:$G$31&gt;=A35))&gt;0,1,0))</f>
        <v/>
      </c>
      <c r="F35">
        <f>IF(OR(A35="",B35=""),"",IF(E35=1,0,D35*B35/100/C35))</f>
        <v/>
      </c>
      <c r="G35">
        <f>IF(A35="","",IF(OR(B35&lt;&gt;B34,C35&lt;&gt;C34,D35&lt;&gt;D34,E35&lt;&gt;E34),G34+1,G34))</f>
        <v/>
      </c>
    </row>
    <row r="36">
      <c r="A36" s="14">
        <f>IF(OR(NOT(ISNUMBER(Ввод!$B$5)),NOT(ISNUMBER(Ввод!$B$6))),"",IF(Ввод!$B$5+34&gt;Ввод!$B$6,"",Ввод!$B$5+34))</f>
        <v/>
      </c>
      <c r="B36">
        <f>IF(A36="","",IFERROR(INDEX(Ввод!$B$12:$B$71,MATCH(A36,Ввод!$D$12:$D$71,1)),""))</f>
        <v/>
      </c>
      <c r="C36">
        <f>IF(A36="","",DATE(YEAR(A36),12,31)-DATE(YEAR(A36),1,1)+1)</f>
        <v/>
      </c>
      <c r="D36">
        <f>IF(A36="","",Ввод!$B$4-SUMIF(Оплаты!$A$6:$A$505,"&lt;"&amp;A36,Оплаты!$B$6:$B$505))</f>
        <v/>
      </c>
      <c r="E36">
        <f>IF(A36="","",IF(SUMPRODUCT((Ввод!$F$12:$F$31&lt;&gt;"")*(Ввод!$F$12:$F$31&lt;=A36)*(Ввод!$G$12:$G$31&gt;=A36))&gt;0,1,0))</f>
        <v/>
      </c>
      <c r="F36">
        <f>IF(OR(A36="",B36=""),"",IF(E36=1,0,D36*B36/100/C36))</f>
        <v/>
      </c>
      <c r="G36">
        <f>IF(A36="","",IF(OR(B36&lt;&gt;B35,C36&lt;&gt;C35,D36&lt;&gt;D35,E36&lt;&gt;E35),G35+1,G35))</f>
        <v/>
      </c>
    </row>
    <row r="37">
      <c r="A37" s="14">
        <f>IF(OR(NOT(ISNUMBER(Ввод!$B$5)),NOT(ISNUMBER(Ввод!$B$6))),"",IF(Ввод!$B$5+35&gt;Ввод!$B$6,"",Ввод!$B$5+35))</f>
        <v/>
      </c>
      <c r="B37">
        <f>IF(A37="","",IFERROR(INDEX(Ввод!$B$12:$B$71,MATCH(A37,Ввод!$D$12:$D$71,1)),""))</f>
        <v/>
      </c>
      <c r="C37">
        <f>IF(A37="","",DATE(YEAR(A37),12,31)-DATE(YEAR(A37),1,1)+1)</f>
        <v/>
      </c>
      <c r="D37">
        <f>IF(A37="","",Ввод!$B$4-SUMIF(Оплаты!$A$6:$A$505,"&lt;"&amp;A37,Оплаты!$B$6:$B$505))</f>
        <v/>
      </c>
      <c r="E37">
        <f>IF(A37="","",IF(SUMPRODUCT((Ввод!$F$12:$F$31&lt;&gt;"")*(Ввод!$F$12:$F$31&lt;=A37)*(Ввод!$G$12:$G$31&gt;=A37))&gt;0,1,0))</f>
        <v/>
      </c>
      <c r="F37">
        <f>IF(OR(A37="",B37=""),"",IF(E37=1,0,D37*B37/100/C37))</f>
        <v/>
      </c>
      <c r="G37">
        <f>IF(A37="","",IF(OR(B37&lt;&gt;B36,C37&lt;&gt;C36,D37&lt;&gt;D36,E37&lt;&gt;E36),G36+1,G36))</f>
        <v/>
      </c>
    </row>
    <row r="38">
      <c r="A38" s="14">
        <f>IF(OR(NOT(ISNUMBER(Ввод!$B$5)),NOT(ISNUMBER(Ввод!$B$6))),"",IF(Ввод!$B$5+36&gt;Ввод!$B$6,"",Ввод!$B$5+36))</f>
        <v/>
      </c>
      <c r="B38">
        <f>IF(A38="","",IFERROR(INDEX(Ввод!$B$12:$B$71,MATCH(A38,Ввод!$D$12:$D$71,1)),""))</f>
        <v/>
      </c>
      <c r="C38">
        <f>IF(A38="","",DATE(YEAR(A38),12,31)-DATE(YEAR(A38),1,1)+1)</f>
        <v/>
      </c>
      <c r="D38">
        <f>IF(A38="","",Ввод!$B$4-SUMIF(Оплаты!$A$6:$A$505,"&lt;"&amp;A38,Оплаты!$B$6:$B$505))</f>
        <v/>
      </c>
      <c r="E38">
        <f>IF(A38="","",IF(SUMPRODUCT((Ввод!$F$12:$F$31&lt;&gt;"")*(Ввод!$F$12:$F$31&lt;=A38)*(Ввод!$G$12:$G$31&gt;=A38))&gt;0,1,0))</f>
        <v/>
      </c>
      <c r="F38">
        <f>IF(OR(A38="",B38=""),"",IF(E38=1,0,D38*B38/100/C38))</f>
        <v/>
      </c>
      <c r="G38">
        <f>IF(A38="","",IF(OR(B38&lt;&gt;B37,C38&lt;&gt;C37,D38&lt;&gt;D37,E38&lt;&gt;E37),G37+1,G37))</f>
        <v/>
      </c>
    </row>
    <row r="39">
      <c r="A39" s="14">
        <f>IF(OR(NOT(ISNUMBER(Ввод!$B$5)),NOT(ISNUMBER(Ввод!$B$6))),"",IF(Ввод!$B$5+37&gt;Ввод!$B$6,"",Ввод!$B$5+37))</f>
        <v/>
      </c>
      <c r="B39">
        <f>IF(A39="","",IFERROR(INDEX(Ввод!$B$12:$B$71,MATCH(A39,Ввод!$D$12:$D$71,1)),""))</f>
        <v/>
      </c>
      <c r="C39">
        <f>IF(A39="","",DATE(YEAR(A39),12,31)-DATE(YEAR(A39),1,1)+1)</f>
        <v/>
      </c>
      <c r="D39">
        <f>IF(A39="","",Ввод!$B$4-SUMIF(Оплаты!$A$6:$A$505,"&lt;"&amp;A39,Оплаты!$B$6:$B$505))</f>
        <v/>
      </c>
      <c r="E39">
        <f>IF(A39="","",IF(SUMPRODUCT((Ввод!$F$12:$F$31&lt;&gt;"")*(Ввод!$F$12:$F$31&lt;=A39)*(Ввод!$G$12:$G$31&gt;=A39))&gt;0,1,0))</f>
        <v/>
      </c>
      <c r="F39">
        <f>IF(OR(A39="",B39=""),"",IF(E39=1,0,D39*B39/100/C39))</f>
        <v/>
      </c>
      <c r="G39">
        <f>IF(A39="","",IF(OR(B39&lt;&gt;B38,C39&lt;&gt;C38,D39&lt;&gt;D38,E39&lt;&gt;E38),G38+1,G38))</f>
        <v/>
      </c>
    </row>
    <row r="40">
      <c r="A40" s="14">
        <f>IF(OR(NOT(ISNUMBER(Ввод!$B$5)),NOT(ISNUMBER(Ввод!$B$6))),"",IF(Ввод!$B$5+38&gt;Ввод!$B$6,"",Ввод!$B$5+38))</f>
        <v/>
      </c>
      <c r="B40">
        <f>IF(A40="","",IFERROR(INDEX(Ввод!$B$12:$B$71,MATCH(A40,Ввод!$D$12:$D$71,1)),""))</f>
        <v/>
      </c>
      <c r="C40">
        <f>IF(A40="","",DATE(YEAR(A40),12,31)-DATE(YEAR(A40),1,1)+1)</f>
        <v/>
      </c>
      <c r="D40">
        <f>IF(A40="","",Ввод!$B$4-SUMIF(Оплаты!$A$6:$A$505,"&lt;"&amp;A40,Оплаты!$B$6:$B$505))</f>
        <v/>
      </c>
      <c r="E40">
        <f>IF(A40="","",IF(SUMPRODUCT((Ввод!$F$12:$F$31&lt;&gt;"")*(Ввод!$F$12:$F$31&lt;=A40)*(Ввод!$G$12:$G$31&gt;=A40))&gt;0,1,0))</f>
        <v/>
      </c>
      <c r="F40">
        <f>IF(OR(A40="",B40=""),"",IF(E40=1,0,D40*B40/100/C40))</f>
        <v/>
      </c>
      <c r="G40">
        <f>IF(A40="","",IF(OR(B40&lt;&gt;B39,C40&lt;&gt;C39,D40&lt;&gt;D39,E40&lt;&gt;E39),G39+1,G39))</f>
        <v/>
      </c>
    </row>
    <row r="41">
      <c r="A41" s="14">
        <f>IF(OR(NOT(ISNUMBER(Ввод!$B$5)),NOT(ISNUMBER(Ввод!$B$6))),"",IF(Ввод!$B$5+39&gt;Ввод!$B$6,"",Ввод!$B$5+39))</f>
        <v/>
      </c>
      <c r="B41">
        <f>IF(A41="","",IFERROR(INDEX(Ввод!$B$12:$B$71,MATCH(A41,Ввод!$D$12:$D$71,1)),""))</f>
        <v/>
      </c>
      <c r="C41">
        <f>IF(A41="","",DATE(YEAR(A41),12,31)-DATE(YEAR(A41),1,1)+1)</f>
        <v/>
      </c>
      <c r="D41">
        <f>IF(A41="","",Ввод!$B$4-SUMIF(Оплаты!$A$6:$A$505,"&lt;"&amp;A41,Оплаты!$B$6:$B$505))</f>
        <v/>
      </c>
      <c r="E41">
        <f>IF(A41="","",IF(SUMPRODUCT((Ввод!$F$12:$F$31&lt;&gt;"")*(Ввод!$F$12:$F$31&lt;=A41)*(Ввод!$G$12:$G$31&gt;=A41))&gt;0,1,0))</f>
        <v/>
      </c>
      <c r="F41">
        <f>IF(OR(A41="",B41=""),"",IF(E41=1,0,D41*B41/100/C41))</f>
        <v/>
      </c>
      <c r="G41">
        <f>IF(A41="","",IF(OR(B41&lt;&gt;B40,C41&lt;&gt;C40,D41&lt;&gt;D40,E41&lt;&gt;E40),G40+1,G40))</f>
        <v/>
      </c>
    </row>
    <row r="42">
      <c r="A42" s="14">
        <f>IF(OR(NOT(ISNUMBER(Ввод!$B$5)),NOT(ISNUMBER(Ввод!$B$6))),"",IF(Ввод!$B$5+40&gt;Ввод!$B$6,"",Ввод!$B$5+40))</f>
        <v/>
      </c>
      <c r="B42">
        <f>IF(A42="","",IFERROR(INDEX(Ввод!$B$12:$B$71,MATCH(A42,Ввод!$D$12:$D$71,1)),""))</f>
        <v/>
      </c>
      <c r="C42">
        <f>IF(A42="","",DATE(YEAR(A42),12,31)-DATE(YEAR(A42),1,1)+1)</f>
        <v/>
      </c>
      <c r="D42">
        <f>IF(A42="","",Ввод!$B$4-SUMIF(Оплаты!$A$6:$A$505,"&lt;"&amp;A42,Оплаты!$B$6:$B$505))</f>
        <v/>
      </c>
      <c r="E42">
        <f>IF(A42="","",IF(SUMPRODUCT((Ввод!$F$12:$F$31&lt;&gt;"")*(Ввод!$F$12:$F$31&lt;=A42)*(Ввод!$G$12:$G$31&gt;=A42))&gt;0,1,0))</f>
        <v/>
      </c>
      <c r="F42">
        <f>IF(OR(A42="",B42=""),"",IF(E42=1,0,D42*B42/100/C42))</f>
        <v/>
      </c>
      <c r="G42">
        <f>IF(A42="","",IF(OR(B42&lt;&gt;B41,C42&lt;&gt;C41,D42&lt;&gt;D41,E42&lt;&gt;E41),G41+1,G41))</f>
        <v/>
      </c>
    </row>
    <row r="43">
      <c r="A43" s="14">
        <f>IF(OR(NOT(ISNUMBER(Ввод!$B$5)),NOT(ISNUMBER(Ввод!$B$6))),"",IF(Ввод!$B$5+41&gt;Ввод!$B$6,"",Ввод!$B$5+41))</f>
        <v/>
      </c>
      <c r="B43">
        <f>IF(A43="","",IFERROR(INDEX(Ввод!$B$12:$B$71,MATCH(A43,Ввод!$D$12:$D$71,1)),""))</f>
        <v/>
      </c>
      <c r="C43">
        <f>IF(A43="","",DATE(YEAR(A43),12,31)-DATE(YEAR(A43),1,1)+1)</f>
        <v/>
      </c>
      <c r="D43">
        <f>IF(A43="","",Ввод!$B$4-SUMIF(Оплаты!$A$6:$A$505,"&lt;"&amp;A43,Оплаты!$B$6:$B$505))</f>
        <v/>
      </c>
      <c r="E43">
        <f>IF(A43="","",IF(SUMPRODUCT((Ввод!$F$12:$F$31&lt;&gt;"")*(Ввод!$F$12:$F$31&lt;=A43)*(Ввод!$G$12:$G$31&gt;=A43))&gt;0,1,0))</f>
        <v/>
      </c>
      <c r="F43">
        <f>IF(OR(A43="",B43=""),"",IF(E43=1,0,D43*B43/100/C43))</f>
        <v/>
      </c>
      <c r="G43">
        <f>IF(A43="","",IF(OR(B43&lt;&gt;B42,C43&lt;&gt;C42,D43&lt;&gt;D42,E43&lt;&gt;E42),G42+1,G42))</f>
        <v/>
      </c>
    </row>
    <row r="44">
      <c r="A44" s="14">
        <f>IF(OR(NOT(ISNUMBER(Ввод!$B$5)),NOT(ISNUMBER(Ввод!$B$6))),"",IF(Ввод!$B$5+42&gt;Ввод!$B$6,"",Ввод!$B$5+42))</f>
        <v/>
      </c>
      <c r="B44">
        <f>IF(A44="","",IFERROR(INDEX(Ввод!$B$12:$B$71,MATCH(A44,Ввод!$D$12:$D$71,1)),""))</f>
        <v/>
      </c>
      <c r="C44">
        <f>IF(A44="","",DATE(YEAR(A44),12,31)-DATE(YEAR(A44),1,1)+1)</f>
        <v/>
      </c>
      <c r="D44">
        <f>IF(A44="","",Ввод!$B$4-SUMIF(Оплаты!$A$6:$A$505,"&lt;"&amp;A44,Оплаты!$B$6:$B$505))</f>
        <v/>
      </c>
      <c r="E44">
        <f>IF(A44="","",IF(SUMPRODUCT((Ввод!$F$12:$F$31&lt;&gt;"")*(Ввод!$F$12:$F$31&lt;=A44)*(Ввод!$G$12:$G$31&gt;=A44))&gt;0,1,0))</f>
        <v/>
      </c>
      <c r="F44">
        <f>IF(OR(A44="",B44=""),"",IF(E44=1,0,D44*B44/100/C44))</f>
        <v/>
      </c>
      <c r="G44">
        <f>IF(A44="","",IF(OR(B44&lt;&gt;B43,C44&lt;&gt;C43,D44&lt;&gt;D43,E44&lt;&gt;E43),G43+1,G43))</f>
        <v/>
      </c>
    </row>
    <row r="45">
      <c r="A45" s="14">
        <f>IF(OR(NOT(ISNUMBER(Ввод!$B$5)),NOT(ISNUMBER(Ввод!$B$6))),"",IF(Ввод!$B$5+43&gt;Ввод!$B$6,"",Ввод!$B$5+43))</f>
        <v/>
      </c>
      <c r="B45">
        <f>IF(A45="","",IFERROR(INDEX(Ввод!$B$12:$B$71,MATCH(A45,Ввод!$D$12:$D$71,1)),""))</f>
        <v/>
      </c>
      <c r="C45">
        <f>IF(A45="","",DATE(YEAR(A45),12,31)-DATE(YEAR(A45),1,1)+1)</f>
        <v/>
      </c>
      <c r="D45">
        <f>IF(A45="","",Ввод!$B$4-SUMIF(Оплаты!$A$6:$A$505,"&lt;"&amp;A45,Оплаты!$B$6:$B$505))</f>
        <v/>
      </c>
      <c r="E45">
        <f>IF(A45="","",IF(SUMPRODUCT((Ввод!$F$12:$F$31&lt;&gt;"")*(Ввод!$F$12:$F$31&lt;=A45)*(Ввод!$G$12:$G$31&gt;=A45))&gt;0,1,0))</f>
        <v/>
      </c>
      <c r="F45">
        <f>IF(OR(A45="",B45=""),"",IF(E45=1,0,D45*B45/100/C45))</f>
        <v/>
      </c>
      <c r="G45">
        <f>IF(A45="","",IF(OR(B45&lt;&gt;B44,C45&lt;&gt;C44,D45&lt;&gt;D44,E45&lt;&gt;E44),G44+1,G44))</f>
        <v/>
      </c>
    </row>
    <row r="46">
      <c r="A46" s="14">
        <f>IF(OR(NOT(ISNUMBER(Ввод!$B$5)),NOT(ISNUMBER(Ввод!$B$6))),"",IF(Ввод!$B$5+44&gt;Ввод!$B$6,"",Ввод!$B$5+44))</f>
        <v/>
      </c>
      <c r="B46">
        <f>IF(A46="","",IFERROR(INDEX(Ввод!$B$12:$B$71,MATCH(A46,Ввод!$D$12:$D$71,1)),""))</f>
        <v/>
      </c>
      <c r="C46">
        <f>IF(A46="","",DATE(YEAR(A46),12,31)-DATE(YEAR(A46),1,1)+1)</f>
        <v/>
      </c>
      <c r="D46">
        <f>IF(A46="","",Ввод!$B$4-SUMIF(Оплаты!$A$6:$A$505,"&lt;"&amp;A46,Оплаты!$B$6:$B$505))</f>
        <v/>
      </c>
      <c r="E46">
        <f>IF(A46="","",IF(SUMPRODUCT((Ввод!$F$12:$F$31&lt;&gt;"")*(Ввод!$F$12:$F$31&lt;=A46)*(Ввод!$G$12:$G$31&gt;=A46))&gt;0,1,0))</f>
        <v/>
      </c>
      <c r="F46">
        <f>IF(OR(A46="",B46=""),"",IF(E46=1,0,D46*B46/100/C46))</f>
        <v/>
      </c>
      <c r="G46">
        <f>IF(A46="","",IF(OR(B46&lt;&gt;B45,C46&lt;&gt;C45,D46&lt;&gt;D45,E46&lt;&gt;E45),G45+1,G45))</f>
        <v/>
      </c>
    </row>
    <row r="47">
      <c r="A47" s="14">
        <f>IF(OR(NOT(ISNUMBER(Ввод!$B$5)),NOT(ISNUMBER(Ввод!$B$6))),"",IF(Ввод!$B$5+45&gt;Ввод!$B$6,"",Ввод!$B$5+45))</f>
        <v/>
      </c>
      <c r="B47">
        <f>IF(A47="","",IFERROR(INDEX(Ввод!$B$12:$B$71,MATCH(A47,Ввод!$D$12:$D$71,1)),""))</f>
        <v/>
      </c>
      <c r="C47">
        <f>IF(A47="","",DATE(YEAR(A47),12,31)-DATE(YEAR(A47),1,1)+1)</f>
        <v/>
      </c>
      <c r="D47">
        <f>IF(A47="","",Ввод!$B$4-SUMIF(Оплаты!$A$6:$A$505,"&lt;"&amp;A47,Оплаты!$B$6:$B$505))</f>
        <v/>
      </c>
      <c r="E47">
        <f>IF(A47="","",IF(SUMPRODUCT((Ввод!$F$12:$F$31&lt;&gt;"")*(Ввод!$F$12:$F$31&lt;=A47)*(Ввод!$G$12:$G$31&gt;=A47))&gt;0,1,0))</f>
        <v/>
      </c>
      <c r="F47">
        <f>IF(OR(A47="",B47=""),"",IF(E47=1,0,D47*B47/100/C47))</f>
        <v/>
      </c>
      <c r="G47">
        <f>IF(A47="","",IF(OR(B47&lt;&gt;B46,C47&lt;&gt;C46,D47&lt;&gt;D46,E47&lt;&gt;E46),G46+1,G46))</f>
        <v/>
      </c>
    </row>
    <row r="48">
      <c r="A48" s="14">
        <f>IF(OR(NOT(ISNUMBER(Ввод!$B$5)),NOT(ISNUMBER(Ввод!$B$6))),"",IF(Ввод!$B$5+46&gt;Ввод!$B$6,"",Ввод!$B$5+46))</f>
        <v/>
      </c>
      <c r="B48">
        <f>IF(A48="","",IFERROR(INDEX(Ввод!$B$12:$B$71,MATCH(A48,Ввод!$D$12:$D$71,1)),""))</f>
        <v/>
      </c>
      <c r="C48">
        <f>IF(A48="","",DATE(YEAR(A48),12,31)-DATE(YEAR(A48),1,1)+1)</f>
        <v/>
      </c>
      <c r="D48">
        <f>IF(A48="","",Ввод!$B$4-SUMIF(Оплаты!$A$6:$A$505,"&lt;"&amp;A48,Оплаты!$B$6:$B$505))</f>
        <v/>
      </c>
      <c r="E48">
        <f>IF(A48="","",IF(SUMPRODUCT((Ввод!$F$12:$F$31&lt;&gt;"")*(Ввод!$F$12:$F$31&lt;=A48)*(Ввод!$G$12:$G$31&gt;=A48))&gt;0,1,0))</f>
        <v/>
      </c>
      <c r="F48">
        <f>IF(OR(A48="",B48=""),"",IF(E48=1,0,D48*B48/100/C48))</f>
        <v/>
      </c>
      <c r="G48">
        <f>IF(A48="","",IF(OR(B48&lt;&gt;B47,C48&lt;&gt;C47,D48&lt;&gt;D47,E48&lt;&gt;E47),G47+1,G47))</f>
        <v/>
      </c>
    </row>
    <row r="49">
      <c r="A49" s="14">
        <f>IF(OR(NOT(ISNUMBER(Ввод!$B$5)),NOT(ISNUMBER(Ввод!$B$6))),"",IF(Ввод!$B$5+47&gt;Ввод!$B$6,"",Ввод!$B$5+47))</f>
        <v/>
      </c>
      <c r="B49">
        <f>IF(A49="","",IFERROR(INDEX(Ввод!$B$12:$B$71,MATCH(A49,Ввод!$D$12:$D$71,1)),""))</f>
        <v/>
      </c>
      <c r="C49">
        <f>IF(A49="","",DATE(YEAR(A49),12,31)-DATE(YEAR(A49),1,1)+1)</f>
        <v/>
      </c>
      <c r="D49">
        <f>IF(A49="","",Ввод!$B$4-SUMIF(Оплаты!$A$6:$A$505,"&lt;"&amp;A49,Оплаты!$B$6:$B$505))</f>
        <v/>
      </c>
      <c r="E49">
        <f>IF(A49="","",IF(SUMPRODUCT((Ввод!$F$12:$F$31&lt;&gt;"")*(Ввод!$F$12:$F$31&lt;=A49)*(Ввод!$G$12:$G$31&gt;=A49))&gt;0,1,0))</f>
        <v/>
      </c>
      <c r="F49">
        <f>IF(OR(A49="",B49=""),"",IF(E49=1,0,D49*B49/100/C49))</f>
        <v/>
      </c>
      <c r="G49">
        <f>IF(A49="","",IF(OR(B49&lt;&gt;B48,C49&lt;&gt;C48,D49&lt;&gt;D48,E49&lt;&gt;E48),G48+1,G48))</f>
        <v/>
      </c>
    </row>
    <row r="50">
      <c r="A50" s="14">
        <f>IF(OR(NOT(ISNUMBER(Ввод!$B$5)),NOT(ISNUMBER(Ввод!$B$6))),"",IF(Ввод!$B$5+48&gt;Ввод!$B$6,"",Ввод!$B$5+48))</f>
        <v/>
      </c>
      <c r="B50">
        <f>IF(A50="","",IFERROR(INDEX(Ввод!$B$12:$B$71,MATCH(A50,Ввод!$D$12:$D$71,1)),""))</f>
        <v/>
      </c>
      <c r="C50">
        <f>IF(A50="","",DATE(YEAR(A50),12,31)-DATE(YEAR(A50),1,1)+1)</f>
        <v/>
      </c>
      <c r="D50">
        <f>IF(A50="","",Ввод!$B$4-SUMIF(Оплаты!$A$6:$A$505,"&lt;"&amp;A50,Оплаты!$B$6:$B$505))</f>
        <v/>
      </c>
      <c r="E50">
        <f>IF(A50="","",IF(SUMPRODUCT((Ввод!$F$12:$F$31&lt;&gt;"")*(Ввод!$F$12:$F$31&lt;=A50)*(Ввод!$G$12:$G$31&gt;=A50))&gt;0,1,0))</f>
        <v/>
      </c>
      <c r="F50">
        <f>IF(OR(A50="",B50=""),"",IF(E50=1,0,D50*B50/100/C50))</f>
        <v/>
      </c>
      <c r="G50">
        <f>IF(A50="","",IF(OR(B50&lt;&gt;B49,C50&lt;&gt;C49,D50&lt;&gt;D49,E50&lt;&gt;E49),G49+1,G49))</f>
        <v/>
      </c>
    </row>
    <row r="51">
      <c r="A51" s="14">
        <f>IF(OR(NOT(ISNUMBER(Ввод!$B$5)),NOT(ISNUMBER(Ввод!$B$6))),"",IF(Ввод!$B$5+49&gt;Ввод!$B$6,"",Ввод!$B$5+49))</f>
        <v/>
      </c>
      <c r="B51">
        <f>IF(A51="","",IFERROR(INDEX(Ввод!$B$12:$B$71,MATCH(A51,Ввод!$D$12:$D$71,1)),""))</f>
        <v/>
      </c>
      <c r="C51">
        <f>IF(A51="","",DATE(YEAR(A51),12,31)-DATE(YEAR(A51),1,1)+1)</f>
        <v/>
      </c>
      <c r="D51">
        <f>IF(A51="","",Ввод!$B$4-SUMIF(Оплаты!$A$6:$A$505,"&lt;"&amp;A51,Оплаты!$B$6:$B$505))</f>
        <v/>
      </c>
      <c r="E51">
        <f>IF(A51="","",IF(SUMPRODUCT((Ввод!$F$12:$F$31&lt;&gt;"")*(Ввод!$F$12:$F$31&lt;=A51)*(Ввод!$G$12:$G$31&gt;=A51))&gt;0,1,0))</f>
        <v/>
      </c>
      <c r="F51">
        <f>IF(OR(A51="",B51=""),"",IF(E51=1,0,D51*B51/100/C51))</f>
        <v/>
      </c>
      <c r="G51">
        <f>IF(A51="","",IF(OR(B51&lt;&gt;B50,C51&lt;&gt;C50,D51&lt;&gt;D50,E51&lt;&gt;E50),G50+1,G50))</f>
        <v/>
      </c>
    </row>
    <row r="52">
      <c r="A52" s="14">
        <f>IF(OR(NOT(ISNUMBER(Ввод!$B$5)),NOT(ISNUMBER(Ввод!$B$6))),"",IF(Ввод!$B$5+50&gt;Ввод!$B$6,"",Ввод!$B$5+50))</f>
        <v/>
      </c>
      <c r="B52">
        <f>IF(A52="","",IFERROR(INDEX(Ввод!$B$12:$B$71,MATCH(A52,Ввод!$D$12:$D$71,1)),""))</f>
        <v/>
      </c>
      <c r="C52">
        <f>IF(A52="","",DATE(YEAR(A52),12,31)-DATE(YEAR(A52),1,1)+1)</f>
        <v/>
      </c>
      <c r="D52">
        <f>IF(A52="","",Ввод!$B$4-SUMIF(Оплаты!$A$6:$A$505,"&lt;"&amp;A52,Оплаты!$B$6:$B$505))</f>
        <v/>
      </c>
      <c r="E52">
        <f>IF(A52="","",IF(SUMPRODUCT((Ввод!$F$12:$F$31&lt;&gt;"")*(Ввод!$F$12:$F$31&lt;=A52)*(Ввод!$G$12:$G$31&gt;=A52))&gt;0,1,0))</f>
        <v/>
      </c>
      <c r="F52">
        <f>IF(OR(A52="",B52=""),"",IF(E52=1,0,D52*B52/100/C52))</f>
        <v/>
      </c>
      <c r="G52">
        <f>IF(A52="","",IF(OR(B52&lt;&gt;B51,C52&lt;&gt;C51,D52&lt;&gt;D51,E52&lt;&gt;E51),G51+1,G51))</f>
        <v/>
      </c>
    </row>
    <row r="53">
      <c r="A53" s="14">
        <f>IF(OR(NOT(ISNUMBER(Ввод!$B$5)),NOT(ISNUMBER(Ввод!$B$6))),"",IF(Ввод!$B$5+51&gt;Ввод!$B$6,"",Ввод!$B$5+51))</f>
        <v/>
      </c>
      <c r="B53">
        <f>IF(A53="","",IFERROR(INDEX(Ввод!$B$12:$B$71,MATCH(A53,Ввод!$D$12:$D$71,1)),""))</f>
        <v/>
      </c>
      <c r="C53">
        <f>IF(A53="","",DATE(YEAR(A53),12,31)-DATE(YEAR(A53),1,1)+1)</f>
        <v/>
      </c>
      <c r="D53">
        <f>IF(A53="","",Ввод!$B$4-SUMIF(Оплаты!$A$6:$A$505,"&lt;"&amp;A53,Оплаты!$B$6:$B$505))</f>
        <v/>
      </c>
      <c r="E53">
        <f>IF(A53="","",IF(SUMPRODUCT((Ввод!$F$12:$F$31&lt;&gt;"")*(Ввод!$F$12:$F$31&lt;=A53)*(Ввод!$G$12:$G$31&gt;=A53))&gt;0,1,0))</f>
        <v/>
      </c>
      <c r="F53">
        <f>IF(OR(A53="",B53=""),"",IF(E53=1,0,D53*B53/100/C53))</f>
        <v/>
      </c>
      <c r="G53">
        <f>IF(A53="","",IF(OR(B53&lt;&gt;B52,C53&lt;&gt;C52,D53&lt;&gt;D52,E53&lt;&gt;E52),G52+1,G52))</f>
        <v/>
      </c>
    </row>
    <row r="54">
      <c r="A54" s="14">
        <f>IF(OR(NOT(ISNUMBER(Ввод!$B$5)),NOT(ISNUMBER(Ввод!$B$6))),"",IF(Ввод!$B$5+52&gt;Ввод!$B$6,"",Ввод!$B$5+52))</f>
        <v/>
      </c>
      <c r="B54">
        <f>IF(A54="","",IFERROR(INDEX(Ввод!$B$12:$B$71,MATCH(A54,Ввод!$D$12:$D$71,1)),""))</f>
        <v/>
      </c>
      <c r="C54">
        <f>IF(A54="","",DATE(YEAR(A54),12,31)-DATE(YEAR(A54),1,1)+1)</f>
        <v/>
      </c>
      <c r="D54">
        <f>IF(A54="","",Ввод!$B$4-SUMIF(Оплаты!$A$6:$A$505,"&lt;"&amp;A54,Оплаты!$B$6:$B$505))</f>
        <v/>
      </c>
      <c r="E54">
        <f>IF(A54="","",IF(SUMPRODUCT((Ввод!$F$12:$F$31&lt;&gt;"")*(Ввод!$F$12:$F$31&lt;=A54)*(Ввод!$G$12:$G$31&gt;=A54))&gt;0,1,0))</f>
        <v/>
      </c>
      <c r="F54">
        <f>IF(OR(A54="",B54=""),"",IF(E54=1,0,D54*B54/100/C54))</f>
        <v/>
      </c>
      <c r="G54">
        <f>IF(A54="","",IF(OR(B54&lt;&gt;B53,C54&lt;&gt;C53,D54&lt;&gt;D53,E54&lt;&gt;E53),G53+1,G53))</f>
        <v/>
      </c>
    </row>
    <row r="55">
      <c r="A55" s="14">
        <f>IF(OR(NOT(ISNUMBER(Ввод!$B$5)),NOT(ISNUMBER(Ввод!$B$6))),"",IF(Ввод!$B$5+53&gt;Ввод!$B$6,"",Ввод!$B$5+53))</f>
        <v/>
      </c>
      <c r="B55">
        <f>IF(A55="","",IFERROR(INDEX(Ввод!$B$12:$B$71,MATCH(A55,Ввод!$D$12:$D$71,1)),""))</f>
        <v/>
      </c>
      <c r="C55">
        <f>IF(A55="","",DATE(YEAR(A55),12,31)-DATE(YEAR(A55),1,1)+1)</f>
        <v/>
      </c>
      <c r="D55">
        <f>IF(A55="","",Ввод!$B$4-SUMIF(Оплаты!$A$6:$A$505,"&lt;"&amp;A55,Оплаты!$B$6:$B$505))</f>
        <v/>
      </c>
      <c r="E55">
        <f>IF(A55="","",IF(SUMPRODUCT((Ввод!$F$12:$F$31&lt;&gt;"")*(Ввод!$F$12:$F$31&lt;=A55)*(Ввод!$G$12:$G$31&gt;=A55))&gt;0,1,0))</f>
        <v/>
      </c>
      <c r="F55">
        <f>IF(OR(A55="",B55=""),"",IF(E55=1,0,D55*B55/100/C55))</f>
        <v/>
      </c>
      <c r="G55">
        <f>IF(A55="","",IF(OR(B55&lt;&gt;B54,C55&lt;&gt;C54,D55&lt;&gt;D54,E55&lt;&gt;E54),G54+1,G54))</f>
        <v/>
      </c>
    </row>
    <row r="56">
      <c r="A56" s="14">
        <f>IF(OR(NOT(ISNUMBER(Ввод!$B$5)),NOT(ISNUMBER(Ввод!$B$6))),"",IF(Ввод!$B$5+54&gt;Ввод!$B$6,"",Ввод!$B$5+54))</f>
        <v/>
      </c>
      <c r="B56">
        <f>IF(A56="","",IFERROR(INDEX(Ввод!$B$12:$B$71,MATCH(A56,Ввод!$D$12:$D$71,1)),""))</f>
        <v/>
      </c>
      <c r="C56">
        <f>IF(A56="","",DATE(YEAR(A56),12,31)-DATE(YEAR(A56),1,1)+1)</f>
        <v/>
      </c>
      <c r="D56">
        <f>IF(A56="","",Ввод!$B$4-SUMIF(Оплаты!$A$6:$A$505,"&lt;"&amp;A56,Оплаты!$B$6:$B$505))</f>
        <v/>
      </c>
      <c r="E56">
        <f>IF(A56="","",IF(SUMPRODUCT((Ввод!$F$12:$F$31&lt;&gt;"")*(Ввод!$F$12:$F$31&lt;=A56)*(Ввод!$G$12:$G$31&gt;=A56))&gt;0,1,0))</f>
        <v/>
      </c>
      <c r="F56">
        <f>IF(OR(A56="",B56=""),"",IF(E56=1,0,D56*B56/100/C56))</f>
        <v/>
      </c>
      <c r="G56">
        <f>IF(A56="","",IF(OR(B56&lt;&gt;B55,C56&lt;&gt;C55,D56&lt;&gt;D55,E56&lt;&gt;E55),G55+1,G55))</f>
        <v/>
      </c>
    </row>
    <row r="57">
      <c r="A57" s="14">
        <f>IF(OR(NOT(ISNUMBER(Ввод!$B$5)),NOT(ISNUMBER(Ввод!$B$6))),"",IF(Ввод!$B$5+55&gt;Ввод!$B$6,"",Ввод!$B$5+55))</f>
        <v/>
      </c>
      <c r="B57">
        <f>IF(A57="","",IFERROR(INDEX(Ввод!$B$12:$B$71,MATCH(A57,Ввод!$D$12:$D$71,1)),""))</f>
        <v/>
      </c>
      <c r="C57">
        <f>IF(A57="","",DATE(YEAR(A57),12,31)-DATE(YEAR(A57),1,1)+1)</f>
        <v/>
      </c>
      <c r="D57">
        <f>IF(A57="","",Ввод!$B$4-SUMIF(Оплаты!$A$6:$A$505,"&lt;"&amp;A57,Оплаты!$B$6:$B$505))</f>
        <v/>
      </c>
      <c r="E57">
        <f>IF(A57="","",IF(SUMPRODUCT((Ввод!$F$12:$F$31&lt;&gt;"")*(Ввод!$F$12:$F$31&lt;=A57)*(Ввод!$G$12:$G$31&gt;=A57))&gt;0,1,0))</f>
        <v/>
      </c>
      <c r="F57">
        <f>IF(OR(A57="",B57=""),"",IF(E57=1,0,D57*B57/100/C57))</f>
        <v/>
      </c>
      <c r="G57">
        <f>IF(A57="","",IF(OR(B57&lt;&gt;B56,C57&lt;&gt;C56,D57&lt;&gt;D56,E57&lt;&gt;E56),G56+1,G56))</f>
        <v/>
      </c>
    </row>
    <row r="58">
      <c r="A58" s="14">
        <f>IF(OR(NOT(ISNUMBER(Ввод!$B$5)),NOT(ISNUMBER(Ввод!$B$6))),"",IF(Ввод!$B$5+56&gt;Ввод!$B$6,"",Ввод!$B$5+56))</f>
        <v/>
      </c>
      <c r="B58">
        <f>IF(A58="","",IFERROR(INDEX(Ввод!$B$12:$B$71,MATCH(A58,Ввод!$D$12:$D$71,1)),""))</f>
        <v/>
      </c>
      <c r="C58">
        <f>IF(A58="","",DATE(YEAR(A58),12,31)-DATE(YEAR(A58),1,1)+1)</f>
        <v/>
      </c>
      <c r="D58">
        <f>IF(A58="","",Ввод!$B$4-SUMIF(Оплаты!$A$6:$A$505,"&lt;"&amp;A58,Оплаты!$B$6:$B$505))</f>
        <v/>
      </c>
      <c r="E58">
        <f>IF(A58="","",IF(SUMPRODUCT((Ввод!$F$12:$F$31&lt;&gt;"")*(Ввод!$F$12:$F$31&lt;=A58)*(Ввод!$G$12:$G$31&gt;=A58))&gt;0,1,0))</f>
        <v/>
      </c>
      <c r="F58">
        <f>IF(OR(A58="",B58=""),"",IF(E58=1,0,D58*B58/100/C58))</f>
        <v/>
      </c>
      <c r="G58">
        <f>IF(A58="","",IF(OR(B58&lt;&gt;B57,C58&lt;&gt;C57,D58&lt;&gt;D57,E58&lt;&gt;E57),G57+1,G57))</f>
        <v/>
      </c>
    </row>
    <row r="59">
      <c r="A59" s="14">
        <f>IF(OR(NOT(ISNUMBER(Ввод!$B$5)),NOT(ISNUMBER(Ввод!$B$6))),"",IF(Ввод!$B$5+57&gt;Ввод!$B$6,"",Ввод!$B$5+57))</f>
        <v/>
      </c>
      <c r="B59">
        <f>IF(A59="","",IFERROR(INDEX(Ввод!$B$12:$B$71,MATCH(A59,Ввод!$D$12:$D$71,1)),""))</f>
        <v/>
      </c>
      <c r="C59">
        <f>IF(A59="","",DATE(YEAR(A59),12,31)-DATE(YEAR(A59),1,1)+1)</f>
        <v/>
      </c>
      <c r="D59">
        <f>IF(A59="","",Ввод!$B$4-SUMIF(Оплаты!$A$6:$A$505,"&lt;"&amp;A59,Оплаты!$B$6:$B$505))</f>
        <v/>
      </c>
      <c r="E59">
        <f>IF(A59="","",IF(SUMPRODUCT((Ввод!$F$12:$F$31&lt;&gt;"")*(Ввод!$F$12:$F$31&lt;=A59)*(Ввод!$G$12:$G$31&gt;=A59))&gt;0,1,0))</f>
        <v/>
      </c>
      <c r="F59">
        <f>IF(OR(A59="",B59=""),"",IF(E59=1,0,D59*B59/100/C59))</f>
        <v/>
      </c>
      <c r="G59">
        <f>IF(A59="","",IF(OR(B59&lt;&gt;B58,C59&lt;&gt;C58,D59&lt;&gt;D58,E59&lt;&gt;E58),G58+1,G58))</f>
        <v/>
      </c>
    </row>
    <row r="60">
      <c r="A60" s="14">
        <f>IF(OR(NOT(ISNUMBER(Ввод!$B$5)),NOT(ISNUMBER(Ввод!$B$6))),"",IF(Ввод!$B$5+58&gt;Ввод!$B$6,"",Ввод!$B$5+58))</f>
        <v/>
      </c>
      <c r="B60">
        <f>IF(A60="","",IFERROR(INDEX(Ввод!$B$12:$B$71,MATCH(A60,Ввод!$D$12:$D$71,1)),""))</f>
        <v/>
      </c>
      <c r="C60">
        <f>IF(A60="","",DATE(YEAR(A60),12,31)-DATE(YEAR(A60),1,1)+1)</f>
        <v/>
      </c>
      <c r="D60">
        <f>IF(A60="","",Ввод!$B$4-SUMIF(Оплаты!$A$6:$A$505,"&lt;"&amp;A60,Оплаты!$B$6:$B$505))</f>
        <v/>
      </c>
      <c r="E60">
        <f>IF(A60="","",IF(SUMPRODUCT((Ввод!$F$12:$F$31&lt;&gt;"")*(Ввод!$F$12:$F$31&lt;=A60)*(Ввод!$G$12:$G$31&gt;=A60))&gt;0,1,0))</f>
        <v/>
      </c>
      <c r="F60">
        <f>IF(OR(A60="",B60=""),"",IF(E60=1,0,D60*B60/100/C60))</f>
        <v/>
      </c>
      <c r="G60">
        <f>IF(A60="","",IF(OR(B60&lt;&gt;B59,C60&lt;&gt;C59,D60&lt;&gt;D59,E60&lt;&gt;E59),G59+1,G59))</f>
        <v/>
      </c>
    </row>
    <row r="61">
      <c r="A61" s="14">
        <f>IF(OR(NOT(ISNUMBER(Ввод!$B$5)),NOT(ISNUMBER(Ввод!$B$6))),"",IF(Ввод!$B$5+59&gt;Ввод!$B$6,"",Ввод!$B$5+59))</f>
        <v/>
      </c>
      <c r="B61">
        <f>IF(A61="","",IFERROR(INDEX(Ввод!$B$12:$B$71,MATCH(A61,Ввод!$D$12:$D$71,1)),""))</f>
        <v/>
      </c>
      <c r="C61">
        <f>IF(A61="","",DATE(YEAR(A61),12,31)-DATE(YEAR(A61),1,1)+1)</f>
        <v/>
      </c>
      <c r="D61">
        <f>IF(A61="","",Ввод!$B$4-SUMIF(Оплаты!$A$6:$A$505,"&lt;"&amp;A61,Оплаты!$B$6:$B$505))</f>
        <v/>
      </c>
      <c r="E61">
        <f>IF(A61="","",IF(SUMPRODUCT((Ввод!$F$12:$F$31&lt;&gt;"")*(Ввод!$F$12:$F$31&lt;=A61)*(Ввод!$G$12:$G$31&gt;=A61))&gt;0,1,0))</f>
        <v/>
      </c>
      <c r="F61">
        <f>IF(OR(A61="",B61=""),"",IF(E61=1,0,D61*B61/100/C61))</f>
        <v/>
      </c>
      <c r="G61">
        <f>IF(A61="","",IF(OR(B61&lt;&gt;B60,C61&lt;&gt;C60,D61&lt;&gt;D60,E61&lt;&gt;E60),G60+1,G60))</f>
        <v/>
      </c>
    </row>
    <row r="62">
      <c r="A62" s="14">
        <f>IF(OR(NOT(ISNUMBER(Ввод!$B$5)),NOT(ISNUMBER(Ввод!$B$6))),"",IF(Ввод!$B$5+60&gt;Ввод!$B$6,"",Ввод!$B$5+60))</f>
        <v/>
      </c>
      <c r="B62">
        <f>IF(A62="","",IFERROR(INDEX(Ввод!$B$12:$B$71,MATCH(A62,Ввод!$D$12:$D$71,1)),""))</f>
        <v/>
      </c>
      <c r="C62">
        <f>IF(A62="","",DATE(YEAR(A62),12,31)-DATE(YEAR(A62),1,1)+1)</f>
        <v/>
      </c>
      <c r="D62">
        <f>IF(A62="","",Ввод!$B$4-SUMIF(Оплаты!$A$6:$A$505,"&lt;"&amp;A62,Оплаты!$B$6:$B$505))</f>
        <v/>
      </c>
      <c r="E62">
        <f>IF(A62="","",IF(SUMPRODUCT((Ввод!$F$12:$F$31&lt;&gt;"")*(Ввод!$F$12:$F$31&lt;=A62)*(Ввод!$G$12:$G$31&gt;=A62))&gt;0,1,0))</f>
        <v/>
      </c>
      <c r="F62">
        <f>IF(OR(A62="",B62=""),"",IF(E62=1,0,D62*B62/100/C62))</f>
        <v/>
      </c>
      <c r="G62">
        <f>IF(A62="","",IF(OR(B62&lt;&gt;B61,C62&lt;&gt;C61,D62&lt;&gt;D61,E62&lt;&gt;E61),G61+1,G61))</f>
        <v/>
      </c>
    </row>
    <row r="63">
      <c r="A63" s="14">
        <f>IF(OR(NOT(ISNUMBER(Ввод!$B$5)),NOT(ISNUMBER(Ввод!$B$6))),"",IF(Ввод!$B$5+61&gt;Ввод!$B$6,"",Ввод!$B$5+61))</f>
        <v/>
      </c>
      <c r="B63">
        <f>IF(A63="","",IFERROR(INDEX(Ввод!$B$12:$B$71,MATCH(A63,Ввод!$D$12:$D$71,1)),""))</f>
        <v/>
      </c>
      <c r="C63">
        <f>IF(A63="","",DATE(YEAR(A63),12,31)-DATE(YEAR(A63),1,1)+1)</f>
        <v/>
      </c>
      <c r="D63">
        <f>IF(A63="","",Ввод!$B$4-SUMIF(Оплаты!$A$6:$A$505,"&lt;"&amp;A63,Оплаты!$B$6:$B$505))</f>
        <v/>
      </c>
      <c r="E63">
        <f>IF(A63="","",IF(SUMPRODUCT((Ввод!$F$12:$F$31&lt;&gt;"")*(Ввод!$F$12:$F$31&lt;=A63)*(Ввод!$G$12:$G$31&gt;=A63))&gt;0,1,0))</f>
        <v/>
      </c>
      <c r="F63">
        <f>IF(OR(A63="",B63=""),"",IF(E63=1,0,D63*B63/100/C63))</f>
        <v/>
      </c>
      <c r="G63">
        <f>IF(A63="","",IF(OR(B63&lt;&gt;B62,C63&lt;&gt;C62,D63&lt;&gt;D62,E63&lt;&gt;E62),G62+1,G62))</f>
        <v/>
      </c>
    </row>
    <row r="64">
      <c r="A64" s="14">
        <f>IF(OR(NOT(ISNUMBER(Ввод!$B$5)),NOT(ISNUMBER(Ввод!$B$6))),"",IF(Ввод!$B$5+62&gt;Ввод!$B$6,"",Ввод!$B$5+62))</f>
        <v/>
      </c>
      <c r="B64">
        <f>IF(A64="","",IFERROR(INDEX(Ввод!$B$12:$B$71,MATCH(A64,Ввод!$D$12:$D$71,1)),""))</f>
        <v/>
      </c>
      <c r="C64">
        <f>IF(A64="","",DATE(YEAR(A64),12,31)-DATE(YEAR(A64),1,1)+1)</f>
        <v/>
      </c>
      <c r="D64">
        <f>IF(A64="","",Ввод!$B$4-SUMIF(Оплаты!$A$6:$A$505,"&lt;"&amp;A64,Оплаты!$B$6:$B$505))</f>
        <v/>
      </c>
      <c r="E64">
        <f>IF(A64="","",IF(SUMPRODUCT((Ввод!$F$12:$F$31&lt;&gt;"")*(Ввод!$F$12:$F$31&lt;=A64)*(Ввод!$G$12:$G$31&gt;=A64))&gt;0,1,0))</f>
        <v/>
      </c>
      <c r="F64">
        <f>IF(OR(A64="",B64=""),"",IF(E64=1,0,D64*B64/100/C64))</f>
        <v/>
      </c>
      <c r="G64">
        <f>IF(A64="","",IF(OR(B64&lt;&gt;B63,C64&lt;&gt;C63,D64&lt;&gt;D63,E64&lt;&gt;E63),G63+1,G63))</f>
        <v/>
      </c>
    </row>
    <row r="65">
      <c r="A65" s="14">
        <f>IF(OR(NOT(ISNUMBER(Ввод!$B$5)),NOT(ISNUMBER(Ввод!$B$6))),"",IF(Ввод!$B$5+63&gt;Ввод!$B$6,"",Ввод!$B$5+63))</f>
        <v/>
      </c>
      <c r="B65">
        <f>IF(A65="","",IFERROR(INDEX(Ввод!$B$12:$B$71,MATCH(A65,Ввод!$D$12:$D$71,1)),""))</f>
        <v/>
      </c>
      <c r="C65">
        <f>IF(A65="","",DATE(YEAR(A65),12,31)-DATE(YEAR(A65),1,1)+1)</f>
        <v/>
      </c>
      <c r="D65">
        <f>IF(A65="","",Ввод!$B$4-SUMIF(Оплаты!$A$6:$A$505,"&lt;"&amp;A65,Оплаты!$B$6:$B$505))</f>
        <v/>
      </c>
      <c r="E65">
        <f>IF(A65="","",IF(SUMPRODUCT((Ввод!$F$12:$F$31&lt;&gt;"")*(Ввод!$F$12:$F$31&lt;=A65)*(Ввод!$G$12:$G$31&gt;=A65))&gt;0,1,0))</f>
        <v/>
      </c>
      <c r="F65">
        <f>IF(OR(A65="",B65=""),"",IF(E65=1,0,D65*B65/100/C65))</f>
        <v/>
      </c>
      <c r="G65">
        <f>IF(A65="","",IF(OR(B65&lt;&gt;B64,C65&lt;&gt;C64,D65&lt;&gt;D64,E65&lt;&gt;E64),G64+1,G64))</f>
        <v/>
      </c>
    </row>
    <row r="66">
      <c r="A66" s="14">
        <f>IF(OR(NOT(ISNUMBER(Ввод!$B$5)),NOT(ISNUMBER(Ввод!$B$6))),"",IF(Ввод!$B$5+64&gt;Ввод!$B$6,"",Ввод!$B$5+64))</f>
        <v/>
      </c>
      <c r="B66">
        <f>IF(A66="","",IFERROR(INDEX(Ввод!$B$12:$B$71,MATCH(A66,Ввод!$D$12:$D$71,1)),""))</f>
        <v/>
      </c>
      <c r="C66">
        <f>IF(A66="","",DATE(YEAR(A66),12,31)-DATE(YEAR(A66),1,1)+1)</f>
        <v/>
      </c>
      <c r="D66">
        <f>IF(A66="","",Ввод!$B$4-SUMIF(Оплаты!$A$6:$A$505,"&lt;"&amp;A66,Оплаты!$B$6:$B$505))</f>
        <v/>
      </c>
      <c r="E66">
        <f>IF(A66="","",IF(SUMPRODUCT((Ввод!$F$12:$F$31&lt;&gt;"")*(Ввод!$F$12:$F$31&lt;=A66)*(Ввод!$G$12:$G$31&gt;=A66))&gt;0,1,0))</f>
        <v/>
      </c>
      <c r="F66">
        <f>IF(OR(A66="",B66=""),"",IF(E66=1,0,D66*B66/100/C66))</f>
        <v/>
      </c>
      <c r="G66">
        <f>IF(A66="","",IF(OR(B66&lt;&gt;B65,C66&lt;&gt;C65,D66&lt;&gt;D65,E66&lt;&gt;E65),G65+1,G65))</f>
        <v/>
      </c>
    </row>
    <row r="67">
      <c r="A67" s="14">
        <f>IF(OR(NOT(ISNUMBER(Ввод!$B$5)),NOT(ISNUMBER(Ввод!$B$6))),"",IF(Ввод!$B$5+65&gt;Ввод!$B$6,"",Ввод!$B$5+65))</f>
        <v/>
      </c>
      <c r="B67">
        <f>IF(A67="","",IFERROR(INDEX(Ввод!$B$12:$B$71,MATCH(A67,Ввод!$D$12:$D$71,1)),""))</f>
        <v/>
      </c>
      <c r="C67">
        <f>IF(A67="","",DATE(YEAR(A67),12,31)-DATE(YEAR(A67),1,1)+1)</f>
        <v/>
      </c>
      <c r="D67">
        <f>IF(A67="","",Ввод!$B$4-SUMIF(Оплаты!$A$6:$A$505,"&lt;"&amp;A67,Оплаты!$B$6:$B$505))</f>
        <v/>
      </c>
      <c r="E67">
        <f>IF(A67="","",IF(SUMPRODUCT((Ввод!$F$12:$F$31&lt;&gt;"")*(Ввод!$F$12:$F$31&lt;=A67)*(Ввод!$G$12:$G$31&gt;=A67))&gt;0,1,0))</f>
        <v/>
      </c>
      <c r="F67">
        <f>IF(OR(A67="",B67=""),"",IF(E67=1,0,D67*B67/100/C67))</f>
        <v/>
      </c>
      <c r="G67">
        <f>IF(A67="","",IF(OR(B67&lt;&gt;B66,C67&lt;&gt;C66,D67&lt;&gt;D66,E67&lt;&gt;E66),G66+1,G66))</f>
        <v/>
      </c>
    </row>
    <row r="68">
      <c r="A68" s="14">
        <f>IF(OR(NOT(ISNUMBER(Ввод!$B$5)),NOT(ISNUMBER(Ввод!$B$6))),"",IF(Ввод!$B$5+66&gt;Ввод!$B$6,"",Ввод!$B$5+66))</f>
        <v/>
      </c>
      <c r="B68">
        <f>IF(A68="","",IFERROR(INDEX(Ввод!$B$12:$B$71,MATCH(A68,Ввод!$D$12:$D$71,1)),""))</f>
        <v/>
      </c>
      <c r="C68">
        <f>IF(A68="","",DATE(YEAR(A68),12,31)-DATE(YEAR(A68),1,1)+1)</f>
        <v/>
      </c>
      <c r="D68">
        <f>IF(A68="","",Ввод!$B$4-SUMIF(Оплаты!$A$6:$A$505,"&lt;"&amp;A68,Оплаты!$B$6:$B$505))</f>
        <v/>
      </c>
      <c r="E68">
        <f>IF(A68="","",IF(SUMPRODUCT((Ввод!$F$12:$F$31&lt;&gt;"")*(Ввод!$F$12:$F$31&lt;=A68)*(Ввод!$G$12:$G$31&gt;=A68))&gt;0,1,0))</f>
        <v/>
      </c>
      <c r="F68">
        <f>IF(OR(A68="",B68=""),"",IF(E68=1,0,D68*B68/100/C68))</f>
        <v/>
      </c>
      <c r="G68">
        <f>IF(A68="","",IF(OR(B68&lt;&gt;B67,C68&lt;&gt;C67,D68&lt;&gt;D67,E68&lt;&gt;E67),G67+1,G67))</f>
        <v/>
      </c>
    </row>
    <row r="69">
      <c r="A69" s="14">
        <f>IF(OR(NOT(ISNUMBER(Ввод!$B$5)),NOT(ISNUMBER(Ввод!$B$6))),"",IF(Ввод!$B$5+67&gt;Ввод!$B$6,"",Ввод!$B$5+67))</f>
        <v/>
      </c>
      <c r="B69">
        <f>IF(A69="","",IFERROR(INDEX(Ввод!$B$12:$B$71,MATCH(A69,Ввод!$D$12:$D$71,1)),""))</f>
        <v/>
      </c>
      <c r="C69">
        <f>IF(A69="","",DATE(YEAR(A69),12,31)-DATE(YEAR(A69),1,1)+1)</f>
        <v/>
      </c>
      <c r="D69">
        <f>IF(A69="","",Ввод!$B$4-SUMIF(Оплаты!$A$6:$A$505,"&lt;"&amp;A69,Оплаты!$B$6:$B$505))</f>
        <v/>
      </c>
      <c r="E69">
        <f>IF(A69="","",IF(SUMPRODUCT((Ввод!$F$12:$F$31&lt;&gt;"")*(Ввод!$F$12:$F$31&lt;=A69)*(Ввод!$G$12:$G$31&gt;=A69))&gt;0,1,0))</f>
        <v/>
      </c>
      <c r="F69">
        <f>IF(OR(A69="",B69=""),"",IF(E69=1,0,D69*B69/100/C69))</f>
        <v/>
      </c>
      <c r="G69">
        <f>IF(A69="","",IF(OR(B69&lt;&gt;B68,C69&lt;&gt;C68,D69&lt;&gt;D68,E69&lt;&gt;E68),G68+1,G68))</f>
        <v/>
      </c>
    </row>
    <row r="70">
      <c r="A70" s="14">
        <f>IF(OR(NOT(ISNUMBER(Ввод!$B$5)),NOT(ISNUMBER(Ввод!$B$6))),"",IF(Ввод!$B$5+68&gt;Ввод!$B$6,"",Ввод!$B$5+68))</f>
        <v/>
      </c>
      <c r="B70">
        <f>IF(A70="","",IFERROR(INDEX(Ввод!$B$12:$B$71,MATCH(A70,Ввод!$D$12:$D$71,1)),""))</f>
        <v/>
      </c>
      <c r="C70">
        <f>IF(A70="","",DATE(YEAR(A70),12,31)-DATE(YEAR(A70),1,1)+1)</f>
        <v/>
      </c>
      <c r="D70">
        <f>IF(A70="","",Ввод!$B$4-SUMIF(Оплаты!$A$6:$A$505,"&lt;"&amp;A70,Оплаты!$B$6:$B$505))</f>
        <v/>
      </c>
      <c r="E70">
        <f>IF(A70="","",IF(SUMPRODUCT((Ввод!$F$12:$F$31&lt;&gt;"")*(Ввод!$F$12:$F$31&lt;=A70)*(Ввод!$G$12:$G$31&gt;=A70))&gt;0,1,0))</f>
        <v/>
      </c>
      <c r="F70">
        <f>IF(OR(A70="",B70=""),"",IF(E70=1,0,D70*B70/100/C70))</f>
        <v/>
      </c>
      <c r="G70">
        <f>IF(A70="","",IF(OR(B70&lt;&gt;B69,C70&lt;&gt;C69,D70&lt;&gt;D69,E70&lt;&gt;E69),G69+1,G69))</f>
        <v/>
      </c>
    </row>
    <row r="71">
      <c r="A71" s="14">
        <f>IF(OR(NOT(ISNUMBER(Ввод!$B$5)),NOT(ISNUMBER(Ввод!$B$6))),"",IF(Ввод!$B$5+69&gt;Ввод!$B$6,"",Ввод!$B$5+69))</f>
        <v/>
      </c>
      <c r="B71">
        <f>IF(A71="","",IFERROR(INDEX(Ввод!$B$12:$B$71,MATCH(A71,Ввод!$D$12:$D$71,1)),""))</f>
        <v/>
      </c>
      <c r="C71">
        <f>IF(A71="","",DATE(YEAR(A71),12,31)-DATE(YEAR(A71),1,1)+1)</f>
        <v/>
      </c>
      <c r="D71">
        <f>IF(A71="","",Ввод!$B$4-SUMIF(Оплаты!$A$6:$A$505,"&lt;"&amp;A71,Оплаты!$B$6:$B$505))</f>
        <v/>
      </c>
      <c r="E71">
        <f>IF(A71="","",IF(SUMPRODUCT((Ввод!$F$12:$F$31&lt;&gt;"")*(Ввод!$F$12:$F$31&lt;=A71)*(Ввод!$G$12:$G$31&gt;=A71))&gt;0,1,0))</f>
        <v/>
      </c>
      <c r="F71">
        <f>IF(OR(A71="",B71=""),"",IF(E71=1,0,D71*B71/100/C71))</f>
        <v/>
      </c>
      <c r="G71">
        <f>IF(A71="","",IF(OR(B71&lt;&gt;B70,C71&lt;&gt;C70,D71&lt;&gt;D70,E71&lt;&gt;E70),G70+1,G70))</f>
        <v/>
      </c>
    </row>
    <row r="72">
      <c r="A72" s="14">
        <f>IF(OR(NOT(ISNUMBER(Ввод!$B$5)),NOT(ISNUMBER(Ввод!$B$6))),"",IF(Ввод!$B$5+70&gt;Ввод!$B$6,"",Ввод!$B$5+70))</f>
        <v/>
      </c>
      <c r="B72">
        <f>IF(A72="","",IFERROR(INDEX(Ввод!$B$12:$B$71,MATCH(A72,Ввод!$D$12:$D$71,1)),""))</f>
        <v/>
      </c>
      <c r="C72">
        <f>IF(A72="","",DATE(YEAR(A72),12,31)-DATE(YEAR(A72),1,1)+1)</f>
        <v/>
      </c>
      <c r="D72">
        <f>IF(A72="","",Ввод!$B$4-SUMIF(Оплаты!$A$6:$A$505,"&lt;"&amp;A72,Оплаты!$B$6:$B$505))</f>
        <v/>
      </c>
      <c r="E72">
        <f>IF(A72="","",IF(SUMPRODUCT((Ввод!$F$12:$F$31&lt;&gt;"")*(Ввод!$F$12:$F$31&lt;=A72)*(Ввод!$G$12:$G$31&gt;=A72))&gt;0,1,0))</f>
        <v/>
      </c>
      <c r="F72">
        <f>IF(OR(A72="",B72=""),"",IF(E72=1,0,D72*B72/100/C72))</f>
        <v/>
      </c>
      <c r="G72">
        <f>IF(A72="","",IF(OR(B72&lt;&gt;B71,C72&lt;&gt;C71,D72&lt;&gt;D71,E72&lt;&gt;E71),G71+1,G71))</f>
        <v/>
      </c>
    </row>
    <row r="73">
      <c r="A73" s="14">
        <f>IF(OR(NOT(ISNUMBER(Ввод!$B$5)),NOT(ISNUMBER(Ввод!$B$6))),"",IF(Ввод!$B$5+71&gt;Ввод!$B$6,"",Ввод!$B$5+71))</f>
        <v/>
      </c>
      <c r="B73">
        <f>IF(A73="","",IFERROR(INDEX(Ввод!$B$12:$B$71,MATCH(A73,Ввод!$D$12:$D$71,1)),""))</f>
        <v/>
      </c>
      <c r="C73">
        <f>IF(A73="","",DATE(YEAR(A73),12,31)-DATE(YEAR(A73),1,1)+1)</f>
        <v/>
      </c>
      <c r="D73">
        <f>IF(A73="","",Ввод!$B$4-SUMIF(Оплаты!$A$6:$A$505,"&lt;"&amp;A73,Оплаты!$B$6:$B$505))</f>
        <v/>
      </c>
      <c r="E73">
        <f>IF(A73="","",IF(SUMPRODUCT((Ввод!$F$12:$F$31&lt;&gt;"")*(Ввод!$F$12:$F$31&lt;=A73)*(Ввод!$G$12:$G$31&gt;=A73))&gt;0,1,0))</f>
        <v/>
      </c>
      <c r="F73">
        <f>IF(OR(A73="",B73=""),"",IF(E73=1,0,D73*B73/100/C73))</f>
        <v/>
      </c>
      <c r="G73">
        <f>IF(A73="","",IF(OR(B73&lt;&gt;B72,C73&lt;&gt;C72,D73&lt;&gt;D72,E73&lt;&gt;E72),G72+1,G72))</f>
        <v/>
      </c>
    </row>
    <row r="74">
      <c r="A74" s="14">
        <f>IF(OR(NOT(ISNUMBER(Ввод!$B$5)),NOT(ISNUMBER(Ввод!$B$6))),"",IF(Ввод!$B$5+72&gt;Ввод!$B$6,"",Ввод!$B$5+72))</f>
        <v/>
      </c>
      <c r="B74">
        <f>IF(A74="","",IFERROR(INDEX(Ввод!$B$12:$B$71,MATCH(A74,Ввод!$D$12:$D$71,1)),""))</f>
        <v/>
      </c>
      <c r="C74">
        <f>IF(A74="","",DATE(YEAR(A74),12,31)-DATE(YEAR(A74),1,1)+1)</f>
        <v/>
      </c>
      <c r="D74">
        <f>IF(A74="","",Ввод!$B$4-SUMIF(Оплаты!$A$6:$A$505,"&lt;"&amp;A74,Оплаты!$B$6:$B$505))</f>
        <v/>
      </c>
      <c r="E74">
        <f>IF(A74="","",IF(SUMPRODUCT((Ввод!$F$12:$F$31&lt;&gt;"")*(Ввод!$F$12:$F$31&lt;=A74)*(Ввод!$G$12:$G$31&gt;=A74))&gt;0,1,0))</f>
        <v/>
      </c>
      <c r="F74">
        <f>IF(OR(A74="",B74=""),"",IF(E74=1,0,D74*B74/100/C74))</f>
        <v/>
      </c>
      <c r="G74">
        <f>IF(A74="","",IF(OR(B74&lt;&gt;B73,C74&lt;&gt;C73,D74&lt;&gt;D73,E74&lt;&gt;E73),G73+1,G73))</f>
        <v/>
      </c>
    </row>
    <row r="75">
      <c r="A75" s="14">
        <f>IF(OR(NOT(ISNUMBER(Ввод!$B$5)),NOT(ISNUMBER(Ввод!$B$6))),"",IF(Ввод!$B$5+73&gt;Ввод!$B$6,"",Ввод!$B$5+73))</f>
        <v/>
      </c>
      <c r="B75">
        <f>IF(A75="","",IFERROR(INDEX(Ввод!$B$12:$B$71,MATCH(A75,Ввод!$D$12:$D$71,1)),""))</f>
        <v/>
      </c>
      <c r="C75">
        <f>IF(A75="","",DATE(YEAR(A75),12,31)-DATE(YEAR(A75),1,1)+1)</f>
        <v/>
      </c>
      <c r="D75">
        <f>IF(A75="","",Ввод!$B$4-SUMIF(Оплаты!$A$6:$A$505,"&lt;"&amp;A75,Оплаты!$B$6:$B$505))</f>
        <v/>
      </c>
      <c r="E75">
        <f>IF(A75="","",IF(SUMPRODUCT((Ввод!$F$12:$F$31&lt;&gt;"")*(Ввод!$F$12:$F$31&lt;=A75)*(Ввод!$G$12:$G$31&gt;=A75))&gt;0,1,0))</f>
        <v/>
      </c>
      <c r="F75">
        <f>IF(OR(A75="",B75=""),"",IF(E75=1,0,D75*B75/100/C75))</f>
        <v/>
      </c>
      <c r="G75">
        <f>IF(A75="","",IF(OR(B75&lt;&gt;B74,C75&lt;&gt;C74,D75&lt;&gt;D74,E75&lt;&gt;E74),G74+1,G74))</f>
        <v/>
      </c>
    </row>
    <row r="76">
      <c r="A76" s="14">
        <f>IF(OR(NOT(ISNUMBER(Ввод!$B$5)),NOT(ISNUMBER(Ввод!$B$6))),"",IF(Ввод!$B$5+74&gt;Ввод!$B$6,"",Ввод!$B$5+74))</f>
        <v/>
      </c>
      <c r="B76">
        <f>IF(A76="","",IFERROR(INDEX(Ввод!$B$12:$B$71,MATCH(A76,Ввод!$D$12:$D$71,1)),""))</f>
        <v/>
      </c>
      <c r="C76">
        <f>IF(A76="","",DATE(YEAR(A76),12,31)-DATE(YEAR(A76),1,1)+1)</f>
        <v/>
      </c>
      <c r="D76">
        <f>IF(A76="","",Ввод!$B$4-SUMIF(Оплаты!$A$6:$A$505,"&lt;"&amp;A76,Оплаты!$B$6:$B$505))</f>
        <v/>
      </c>
      <c r="E76">
        <f>IF(A76="","",IF(SUMPRODUCT((Ввод!$F$12:$F$31&lt;&gt;"")*(Ввод!$F$12:$F$31&lt;=A76)*(Ввод!$G$12:$G$31&gt;=A76))&gt;0,1,0))</f>
        <v/>
      </c>
      <c r="F76">
        <f>IF(OR(A76="",B76=""),"",IF(E76=1,0,D76*B76/100/C76))</f>
        <v/>
      </c>
      <c r="G76">
        <f>IF(A76="","",IF(OR(B76&lt;&gt;B75,C76&lt;&gt;C75,D76&lt;&gt;D75,E76&lt;&gt;E75),G75+1,G75))</f>
        <v/>
      </c>
    </row>
    <row r="77">
      <c r="A77" s="14">
        <f>IF(OR(NOT(ISNUMBER(Ввод!$B$5)),NOT(ISNUMBER(Ввод!$B$6))),"",IF(Ввод!$B$5+75&gt;Ввод!$B$6,"",Ввод!$B$5+75))</f>
        <v/>
      </c>
      <c r="B77">
        <f>IF(A77="","",IFERROR(INDEX(Ввод!$B$12:$B$71,MATCH(A77,Ввод!$D$12:$D$71,1)),""))</f>
        <v/>
      </c>
      <c r="C77">
        <f>IF(A77="","",DATE(YEAR(A77),12,31)-DATE(YEAR(A77),1,1)+1)</f>
        <v/>
      </c>
      <c r="D77">
        <f>IF(A77="","",Ввод!$B$4-SUMIF(Оплаты!$A$6:$A$505,"&lt;"&amp;A77,Оплаты!$B$6:$B$505))</f>
        <v/>
      </c>
      <c r="E77">
        <f>IF(A77="","",IF(SUMPRODUCT((Ввод!$F$12:$F$31&lt;&gt;"")*(Ввод!$F$12:$F$31&lt;=A77)*(Ввод!$G$12:$G$31&gt;=A77))&gt;0,1,0))</f>
        <v/>
      </c>
      <c r="F77">
        <f>IF(OR(A77="",B77=""),"",IF(E77=1,0,D77*B77/100/C77))</f>
        <v/>
      </c>
      <c r="G77">
        <f>IF(A77="","",IF(OR(B77&lt;&gt;B76,C77&lt;&gt;C76,D77&lt;&gt;D76,E77&lt;&gt;E76),G76+1,G76))</f>
        <v/>
      </c>
    </row>
    <row r="78">
      <c r="A78" s="14">
        <f>IF(OR(NOT(ISNUMBER(Ввод!$B$5)),NOT(ISNUMBER(Ввод!$B$6))),"",IF(Ввод!$B$5+76&gt;Ввод!$B$6,"",Ввод!$B$5+76))</f>
        <v/>
      </c>
      <c r="B78">
        <f>IF(A78="","",IFERROR(INDEX(Ввод!$B$12:$B$71,MATCH(A78,Ввод!$D$12:$D$71,1)),""))</f>
        <v/>
      </c>
      <c r="C78">
        <f>IF(A78="","",DATE(YEAR(A78),12,31)-DATE(YEAR(A78),1,1)+1)</f>
        <v/>
      </c>
      <c r="D78">
        <f>IF(A78="","",Ввод!$B$4-SUMIF(Оплаты!$A$6:$A$505,"&lt;"&amp;A78,Оплаты!$B$6:$B$505))</f>
        <v/>
      </c>
      <c r="E78">
        <f>IF(A78="","",IF(SUMPRODUCT((Ввод!$F$12:$F$31&lt;&gt;"")*(Ввод!$F$12:$F$31&lt;=A78)*(Ввод!$G$12:$G$31&gt;=A78))&gt;0,1,0))</f>
        <v/>
      </c>
      <c r="F78">
        <f>IF(OR(A78="",B78=""),"",IF(E78=1,0,D78*B78/100/C78))</f>
        <v/>
      </c>
      <c r="G78">
        <f>IF(A78="","",IF(OR(B78&lt;&gt;B77,C78&lt;&gt;C77,D78&lt;&gt;D77,E78&lt;&gt;E77),G77+1,G77))</f>
        <v/>
      </c>
    </row>
    <row r="79">
      <c r="A79" s="14">
        <f>IF(OR(NOT(ISNUMBER(Ввод!$B$5)),NOT(ISNUMBER(Ввод!$B$6))),"",IF(Ввод!$B$5+77&gt;Ввод!$B$6,"",Ввод!$B$5+77))</f>
        <v/>
      </c>
      <c r="B79">
        <f>IF(A79="","",IFERROR(INDEX(Ввод!$B$12:$B$71,MATCH(A79,Ввод!$D$12:$D$71,1)),""))</f>
        <v/>
      </c>
      <c r="C79">
        <f>IF(A79="","",DATE(YEAR(A79),12,31)-DATE(YEAR(A79),1,1)+1)</f>
        <v/>
      </c>
      <c r="D79">
        <f>IF(A79="","",Ввод!$B$4-SUMIF(Оплаты!$A$6:$A$505,"&lt;"&amp;A79,Оплаты!$B$6:$B$505))</f>
        <v/>
      </c>
      <c r="E79">
        <f>IF(A79="","",IF(SUMPRODUCT((Ввод!$F$12:$F$31&lt;&gt;"")*(Ввод!$F$12:$F$31&lt;=A79)*(Ввод!$G$12:$G$31&gt;=A79))&gt;0,1,0))</f>
        <v/>
      </c>
      <c r="F79">
        <f>IF(OR(A79="",B79=""),"",IF(E79=1,0,D79*B79/100/C79))</f>
        <v/>
      </c>
      <c r="G79">
        <f>IF(A79="","",IF(OR(B79&lt;&gt;B78,C79&lt;&gt;C78,D79&lt;&gt;D78,E79&lt;&gt;E78),G78+1,G78))</f>
        <v/>
      </c>
    </row>
    <row r="80">
      <c r="A80" s="14">
        <f>IF(OR(NOT(ISNUMBER(Ввод!$B$5)),NOT(ISNUMBER(Ввод!$B$6))),"",IF(Ввод!$B$5+78&gt;Ввод!$B$6,"",Ввод!$B$5+78))</f>
        <v/>
      </c>
      <c r="B80">
        <f>IF(A80="","",IFERROR(INDEX(Ввод!$B$12:$B$71,MATCH(A80,Ввод!$D$12:$D$71,1)),""))</f>
        <v/>
      </c>
      <c r="C80">
        <f>IF(A80="","",DATE(YEAR(A80),12,31)-DATE(YEAR(A80),1,1)+1)</f>
        <v/>
      </c>
      <c r="D80">
        <f>IF(A80="","",Ввод!$B$4-SUMIF(Оплаты!$A$6:$A$505,"&lt;"&amp;A80,Оплаты!$B$6:$B$505))</f>
        <v/>
      </c>
      <c r="E80">
        <f>IF(A80="","",IF(SUMPRODUCT((Ввод!$F$12:$F$31&lt;&gt;"")*(Ввод!$F$12:$F$31&lt;=A80)*(Ввод!$G$12:$G$31&gt;=A80))&gt;0,1,0))</f>
        <v/>
      </c>
      <c r="F80">
        <f>IF(OR(A80="",B80=""),"",IF(E80=1,0,D80*B80/100/C80))</f>
        <v/>
      </c>
      <c r="G80">
        <f>IF(A80="","",IF(OR(B80&lt;&gt;B79,C80&lt;&gt;C79,D80&lt;&gt;D79,E80&lt;&gt;E79),G79+1,G79))</f>
        <v/>
      </c>
    </row>
    <row r="81">
      <c r="A81" s="14">
        <f>IF(OR(NOT(ISNUMBER(Ввод!$B$5)),NOT(ISNUMBER(Ввод!$B$6))),"",IF(Ввод!$B$5+79&gt;Ввод!$B$6,"",Ввод!$B$5+79))</f>
        <v/>
      </c>
      <c r="B81">
        <f>IF(A81="","",IFERROR(INDEX(Ввод!$B$12:$B$71,MATCH(A81,Ввод!$D$12:$D$71,1)),""))</f>
        <v/>
      </c>
      <c r="C81">
        <f>IF(A81="","",DATE(YEAR(A81),12,31)-DATE(YEAR(A81),1,1)+1)</f>
        <v/>
      </c>
      <c r="D81">
        <f>IF(A81="","",Ввод!$B$4-SUMIF(Оплаты!$A$6:$A$505,"&lt;"&amp;A81,Оплаты!$B$6:$B$505))</f>
        <v/>
      </c>
      <c r="E81">
        <f>IF(A81="","",IF(SUMPRODUCT((Ввод!$F$12:$F$31&lt;&gt;"")*(Ввод!$F$12:$F$31&lt;=A81)*(Ввод!$G$12:$G$31&gt;=A81))&gt;0,1,0))</f>
        <v/>
      </c>
      <c r="F81">
        <f>IF(OR(A81="",B81=""),"",IF(E81=1,0,D81*B81/100/C81))</f>
        <v/>
      </c>
      <c r="G81">
        <f>IF(A81="","",IF(OR(B81&lt;&gt;B80,C81&lt;&gt;C80,D81&lt;&gt;D80,E81&lt;&gt;E80),G80+1,G80))</f>
        <v/>
      </c>
    </row>
    <row r="82">
      <c r="A82" s="14">
        <f>IF(OR(NOT(ISNUMBER(Ввод!$B$5)),NOT(ISNUMBER(Ввод!$B$6))),"",IF(Ввод!$B$5+80&gt;Ввод!$B$6,"",Ввод!$B$5+80))</f>
        <v/>
      </c>
      <c r="B82">
        <f>IF(A82="","",IFERROR(INDEX(Ввод!$B$12:$B$71,MATCH(A82,Ввод!$D$12:$D$71,1)),""))</f>
        <v/>
      </c>
      <c r="C82">
        <f>IF(A82="","",DATE(YEAR(A82),12,31)-DATE(YEAR(A82),1,1)+1)</f>
        <v/>
      </c>
      <c r="D82">
        <f>IF(A82="","",Ввод!$B$4-SUMIF(Оплаты!$A$6:$A$505,"&lt;"&amp;A82,Оплаты!$B$6:$B$505))</f>
        <v/>
      </c>
      <c r="E82">
        <f>IF(A82="","",IF(SUMPRODUCT((Ввод!$F$12:$F$31&lt;&gt;"")*(Ввод!$F$12:$F$31&lt;=A82)*(Ввод!$G$12:$G$31&gt;=A82))&gt;0,1,0))</f>
        <v/>
      </c>
      <c r="F82">
        <f>IF(OR(A82="",B82=""),"",IF(E82=1,0,D82*B82/100/C82))</f>
        <v/>
      </c>
      <c r="G82">
        <f>IF(A82="","",IF(OR(B82&lt;&gt;B81,C82&lt;&gt;C81,D82&lt;&gt;D81,E82&lt;&gt;E81),G81+1,G81))</f>
        <v/>
      </c>
    </row>
    <row r="83">
      <c r="A83" s="14">
        <f>IF(OR(NOT(ISNUMBER(Ввод!$B$5)),NOT(ISNUMBER(Ввод!$B$6))),"",IF(Ввод!$B$5+81&gt;Ввод!$B$6,"",Ввод!$B$5+81))</f>
        <v/>
      </c>
      <c r="B83">
        <f>IF(A83="","",IFERROR(INDEX(Ввод!$B$12:$B$71,MATCH(A83,Ввод!$D$12:$D$71,1)),""))</f>
        <v/>
      </c>
      <c r="C83">
        <f>IF(A83="","",DATE(YEAR(A83),12,31)-DATE(YEAR(A83),1,1)+1)</f>
        <v/>
      </c>
      <c r="D83">
        <f>IF(A83="","",Ввод!$B$4-SUMIF(Оплаты!$A$6:$A$505,"&lt;"&amp;A83,Оплаты!$B$6:$B$505))</f>
        <v/>
      </c>
      <c r="E83">
        <f>IF(A83="","",IF(SUMPRODUCT((Ввод!$F$12:$F$31&lt;&gt;"")*(Ввод!$F$12:$F$31&lt;=A83)*(Ввод!$G$12:$G$31&gt;=A83))&gt;0,1,0))</f>
        <v/>
      </c>
      <c r="F83">
        <f>IF(OR(A83="",B83=""),"",IF(E83=1,0,D83*B83/100/C83))</f>
        <v/>
      </c>
      <c r="G83">
        <f>IF(A83="","",IF(OR(B83&lt;&gt;B82,C83&lt;&gt;C82,D83&lt;&gt;D82,E83&lt;&gt;E82),G82+1,G82))</f>
        <v/>
      </c>
    </row>
    <row r="84">
      <c r="A84" s="14">
        <f>IF(OR(NOT(ISNUMBER(Ввод!$B$5)),NOT(ISNUMBER(Ввод!$B$6))),"",IF(Ввод!$B$5+82&gt;Ввод!$B$6,"",Ввод!$B$5+82))</f>
        <v/>
      </c>
      <c r="B84">
        <f>IF(A84="","",IFERROR(INDEX(Ввод!$B$12:$B$71,MATCH(A84,Ввод!$D$12:$D$71,1)),""))</f>
        <v/>
      </c>
      <c r="C84">
        <f>IF(A84="","",DATE(YEAR(A84),12,31)-DATE(YEAR(A84),1,1)+1)</f>
        <v/>
      </c>
      <c r="D84">
        <f>IF(A84="","",Ввод!$B$4-SUMIF(Оплаты!$A$6:$A$505,"&lt;"&amp;A84,Оплаты!$B$6:$B$505))</f>
        <v/>
      </c>
      <c r="E84">
        <f>IF(A84="","",IF(SUMPRODUCT((Ввод!$F$12:$F$31&lt;&gt;"")*(Ввод!$F$12:$F$31&lt;=A84)*(Ввод!$G$12:$G$31&gt;=A84))&gt;0,1,0))</f>
        <v/>
      </c>
      <c r="F84">
        <f>IF(OR(A84="",B84=""),"",IF(E84=1,0,D84*B84/100/C84))</f>
        <v/>
      </c>
      <c r="G84">
        <f>IF(A84="","",IF(OR(B84&lt;&gt;B83,C84&lt;&gt;C83,D84&lt;&gt;D83,E84&lt;&gt;E83),G83+1,G83))</f>
        <v/>
      </c>
    </row>
    <row r="85">
      <c r="A85" s="14">
        <f>IF(OR(NOT(ISNUMBER(Ввод!$B$5)),NOT(ISNUMBER(Ввод!$B$6))),"",IF(Ввод!$B$5+83&gt;Ввод!$B$6,"",Ввод!$B$5+83))</f>
        <v/>
      </c>
      <c r="B85">
        <f>IF(A85="","",IFERROR(INDEX(Ввод!$B$12:$B$71,MATCH(A85,Ввод!$D$12:$D$71,1)),""))</f>
        <v/>
      </c>
      <c r="C85">
        <f>IF(A85="","",DATE(YEAR(A85),12,31)-DATE(YEAR(A85),1,1)+1)</f>
        <v/>
      </c>
      <c r="D85">
        <f>IF(A85="","",Ввод!$B$4-SUMIF(Оплаты!$A$6:$A$505,"&lt;"&amp;A85,Оплаты!$B$6:$B$505))</f>
        <v/>
      </c>
      <c r="E85">
        <f>IF(A85="","",IF(SUMPRODUCT((Ввод!$F$12:$F$31&lt;&gt;"")*(Ввод!$F$12:$F$31&lt;=A85)*(Ввод!$G$12:$G$31&gt;=A85))&gt;0,1,0))</f>
        <v/>
      </c>
      <c r="F85">
        <f>IF(OR(A85="",B85=""),"",IF(E85=1,0,D85*B85/100/C85))</f>
        <v/>
      </c>
      <c r="G85">
        <f>IF(A85="","",IF(OR(B85&lt;&gt;B84,C85&lt;&gt;C84,D85&lt;&gt;D84,E85&lt;&gt;E84),G84+1,G84))</f>
        <v/>
      </c>
    </row>
    <row r="86">
      <c r="A86" s="14">
        <f>IF(OR(NOT(ISNUMBER(Ввод!$B$5)),NOT(ISNUMBER(Ввод!$B$6))),"",IF(Ввод!$B$5+84&gt;Ввод!$B$6,"",Ввод!$B$5+84))</f>
        <v/>
      </c>
      <c r="B86">
        <f>IF(A86="","",IFERROR(INDEX(Ввод!$B$12:$B$71,MATCH(A86,Ввод!$D$12:$D$71,1)),""))</f>
        <v/>
      </c>
      <c r="C86">
        <f>IF(A86="","",DATE(YEAR(A86),12,31)-DATE(YEAR(A86),1,1)+1)</f>
        <v/>
      </c>
      <c r="D86">
        <f>IF(A86="","",Ввод!$B$4-SUMIF(Оплаты!$A$6:$A$505,"&lt;"&amp;A86,Оплаты!$B$6:$B$505))</f>
        <v/>
      </c>
      <c r="E86">
        <f>IF(A86="","",IF(SUMPRODUCT((Ввод!$F$12:$F$31&lt;&gt;"")*(Ввод!$F$12:$F$31&lt;=A86)*(Ввод!$G$12:$G$31&gt;=A86))&gt;0,1,0))</f>
        <v/>
      </c>
      <c r="F86">
        <f>IF(OR(A86="",B86=""),"",IF(E86=1,0,D86*B86/100/C86))</f>
        <v/>
      </c>
      <c r="G86">
        <f>IF(A86="","",IF(OR(B86&lt;&gt;B85,C86&lt;&gt;C85,D86&lt;&gt;D85,E86&lt;&gt;E85),G85+1,G85))</f>
        <v/>
      </c>
    </row>
    <row r="87">
      <c r="A87" s="14">
        <f>IF(OR(NOT(ISNUMBER(Ввод!$B$5)),NOT(ISNUMBER(Ввод!$B$6))),"",IF(Ввод!$B$5+85&gt;Ввод!$B$6,"",Ввод!$B$5+85))</f>
        <v/>
      </c>
      <c r="B87">
        <f>IF(A87="","",IFERROR(INDEX(Ввод!$B$12:$B$71,MATCH(A87,Ввод!$D$12:$D$71,1)),""))</f>
        <v/>
      </c>
      <c r="C87">
        <f>IF(A87="","",DATE(YEAR(A87),12,31)-DATE(YEAR(A87),1,1)+1)</f>
        <v/>
      </c>
      <c r="D87">
        <f>IF(A87="","",Ввод!$B$4-SUMIF(Оплаты!$A$6:$A$505,"&lt;"&amp;A87,Оплаты!$B$6:$B$505))</f>
        <v/>
      </c>
      <c r="E87">
        <f>IF(A87="","",IF(SUMPRODUCT((Ввод!$F$12:$F$31&lt;&gt;"")*(Ввод!$F$12:$F$31&lt;=A87)*(Ввод!$G$12:$G$31&gt;=A87))&gt;0,1,0))</f>
        <v/>
      </c>
      <c r="F87">
        <f>IF(OR(A87="",B87=""),"",IF(E87=1,0,D87*B87/100/C87))</f>
        <v/>
      </c>
      <c r="G87">
        <f>IF(A87="","",IF(OR(B87&lt;&gt;B86,C87&lt;&gt;C86,D87&lt;&gt;D86,E87&lt;&gt;E86),G86+1,G86))</f>
        <v/>
      </c>
    </row>
    <row r="88">
      <c r="A88" s="14">
        <f>IF(OR(NOT(ISNUMBER(Ввод!$B$5)),NOT(ISNUMBER(Ввод!$B$6))),"",IF(Ввод!$B$5+86&gt;Ввод!$B$6,"",Ввод!$B$5+86))</f>
        <v/>
      </c>
      <c r="B88">
        <f>IF(A88="","",IFERROR(INDEX(Ввод!$B$12:$B$71,MATCH(A88,Ввод!$D$12:$D$71,1)),""))</f>
        <v/>
      </c>
      <c r="C88">
        <f>IF(A88="","",DATE(YEAR(A88),12,31)-DATE(YEAR(A88),1,1)+1)</f>
        <v/>
      </c>
      <c r="D88">
        <f>IF(A88="","",Ввод!$B$4-SUMIF(Оплаты!$A$6:$A$505,"&lt;"&amp;A88,Оплаты!$B$6:$B$505))</f>
        <v/>
      </c>
      <c r="E88">
        <f>IF(A88="","",IF(SUMPRODUCT((Ввод!$F$12:$F$31&lt;&gt;"")*(Ввод!$F$12:$F$31&lt;=A88)*(Ввод!$G$12:$G$31&gt;=A88))&gt;0,1,0))</f>
        <v/>
      </c>
      <c r="F88">
        <f>IF(OR(A88="",B88=""),"",IF(E88=1,0,D88*B88/100/C88))</f>
        <v/>
      </c>
      <c r="G88">
        <f>IF(A88="","",IF(OR(B88&lt;&gt;B87,C88&lt;&gt;C87,D88&lt;&gt;D87,E88&lt;&gt;E87),G87+1,G87))</f>
        <v/>
      </c>
    </row>
    <row r="89">
      <c r="A89" s="14">
        <f>IF(OR(NOT(ISNUMBER(Ввод!$B$5)),NOT(ISNUMBER(Ввод!$B$6))),"",IF(Ввод!$B$5+87&gt;Ввод!$B$6,"",Ввод!$B$5+87))</f>
        <v/>
      </c>
      <c r="B89">
        <f>IF(A89="","",IFERROR(INDEX(Ввод!$B$12:$B$71,MATCH(A89,Ввод!$D$12:$D$71,1)),""))</f>
        <v/>
      </c>
      <c r="C89">
        <f>IF(A89="","",DATE(YEAR(A89),12,31)-DATE(YEAR(A89),1,1)+1)</f>
        <v/>
      </c>
      <c r="D89">
        <f>IF(A89="","",Ввод!$B$4-SUMIF(Оплаты!$A$6:$A$505,"&lt;"&amp;A89,Оплаты!$B$6:$B$505))</f>
        <v/>
      </c>
      <c r="E89">
        <f>IF(A89="","",IF(SUMPRODUCT((Ввод!$F$12:$F$31&lt;&gt;"")*(Ввод!$F$12:$F$31&lt;=A89)*(Ввод!$G$12:$G$31&gt;=A89))&gt;0,1,0))</f>
        <v/>
      </c>
      <c r="F89">
        <f>IF(OR(A89="",B89=""),"",IF(E89=1,0,D89*B89/100/C89))</f>
        <v/>
      </c>
      <c r="G89">
        <f>IF(A89="","",IF(OR(B89&lt;&gt;B88,C89&lt;&gt;C88,D89&lt;&gt;D88,E89&lt;&gt;E88),G88+1,G88))</f>
        <v/>
      </c>
    </row>
    <row r="90">
      <c r="A90" s="14">
        <f>IF(OR(NOT(ISNUMBER(Ввод!$B$5)),NOT(ISNUMBER(Ввод!$B$6))),"",IF(Ввод!$B$5+88&gt;Ввод!$B$6,"",Ввод!$B$5+88))</f>
        <v/>
      </c>
      <c r="B90">
        <f>IF(A90="","",IFERROR(INDEX(Ввод!$B$12:$B$71,MATCH(A90,Ввод!$D$12:$D$71,1)),""))</f>
        <v/>
      </c>
      <c r="C90">
        <f>IF(A90="","",DATE(YEAR(A90),12,31)-DATE(YEAR(A90),1,1)+1)</f>
        <v/>
      </c>
      <c r="D90">
        <f>IF(A90="","",Ввод!$B$4-SUMIF(Оплаты!$A$6:$A$505,"&lt;"&amp;A90,Оплаты!$B$6:$B$505))</f>
        <v/>
      </c>
      <c r="E90">
        <f>IF(A90="","",IF(SUMPRODUCT((Ввод!$F$12:$F$31&lt;&gt;"")*(Ввод!$F$12:$F$31&lt;=A90)*(Ввод!$G$12:$G$31&gt;=A90))&gt;0,1,0))</f>
        <v/>
      </c>
      <c r="F90">
        <f>IF(OR(A90="",B90=""),"",IF(E90=1,0,D90*B90/100/C90))</f>
        <v/>
      </c>
      <c r="G90">
        <f>IF(A90="","",IF(OR(B90&lt;&gt;B89,C90&lt;&gt;C89,D90&lt;&gt;D89,E90&lt;&gt;E89),G89+1,G89))</f>
        <v/>
      </c>
    </row>
    <row r="91">
      <c r="A91" s="14">
        <f>IF(OR(NOT(ISNUMBER(Ввод!$B$5)),NOT(ISNUMBER(Ввод!$B$6))),"",IF(Ввод!$B$5+89&gt;Ввод!$B$6,"",Ввод!$B$5+89))</f>
        <v/>
      </c>
      <c r="B91">
        <f>IF(A91="","",IFERROR(INDEX(Ввод!$B$12:$B$71,MATCH(A91,Ввод!$D$12:$D$71,1)),""))</f>
        <v/>
      </c>
      <c r="C91">
        <f>IF(A91="","",DATE(YEAR(A91),12,31)-DATE(YEAR(A91),1,1)+1)</f>
        <v/>
      </c>
      <c r="D91">
        <f>IF(A91="","",Ввод!$B$4-SUMIF(Оплаты!$A$6:$A$505,"&lt;"&amp;A91,Оплаты!$B$6:$B$505))</f>
        <v/>
      </c>
      <c r="E91">
        <f>IF(A91="","",IF(SUMPRODUCT((Ввод!$F$12:$F$31&lt;&gt;"")*(Ввод!$F$12:$F$31&lt;=A91)*(Ввод!$G$12:$G$31&gt;=A91))&gt;0,1,0))</f>
        <v/>
      </c>
      <c r="F91">
        <f>IF(OR(A91="",B91=""),"",IF(E91=1,0,D91*B91/100/C91))</f>
        <v/>
      </c>
      <c r="G91">
        <f>IF(A91="","",IF(OR(B91&lt;&gt;B90,C91&lt;&gt;C90,D91&lt;&gt;D90,E91&lt;&gt;E90),G90+1,G90))</f>
        <v/>
      </c>
    </row>
    <row r="92">
      <c r="A92" s="14">
        <f>IF(OR(NOT(ISNUMBER(Ввод!$B$5)),NOT(ISNUMBER(Ввод!$B$6))),"",IF(Ввод!$B$5+90&gt;Ввод!$B$6,"",Ввод!$B$5+90))</f>
        <v/>
      </c>
      <c r="B92">
        <f>IF(A92="","",IFERROR(INDEX(Ввод!$B$12:$B$71,MATCH(A92,Ввод!$D$12:$D$71,1)),""))</f>
        <v/>
      </c>
      <c r="C92">
        <f>IF(A92="","",DATE(YEAR(A92),12,31)-DATE(YEAR(A92),1,1)+1)</f>
        <v/>
      </c>
      <c r="D92">
        <f>IF(A92="","",Ввод!$B$4-SUMIF(Оплаты!$A$6:$A$505,"&lt;"&amp;A92,Оплаты!$B$6:$B$505))</f>
        <v/>
      </c>
      <c r="E92">
        <f>IF(A92="","",IF(SUMPRODUCT((Ввод!$F$12:$F$31&lt;&gt;"")*(Ввод!$F$12:$F$31&lt;=A92)*(Ввод!$G$12:$G$31&gt;=A92))&gt;0,1,0))</f>
        <v/>
      </c>
      <c r="F92">
        <f>IF(OR(A92="",B92=""),"",IF(E92=1,0,D92*B92/100/C92))</f>
        <v/>
      </c>
      <c r="G92">
        <f>IF(A92="","",IF(OR(B92&lt;&gt;B91,C92&lt;&gt;C91,D92&lt;&gt;D91,E92&lt;&gt;E91),G91+1,G91))</f>
        <v/>
      </c>
    </row>
    <row r="93">
      <c r="A93" s="14">
        <f>IF(OR(NOT(ISNUMBER(Ввод!$B$5)),NOT(ISNUMBER(Ввод!$B$6))),"",IF(Ввод!$B$5+91&gt;Ввод!$B$6,"",Ввод!$B$5+91))</f>
        <v/>
      </c>
      <c r="B93">
        <f>IF(A93="","",IFERROR(INDEX(Ввод!$B$12:$B$71,MATCH(A93,Ввод!$D$12:$D$71,1)),""))</f>
        <v/>
      </c>
      <c r="C93">
        <f>IF(A93="","",DATE(YEAR(A93),12,31)-DATE(YEAR(A93),1,1)+1)</f>
        <v/>
      </c>
      <c r="D93">
        <f>IF(A93="","",Ввод!$B$4-SUMIF(Оплаты!$A$6:$A$505,"&lt;"&amp;A93,Оплаты!$B$6:$B$505))</f>
        <v/>
      </c>
      <c r="E93">
        <f>IF(A93="","",IF(SUMPRODUCT((Ввод!$F$12:$F$31&lt;&gt;"")*(Ввод!$F$12:$F$31&lt;=A93)*(Ввод!$G$12:$G$31&gt;=A93))&gt;0,1,0))</f>
        <v/>
      </c>
      <c r="F93">
        <f>IF(OR(A93="",B93=""),"",IF(E93=1,0,D93*B93/100/C93))</f>
        <v/>
      </c>
      <c r="G93">
        <f>IF(A93="","",IF(OR(B93&lt;&gt;B92,C93&lt;&gt;C92,D93&lt;&gt;D92,E93&lt;&gt;E92),G92+1,G92))</f>
        <v/>
      </c>
    </row>
    <row r="94">
      <c r="A94" s="14">
        <f>IF(OR(NOT(ISNUMBER(Ввод!$B$5)),NOT(ISNUMBER(Ввод!$B$6))),"",IF(Ввод!$B$5+92&gt;Ввод!$B$6,"",Ввод!$B$5+92))</f>
        <v/>
      </c>
      <c r="B94">
        <f>IF(A94="","",IFERROR(INDEX(Ввод!$B$12:$B$71,MATCH(A94,Ввод!$D$12:$D$71,1)),""))</f>
        <v/>
      </c>
      <c r="C94">
        <f>IF(A94="","",DATE(YEAR(A94),12,31)-DATE(YEAR(A94),1,1)+1)</f>
        <v/>
      </c>
      <c r="D94">
        <f>IF(A94="","",Ввод!$B$4-SUMIF(Оплаты!$A$6:$A$505,"&lt;"&amp;A94,Оплаты!$B$6:$B$505))</f>
        <v/>
      </c>
      <c r="E94">
        <f>IF(A94="","",IF(SUMPRODUCT((Ввод!$F$12:$F$31&lt;&gt;"")*(Ввод!$F$12:$F$31&lt;=A94)*(Ввод!$G$12:$G$31&gt;=A94))&gt;0,1,0))</f>
        <v/>
      </c>
      <c r="F94">
        <f>IF(OR(A94="",B94=""),"",IF(E94=1,0,D94*B94/100/C94))</f>
        <v/>
      </c>
      <c r="G94">
        <f>IF(A94="","",IF(OR(B94&lt;&gt;B93,C94&lt;&gt;C93,D94&lt;&gt;D93,E94&lt;&gt;E93),G93+1,G93))</f>
        <v/>
      </c>
    </row>
    <row r="95">
      <c r="A95" s="14">
        <f>IF(OR(NOT(ISNUMBER(Ввод!$B$5)),NOT(ISNUMBER(Ввод!$B$6))),"",IF(Ввод!$B$5+93&gt;Ввод!$B$6,"",Ввод!$B$5+93))</f>
        <v/>
      </c>
      <c r="B95">
        <f>IF(A95="","",IFERROR(INDEX(Ввод!$B$12:$B$71,MATCH(A95,Ввод!$D$12:$D$71,1)),""))</f>
        <v/>
      </c>
      <c r="C95">
        <f>IF(A95="","",DATE(YEAR(A95),12,31)-DATE(YEAR(A95),1,1)+1)</f>
        <v/>
      </c>
      <c r="D95">
        <f>IF(A95="","",Ввод!$B$4-SUMIF(Оплаты!$A$6:$A$505,"&lt;"&amp;A95,Оплаты!$B$6:$B$505))</f>
        <v/>
      </c>
      <c r="E95">
        <f>IF(A95="","",IF(SUMPRODUCT((Ввод!$F$12:$F$31&lt;&gt;"")*(Ввод!$F$12:$F$31&lt;=A95)*(Ввод!$G$12:$G$31&gt;=A95))&gt;0,1,0))</f>
        <v/>
      </c>
      <c r="F95">
        <f>IF(OR(A95="",B95=""),"",IF(E95=1,0,D95*B95/100/C95))</f>
        <v/>
      </c>
      <c r="G95">
        <f>IF(A95="","",IF(OR(B95&lt;&gt;B94,C95&lt;&gt;C94,D95&lt;&gt;D94,E95&lt;&gt;E94),G94+1,G94))</f>
        <v/>
      </c>
    </row>
    <row r="96">
      <c r="A96" s="14">
        <f>IF(OR(NOT(ISNUMBER(Ввод!$B$5)),NOT(ISNUMBER(Ввод!$B$6))),"",IF(Ввод!$B$5+94&gt;Ввод!$B$6,"",Ввод!$B$5+94))</f>
        <v/>
      </c>
      <c r="B96">
        <f>IF(A96="","",IFERROR(INDEX(Ввод!$B$12:$B$71,MATCH(A96,Ввод!$D$12:$D$71,1)),""))</f>
        <v/>
      </c>
      <c r="C96">
        <f>IF(A96="","",DATE(YEAR(A96),12,31)-DATE(YEAR(A96),1,1)+1)</f>
        <v/>
      </c>
      <c r="D96">
        <f>IF(A96="","",Ввод!$B$4-SUMIF(Оплаты!$A$6:$A$505,"&lt;"&amp;A96,Оплаты!$B$6:$B$505))</f>
        <v/>
      </c>
      <c r="E96">
        <f>IF(A96="","",IF(SUMPRODUCT((Ввод!$F$12:$F$31&lt;&gt;"")*(Ввод!$F$12:$F$31&lt;=A96)*(Ввод!$G$12:$G$31&gt;=A96))&gt;0,1,0))</f>
        <v/>
      </c>
      <c r="F96">
        <f>IF(OR(A96="",B96=""),"",IF(E96=1,0,D96*B96/100/C96))</f>
        <v/>
      </c>
      <c r="G96">
        <f>IF(A96="","",IF(OR(B96&lt;&gt;B95,C96&lt;&gt;C95,D96&lt;&gt;D95,E96&lt;&gt;E95),G95+1,G95))</f>
        <v/>
      </c>
    </row>
    <row r="97">
      <c r="A97" s="14">
        <f>IF(OR(NOT(ISNUMBER(Ввод!$B$5)),NOT(ISNUMBER(Ввод!$B$6))),"",IF(Ввод!$B$5+95&gt;Ввод!$B$6,"",Ввод!$B$5+95))</f>
        <v/>
      </c>
      <c r="B97">
        <f>IF(A97="","",IFERROR(INDEX(Ввод!$B$12:$B$71,MATCH(A97,Ввод!$D$12:$D$71,1)),""))</f>
        <v/>
      </c>
      <c r="C97">
        <f>IF(A97="","",DATE(YEAR(A97),12,31)-DATE(YEAR(A97),1,1)+1)</f>
        <v/>
      </c>
      <c r="D97">
        <f>IF(A97="","",Ввод!$B$4-SUMIF(Оплаты!$A$6:$A$505,"&lt;"&amp;A97,Оплаты!$B$6:$B$505))</f>
        <v/>
      </c>
      <c r="E97">
        <f>IF(A97="","",IF(SUMPRODUCT((Ввод!$F$12:$F$31&lt;&gt;"")*(Ввод!$F$12:$F$31&lt;=A97)*(Ввод!$G$12:$G$31&gt;=A97))&gt;0,1,0))</f>
        <v/>
      </c>
      <c r="F97">
        <f>IF(OR(A97="",B97=""),"",IF(E97=1,0,D97*B97/100/C97))</f>
        <v/>
      </c>
      <c r="G97">
        <f>IF(A97="","",IF(OR(B97&lt;&gt;B96,C97&lt;&gt;C96,D97&lt;&gt;D96,E97&lt;&gt;E96),G96+1,G96))</f>
        <v/>
      </c>
    </row>
    <row r="98">
      <c r="A98" s="14">
        <f>IF(OR(NOT(ISNUMBER(Ввод!$B$5)),NOT(ISNUMBER(Ввод!$B$6))),"",IF(Ввод!$B$5+96&gt;Ввод!$B$6,"",Ввод!$B$5+96))</f>
        <v/>
      </c>
      <c r="B98">
        <f>IF(A98="","",IFERROR(INDEX(Ввод!$B$12:$B$71,MATCH(A98,Ввод!$D$12:$D$71,1)),""))</f>
        <v/>
      </c>
      <c r="C98">
        <f>IF(A98="","",DATE(YEAR(A98),12,31)-DATE(YEAR(A98),1,1)+1)</f>
        <v/>
      </c>
      <c r="D98">
        <f>IF(A98="","",Ввод!$B$4-SUMIF(Оплаты!$A$6:$A$505,"&lt;"&amp;A98,Оплаты!$B$6:$B$505))</f>
        <v/>
      </c>
      <c r="E98">
        <f>IF(A98="","",IF(SUMPRODUCT((Ввод!$F$12:$F$31&lt;&gt;"")*(Ввод!$F$12:$F$31&lt;=A98)*(Ввод!$G$12:$G$31&gt;=A98))&gt;0,1,0))</f>
        <v/>
      </c>
      <c r="F98">
        <f>IF(OR(A98="",B98=""),"",IF(E98=1,0,D98*B98/100/C98))</f>
        <v/>
      </c>
      <c r="G98">
        <f>IF(A98="","",IF(OR(B98&lt;&gt;B97,C98&lt;&gt;C97,D98&lt;&gt;D97,E98&lt;&gt;E97),G97+1,G97))</f>
        <v/>
      </c>
    </row>
    <row r="99">
      <c r="A99" s="14">
        <f>IF(OR(NOT(ISNUMBER(Ввод!$B$5)),NOT(ISNUMBER(Ввод!$B$6))),"",IF(Ввод!$B$5+97&gt;Ввод!$B$6,"",Ввод!$B$5+97))</f>
        <v/>
      </c>
      <c r="B99">
        <f>IF(A99="","",IFERROR(INDEX(Ввод!$B$12:$B$71,MATCH(A99,Ввод!$D$12:$D$71,1)),""))</f>
        <v/>
      </c>
      <c r="C99">
        <f>IF(A99="","",DATE(YEAR(A99),12,31)-DATE(YEAR(A99),1,1)+1)</f>
        <v/>
      </c>
      <c r="D99">
        <f>IF(A99="","",Ввод!$B$4-SUMIF(Оплаты!$A$6:$A$505,"&lt;"&amp;A99,Оплаты!$B$6:$B$505))</f>
        <v/>
      </c>
      <c r="E99">
        <f>IF(A99="","",IF(SUMPRODUCT((Ввод!$F$12:$F$31&lt;&gt;"")*(Ввод!$F$12:$F$31&lt;=A99)*(Ввод!$G$12:$G$31&gt;=A99))&gt;0,1,0))</f>
        <v/>
      </c>
      <c r="F99">
        <f>IF(OR(A99="",B99=""),"",IF(E99=1,0,D99*B99/100/C99))</f>
        <v/>
      </c>
      <c r="G99">
        <f>IF(A99="","",IF(OR(B99&lt;&gt;B98,C99&lt;&gt;C98,D99&lt;&gt;D98,E99&lt;&gt;E98),G98+1,G98))</f>
        <v/>
      </c>
    </row>
    <row r="100">
      <c r="A100" s="14">
        <f>IF(OR(NOT(ISNUMBER(Ввод!$B$5)),NOT(ISNUMBER(Ввод!$B$6))),"",IF(Ввод!$B$5+98&gt;Ввод!$B$6,"",Ввод!$B$5+98))</f>
        <v/>
      </c>
      <c r="B100">
        <f>IF(A100="","",IFERROR(INDEX(Ввод!$B$12:$B$71,MATCH(A100,Ввод!$D$12:$D$71,1)),""))</f>
        <v/>
      </c>
      <c r="C100">
        <f>IF(A100="","",DATE(YEAR(A100),12,31)-DATE(YEAR(A100),1,1)+1)</f>
        <v/>
      </c>
      <c r="D100">
        <f>IF(A100="","",Ввод!$B$4-SUMIF(Оплаты!$A$6:$A$505,"&lt;"&amp;A100,Оплаты!$B$6:$B$505))</f>
        <v/>
      </c>
      <c r="E100">
        <f>IF(A100="","",IF(SUMPRODUCT((Ввод!$F$12:$F$31&lt;&gt;"")*(Ввод!$F$12:$F$31&lt;=A100)*(Ввод!$G$12:$G$31&gt;=A100))&gt;0,1,0))</f>
        <v/>
      </c>
      <c r="F100">
        <f>IF(OR(A100="",B100=""),"",IF(E100=1,0,D100*B100/100/C100))</f>
        <v/>
      </c>
      <c r="G100">
        <f>IF(A100="","",IF(OR(B100&lt;&gt;B99,C100&lt;&gt;C99,D100&lt;&gt;D99,E100&lt;&gt;E99),G99+1,G99))</f>
        <v/>
      </c>
    </row>
    <row r="101">
      <c r="A101" s="14">
        <f>IF(OR(NOT(ISNUMBER(Ввод!$B$5)),NOT(ISNUMBER(Ввод!$B$6))),"",IF(Ввод!$B$5+99&gt;Ввод!$B$6,"",Ввод!$B$5+99))</f>
        <v/>
      </c>
      <c r="B101">
        <f>IF(A101="","",IFERROR(INDEX(Ввод!$B$12:$B$71,MATCH(A101,Ввод!$D$12:$D$71,1)),""))</f>
        <v/>
      </c>
      <c r="C101">
        <f>IF(A101="","",DATE(YEAR(A101),12,31)-DATE(YEAR(A101),1,1)+1)</f>
        <v/>
      </c>
      <c r="D101">
        <f>IF(A101="","",Ввод!$B$4-SUMIF(Оплаты!$A$6:$A$505,"&lt;"&amp;A101,Оплаты!$B$6:$B$505))</f>
        <v/>
      </c>
      <c r="E101">
        <f>IF(A101="","",IF(SUMPRODUCT((Ввод!$F$12:$F$31&lt;&gt;"")*(Ввод!$F$12:$F$31&lt;=A101)*(Ввод!$G$12:$G$31&gt;=A101))&gt;0,1,0))</f>
        <v/>
      </c>
      <c r="F101">
        <f>IF(OR(A101="",B101=""),"",IF(E101=1,0,D101*B101/100/C101))</f>
        <v/>
      </c>
      <c r="G101">
        <f>IF(A101="","",IF(OR(B101&lt;&gt;B100,C101&lt;&gt;C100,D101&lt;&gt;D100,E101&lt;&gt;E100),G100+1,G100))</f>
        <v/>
      </c>
    </row>
    <row r="102">
      <c r="A102" s="14">
        <f>IF(OR(NOT(ISNUMBER(Ввод!$B$5)),NOT(ISNUMBER(Ввод!$B$6))),"",IF(Ввод!$B$5+100&gt;Ввод!$B$6,"",Ввод!$B$5+100))</f>
        <v/>
      </c>
      <c r="B102">
        <f>IF(A102="","",IFERROR(INDEX(Ввод!$B$12:$B$71,MATCH(A102,Ввод!$D$12:$D$71,1)),""))</f>
        <v/>
      </c>
      <c r="C102">
        <f>IF(A102="","",DATE(YEAR(A102),12,31)-DATE(YEAR(A102),1,1)+1)</f>
        <v/>
      </c>
      <c r="D102">
        <f>IF(A102="","",Ввод!$B$4-SUMIF(Оплаты!$A$6:$A$505,"&lt;"&amp;A102,Оплаты!$B$6:$B$505))</f>
        <v/>
      </c>
      <c r="E102">
        <f>IF(A102="","",IF(SUMPRODUCT((Ввод!$F$12:$F$31&lt;&gt;"")*(Ввод!$F$12:$F$31&lt;=A102)*(Ввод!$G$12:$G$31&gt;=A102))&gt;0,1,0))</f>
        <v/>
      </c>
      <c r="F102">
        <f>IF(OR(A102="",B102=""),"",IF(E102=1,0,D102*B102/100/C102))</f>
        <v/>
      </c>
      <c r="G102">
        <f>IF(A102="","",IF(OR(B102&lt;&gt;B101,C102&lt;&gt;C101,D102&lt;&gt;D101,E102&lt;&gt;E101),G101+1,G101))</f>
        <v/>
      </c>
    </row>
    <row r="103">
      <c r="A103" s="14">
        <f>IF(OR(NOT(ISNUMBER(Ввод!$B$5)),NOT(ISNUMBER(Ввод!$B$6))),"",IF(Ввод!$B$5+101&gt;Ввод!$B$6,"",Ввод!$B$5+101))</f>
        <v/>
      </c>
      <c r="B103">
        <f>IF(A103="","",IFERROR(INDEX(Ввод!$B$12:$B$71,MATCH(A103,Ввод!$D$12:$D$71,1)),""))</f>
        <v/>
      </c>
      <c r="C103">
        <f>IF(A103="","",DATE(YEAR(A103),12,31)-DATE(YEAR(A103),1,1)+1)</f>
        <v/>
      </c>
      <c r="D103">
        <f>IF(A103="","",Ввод!$B$4-SUMIF(Оплаты!$A$6:$A$505,"&lt;"&amp;A103,Оплаты!$B$6:$B$505))</f>
        <v/>
      </c>
      <c r="E103">
        <f>IF(A103="","",IF(SUMPRODUCT((Ввод!$F$12:$F$31&lt;&gt;"")*(Ввод!$F$12:$F$31&lt;=A103)*(Ввод!$G$12:$G$31&gt;=A103))&gt;0,1,0))</f>
        <v/>
      </c>
      <c r="F103">
        <f>IF(OR(A103="",B103=""),"",IF(E103=1,0,D103*B103/100/C103))</f>
        <v/>
      </c>
      <c r="G103">
        <f>IF(A103="","",IF(OR(B103&lt;&gt;B102,C103&lt;&gt;C102,D103&lt;&gt;D102,E103&lt;&gt;E102),G102+1,G102))</f>
        <v/>
      </c>
    </row>
    <row r="104">
      <c r="A104" s="14">
        <f>IF(OR(NOT(ISNUMBER(Ввод!$B$5)),NOT(ISNUMBER(Ввод!$B$6))),"",IF(Ввод!$B$5+102&gt;Ввод!$B$6,"",Ввод!$B$5+102))</f>
        <v/>
      </c>
      <c r="B104">
        <f>IF(A104="","",IFERROR(INDEX(Ввод!$B$12:$B$71,MATCH(A104,Ввод!$D$12:$D$71,1)),""))</f>
        <v/>
      </c>
      <c r="C104">
        <f>IF(A104="","",DATE(YEAR(A104),12,31)-DATE(YEAR(A104),1,1)+1)</f>
        <v/>
      </c>
      <c r="D104">
        <f>IF(A104="","",Ввод!$B$4-SUMIF(Оплаты!$A$6:$A$505,"&lt;"&amp;A104,Оплаты!$B$6:$B$505))</f>
        <v/>
      </c>
      <c r="E104">
        <f>IF(A104="","",IF(SUMPRODUCT((Ввод!$F$12:$F$31&lt;&gt;"")*(Ввод!$F$12:$F$31&lt;=A104)*(Ввод!$G$12:$G$31&gt;=A104))&gt;0,1,0))</f>
        <v/>
      </c>
      <c r="F104">
        <f>IF(OR(A104="",B104=""),"",IF(E104=1,0,D104*B104/100/C104))</f>
        <v/>
      </c>
      <c r="G104">
        <f>IF(A104="","",IF(OR(B104&lt;&gt;B103,C104&lt;&gt;C103,D104&lt;&gt;D103,E104&lt;&gt;E103),G103+1,G103))</f>
        <v/>
      </c>
    </row>
    <row r="105">
      <c r="A105" s="14">
        <f>IF(OR(NOT(ISNUMBER(Ввод!$B$5)),NOT(ISNUMBER(Ввод!$B$6))),"",IF(Ввод!$B$5+103&gt;Ввод!$B$6,"",Ввод!$B$5+103))</f>
        <v/>
      </c>
      <c r="B105">
        <f>IF(A105="","",IFERROR(INDEX(Ввод!$B$12:$B$71,MATCH(A105,Ввод!$D$12:$D$71,1)),""))</f>
        <v/>
      </c>
      <c r="C105">
        <f>IF(A105="","",DATE(YEAR(A105),12,31)-DATE(YEAR(A105),1,1)+1)</f>
        <v/>
      </c>
      <c r="D105">
        <f>IF(A105="","",Ввод!$B$4-SUMIF(Оплаты!$A$6:$A$505,"&lt;"&amp;A105,Оплаты!$B$6:$B$505))</f>
        <v/>
      </c>
      <c r="E105">
        <f>IF(A105="","",IF(SUMPRODUCT((Ввод!$F$12:$F$31&lt;&gt;"")*(Ввод!$F$12:$F$31&lt;=A105)*(Ввод!$G$12:$G$31&gt;=A105))&gt;0,1,0))</f>
        <v/>
      </c>
      <c r="F105">
        <f>IF(OR(A105="",B105=""),"",IF(E105=1,0,D105*B105/100/C105))</f>
        <v/>
      </c>
      <c r="G105">
        <f>IF(A105="","",IF(OR(B105&lt;&gt;B104,C105&lt;&gt;C104,D105&lt;&gt;D104,E105&lt;&gt;E104),G104+1,G104))</f>
        <v/>
      </c>
    </row>
    <row r="106">
      <c r="A106" s="14">
        <f>IF(OR(NOT(ISNUMBER(Ввод!$B$5)),NOT(ISNUMBER(Ввод!$B$6))),"",IF(Ввод!$B$5+104&gt;Ввод!$B$6,"",Ввод!$B$5+104))</f>
        <v/>
      </c>
      <c r="B106">
        <f>IF(A106="","",IFERROR(INDEX(Ввод!$B$12:$B$71,MATCH(A106,Ввод!$D$12:$D$71,1)),""))</f>
        <v/>
      </c>
      <c r="C106">
        <f>IF(A106="","",DATE(YEAR(A106),12,31)-DATE(YEAR(A106),1,1)+1)</f>
        <v/>
      </c>
      <c r="D106">
        <f>IF(A106="","",Ввод!$B$4-SUMIF(Оплаты!$A$6:$A$505,"&lt;"&amp;A106,Оплаты!$B$6:$B$505))</f>
        <v/>
      </c>
      <c r="E106">
        <f>IF(A106="","",IF(SUMPRODUCT((Ввод!$F$12:$F$31&lt;&gt;"")*(Ввод!$F$12:$F$31&lt;=A106)*(Ввод!$G$12:$G$31&gt;=A106))&gt;0,1,0))</f>
        <v/>
      </c>
      <c r="F106">
        <f>IF(OR(A106="",B106=""),"",IF(E106=1,0,D106*B106/100/C106))</f>
        <v/>
      </c>
      <c r="G106">
        <f>IF(A106="","",IF(OR(B106&lt;&gt;B105,C106&lt;&gt;C105,D106&lt;&gt;D105,E106&lt;&gt;E105),G105+1,G105))</f>
        <v/>
      </c>
    </row>
    <row r="107">
      <c r="A107" s="14">
        <f>IF(OR(NOT(ISNUMBER(Ввод!$B$5)),NOT(ISNUMBER(Ввод!$B$6))),"",IF(Ввод!$B$5+105&gt;Ввод!$B$6,"",Ввод!$B$5+105))</f>
        <v/>
      </c>
      <c r="B107">
        <f>IF(A107="","",IFERROR(INDEX(Ввод!$B$12:$B$71,MATCH(A107,Ввод!$D$12:$D$71,1)),""))</f>
        <v/>
      </c>
      <c r="C107">
        <f>IF(A107="","",DATE(YEAR(A107),12,31)-DATE(YEAR(A107),1,1)+1)</f>
        <v/>
      </c>
      <c r="D107">
        <f>IF(A107="","",Ввод!$B$4-SUMIF(Оплаты!$A$6:$A$505,"&lt;"&amp;A107,Оплаты!$B$6:$B$505))</f>
        <v/>
      </c>
      <c r="E107">
        <f>IF(A107="","",IF(SUMPRODUCT((Ввод!$F$12:$F$31&lt;&gt;"")*(Ввод!$F$12:$F$31&lt;=A107)*(Ввод!$G$12:$G$31&gt;=A107))&gt;0,1,0))</f>
        <v/>
      </c>
      <c r="F107">
        <f>IF(OR(A107="",B107=""),"",IF(E107=1,0,D107*B107/100/C107))</f>
        <v/>
      </c>
      <c r="G107">
        <f>IF(A107="","",IF(OR(B107&lt;&gt;B106,C107&lt;&gt;C106,D107&lt;&gt;D106,E107&lt;&gt;E106),G106+1,G106))</f>
        <v/>
      </c>
    </row>
    <row r="108">
      <c r="A108" s="14">
        <f>IF(OR(NOT(ISNUMBER(Ввод!$B$5)),NOT(ISNUMBER(Ввод!$B$6))),"",IF(Ввод!$B$5+106&gt;Ввод!$B$6,"",Ввод!$B$5+106))</f>
        <v/>
      </c>
      <c r="B108">
        <f>IF(A108="","",IFERROR(INDEX(Ввод!$B$12:$B$71,MATCH(A108,Ввод!$D$12:$D$71,1)),""))</f>
        <v/>
      </c>
      <c r="C108">
        <f>IF(A108="","",DATE(YEAR(A108),12,31)-DATE(YEAR(A108),1,1)+1)</f>
        <v/>
      </c>
      <c r="D108">
        <f>IF(A108="","",Ввод!$B$4-SUMIF(Оплаты!$A$6:$A$505,"&lt;"&amp;A108,Оплаты!$B$6:$B$505))</f>
        <v/>
      </c>
      <c r="E108">
        <f>IF(A108="","",IF(SUMPRODUCT((Ввод!$F$12:$F$31&lt;&gt;"")*(Ввод!$F$12:$F$31&lt;=A108)*(Ввод!$G$12:$G$31&gt;=A108))&gt;0,1,0))</f>
        <v/>
      </c>
      <c r="F108">
        <f>IF(OR(A108="",B108=""),"",IF(E108=1,0,D108*B108/100/C108))</f>
        <v/>
      </c>
      <c r="G108">
        <f>IF(A108="","",IF(OR(B108&lt;&gt;B107,C108&lt;&gt;C107,D108&lt;&gt;D107,E108&lt;&gt;E107),G107+1,G107))</f>
        <v/>
      </c>
    </row>
    <row r="109">
      <c r="A109" s="14">
        <f>IF(OR(NOT(ISNUMBER(Ввод!$B$5)),NOT(ISNUMBER(Ввод!$B$6))),"",IF(Ввод!$B$5+107&gt;Ввод!$B$6,"",Ввод!$B$5+107))</f>
        <v/>
      </c>
      <c r="B109">
        <f>IF(A109="","",IFERROR(INDEX(Ввод!$B$12:$B$71,MATCH(A109,Ввод!$D$12:$D$71,1)),""))</f>
        <v/>
      </c>
      <c r="C109">
        <f>IF(A109="","",DATE(YEAR(A109),12,31)-DATE(YEAR(A109),1,1)+1)</f>
        <v/>
      </c>
      <c r="D109">
        <f>IF(A109="","",Ввод!$B$4-SUMIF(Оплаты!$A$6:$A$505,"&lt;"&amp;A109,Оплаты!$B$6:$B$505))</f>
        <v/>
      </c>
      <c r="E109">
        <f>IF(A109="","",IF(SUMPRODUCT((Ввод!$F$12:$F$31&lt;&gt;"")*(Ввод!$F$12:$F$31&lt;=A109)*(Ввод!$G$12:$G$31&gt;=A109))&gt;0,1,0))</f>
        <v/>
      </c>
      <c r="F109">
        <f>IF(OR(A109="",B109=""),"",IF(E109=1,0,D109*B109/100/C109))</f>
        <v/>
      </c>
      <c r="G109">
        <f>IF(A109="","",IF(OR(B109&lt;&gt;B108,C109&lt;&gt;C108,D109&lt;&gt;D108,E109&lt;&gt;E108),G108+1,G108))</f>
        <v/>
      </c>
    </row>
    <row r="110">
      <c r="A110" s="14">
        <f>IF(OR(NOT(ISNUMBER(Ввод!$B$5)),NOT(ISNUMBER(Ввод!$B$6))),"",IF(Ввод!$B$5+108&gt;Ввод!$B$6,"",Ввод!$B$5+108))</f>
        <v/>
      </c>
      <c r="B110">
        <f>IF(A110="","",IFERROR(INDEX(Ввод!$B$12:$B$71,MATCH(A110,Ввод!$D$12:$D$71,1)),""))</f>
        <v/>
      </c>
      <c r="C110">
        <f>IF(A110="","",DATE(YEAR(A110),12,31)-DATE(YEAR(A110),1,1)+1)</f>
        <v/>
      </c>
      <c r="D110">
        <f>IF(A110="","",Ввод!$B$4-SUMIF(Оплаты!$A$6:$A$505,"&lt;"&amp;A110,Оплаты!$B$6:$B$505))</f>
        <v/>
      </c>
      <c r="E110">
        <f>IF(A110="","",IF(SUMPRODUCT((Ввод!$F$12:$F$31&lt;&gt;"")*(Ввод!$F$12:$F$31&lt;=A110)*(Ввод!$G$12:$G$31&gt;=A110))&gt;0,1,0))</f>
        <v/>
      </c>
      <c r="F110">
        <f>IF(OR(A110="",B110=""),"",IF(E110=1,0,D110*B110/100/C110))</f>
        <v/>
      </c>
      <c r="G110">
        <f>IF(A110="","",IF(OR(B110&lt;&gt;B109,C110&lt;&gt;C109,D110&lt;&gt;D109,E110&lt;&gt;E109),G109+1,G109))</f>
        <v/>
      </c>
    </row>
    <row r="111">
      <c r="A111" s="14">
        <f>IF(OR(NOT(ISNUMBER(Ввод!$B$5)),NOT(ISNUMBER(Ввод!$B$6))),"",IF(Ввод!$B$5+109&gt;Ввод!$B$6,"",Ввод!$B$5+109))</f>
        <v/>
      </c>
      <c r="B111">
        <f>IF(A111="","",IFERROR(INDEX(Ввод!$B$12:$B$71,MATCH(A111,Ввод!$D$12:$D$71,1)),""))</f>
        <v/>
      </c>
      <c r="C111">
        <f>IF(A111="","",DATE(YEAR(A111),12,31)-DATE(YEAR(A111),1,1)+1)</f>
        <v/>
      </c>
      <c r="D111">
        <f>IF(A111="","",Ввод!$B$4-SUMIF(Оплаты!$A$6:$A$505,"&lt;"&amp;A111,Оплаты!$B$6:$B$505))</f>
        <v/>
      </c>
      <c r="E111">
        <f>IF(A111="","",IF(SUMPRODUCT((Ввод!$F$12:$F$31&lt;&gt;"")*(Ввод!$F$12:$F$31&lt;=A111)*(Ввод!$G$12:$G$31&gt;=A111))&gt;0,1,0))</f>
        <v/>
      </c>
      <c r="F111">
        <f>IF(OR(A111="",B111=""),"",IF(E111=1,0,D111*B111/100/C111))</f>
        <v/>
      </c>
      <c r="G111">
        <f>IF(A111="","",IF(OR(B111&lt;&gt;B110,C111&lt;&gt;C110,D111&lt;&gt;D110,E111&lt;&gt;E110),G110+1,G110))</f>
        <v/>
      </c>
    </row>
    <row r="112">
      <c r="A112" s="14">
        <f>IF(OR(NOT(ISNUMBER(Ввод!$B$5)),NOT(ISNUMBER(Ввод!$B$6))),"",IF(Ввод!$B$5+110&gt;Ввод!$B$6,"",Ввод!$B$5+110))</f>
        <v/>
      </c>
      <c r="B112">
        <f>IF(A112="","",IFERROR(INDEX(Ввод!$B$12:$B$71,MATCH(A112,Ввод!$D$12:$D$71,1)),""))</f>
        <v/>
      </c>
      <c r="C112">
        <f>IF(A112="","",DATE(YEAR(A112),12,31)-DATE(YEAR(A112),1,1)+1)</f>
        <v/>
      </c>
      <c r="D112">
        <f>IF(A112="","",Ввод!$B$4-SUMIF(Оплаты!$A$6:$A$505,"&lt;"&amp;A112,Оплаты!$B$6:$B$505))</f>
        <v/>
      </c>
      <c r="E112">
        <f>IF(A112="","",IF(SUMPRODUCT((Ввод!$F$12:$F$31&lt;&gt;"")*(Ввод!$F$12:$F$31&lt;=A112)*(Ввод!$G$12:$G$31&gt;=A112))&gt;0,1,0))</f>
        <v/>
      </c>
      <c r="F112">
        <f>IF(OR(A112="",B112=""),"",IF(E112=1,0,D112*B112/100/C112))</f>
        <v/>
      </c>
      <c r="G112">
        <f>IF(A112="","",IF(OR(B112&lt;&gt;B111,C112&lt;&gt;C111,D112&lt;&gt;D111,E112&lt;&gt;E111),G111+1,G111))</f>
        <v/>
      </c>
    </row>
    <row r="113">
      <c r="A113" s="14">
        <f>IF(OR(NOT(ISNUMBER(Ввод!$B$5)),NOT(ISNUMBER(Ввод!$B$6))),"",IF(Ввод!$B$5+111&gt;Ввод!$B$6,"",Ввод!$B$5+111))</f>
        <v/>
      </c>
      <c r="B113">
        <f>IF(A113="","",IFERROR(INDEX(Ввод!$B$12:$B$71,MATCH(A113,Ввод!$D$12:$D$71,1)),""))</f>
        <v/>
      </c>
      <c r="C113">
        <f>IF(A113="","",DATE(YEAR(A113),12,31)-DATE(YEAR(A113),1,1)+1)</f>
        <v/>
      </c>
      <c r="D113">
        <f>IF(A113="","",Ввод!$B$4-SUMIF(Оплаты!$A$6:$A$505,"&lt;"&amp;A113,Оплаты!$B$6:$B$505))</f>
        <v/>
      </c>
      <c r="E113">
        <f>IF(A113="","",IF(SUMPRODUCT((Ввод!$F$12:$F$31&lt;&gt;"")*(Ввод!$F$12:$F$31&lt;=A113)*(Ввод!$G$12:$G$31&gt;=A113))&gt;0,1,0))</f>
        <v/>
      </c>
      <c r="F113">
        <f>IF(OR(A113="",B113=""),"",IF(E113=1,0,D113*B113/100/C113))</f>
        <v/>
      </c>
      <c r="G113">
        <f>IF(A113="","",IF(OR(B113&lt;&gt;B112,C113&lt;&gt;C112,D113&lt;&gt;D112,E113&lt;&gt;E112),G112+1,G112))</f>
        <v/>
      </c>
    </row>
    <row r="114">
      <c r="A114" s="14">
        <f>IF(OR(NOT(ISNUMBER(Ввод!$B$5)),NOT(ISNUMBER(Ввод!$B$6))),"",IF(Ввод!$B$5+112&gt;Ввод!$B$6,"",Ввод!$B$5+112))</f>
        <v/>
      </c>
      <c r="B114">
        <f>IF(A114="","",IFERROR(INDEX(Ввод!$B$12:$B$71,MATCH(A114,Ввод!$D$12:$D$71,1)),""))</f>
        <v/>
      </c>
      <c r="C114">
        <f>IF(A114="","",DATE(YEAR(A114),12,31)-DATE(YEAR(A114),1,1)+1)</f>
        <v/>
      </c>
      <c r="D114">
        <f>IF(A114="","",Ввод!$B$4-SUMIF(Оплаты!$A$6:$A$505,"&lt;"&amp;A114,Оплаты!$B$6:$B$505))</f>
        <v/>
      </c>
      <c r="E114">
        <f>IF(A114="","",IF(SUMPRODUCT((Ввод!$F$12:$F$31&lt;&gt;"")*(Ввод!$F$12:$F$31&lt;=A114)*(Ввод!$G$12:$G$31&gt;=A114))&gt;0,1,0))</f>
        <v/>
      </c>
      <c r="F114">
        <f>IF(OR(A114="",B114=""),"",IF(E114=1,0,D114*B114/100/C114))</f>
        <v/>
      </c>
      <c r="G114">
        <f>IF(A114="","",IF(OR(B114&lt;&gt;B113,C114&lt;&gt;C113,D114&lt;&gt;D113,E114&lt;&gt;E113),G113+1,G113))</f>
        <v/>
      </c>
    </row>
    <row r="115">
      <c r="A115" s="14">
        <f>IF(OR(NOT(ISNUMBER(Ввод!$B$5)),NOT(ISNUMBER(Ввод!$B$6))),"",IF(Ввод!$B$5+113&gt;Ввод!$B$6,"",Ввод!$B$5+113))</f>
        <v/>
      </c>
      <c r="B115">
        <f>IF(A115="","",IFERROR(INDEX(Ввод!$B$12:$B$71,MATCH(A115,Ввод!$D$12:$D$71,1)),""))</f>
        <v/>
      </c>
      <c r="C115">
        <f>IF(A115="","",DATE(YEAR(A115),12,31)-DATE(YEAR(A115),1,1)+1)</f>
        <v/>
      </c>
      <c r="D115">
        <f>IF(A115="","",Ввод!$B$4-SUMIF(Оплаты!$A$6:$A$505,"&lt;"&amp;A115,Оплаты!$B$6:$B$505))</f>
        <v/>
      </c>
      <c r="E115">
        <f>IF(A115="","",IF(SUMPRODUCT((Ввод!$F$12:$F$31&lt;&gt;"")*(Ввод!$F$12:$F$31&lt;=A115)*(Ввод!$G$12:$G$31&gt;=A115))&gt;0,1,0))</f>
        <v/>
      </c>
      <c r="F115">
        <f>IF(OR(A115="",B115=""),"",IF(E115=1,0,D115*B115/100/C115))</f>
        <v/>
      </c>
      <c r="G115">
        <f>IF(A115="","",IF(OR(B115&lt;&gt;B114,C115&lt;&gt;C114,D115&lt;&gt;D114,E115&lt;&gt;E114),G114+1,G114))</f>
        <v/>
      </c>
    </row>
    <row r="116">
      <c r="A116" s="14">
        <f>IF(OR(NOT(ISNUMBER(Ввод!$B$5)),NOT(ISNUMBER(Ввод!$B$6))),"",IF(Ввод!$B$5+114&gt;Ввод!$B$6,"",Ввод!$B$5+114))</f>
        <v/>
      </c>
      <c r="B116">
        <f>IF(A116="","",IFERROR(INDEX(Ввод!$B$12:$B$71,MATCH(A116,Ввод!$D$12:$D$71,1)),""))</f>
        <v/>
      </c>
      <c r="C116">
        <f>IF(A116="","",DATE(YEAR(A116),12,31)-DATE(YEAR(A116),1,1)+1)</f>
        <v/>
      </c>
      <c r="D116">
        <f>IF(A116="","",Ввод!$B$4-SUMIF(Оплаты!$A$6:$A$505,"&lt;"&amp;A116,Оплаты!$B$6:$B$505))</f>
        <v/>
      </c>
      <c r="E116">
        <f>IF(A116="","",IF(SUMPRODUCT((Ввод!$F$12:$F$31&lt;&gt;"")*(Ввод!$F$12:$F$31&lt;=A116)*(Ввод!$G$12:$G$31&gt;=A116))&gt;0,1,0))</f>
        <v/>
      </c>
      <c r="F116">
        <f>IF(OR(A116="",B116=""),"",IF(E116=1,0,D116*B116/100/C116))</f>
        <v/>
      </c>
      <c r="G116">
        <f>IF(A116="","",IF(OR(B116&lt;&gt;B115,C116&lt;&gt;C115,D116&lt;&gt;D115,E116&lt;&gt;E115),G115+1,G115))</f>
        <v/>
      </c>
    </row>
    <row r="117">
      <c r="A117" s="14">
        <f>IF(OR(NOT(ISNUMBER(Ввод!$B$5)),NOT(ISNUMBER(Ввод!$B$6))),"",IF(Ввод!$B$5+115&gt;Ввод!$B$6,"",Ввод!$B$5+115))</f>
        <v/>
      </c>
      <c r="B117">
        <f>IF(A117="","",IFERROR(INDEX(Ввод!$B$12:$B$71,MATCH(A117,Ввод!$D$12:$D$71,1)),""))</f>
        <v/>
      </c>
      <c r="C117">
        <f>IF(A117="","",DATE(YEAR(A117),12,31)-DATE(YEAR(A117),1,1)+1)</f>
        <v/>
      </c>
      <c r="D117">
        <f>IF(A117="","",Ввод!$B$4-SUMIF(Оплаты!$A$6:$A$505,"&lt;"&amp;A117,Оплаты!$B$6:$B$505))</f>
        <v/>
      </c>
      <c r="E117">
        <f>IF(A117="","",IF(SUMPRODUCT((Ввод!$F$12:$F$31&lt;&gt;"")*(Ввод!$F$12:$F$31&lt;=A117)*(Ввод!$G$12:$G$31&gt;=A117))&gt;0,1,0))</f>
        <v/>
      </c>
      <c r="F117">
        <f>IF(OR(A117="",B117=""),"",IF(E117=1,0,D117*B117/100/C117))</f>
        <v/>
      </c>
      <c r="G117">
        <f>IF(A117="","",IF(OR(B117&lt;&gt;B116,C117&lt;&gt;C116,D117&lt;&gt;D116,E117&lt;&gt;E116),G116+1,G116))</f>
        <v/>
      </c>
    </row>
    <row r="118">
      <c r="A118" s="14">
        <f>IF(OR(NOT(ISNUMBER(Ввод!$B$5)),NOT(ISNUMBER(Ввод!$B$6))),"",IF(Ввод!$B$5+116&gt;Ввод!$B$6,"",Ввод!$B$5+116))</f>
        <v/>
      </c>
      <c r="B118">
        <f>IF(A118="","",IFERROR(INDEX(Ввод!$B$12:$B$71,MATCH(A118,Ввод!$D$12:$D$71,1)),""))</f>
        <v/>
      </c>
      <c r="C118">
        <f>IF(A118="","",DATE(YEAR(A118),12,31)-DATE(YEAR(A118),1,1)+1)</f>
        <v/>
      </c>
      <c r="D118">
        <f>IF(A118="","",Ввод!$B$4-SUMIF(Оплаты!$A$6:$A$505,"&lt;"&amp;A118,Оплаты!$B$6:$B$505))</f>
        <v/>
      </c>
      <c r="E118">
        <f>IF(A118="","",IF(SUMPRODUCT((Ввод!$F$12:$F$31&lt;&gt;"")*(Ввод!$F$12:$F$31&lt;=A118)*(Ввод!$G$12:$G$31&gt;=A118))&gt;0,1,0))</f>
        <v/>
      </c>
      <c r="F118">
        <f>IF(OR(A118="",B118=""),"",IF(E118=1,0,D118*B118/100/C118))</f>
        <v/>
      </c>
      <c r="G118">
        <f>IF(A118="","",IF(OR(B118&lt;&gt;B117,C118&lt;&gt;C117,D118&lt;&gt;D117,E118&lt;&gt;E117),G117+1,G117))</f>
        <v/>
      </c>
    </row>
    <row r="119">
      <c r="A119" s="14">
        <f>IF(OR(NOT(ISNUMBER(Ввод!$B$5)),NOT(ISNUMBER(Ввод!$B$6))),"",IF(Ввод!$B$5+117&gt;Ввод!$B$6,"",Ввод!$B$5+117))</f>
        <v/>
      </c>
      <c r="B119">
        <f>IF(A119="","",IFERROR(INDEX(Ввод!$B$12:$B$71,MATCH(A119,Ввод!$D$12:$D$71,1)),""))</f>
        <v/>
      </c>
      <c r="C119">
        <f>IF(A119="","",DATE(YEAR(A119),12,31)-DATE(YEAR(A119),1,1)+1)</f>
        <v/>
      </c>
      <c r="D119">
        <f>IF(A119="","",Ввод!$B$4-SUMIF(Оплаты!$A$6:$A$505,"&lt;"&amp;A119,Оплаты!$B$6:$B$505))</f>
        <v/>
      </c>
      <c r="E119">
        <f>IF(A119="","",IF(SUMPRODUCT((Ввод!$F$12:$F$31&lt;&gt;"")*(Ввод!$F$12:$F$31&lt;=A119)*(Ввод!$G$12:$G$31&gt;=A119))&gt;0,1,0))</f>
        <v/>
      </c>
      <c r="F119">
        <f>IF(OR(A119="",B119=""),"",IF(E119=1,0,D119*B119/100/C119))</f>
        <v/>
      </c>
      <c r="G119">
        <f>IF(A119="","",IF(OR(B119&lt;&gt;B118,C119&lt;&gt;C118,D119&lt;&gt;D118,E119&lt;&gt;E118),G118+1,G118))</f>
        <v/>
      </c>
    </row>
    <row r="120">
      <c r="A120" s="14">
        <f>IF(OR(NOT(ISNUMBER(Ввод!$B$5)),NOT(ISNUMBER(Ввод!$B$6))),"",IF(Ввод!$B$5+118&gt;Ввод!$B$6,"",Ввод!$B$5+118))</f>
        <v/>
      </c>
      <c r="B120">
        <f>IF(A120="","",IFERROR(INDEX(Ввод!$B$12:$B$71,MATCH(A120,Ввод!$D$12:$D$71,1)),""))</f>
        <v/>
      </c>
      <c r="C120">
        <f>IF(A120="","",DATE(YEAR(A120),12,31)-DATE(YEAR(A120),1,1)+1)</f>
        <v/>
      </c>
      <c r="D120">
        <f>IF(A120="","",Ввод!$B$4-SUMIF(Оплаты!$A$6:$A$505,"&lt;"&amp;A120,Оплаты!$B$6:$B$505))</f>
        <v/>
      </c>
      <c r="E120">
        <f>IF(A120="","",IF(SUMPRODUCT((Ввод!$F$12:$F$31&lt;&gt;"")*(Ввод!$F$12:$F$31&lt;=A120)*(Ввод!$G$12:$G$31&gt;=A120))&gt;0,1,0))</f>
        <v/>
      </c>
      <c r="F120">
        <f>IF(OR(A120="",B120=""),"",IF(E120=1,0,D120*B120/100/C120))</f>
        <v/>
      </c>
      <c r="G120">
        <f>IF(A120="","",IF(OR(B120&lt;&gt;B119,C120&lt;&gt;C119,D120&lt;&gt;D119,E120&lt;&gt;E119),G119+1,G119))</f>
        <v/>
      </c>
    </row>
    <row r="121">
      <c r="A121" s="14">
        <f>IF(OR(NOT(ISNUMBER(Ввод!$B$5)),NOT(ISNUMBER(Ввод!$B$6))),"",IF(Ввод!$B$5+119&gt;Ввод!$B$6,"",Ввод!$B$5+119))</f>
        <v/>
      </c>
      <c r="B121">
        <f>IF(A121="","",IFERROR(INDEX(Ввод!$B$12:$B$71,MATCH(A121,Ввод!$D$12:$D$71,1)),""))</f>
        <v/>
      </c>
      <c r="C121">
        <f>IF(A121="","",DATE(YEAR(A121),12,31)-DATE(YEAR(A121),1,1)+1)</f>
        <v/>
      </c>
      <c r="D121">
        <f>IF(A121="","",Ввод!$B$4-SUMIF(Оплаты!$A$6:$A$505,"&lt;"&amp;A121,Оплаты!$B$6:$B$505))</f>
        <v/>
      </c>
      <c r="E121">
        <f>IF(A121="","",IF(SUMPRODUCT((Ввод!$F$12:$F$31&lt;&gt;"")*(Ввод!$F$12:$F$31&lt;=A121)*(Ввод!$G$12:$G$31&gt;=A121))&gt;0,1,0))</f>
        <v/>
      </c>
      <c r="F121">
        <f>IF(OR(A121="",B121=""),"",IF(E121=1,0,D121*B121/100/C121))</f>
        <v/>
      </c>
      <c r="G121">
        <f>IF(A121="","",IF(OR(B121&lt;&gt;B120,C121&lt;&gt;C120,D121&lt;&gt;D120,E121&lt;&gt;E120),G120+1,G120))</f>
        <v/>
      </c>
    </row>
    <row r="122">
      <c r="A122" s="14">
        <f>IF(OR(NOT(ISNUMBER(Ввод!$B$5)),NOT(ISNUMBER(Ввод!$B$6))),"",IF(Ввод!$B$5+120&gt;Ввод!$B$6,"",Ввод!$B$5+120))</f>
        <v/>
      </c>
      <c r="B122">
        <f>IF(A122="","",IFERROR(INDEX(Ввод!$B$12:$B$71,MATCH(A122,Ввод!$D$12:$D$71,1)),""))</f>
        <v/>
      </c>
      <c r="C122">
        <f>IF(A122="","",DATE(YEAR(A122),12,31)-DATE(YEAR(A122),1,1)+1)</f>
        <v/>
      </c>
      <c r="D122">
        <f>IF(A122="","",Ввод!$B$4-SUMIF(Оплаты!$A$6:$A$505,"&lt;"&amp;A122,Оплаты!$B$6:$B$505))</f>
        <v/>
      </c>
      <c r="E122">
        <f>IF(A122="","",IF(SUMPRODUCT((Ввод!$F$12:$F$31&lt;&gt;"")*(Ввод!$F$12:$F$31&lt;=A122)*(Ввод!$G$12:$G$31&gt;=A122))&gt;0,1,0))</f>
        <v/>
      </c>
      <c r="F122">
        <f>IF(OR(A122="",B122=""),"",IF(E122=1,0,D122*B122/100/C122))</f>
        <v/>
      </c>
      <c r="G122">
        <f>IF(A122="","",IF(OR(B122&lt;&gt;B121,C122&lt;&gt;C121,D122&lt;&gt;D121,E122&lt;&gt;E121),G121+1,G121))</f>
        <v/>
      </c>
    </row>
    <row r="123">
      <c r="A123" s="14">
        <f>IF(OR(NOT(ISNUMBER(Ввод!$B$5)),NOT(ISNUMBER(Ввод!$B$6))),"",IF(Ввод!$B$5+121&gt;Ввод!$B$6,"",Ввод!$B$5+121))</f>
        <v/>
      </c>
      <c r="B123">
        <f>IF(A123="","",IFERROR(INDEX(Ввод!$B$12:$B$71,MATCH(A123,Ввод!$D$12:$D$71,1)),""))</f>
        <v/>
      </c>
      <c r="C123">
        <f>IF(A123="","",DATE(YEAR(A123),12,31)-DATE(YEAR(A123),1,1)+1)</f>
        <v/>
      </c>
      <c r="D123">
        <f>IF(A123="","",Ввод!$B$4-SUMIF(Оплаты!$A$6:$A$505,"&lt;"&amp;A123,Оплаты!$B$6:$B$505))</f>
        <v/>
      </c>
      <c r="E123">
        <f>IF(A123="","",IF(SUMPRODUCT((Ввод!$F$12:$F$31&lt;&gt;"")*(Ввод!$F$12:$F$31&lt;=A123)*(Ввод!$G$12:$G$31&gt;=A123))&gt;0,1,0))</f>
        <v/>
      </c>
      <c r="F123">
        <f>IF(OR(A123="",B123=""),"",IF(E123=1,0,D123*B123/100/C123))</f>
        <v/>
      </c>
      <c r="G123">
        <f>IF(A123="","",IF(OR(B123&lt;&gt;B122,C123&lt;&gt;C122,D123&lt;&gt;D122,E123&lt;&gt;E122),G122+1,G122))</f>
        <v/>
      </c>
    </row>
    <row r="124">
      <c r="A124" s="14">
        <f>IF(OR(NOT(ISNUMBER(Ввод!$B$5)),NOT(ISNUMBER(Ввод!$B$6))),"",IF(Ввод!$B$5+122&gt;Ввод!$B$6,"",Ввод!$B$5+122))</f>
        <v/>
      </c>
      <c r="B124">
        <f>IF(A124="","",IFERROR(INDEX(Ввод!$B$12:$B$71,MATCH(A124,Ввод!$D$12:$D$71,1)),""))</f>
        <v/>
      </c>
      <c r="C124">
        <f>IF(A124="","",DATE(YEAR(A124),12,31)-DATE(YEAR(A124),1,1)+1)</f>
        <v/>
      </c>
      <c r="D124">
        <f>IF(A124="","",Ввод!$B$4-SUMIF(Оплаты!$A$6:$A$505,"&lt;"&amp;A124,Оплаты!$B$6:$B$505))</f>
        <v/>
      </c>
      <c r="E124">
        <f>IF(A124="","",IF(SUMPRODUCT((Ввод!$F$12:$F$31&lt;&gt;"")*(Ввод!$F$12:$F$31&lt;=A124)*(Ввод!$G$12:$G$31&gt;=A124))&gt;0,1,0))</f>
        <v/>
      </c>
      <c r="F124">
        <f>IF(OR(A124="",B124=""),"",IF(E124=1,0,D124*B124/100/C124))</f>
        <v/>
      </c>
      <c r="G124">
        <f>IF(A124="","",IF(OR(B124&lt;&gt;B123,C124&lt;&gt;C123,D124&lt;&gt;D123,E124&lt;&gt;E123),G123+1,G123))</f>
        <v/>
      </c>
    </row>
    <row r="125">
      <c r="A125" s="14">
        <f>IF(OR(NOT(ISNUMBER(Ввод!$B$5)),NOT(ISNUMBER(Ввод!$B$6))),"",IF(Ввод!$B$5+123&gt;Ввод!$B$6,"",Ввод!$B$5+123))</f>
        <v/>
      </c>
      <c r="B125">
        <f>IF(A125="","",IFERROR(INDEX(Ввод!$B$12:$B$71,MATCH(A125,Ввод!$D$12:$D$71,1)),""))</f>
        <v/>
      </c>
      <c r="C125">
        <f>IF(A125="","",DATE(YEAR(A125),12,31)-DATE(YEAR(A125),1,1)+1)</f>
        <v/>
      </c>
      <c r="D125">
        <f>IF(A125="","",Ввод!$B$4-SUMIF(Оплаты!$A$6:$A$505,"&lt;"&amp;A125,Оплаты!$B$6:$B$505))</f>
        <v/>
      </c>
      <c r="E125">
        <f>IF(A125="","",IF(SUMPRODUCT((Ввод!$F$12:$F$31&lt;&gt;"")*(Ввод!$F$12:$F$31&lt;=A125)*(Ввод!$G$12:$G$31&gt;=A125))&gt;0,1,0))</f>
        <v/>
      </c>
      <c r="F125">
        <f>IF(OR(A125="",B125=""),"",IF(E125=1,0,D125*B125/100/C125))</f>
        <v/>
      </c>
      <c r="G125">
        <f>IF(A125="","",IF(OR(B125&lt;&gt;B124,C125&lt;&gt;C124,D125&lt;&gt;D124,E125&lt;&gt;E124),G124+1,G124))</f>
        <v/>
      </c>
    </row>
    <row r="126">
      <c r="A126" s="14">
        <f>IF(OR(NOT(ISNUMBER(Ввод!$B$5)),NOT(ISNUMBER(Ввод!$B$6))),"",IF(Ввод!$B$5+124&gt;Ввод!$B$6,"",Ввод!$B$5+124))</f>
        <v/>
      </c>
      <c r="B126">
        <f>IF(A126="","",IFERROR(INDEX(Ввод!$B$12:$B$71,MATCH(A126,Ввод!$D$12:$D$71,1)),""))</f>
        <v/>
      </c>
      <c r="C126">
        <f>IF(A126="","",DATE(YEAR(A126),12,31)-DATE(YEAR(A126),1,1)+1)</f>
        <v/>
      </c>
      <c r="D126">
        <f>IF(A126="","",Ввод!$B$4-SUMIF(Оплаты!$A$6:$A$505,"&lt;"&amp;A126,Оплаты!$B$6:$B$505))</f>
        <v/>
      </c>
      <c r="E126">
        <f>IF(A126="","",IF(SUMPRODUCT((Ввод!$F$12:$F$31&lt;&gt;"")*(Ввод!$F$12:$F$31&lt;=A126)*(Ввод!$G$12:$G$31&gt;=A126))&gt;0,1,0))</f>
        <v/>
      </c>
      <c r="F126">
        <f>IF(OR(A126="",B126=""),"",IF(E126=1,0,D126*B126/100/C126))</f>
        <v/>
      </c>
      <c r="G126">
        <f>IF(A126="","",IF(OR(B126&lt;&gt;B125,C126&lt;&gt;C125,D126&lt;&gt;D125,E126&lt;&gt;E125),G125+1,G125))</f>
        <v/>
      </c>
    </row>
    <row r="127">
      <c r="A127" s="14">
        <f>IF(OR(NOT(ISNUMBER(Ввод!$B$5)),NOT(ISNUMBER(Ввод!$B$6))),"",IF(Ввод!$B$5+125&gt;Ввод!$B$6,"",Ввод!$B$5+125))</f>
        <v/>
      </c>
      <c r="B127">
        <f>IF(A127="","",IFERROR(INDEX(Ввод!$B$12:$B$71,MATCH(A127,Ввод!$D$12:$D$71,1)),""))</f>
        <v/>
      </c>
      <c r="C127">
        <f>IF(A127="","",DATE(YEAR(A127),12,31)-DATE(YEAR(A127),1,1)+1)</f>
        <v/>
      </c>
      <c r="D127">
        <f>IF(A127="","",Ввод!$B$4-SUMIF(Оплаты!$A$6:$A$505,"&lt;"&amp;A127,Оплаты!$B$6:$B$505))</f>
        <v/>
      </c>
      <c r="E127">
        <f>IF(A127="","",IF(SUMPRODUCT((Ввод!$F$12:$F$31&lt;&gt;"")*(Ввод!$F$12:$F$31&lt;=A127)*(Ввод!$G$12:$G$31&gt;=A127))&gt;0,1,0))</f>
        <v/>
      </c>
      <c r="F127">
        <f>IF(OR(A127="",B127=""),"",IF(E127=1,0,D127*B127/100/C127))</f>
        <v/>
      </c>
      <c r="G127">
        <f>IF(A127="","",IF(OR(B127&lt;&gt;B126,C127&lt;&gt;C126,D127&lt;&gt;D126,E127&lt;&gt;E126),G126+1,G126))</f>
        <v/>
      </c>
    </row>
    <row r="128">
      <c r="A128" s="14">
        <f>IF(OR(NOT(ISNUMBER(Ввод!$B$5)),NOT(ISNUMBER(Ввод!$B$6))),"",IF(Ввод!$B$5+126&gt;Ввод!$B$6,"",Ввод!$B$5+126))</f>
        <v/>
      </c>
      <c r="B128">
        <f>IF(A128="","",IFERROR(INDEX(Ввод!$B$12:$B$71,MATCH(A128,Ввод!$D$12:$D$71,1)),""))</f>
        <v/>
      </c>
      <c r="C128">
        <f>IF(A128="","",DATE(YEAR(A128),12,31)-DATE(YEAR(A128),1,1)+1)</f>
        <v/>
      </c>
      <c r="D128">
        <f>IF(A128="","",Ввод!$B$4-SUMIF(Оплаты!$A$6:$A$505,"&lt;"&amp;A128,Оплаты!$B$6:$B$505))</f>
        <v/>
      </c>
      <c r="E128">
        <f>IF(A128="","",IF(SUMPRODUCT((Ввод!$F$12:$F$31&lt;&gt;"")*(Ввод!$F$12:$F$31&lt;=A128)*(Ввод!$G$12:$G$31&gt;=A128))&gt;0,1,0))</f>
        <v/>
      </c>
      <c r="F128">
        <f>IF(OR(A128="",B128=""),"",IF(E128=1,0,D128*B128/100/C128))</f>
        <v/>
      </c>
      <c r="G128">
        <f>IF(A128="","",IF(OR(B128&lt;&gt;B127,C128&lt;&gt;C127,D128&lt;&gt;D127,E128&lt;&gt;E127),G127+1,G127))</f>
        <v/>
      </c>
    </row>
    <row r="129">
      <c r="A129" s="14">
        <f>IF(OR(NOT(ISNUMBER(Ввод!$B$5)),NOT(ISNUMBER(Ввод!$B$6))),"",IF(Ввод!$B$5+127&gt;Ввод!$B$6,"",Ввод!$B$5+127))</f>
        <v/>
      </c>
      <c r="B129">
        <f>IF(A129="","",IFERROR(INDEX(Ввод!$B$12:$B$71,MATCH(A129,Ввод!$D$12:$D$71,1)),""))</f>
        <v/>
      </c>
      <c r="C129">
        <f>IF(A129="","",DATE(YEAR(A129),12,31)-DATE(YEAR(A129),1,1)+1)</f>
        <v/>
      </c>
      <c r="D129">
        <f>IF(A129="","",Ввод!$B$4-SUMIF(Оплаты!$A$6:$A$505,"&lt;"&amp;A129,Оплаты!$B$6:$B$505))</f>
        <v/>
      </c>
      <c r="E129">
        <f>IF(A129="","",IF(SUMPRODUCT((Ввод!$F$12:$F$31&lt;&gt;"")*(Ввод!$F$12:$F$31&lt;=A129)*(Ввод!$G$12:$G$31&gt;=A129))&gt;0,1,0))</f>
        <v/>
      </c>
      <c r="F129">
        <f>IF(OR(A129="",B129=""),"",IF(E129=1,0,D129*B129/100/C129))</f>
        <v/>
      </c>
      <c r="G129">
        <f>IF(A129="","",IF(OR(B129&lt;&gt;B128,C129&lt;&gt;C128,D129&lt;&gt;D128,E129&lt;&gt;E128),G128+1,G128))</f>
        <v/>
      </c>
    </row>
    <row r="130">
      <c r="A130" s="14">
        <f>IF(OR(NOT(ISNUMBER(Ввод!$B$5)),NOT(ISNUMBER(Ввод!$B$6))),"",IF(Ввод!$B$5+128&gt;Ввод!$B$6,"",Ввод!$B$5+128))</f>
        <v/>
      </c>
      <c r="B130">
        <f>IF(A130="","",IFERROR(INDEX(Ввод!$B$12:$B$71,MATCH(A130,Ввод!$D$12:$D$71,1)),""))</f>
        <v/>
      </c>
      <c r="C130">
        <f>IF(A130="","",DATE(YEAR(A130),12,31)-DATE(YEAR(A130),1,1)+1)</f>
        <v/>
      </c>
      <c r="D130">
        <f>IF(A130="","",Ввод!$B$4-SUMIF(Оплаты!$A$6:$A$505,"&lt;"&amp;A130,Оплаты!$B$6:$B$505))</f>
        <v/>
      </c>
      <c r="E130">
        <f>IF(A130="","",IF(SUMPRODUCT((Ввод!$F$12:$F$31&lt;&gt;"")*(Ввод!$F$12:$F$31&lt;=A130)*(Ввод!$G$12:$G$31&gt;=A130))&gt;0,1,0))</f>
        <v/>
      </c>
      <c r="F130">
        <f>IF(OR(A130="",B130=""),"",IF(E130=1,0,D130*B130/100/C130))</f>
        <v/>
      </c>
      <c r="G130">
        <f>IF(A130="","",IF(OR(B130&lt;&gt;B129,C130&lt;&gt;C129,D130&lt;&gt;D129,E130&lt;&gt;E129),G129+1,G129))</f>
        <v/>
      </c>
    </row>
    <row r="131">
      <c r="A131" s="14">
        <f>IF(OR(NOT(ISNUMBER(Ввод!$B$5)),NOT(ISNUMBER(Ввод!$B$6))),"",IF(Ввод!$B$5+129&gt;Ввод!$B$6,"",Ввод!$B$5+129))</f>
        <v/>
      </c>
      <c r="B131">
        <f>IF(A131="","",IFERROR(INDEX(Ввод!$B$12:$B$71,MATCH(A131,Ввод!$D$12:$D$71,1)),""))</f>
        <v/>
      </c>
      <c r="C131">
        <f>IF(A131="","",DATE(YEAR(A131),12,31)-DATE(YEAR(A131),1,1)+1)</f>
        <v/>
      </c>
      <c r="D131">
        <f>IF(A131="","",Ввод!$B$4-SUMIF(Оплаты!$A$6:$A$505,"&lt;"&amp;A131,Оплаты!$B$6:$B$505))</f>
        <v/>
      </c>
      <c r="E131">
        <f>IF(A131="","",IF(SUMPRODUCT((Ввод!$F$12:$F$31&lt;&gt;"")*(Ввод!$F$12:$F$31&lt;=A131)*(Ввод!$G$12:$G$31&gt;=A131))&gt;0,1,0))</f>
        <v/>
      </c>
      <c r="F131">
        <f>IF(OR(A131="",B131=""),"",IF(E131=1,0,D131*B131/100/C131))</f>
        <v/>
      </c>
      <c r="G131">
        <f>IF(A131="","",IF(OR(B131&lt;&gt;B130,C131&lt;&gt;C130,D131&lt;&gt;D130,E131&lt;&gt;E130),G130+1,G130))</f>
        <v/>
      </c>
    </row>
    <row r="132">
      <c r="A132" s="14">
        <f>IF(OR(NOT(ISNUMBER(Ввод!$B$5)),NOT(ISNUMBER(Ввод!$B$6))),"",IF(Ввод!$B$5+130&gt;Ввод!$B$6,"",Ввод!$B$5+130))</f>
        <v/>
      </c>
      <c r="B132">
        <f>IF(A132="","",IFERROR(INDEX(Ввод!$B$12:$B$71,MATCH(A132,Ввод!$D$12:$D$71,1)),""))</f>
        <v/>
      </c>
      <c r="C132">
        <f>IF(A132="","",DATE(YEAR(A132),12,31)-DATE(YEAR(A132),1,1)+1)</f>
        <v/>
      </c>
      <c r="D132">
        <f>IF(A132="","",Ввод!$B$4-SUMIF(Оплаты!$A$6:$A$505,"&lt;"&amp;A132,Оплаты!$B$6:$B$505))</f>
        <v/>
      </c>
      <c r="E132">
        <f>IF(A132="","",IF(SUMPRODUCT((Ввод!$F$12:$F$31&lt;&gt;"")*(Ввод!$F$12:$F$31&lt;=A132)*(Ввод!$G$12:$G$31&gt;=A132))&gt;0,1,0))</f>
        <v/>
      </c>
      <c r="F132">
        <f>IF(OR(A132="",B132=""),"",IF(E132=1,0,D132*B132/100/C132))</f>
        <v/>
      </c>
      <c r="G132">
        <f>IF(A132="","",IF(OR(B132&lt;&gt;B131,C132&lt;&gt;C131,D132&lt;&gt;D131,E132&lt;&gt;E131),G131+1,G131))</f>
        <v/>
      </c>
    </row>
    <row r="133">
      <c r="A133" s="14">
        <f>IF(OR(NOT(ISNUMBER(Ввод!$B$5)),NOT(ISNUMBER(Ввод!$B$6))),"",IF(Ввод!$B$5+131&gt;Ввод!$B$6,"",Ввод!$B$5+131))</f>
        <v/>
      </c>
      <c r="B133">
        <f>IF(A133="","",IFERROR(INDEX(Ввод!$B$12:$B$71,MATCH(A133,Ввод!$D$12:$D$71,1)),""))</f>
        <v/>
      </c>
      <c r="C133">
        <f>IF(A133="","",DATE(YEAR(A133),12,31)-DATE(YEAR(A133),1,1)+1)</f>
        <v/>
      </c>
      <c r="D133">
        <f>IF(A133="","",Ввод!$B$4-SUMIF(Оплаты!$A$6:$A$505,"&lt;"&amp;A133,Оплаты!$B$6:$B$505))</f>
        <v/>
      </c>
      <c r="E133">
        <f>IF(A133="","",IF(SUMPRODUCT((Ввод!$F$12:$F$31&lt;&gt;"")*(Ввод!$F$12:$F$31&lt;=A133)*(Ввод!$G$12:$G$31&gt;=A133))&gt;0,1,0))</f>
        <v/>
      </c>
      <c r="F133">
        <f>IF(OR(A133="",B133=""),"",IF(E133=1,0,D133*B133/100/C133))</f>
        <v/>
      </c>
      <c r="G133">
        <f>IF(A133="","",IF(OR(B133&lt;&gt;B132,C133&lt;&gt;C132,D133&lt;&gt;D132,E133&lt;&gt;E132),G132+1,G132))</f>
        <v/>
      </c>
    </row>
    <row r="134">
      <c r="A134" s="14">
        <f>IF(OR(NOT(ISNUMBER(Ввод!$B$5)),NOT(ISNUMBER(Ввод!$B$6))),"",IF(Ввод!$B$5+132&gt;Ввод!$B$6,"",Ввод!$B$5+132))</f>
        <v/>
      </c>
      <c r="B134">
        <f>IF(A134="","",IFERROR(INDEX(Ввод!$B$12:$B$71,MATCH(A134,Ввод!$D$12:$D$71,1)),""))</f>
        <v/>
      </c>
      <c r="C134">
        <f>IF(A134="","",DATE(YEAR(A134),12,31)-DATE(YEAR(A134),1,1)+1)</f>
        <v/>
      </c>
      <c r="D134">
        <f>IF(A134="","",Ввод!$B$4-SUMIF(Оплаты!$A$6:$A$505,"&lt;"&amp;A134,Оплаты!$B$6:$B$505))</f>
        <v/>
      </c>
      <c r="E134">
        <f>IF(A134="","",IF(SUMPRODUCT((Ввод!$F$12:$F$31&lt;&gt;"")*(Ввод!$F$12:$F$31&lt;=A134)*(Ввод!$G$12:$G$31&gt;=A134))&gt;0,1,0))</f>
        <v/>
      </c>
      <c r="F134">
        <f>IF(OR(A134="",B134=""),"",IF(E134=1,0,D134*B134/100/C134))</f>
        <v/>
      </c>
      <c r="G134">
        <f>IF(A134="","",IF(OR(B134&lt;&gt;B133,C134&lt;&gt;C133,D134&lt;&gt;D133,E134&lt;&gt;E133),G133+1,G133))</f>
        <v/>
      </c>
    </row>
    <row r="135">
      <c r="A135" s="14">
        <f>IF(OR(NOT(ISNUMBER(Ввод!$B$5)),NOT(ISNUMBER(Ввод!$B$6))),"",IF(Ввод!$B$5+133&gt;Ввод!$B$6,"",Ввод!$B$5+133))</f>
        <v/>
      </c>
      <c r="B135">
        <f>IF(A135="","",IFERROR(INDEX(Ввод!$B$12:$B$71,MATCH(A135,Ввод!$D$12:$D$71,1)),""))</f>
        <v/>
      </c>
      <c r="C135">
        <f>IF(A135="","",DATE(YEAR(A135),12,31)-DATE(YEAR(A135),1,1)+1)</f>
        <v/>
      </c>
      <c r="D135">
        <f>IF(A135="","",Ввод!$B$4-SUMIF(Оплаты!$A$6:$A$505,"&lt;"&amp;A135,Оплаты!$B$6:$B$505))</f>
        <v/>
      </c>
      <c r="E135">
        <f>IF(A135="","",IF(SUMPRODUCT((Ввод!$F$12:$F$31&lt;&gt;"")*(Ввод!$F$12:$F$31&lt;=A135)*(Ввод!$G$12:$G$31&gt;=A135))&gt;0,1,0))</f>
        <v/>
      </c>
      <c r="F135">
        <f>IF(OR(A135="",B135=""),"",IF(E135=1,0,D135*B135/100/C135))</f>
        <v/>
      </c>
      <c r="G135">
        <f>IF(A135="","",IF(OR(B135&lt;&gt;B134,C135&lt;&gt;C134,D135&lt;&gt;D134,E135&lt;&gt;E134),G134+1,G134))</f>
        <v/>
      </c>
    </row>
    <row r="136">
      <c r="A136" s="14">
        <f>IF(OR(NOT(ISNUMBER(Ввод!$B$5)),NOT(ISNUMBER(Ввод!$B$6))),"",IF(Ввод!$B$5+134&gt;Ввод!$B$6,"",Ввод!$B$5+134))</f>
        <v/>
      </c>
      <c r="B136">
        <f>IF(A136="","",IFERROR(INDEX(Ввод!$B$12:$B$71,MATCH(A136,Ввод!$D$12:$D$71,1)),""))</f>
        <v/>
      </c>
      <c r="C136">
        <f>IF(A136="","",DATE(YEAR(A136),12,31)-DATE(YEAR(A136),1,1)+1)</f>
        <v/>
      </c>
      <c r="D136">
        <f>IF(A136="","",Ввод!$B$4-SUMIF(Оплаты!$A$6:$A$505,"&lt;"&amp;A136,Оплаты!$B$6:$B$505))</f>
        <v/>
      </c>
      <c r="E136">
        <f>IF(A136="","",IF(SUMPRODUCT((Ввод!$F$12:$F$31&lt;&gt;"")*(Ввод!$F$12:$F$31&lt;=A136)*(Ввод!$G$12:$G$31&gt;=A136))&gt;0,1,0))</f>
        <v/>
      </c>
      <c r="F136">
        <f>IF(OR(A136="",B136=""),"",IF(E136=1,0,D136*B136/100/C136))</f>
        <v/>
      </c>
      <c r="G136">
        <f>IF(A136="","",IF(OR(B136&lt;&gt;B135,C136&lt;&gt;C135,D136&lt;&gt;D135,E136&lt;&gt;E135),G135+1,G135))</f>
        <v/>
      </c>
    </row>
    <row r="137">
      <c r="A137" s="14">
        <f>IF(OR(NOT(ISNUMBER(Ввод!$B$5)),NOT(ISNUMBER(Ввод!$B$6))),"",IF(Ввод!$B$5+135&gt;Ввод!$B$6,"",Ввод!$B$5+135))</f>
        <v/>
      </c>
      <c r="B137">
        <f>IF(A137="","",IFERROR(INDEX(Ввод!$B$12:$B$71,MATCH(A137,Ввод!$D$12:$D$71,1)),""))</f>
        <v/>
      </c>
      <c r="C137">
        <f>IF(A137="","",DATE(YEAR(A137),12,31)-DATE(YEAR(A137),1,1)+1)</f>
        <v/>
      </c>
      <c r="D137">
        <f>IF(A137="","",Ввод!$B$4-SUMIF(Оплаты!$A$6:$A$505,"&lt;"&amp;A137,Оплаты!$B$6:$B$505))</f>
        <v/>
      </c>
      <c r="E137">
        <f>IF(A137="","",IF(SUMPRODUCT((Ввод!$F$12:$F$31&lt;&gt;"")*(Ввод!$F$12:$F$31&lt;=A137)*(Ввод!$G$12:$G$31&gt;=A137))&gt;0,1,0))</f>
        <v/>
      </c>
      <c r="F137">
        <f>IF(OR(A137="",B137=""),"",IF(E137=1,0,D137*B137/100/C137))</f>
        <v/>
      </c>
      <c r="G137">
        <f>IF(A137="","",IF(OR(B137&lt;&gt;B136,C137&lt;&gt;C136,D137&lt;&gt;D136,E137&lt;&gt;E136),G136+1,G136))</f>
        <v/>
      </c>
    </row>
    <row r="138">
      <c r="A138" s="14">
        <f>IF(OR(NOT(ISNUMBER(Ввод!$B$5)),NOT(ISNUMBER(Ввод!$B$6))),"",IF(Ввод!$B$5+136&gt;Ввод!$B$6,"",Ввод!$B$5+136))</f>
        <v/>
      </c>
      <c r="B138">
        <f>IF(A138="","",IFERROR(INDEX(Ввод!$B$12:$B$71,MATCH(A138,Ввод!$D$12:$D$71,1)),""))</f>
        <v/>
      </c>
      <c r="C138">
        <f>IF(A138="","",DATE(YEAR(A138),12,31)-DATE(YEAR(A138),1,1)+1)</f>
        <v/>
      </c>
      <c r="D138">
        <f>IF(A138="","",Ввод!$B$4-SUMIF(Оплаты!$A$6:$A$505,"&lt;"&amp;A138,Оплаты!$B$6:$B$505))</f>
        <v/>
      </c>
      <c r="E138">
        <f>IF(A138="","",IF(SUMPRODUCT((Ввод!$F$12:$F$31&lt;&gt;"")*(Ввод!$F$12:$F$31&lt;=A138)*(Ввод!$G$12:$G$31&gt;=A138))&gt;0,1,0))</f>
        <v/>
      </c>
      <c r="F138">
        <f>IF(OR(A138="",B138=""),"",IF(E138=1,0,D138*B138/100/C138))</f>
        <v/>
      </c>
      <c r="G138">
        <f>IF(A138="","",IF(OR(B138&lt;&gt;B137,C138&lt;&gt;C137,D138&lt;&gt;D137,E138&lt;&gt;E137),G137+1,G137))</f>
        <v/>
      </c>
    </row>
    <row r="139">
      <c r="A139" s="14">
        <f>IF(OR(NOT(ISNUMBER(Ввод!$B$5)),NOT(ISNUMBER(Ввод!$B$6))),"",IF(Ввод!$B$5+137&gt;Ввод!$B$6,"",Ввод!$B$5+137))</f>
        <v/>
      </c>
      <c r="B139">
        <f>IF(A139="","",IFERROR(INDEX(Ввод!$B$12:$B$71,MATCH(A139,Ввод!$D$12:$D$71,1)),""))</f>
        <v/>
      </c>
      <c r="C139">
        <f>IF(A139="","",DATE(YEAR(A139),12,31)-DATE(YEAR(A139),1,1)+1)</f>
        <v/>
      </c>
      <c r="D139">
        <f>IF(A139="","",Ввод!$B$4-SUMIF(Оплаты!$A$6:$A$505,"&lt;"&amp;A139,Оплаты!$B$6:$B$505))</f>
        <v/>
      </c>
      <c r="E139">
        <f>IF(A139="","",IF(SUMPRODUCT((Ввод!$F$12:$F$31&lt;&gt;"")*(Ввод!$F$12:$F$31&lt;=A139)*(Ввод!$G$12:$G$31&gt;=A139))&gt;0,1,0))</f>
        <v/>
      </c>
      <c r="F139">
        <f>IF(OR(A139="",B139=""),"",IF(E139=1,0,D139*B139/100/C139))</f>
        <v/>
      </c>
      <c r="G139">
        <f>IF(A139="","",IF(OR(B139&lt;&gt;B138,C139&lt;&gt;C138,D139&lt;&gt;D138,E139&lt;&gt;E138),G138+1,G138))</f>
        <v/>
      </c>
    </row>
    <row r="140">
      <c r="A140" s="14">
        <f>IF(OR(NOT(ISNUMBER(Ввод!$B$5)),NOT(ISNUMBER(Ввод!$B$6))),"",IF(Ввод!$B$5+138&gt;Ввод!$B$6,"",Ввод!$B$5+138))</f>
        <v/>
      </c>
      <c r="B140">
        <f>IF(A140="","",IFERROR(INDEX(Ввод!$B$12:$B$71,MATCH(A140,Ввод!$D$12:$D$71,1)),""))</f>
        <v/>
      </c>
      <c r="C140">
        <f>IF(A140="","",DATE(YEAR(A140),12,31)-DATE(YEAR(A140),1,1)+1)</f>
        <v/>
      </c>
      <c r="D140">
        <f>IF(A140="","",Ввод!$B$4-SUMIF(Оплаты!$A$6:$A$505,"&lt;"&amp;A140,Оплаты!$B$6:$B$505))</f>
        <v/>
      </c>
      <c r="E140">
        <f>IF(A140="","",IF(SUMPRODUCT((Ввод!$F$12:$F$31&lt;&gt;"")*(Ввод!$F$12:$F$31&lt;=A140)*(Ввод!$G$12:$G$31&gt;=A140))&gt;0,1,0))</f>
        <v/>
      </c>
      <c r="F140">
        <f>IF(OR(A140="",B140=""),"",IF(E140=1,0,D140*B140/100/C140))</f>
        <v/>
      </c>
      <c r="G140">
        <f>IF(A140="","",IF(OR(B140&lt;&gt;B139,C140&lt;&gt;C139,D140&lt;&gt;D139,E140&lt;&gt;E139),G139+1,G139))</f>
        <v/>
      </c>
    </row>
    <row r="141">
      <c r="A141" s="14">
        <f>IF(OR(NOT(ISNUMBER(Ввод!$B$5)),NOT(ISNUMBER(Ввод!$B$6))),"",IF(Ввод!$B$5+139&gt;Ввод!$B$6,"",Ввод!$B$5+139))</f>
        <v/>
      </c>
      <c r="B141">
        <f>IF(A141="","",IFERROR(INDEX(Ввод!$B$12:$B$71,MATCH(A141,Ввод!$D$12:$D$71,1)),""))</f>
        <v/>
      </c>
      <c r="C141">
        <f>IF(A141="","",DATE(YEAR(A141),12,31)-DATE(YEAR(A141),1,1)+1)</f>
        <v/>
      </c>
      <c r="D141">
        <f>IF(A141="","",Ввод!$B$4-SUMIF(Оплаты!$A$6:$A$505,"&lt;"&amp;A141,Оплаты!$B$6:$B$505))</f>
        <v/>
      </c>
      <c r="E141">
        <f>IF(A141="","",IF(SUMPRODUCT((Ввод!$F$12:$F$31&lt;&gt;"")*(Ввод!$F$12:$F$31&lt;=A141)*(Ввод!$G$12:$G$31&gt;=A141))&gt;0,1,0))</f>
        <v/>
      </c>
      <c r="F141">
        <f>IF(OR(A141="",B141=""),"",IF(E141=1,0,D141*B141/100/C141))</f>
        <v/>
      </c>
      <c r="G141">
        <f>IF(A141="","",IF(OR(B141&lt;&gt;B140,C141&lt;&gt;C140,D141&lt;&gt;D140,E141&lt;&gt;E140),G140+1,G140))</f>
        <v/>
      </c>
    </row>
    <row r="142">
      <c r="A142" s="14">
        <f>IF(OR(NOT(ISNUMBER(Ввод!$B$5)),NOT(ISNUMBER(Ввод!$B$6))),"",IF(Ввод!$B$5+140&gt;Ввод!$B$6,"",Ввод!$B$5+140))</f>
        <v/>
      </c>
      <c r="B142">
        <f>IF(A142="","",IFERROR(INDEX(Ввод!$B$12:$B$71,MATCH(A142,Ввод!$D$12:$D$71,1)),""))</f>
        <v/>
      </c>
      <c r="C142">
        <f>IF(A142="","",DATE(YEAR(A142),12,31)-DATE(YEAR(A142),1,1)+1)</f>
        <v/>
      </c>
      <c r="D142">
        <f>IF(A142="","",Ввод!$B$4-SUMIF(Оплаты!$A$6:$A$505,"&lt;"&amp;A142,Оплаты!$B$6:$B$505))</f>
        <v/>
      </c>
      <c r="E142">
        <f>IF(A142="","",IF(SUMPRODUCT((Ввод!$F$12:$F$31&lt;&gt;"")*(Ввод!$F$12:$F$31&lt;=A142)*(Ввод!$G$12:$G$31&gt;=A142))&gt;0,1,0))</f>
        <v/>
      </c>
      <c r="F142">
        <f>IF(OR(A142="",B142=""),"",IF(E142=1,0,D142*B142/100/C142))</f>
        <v/>
      </c>
      <c r="G142">
        <f>IF(A142="","",IF(OR(B142&lt;&gt;B141,C142&lt;&gt;C141,D142&lt;&gt;D141,E142&lt;&gt;E141),G141+1,G141))</f>
        <v/>
      </c>
    </row>
    <row r="143">
      <c r="A143" s="14">
        <f>IF(OR(NOT(ISNUMBER(Ввод!$B$5)),NOT(ISNUMBER(Ввод!$B$6))),"",IF(Ввод!$B$5+141&gt;Ввод!$B$6,"",Ввод!$B$5+141))</f>
        <v/>
      </c>
      <c r="B143">
        <f>IF(A143="","",IFERROR(INDEX(Ввод!$B$12:$B$71,MATCH(A143,Ввод!$D$12:$D$71,1)),""))</f>
        <v/>
      </c>
      <c r="C143">
        <f>IF(A143="","",DATE(YEAR(A143),12,31)-DATE(YEAR(A143),1,1)+1)</f>
        <v/>
      </c>
      <c r="D143">
        <f>IF(A143="","",Ввод!$B$4-SUMIF(Оплаты!$A$6:$A$505,"&lt;"&amp;A143,Оплаты!$B$6:$B$505))</f>
        <v/>
      </c>
      <c r="E143">
        <f>IF(A143="","",IF(SUMPRODUCT((Ввод!$F$12:$F$31&lt;&gt;"")*(Ввод!$F$12:$F$31&lt;=A143)*(Ввод!$G$12:$G$31&gt;=A143))&gt;0,1,0))</f>
        <v/>
      </c>
      <c r="F143">
        <f>IF(OR(A143="",B143=""),"",IF(E143=1,0,D143*B143/100/C143))</f>
        <v/>
      </c>
      <c r="G143">
        <f>IF(A143="","",IF(OR(B143&lt;&gt;B142,C143&lt;&gt;C142,D143&lt;&gt;D142,E143&lt;&gt;E142),G142+1,G142))</f>
        <v/>
      </c>
    </row>
    <row r="144">
      <c r="A144" s="14">
        <f>IF(OR(NOT(ISNUMBER(Ввод!$B$5)),NOT(ISNUMBER(Ввод!$B$6))),"",IF(Ввод!$B$5+142&gt;Ввод!$B$6,"",Ввод!$B$5+142))</f>
        <v/>
      </c>
      <c r="B144">
        <f>IF(A144="","",IFERROR(INDEX(Ввод!$B$12:$B$71,MATCH(A144,Ввод!$D$12:$D$71,1)),""))</f>
        <v/>
      </c>
      <c r="C144">
        <f>IF(A144="","",DATE(YEAR(A144),12,31)-DATE(YEAR(A144),1,1)+1)</f>
        <v/>
      </c>
      <c r="D144">
        <f>IF(A144="","",Ввод!$B$4-SUMIF(Оплаты!$A$6:$A$505,"&lt;"&amp;A144,Оплаты!$B$6:$B$505))</f>
        <v/>
      </c>
      <c r="E144">
        <f>IF(A144="","",IF(SUMPRODUCT((Ввод!$F$12:$F$31&lt;&gt;"")*(Ввод!$F$12:$F$31&lt;=A144)*(Ввод!$G$12:$G$31&gt;=A144))&gt;0,1,0))</f>
        <v/>
      </c>
      <c r="F144">
        <f>IF(OR(A144="",B144=""),"",IF(E144=1,0,D144*B144/100/C144))</f>
        <v/>
      </c>
      <c r="G144">
        <f>IF(A144="","",IF(OR(B144&lt;&gt;B143,C144&lt;&gt;C143,D144&lt;&gt;D143,E144&lt;&gt;E143),G143+1,G143))</f>
        <v/>
      </c>
    </row>
    <row r="145">
      <c r="A145" s="14">
        <f>IF(OR(NOT(ISNUMBER(Ввод!$B$5)),NOT(ISNUMBER(Ввод!$B$6))),"",IF(Ввод!$B$5+143&gt;Ввод!$B$6,"",Ввод!$B$5+143))</f>
        <v/>
      </c>
      <c r="B145">
        <f>IF(A145="","",IFERROR(INDEX(Ввод!$B$12:$B$71,MATCH(A145,Ввод!$D$12:$D$71,1)),""))</f>
        <v/>
      </c>
      <c r="C145">
        <f>IF(A145="","",DATE(YEAR(A145),12,31)-DATE(YEAR(A145),1,1)+1)</f>
        <v/>
      </c>
      <c r="D145">
        <f>IF(A145="","",Ввод!$B$4-SUMIF(Оплаты!$A$6:$A$505,"&lt;"&amp;A145,Оплаты!$B$6:$B$505))</f>
        <v/>
      </c>
      <c r="E145">
        <f>IF(A145="","",IF(SUMPRODUCT((Ввод!$F$12:$F$31&lt;&gt;"")*(Ввод!$F$12:$F$31&lt;=A145)*(Ввод!$G$12:$G$31&gt;=A145))&gt;0,1,0))</f>
        <v/>
      </c>
      <c r="F145">
        <f>IF(OR(A145="",B145=""),"",IF(E145=1,0,D145*B145/100/C145))</f>
        <v/>
      </c>
      <c r="G145">
        <f>IF(A145="","",IF(OR(B145&lt;&gt;B144,C145&lt;&gt;C144,D145&lt;&gt;D144,E145&lt;&gt;E144),G144+1,G144))</f>
        <v/>
      </c>
    </row>
    <row r="146">
      <c r="A146" s="14">
        <f>IF(OR(NOT(ISNUMBER(Ввод!$B$5)),NOT(ISNUMBER(Ввод!$B$6))),"",IF(Ввод!$B$5+144&gt;Ввод!$B$6,"",Ввод!$B$5+144))</f>
        <v/>
      </c>
      <c r="B146">
        <f>IF(A146="","",IFERROR(INDEX(Ввод!$B$12:$B$71,MATCH(A146,Ввод!$D$12:$D$71,1)),""))</f>
        <v/>
      </c>
      <c r="C146">
        <f>IF(A146="","",DATE(YEAR(A146),12,31)-DATE(YEAR(A146),1,1)+1)</f>
        <v/>
      </c>
      <c r="D146">
        <f>IF(A146="","",Ввод!$B$4-SUMIF(Оплаты!$A$6:$A$505,"&lt;"&amp;A146,Оплаты!$B$6:$B$505))</f>
        <v/>
      </c>
      <c r="E146">
        <f>IF(A146="","",IF(SUMPRODUCT((Ввод!$F$12:$F$31&lt;&gt;"")*(Ввод!$F$12:$F$31&lt;=A146)*(Ввод!$G$12:$G$31&gt;=A146))&gt;0,1,0))</f>
        <v/>
      </c>
      <c r="F146">
        <f>IF(OR(A146="",B146=""),"",IF(E146=1,0,D146*B146/100/C146))</f>
        <v/>
      </c>
      <c r="G146">
        <f>IF(A146="","",IF(OR(B146&lt;&gt;B145,C146&lt;&gt;C145,D146&lt;&gt;D145,E146&lt;&gt;E145),G145+1,G145))</f>
        <v/>
      </c>
    </row>
    <row r="147">
      <c r="A147" s="14">
        <f>IF(OR(NOT(ISNUMBER(Ввод!$B$5)),NOT(ISNUMBER(Ввод!$B$6))),"",IF(Ввод!$B$5+145&gt;Ввод!$B$6,"",Ввод!$B$5+145))</f>
        <v/>
      </c>
      <c r="B147">
        <f>IF(A147="","",IFERROR(INDEX(Ввод!$B$12:$B$71,MATCH(A147,Ввод!$D$12:$D$71,1)),""))</f>
        <v/>
      </c>
      <c r="C147">
        <f>IF(A147="","",DATE(YEAR(A147),12,31)-DATE(YEAR(A147),1,1)+1)</f>
        <v/>
      </c>
      <c r="D147">
        <f>IF(A147="","",Ввод!$B$4-SUMIF(Оплаты!$A$6:$A$505,"&lt;"&amp;A147,Оплаты!$B$6:$B$505))</f>
        <v/>
      </c>
      <c r="E147">
        <f>IF(A147="","",IF(SUMPRODUCT((Ввод!$F$12:$F$31&lt;&gt;"")*(Ввод!$F$12:$F$31&lt;=A147)*(Ввод!$G$12:$G$31&gt;=A147))&gt;0,1,0))</f>
        <v/>
      </c>
      <c r="F147">
        <f>IF(OR(A147="",B147=""),"",IF(E147=1,0,D147*B147/100/C147))</f>
        <v/>
      </c>
      <c r="G147">
        <f>IF(A147="","",IF(OR(B147&lt;&gt;B146,C147&lt;&gt;C146,D147&lt;&gt;D146,E147&lt;&gt;E146),G146+1,G146))</f>
        <v/>
      </c>
    </row>
    <row r="148">
      <c r="A148" s="14">
        <f>IF(OR(NOT(ISNUMBER(Ввод!$B$5)),NOT(ISNUMBER(Ввод!$B$6))),"",IF(Ввод!$B$5+146&gt;Ввод!$B$6,"",Ввод!$B$5+146))</f>
        <v/>
      </c>
      <c r="B148">
        <f>IF(A148="","",IFERROR(INDEX(Ввод!$B$12:$B$71,MATCH(A148,Ввод!$D$12:$D$71,1)),""))</f>
        <v/>
      </c>
      <c r="C148">
        <f>IF(A148="","",DATE(YEAR(A148),12,31)-DATE(YEAR(A148),1,1)+1)</f>
        <v/>
      </c>
      <c r="D148">
        <f>IF(A148="","",Ввод!$B$4-SUMIF(Оплаты!$A$6:$A$505,"&lt;"&amp;A148,Оплаты!$B$6:$B$505))</f>
        <v/>
      </c>
      <c r="E148">
        <f>IF(A148="","",IF(SUMPRODUCT((Ввод!$F$12:$F$31&lt;&gt;"")*(Ввод!$F$12:$F$31&lt;=A148)*(Ввод!$G$12:$G$31&gt;=A148))&gt;0,1,0))</f>
        <v/>
      </c>
      <c r="F148">
        <f>IF(OR(A148="",B148=""),"",IF(E148=1,0,D148*B148/100/C148))</f>
        <v/>
      </c>
      <c r="G148">
        <f>IF(A148="","",IF(OR(B148&lt;&gt;B147,C148&lt;&gt;C147,D148&lt;&gt;D147,E148&lt;&gt;E147),G147+1,G147))</f>
        <v/>
      </c>
    </row>
    <row r="149">
      <c r="A149" s="14">
        <f>IF(OR(NOT(ISNUMBER(Ввод!$B$5)),NOT(ISNUMBER(Ввод!$B$6))),"",IF(Ввод!$B$5+147&gt;Ввод!$B$6,"",Ввод!$B$5+147))</f>
        <v/>
      </c>
      <c r="B149">
        <f>IF(A149="","",IFERROR(INDEX(Ввод!$B$12:$B$71,MATCH(A149,Ввод!$D$12:$D$71,1)),""))</f>
        <v/>
      </c>
      <c r="C149">
        <f>IF(A149="","",DATE(YEAR(A149),12,31)-DATE(YEAR(A149),1,1)+1)</f>
        <v/>
      </c>
      <c r="D149">
        <f>IF(A149="","",Ввод!$B$4-SUMIF(Оплаты!$A$6:$A$505,"&lt;"&amp;A149,Оплаты!$B$6:$B$505))</f>
        <v/>
      </c>
      <c r="E149">
        <f>IF(A149="","",IF(SUMPRODUCT((Ввод!$F$12:$F$31&lt;&gt;"")*(Ввод!$F$12:$F$31&lt;=A149)*(Ввод!$G$12:$G$31&gt;=A149))&gt;0,1,0))</f>
        <v/>
      </c>
      <c r="F149">
        <f>IF(OR(A149="",B149=""),"",IF(E149=1,0,D149*B149/100/C149))</f>
        <v/>
      </c>
      <c r="G149">
        <f>IF(A149="","",IF(OR(B149&lt;&gt;B148,C149&lt;&gt;C148,D149&lt;&gt;D148,E149&lt;&gt;E148),G148+1,G148))</f>
        <v/>
      </c>
    </row>
    <row r="150">
      <c r="A150" s="14">
        <f>IF(OR(NOT(ISNUMBER(Ввод!$B$5)),NOT(ISNUMBER(Ввод!$B$6))),"",IF(Ввод!$B$5+148&gt;Ввод!$B$6,"",Ввод!$B$5+148))</f>
        <v/>
      </c>
      <c r="B150">
        <f>IF(A150="","",IFERROR(INDEX(Ввод!$B$12:$B$71,MATCH(A150,Ввод!$D$12:$D$71,1)),""))</f>
        <v/>
      </c>
      <c r="C150">
        <f>IF(A150="","",DATE(YEAR(A150),12,31)-DATE(YEAR(A150),1,1)+1)</f>
        <v/>
      </c>
      <c r="D150">
        <f>IF(A150="","",Ввод!$B$4-SUMIF(Оплаты!$A$6:$A$505,"&lt;"&amp;A150,Оплаты!$B$6:$B$505))</f>
        <v/>
      </c>
      <c r="E150">
        <f>IF(A150="","",IF(SUMPRODUCT((Ввод!$F$12:$F$31&lt;&gt;"")*(Ввод!$F$12:$F$31&lt;=A150)*(Ввод!$G$12:$G$31&gt;=A150))&gt;0,1,0))</f>
        <v/>
      </c>
      <c r="F150">
        <f>IF(OR(A150="",B150=""),"",IF(E150=1,0,D150*B150/100/C150))</f>
        <v/>
      </c>
      <c r="G150">
        <f>IF(A150="","",IF(OR(B150&lt;&gt;B149,C150&lt;&gt;C149,D150&lt;&gt;D149,E150&lt;&gt;E149),G149+1,G149))</f>
        <v/>
      </c>
    </row>
    <row r="151">
      <c r="A151" s="14">
        <f>IF(OR(NOT(ISNUMBER(Ввод!$B$5)),NOT(ISNUMBER(Ввод!$B$6))),"",IF(Ввод!$B$5+149&gt;Ввод!$B$6,"",Ввод!$B$5+149))</f>
        <v/>
      </c>
      <c r="B151">
        <f>IF(A151="","",IFERROR(INDEX(Ввод!$B$12:$B$71,MATCH(A151,Ввод!$D$12:$D$71,1)),""))</f>
        <v/>
      </c>
      <c r="C151">
        <f>IF(A151="","",DATE(YEAR(A151),12,31)-DATE(YEAR(A151),1,1)+1)</f>
        <v/>
      </c>
      <c r="D151">
        <f>IF(A151="","",Ввод!$B$4-SUMIF(Оплаты!$A$6:$A$505,"&lt;"&amp;A151,Оплаты!$B$6:$B$505))</f>
        <v/>
      </c>
      <c r="E151">
        <f>IF(A151="","",IF(SUMPRODUCT((Ввод!$F$12:$F$31&lt;&gt;"")*(Ввод!$F$12:$F$31&lt;=A151)*(Ввод!$G$12:$G$31&gt;=A151))&gt;0,1,0))</f>
        <v/>
      </c>
      <c r="F151">
        <f>IF(OR(A151="",B151=""),"",IF(E151=1,0,D151*B151/100/C151))</f>
        <v/>
      </c>
      <c r="G151">
        <f>IF(A151="","",IF(OR(B151&lt;&gt;B150,C151&lt;&gt;C150,D151&lt;&gt;D150,E151&lt;&gt;E150),G150+1,G150))</f>
        <v/>
      </c>
    </row>
    <row r="152">
      <c r="A152" s="14">
        <f>IF(OR(NOT(ISNUMBER(Ввод!$B$5)),NOT(ISNUMBER(Ввод!$B$6))),"",IF(Ввод!$B$5+150&gt;Ввод!$B$6,"",Ввод!$B$5+150))</f>
        <v/>
      </c>
      <c r="B152">
        <f>IF(A152="","",IFERROR(INDEX(Ввод!$B$12:$B$71,MATCH(A152,Ввод!$D$12:$D$71,1)),""))</f>
        <v/>
      </c>
      <c r="C152">
        <f>IF(A152="","",DATE(YEAR(A152),12,31)-DATE(YEAR(A152),1,1)+1)</f>
        <v/>
      </c>
      <c r="D152">
        <f>IF(A152="","",Ввод!$B$4-SUMIF(Оплаты!$A$6:$A$505,"&lt;"&amp;A152,Оплаты!$B$6:$B$505))</f>
        <v/>
      </c>
      <c r="E152">
        <f>IF(A152="","",IF(SUMPRODUCT((Ввод!$F$12:$F$31&lt;&gt;"")*(Ввод!$F$12:$F$31&lt;=A152)*(Ввод!$G$12:$G$31&gt;=A152))&gt;0,1,0))</f>
        <v/>
      </c>
      <c r="F152">
        <f>IF(OR(A152="",B152=""),"",IF(E152=1,0,D152*B152/100/C152))</f>
        <v/>
      </c>
      <c r="G152">
        <f>IF(A152="","",IF(OR(B152&lt;&gt;B151,C152&lt;&gt;C151,D152&lt;&gt;D151,E152&lt;&gt;E151),G151+1,G151))</f>
        <v/>
      </c>
    </row>
    <row r="153">
      <c r="A153" s="14">
        <f>IF(OR(NOT(ISNUMBER(Ввод!$B$5)),NOT(ISNUMBER(Ввод!$B$6))),"",IF(Ввод!$B$5+151&gt;Ввод!$B$6,"",Ввод!$B$5+151))</f>
        <v/>
      </c>
      <c r="B153">
        <f>IF(A153="","",IFERROR(INDEX(Ввод!$B$12:$B$71,MATCH(A153,Ввод!$D$12:$D$71,1)),""))</f>
        <v/>
      </c>
      <c r="C153">
        <f>IF(A153="","",DATE(YEAR(A153),12,31)-DATE(YEAR(A153),1,1)+1)</f>
        <v/>
      </c>
      <c r="D153">
        <f>IF(A153="","",Ввод!$B$4-SUMIF(Оплаты!$A$6:$A$505,"&lt;"&amp;A153,Оплаты!$B$6:$B$505))</f>
        <v/>
      </c>
      <c r="E153">
        <f>IF(A153="","",IF(SUMPRODUCT((Ввод!$F$12:$F$31&lt;&gt;"")*(Ввод!$F$12:$F$31&lt;=A153)*(Ввод!$G$12:$G$31&gt;=A153))&gt;0,1,0))</f>
        <v/>
      </c>
      <c r="F153">
        <f>IF(OR(A153="",B153=""),"",IF(E153=1,0,D153*B153/100/C153))</f>
        <v/>
      </c>
      <c r="G153">
        <f>IF(A153="","",IF(OR(B153&lt;&gt;B152,C153&lt;&gt;C152,D153&lt;&gt;D152,E153&lt;&gt;E152),G152+1,G152))</f>
        <v/>
      </c>
    </row>
    <row r="154">
      <c r="A154" s="14">
        <f>IF(OR(NOT(ISNUMBER(Ввод!$B$5)),NOT(ISNUMBER(Ввод!$B$6))),"",IF(Ввод!$B$5+152&gt;Ввод!$B$6,"",Ввод!$B$5+152))</f>
        <v/>
      </c>
      <c r="B154">
        <f>IF(A154="","",IFERROR(INDEX(Ввод!$B$12:$B$71,MATCH(A154,Ввод!$D$12:$D$71,1)),""))</f>
        <v/>
      </c>
      <c r="C154">
        <f>IF(A154="","",DATE(YEAR(A154),12,31)-DATE(YEAR(A154),1,1)+1)</f>
        <v/>
      </c>
      <c r="D154">
        <f>IF(A154="","",Ввод!$B$4-SUMIF(Оплаты!$A$6:$A$505,"&lt;"&amp;A154,Оплаты!$B$6:$B$505))</f>
        <v/>
      </c>
      <c r="E154">
        <f>IF(A154="","",IF(SUMPRODUCT((Ввод!$F$12:$F$31&lt;&gt;"")*(Ввод!$F$12:$F$31&lt;=A154)*(Ввод!$G$12:$G$31&gt;=A154))&gt;0,1,0))</f>
        <v/>
      </c>
      <c r="F154">
        <f>IF(OR(A154="",B154=""),"",IF(E154=1,0,D154*B154/100/C154))</f>
        <v/>
      </c>
      <c r="G154">
        <f>IF(A154="","",IF(OR(B154&lt;&gt;B153,C154&lt;&gt;C153,D154&lt;&gt;D153,E154&lt;&gt;E153),G153+1,G153))</f>
        <v/>
      </c>
    </row>
    <row r="155">
      <c r="A155" s="14">
        <f>IF(OR(NOT(ISNUMBER(Ввод!$B$5)),NOT(ISNUMBER(Ввод!$B$6))),"",IF(Ввод!$B$5+153&gt;Ввод!$B$6,"",Ввод!$B$5+153))</f>
        <v/>
      </c>
      <c r="B155">
        <f>IF(A155="","",IFERROR(INDEX(Ввод!$B$12:$B$71,MATCH(A155,Ввод!$D$12:$D$71,1)),""))</f>
        <v/>
      </c>
      <c r="C155">
        <f>IF(A155="","",DATE(YEAR(A155),12,31)-DATE(YEAR(A155),1,1)+1)</f>
        <v/>
      </c>
      <c r="D155">
        <f>IF(A155="","",Ввод!$B$4-SUMIF(Оплаты!$A$6:$A$505,"&lt;"&amp;A155,Оплаты!$B$6:$B$505))</f>
        <v/>
      </c>
      <c r="E155">
        <f>IF(A155="","",IF(SUMPRODUCT((Ввод!$F$12:$F$31&lt;&gt;"")*(Ввод!$F$12:$F$31&lt;=A155)*(Ввод!$G$12:$G$31&gt;=A155))&gt;0,1,0))</f>
        <v/>
      </c>
      <c r="F155">
        <f>IF(OR(A155="",B155=""),"",IF(E155=1,0,D155*B155/100/C155))</f>
        <v/>
      </c>
      <c r="G155">
        <f>IF(A155="","",IF(OR(B155&lt;&gt;B154,C155&lt;&gt;C154,D155&lt;&gt;D154,E155&lt;&gt;E154),G154+1,G154))</f>
        <v/>
      </c>
    </row>
    <row r="156">
      <c r="A156" s="14">
        <f>IF(OR(NOT(ISNUMBER(Ввод!$B$5)),NOT(ISNUMBER(Ввод!$B$6))),"",IF(Ввод!$B$5+154&gt;Ввод!$B$6,"",Ввод!$B$5+154))</f>
        <v/>
      </c>
      <c r="B156">
        <f>IF(A156="","",IFERROR(INDEX(Ввод!$B$12:$B$71,MATCH(A156,Ввод!$D$12:$D$71,1)),""))</f>
        <v/>
      </c>
      <c r="C156">
        <f>IF(A156="","",DATE(YEAR(A156),12,31)-DATE(YEAR(A156),1,1)+1)</f>
        <v/>
      </c>
      <c r="D156">
        <f>IF(A156="","",Ввод!$B$4-SUMIF(Оплаты!$A$6:$A$505,"&lt;"&amp;A156,Оплаты!$B$6:$B$505))</f>
        <v/>
      </c>
      <c r="E156">
        <f>IF(A156="","",IF(SUMPRODUCT((Ввод!$F$12:$F$31&lt;&gt;"")*(Ввод!$F$12:$F$31&lt;=A156)*(Ввод!$G$12:$G$31&gt;=A156))&gt;0,1,0))</f>
        <v/>
      </c>
      <c r="F156">
        <f>IF(OR(A156="",B156=""),"",IF(E156=1,0,D156*B156/100/C156))</f>
        <v/>
      </c>
      <c r="G156">
        <f>IF(A156="","",IF(OR(B156&lt;&gt;B155,C156&lt;&gt;C155,D156&lt;&gt;D155,E156&lt;&gt;E155),G155+1,G155))</f>
        <v/>
      </c>
    </row>
    <row r="157">
      <c r="A157" s="14">
        <f>IF(OR(NOT(ISNUMBER(Ввод!$B$5)),NOT(ISNUMBER(Ввод!$B$6))),"",IF(Ввод!$B$5+155&gt;Ввод!$B$6,"",Ввод!$B$5+155))</f>
        <v/>
      </c>
      <c r="B157">
        <f>IF(A157="","",IFERROR(INDEX(Ввод!$B$12:$B$71,MATCH(A157,Ввод!$D$12:$D$71,1)),""))</f>
        <v/>
      </c>
      <c r="C157">
        <f>IF(A157="","",DATE(YEAR(A157),12,31)-DATE(YEAR(A157),1,1)+1)</f>
        <v/>
      </c>
      <c r="D157">
        <f>IF(A157="","",Ввод!$B$4-SUMIF(Оплаты!$A$6:$A$505,"&lt;"&amp;A157,Оплаты!$B$6:$B$505))</f>
        <v/>
      </c>
      <c r="E157">
        <f>IF(A157="","",IF(SUMPRODUCT((Ввод!$F$12:$F$31&lt;&gt;"")*(Ввод!$F$12:$F$31&lt;=A157)*(Ввод!$G$12:$G$31&gt;=A157))&gt;0,1,0))</f>
        <v/>
      </c>
      <c r="F157">
        <f>IF(OR(A157="",B157=""),"",IF(E157=1,0,D157*B157/100/C157))</f>
        <v/>
      </c>
      <c r="G157">
        <f>IF(A157="","",IF(OR(B157&lt;&gt;B156,C157&lt;&gt;C156,D157&lt;&gt;D156,E157&lt;&gt;E156),G156+1,G156))</f>
        <v/>
      </c>
    </row>
    <row r="158">
      <c r="A158" s="14">
        <f>IF(OR(NOT(ISNUMBER(Ввод!$B$5)),NOT(ISNUMBER(Ввод!$B$6))),"",IF(Ввод!$B$5+156&gt;Ввод!$B$6,"",Ввод!$B$5+156))</f>
        <v/>
      </c>
      <c r="B158">
        <f>IF(A158="","",IFERROR(INDEX(Ввод!$B$12:$B$71,MATCH(A158,Ввод!$D$12:$D$71,1)),""))</f>
        <v/>
      </c>
      <c r="C158">
        <f>IF(A158="","",DATE(YEAR(A158),12,31)-DATE(YEAR(A158),1,1)+1)</f>
        <v/>
      </c>
      <c r="D158">
        <f>IF(A158="","",Ввод!$B$4-SUMIF(Оплаты!$A$6:$A$505,"&lt;"&amp;A158,Оплаты!$B$6:$B$505))</f>
        <v/>
      </c>
      <c r="E158">
        <f>IF(A158="","",IF(SUMPRODUCT((Ввод!$F$12:$F$31&lt;&gt;"")*(Ввод!$F$12:$F$31&lt;=A158)*(Ввод!$G$12:$G$31&gt;=A158))&gt;0,1,0))</f>
        <v/>
      </c>
      <c r="F158">
        <f>IF(OR(A158="",B158=""),"",IF(E158=1,0,D158*B158/100/C158))</f>
        <v/>
      </c>
      <c r="G158">
        <f>IF(A158="","",IF(OR(B158&lt;&gt;B157,C158&lt;&gt;C157,D158&lt;&gt;D157,E158&lt;&gt;E157),G157+1,G157))</f>
        <v/>
      </c>
    </row>
    <row r="159">
      <c r="A159" s="14">
        <f>IF(OR(NOT(ISNUMBER(Ввод!$B$5)),NOT(ISNUMBER(Ввод!$B$6))),"",IF(Ввод!$B$5+157&gt;Ввод!$B$6,"",Ввод!$B$5+157))</f>
        <v/>
      </c>
      <c r="B159">
        <f>IF(A159="","",IFERROR(INDEX(Ввод!$B$12:$B$71,MATCH(A159,Ввод!$D$12:$D$71,1)),""))</f>
        <v/>
      </c>
      <c r="C159">
        <f>IF(A159="","",DATE(YEAR(A159),12,31)-DATE(YEAR(A159),1,1)+1)</f>
        <v/>
      </c>
      <c r="D159">
        <f>IF(A159="","",Ввод!$B$4-SUMIF(Оплаты!$A$6:$A$505,"&lt;"&amp;A159,Оплаты!$B$6:$B$505))</f>
        <v/>
      </c>
      <c r="E159">
        <f>IF(A159="","",IF(SUMPRODUCT((Ввод!$F$12:$F$31&lt;&gt;"")*(Ввод!$F$12:$F$31&lt;=A159)*(Ввод!$G$12:$G$31&gt;=A159))&gt;0,1,0))</f>
        <v/>
      </c>
      <c r="F159">
        <f>IF(OR(A159="",B159=""),"",IF(E159=1,0,D159*B159/100/C159))</f>
        <v/>
      </c>
      <c r="G159">
        <f>IF(A159="","",IF(OR(B159&lt;&gt;B158,C159&lt;&gt;C158,D159&lt;&gt;D158,E159&lt;&gt;E158),G158+1,G158))</f>
        <v/>
      </c>
    </row>
    <row r="160">
      <c r="A160" s="14">
        <f>IF(OR(NOT(ISNUMBER(Ввод!$B$5)),NOT(ISNUMBER(Ввод!$B$6))),"",IF(Ввод!$B$5+158&gt;Ввод!$B$6,"",Ввод!$B$5+158))</f>
        <v/>
      </c>
      <c r="B160">
        <f>IF(A160="","",IFERROR(INDEX(Ввод!$B$12:$B$71,MATCH(A160,Ввод!$D$12:$D$71,1)),""))</f>
        <v/>
      </c>
      <c r="C160">
        <f>IF(A160="","",DATE(YEAR(A160),12,31)-DATE(YEAR(A160),1,1)+1)</f>
        <v/>
      </c>
      <c r="D160">
        <f>IF(A160="","",Ввод!$B$4-SUMIF(Оплаты!$A$6:$A$505,"&lt;"&amp;A160,Оплаты!$B$6:$B$505))</f>
        <v/>
      </c>
      <c r="E160">
        <f>IF(A160="","",IF(SUMPRODUCT((Ввод!$F$12:$F$31&lt;&gt;"")*(Ввод!$F$12:$F$31&lt;=A160)*(Ввод!$G$12:$G$31&gt;=A160))&gt;0,1,0))</f>
        <v/>
      </c>
      <c r="F160">
        <f>IF(OR(A160="",B160=""),"",IF(E160=1,0,D160*B160/100/C160))</f>
        <v/>
      </c>
      <c r="G160">
        <f>IF(A160="","",IF(OR(B160&lt;&gt;B159,C160&lt;&gt;C159,D160&lt;&gt;D159,E160&lt;&gt;E159),G159+1,G159))</f>
        <v/>
      </c>
    </row>
    <row r="161">
      <c r="A161" s="14">
        <f>IF(OR(NOT(ISNUMBER(Ввод!$B$5)),NOT(ISNUMBER(Ввод!$B$6))),"",IF(Ввод!$B$5+159&gt;Ввод!$B$6,"",Ввод!$B$5+159))</f>
        <v/>
      </c>
      <c r="B161">
        <f>IF(A161="","",IFERROR(INDEX(Ввод!$B$12:$B$71,MATCH(A161,Ввод!$D$12:$D$71,1)),""))</f>
        <v/>
      </c>
      <c r="C161">
        <f>IF(A161="","",DATE(YEAR(A161),12,31)-DATE(YEAR(A161),1,1)+1)</f>
        <v/>
      </c>
      <c r="D161">
        <f>IF(A161="","",Ввод!$B$4-SUMIF(Оплаты!$A$6:$A$505,"&lt;"&amp;A161,Оплаты!$B$6:$B$505))</f>
        <v/>
      </c>
      <c r="E161">
        <f>IF(A161="","",IF(SUMPRODUCT((Ввод!$F$12:$F$31&lt;&gt;"")*(Ввод!$F$12:$F$31&lt;=A161)*(Ввод!$G$12:$G$31&gt;=A161))&gt;0,1,0))</f>
        <v/>
      </c>
      <c r="F161">
        <f>IF(OR(A161="",B161=""),"",IF(E161=1,0,D161*B161/100/C161))</f>
        <v/>
      </c>
      <c r="G161">
        <f>IF(A161="","",IF(OR(B161&lt;&gt;B160,C161&lt;&gt;C160,D161&lt;&gt;D160,E161&lt;&gt;E160),G160+1,G160))</f>
        <v/>
      </c>
    </row>
    <row r="162">
      <c r="A162" s="14">
        <f>IF(OR(NOT(ISNUMBER(Ввод!$B$5)),NOT(ISNUMBER(Ввод!$B$6))),"",IF(Ввод!$B$5+160&gt;Ввод!$B$6,"",Ввод!$B$5+160))</f>
        <v/>
      </c>
      <c r="B162">
        <f>IF(A162="","",IFERROR(INDEX(Ввод!$B$12:$B$71,MATCH(A162,Ввод!$D$12:$D$71,1)),""))</f>
        <v/>
      </c>
      <c r="C162">
        <f>IF(A162="","",DATE(YEAR(A162),12,31)-DATE(YEAR(A162),1,1)+1)</f>
        <v/>
      </c>
      <c r="D162">
        <f>IF(A162="","",Ввод!$B$4-SUMIF(Оплаты!$A$6:$A$505,"&lt;"&amp;A162,Оплаты!$B$6:$B$505))</f>
        <v/>
      </c>
      <c r="E162">
        <f>IF(A162="","",IF(SUMPRODUCT((Ввод!$F$12:$F$31&lt;&gt;"")*(Ввод!$F$12:$F$31&lt;=A162)*(Ввод!$G$12:$G$31&gt;=A162))&gt;0,1,0))</f>
        <v/>
      </c>
      <c r="F162">
        <f>IF(OR(A162="",B162=""),"",IF(E162=1,0,D162*B162/100/C162))</f>
        <v/>
      </c>
      <c r="G162">
        <f>IF(A162="","",IF(OR(B162&lt;&gt;B161,C162&lt;&gt;C161,D162&lt;&gt;D161,E162&lt;&gt;E161),G161+1,G161))</f>
        <v/>
      </c>
    </row>
    <row r="163">
      <c r="A163" s="14">
        <f>IF(OR(NOT(ISNUMBER(Ввод!$B$5)),NOT(ISNUMBER(Ввод!$B$6))),"",IF(Ввод!$B$5+161&gt;Ввод!$B$6,"",Ввод!$B$5+161))</f>
        <v/>
      </c>
      <c r="B163">
        <f>IF(A163="","",IFERROR(INDEX(Ввод!$B$12:$B$71,MATCH(A163,Ввод!$D$12:$D$71,1)),""))</f>
        <v/>
      </c>
      <c r="C163">
        <f>IF(A163="","",DATE(YEAR(A163),12,31)-DATE(YEAR(A163),1,1)+1)</f>
        <v/>
      </c>
      <c r="D163">
        <f>IF(A163="","",Ввод!$B$4-SUMIF(Оплаты!$A$6:$A$505,"&lt;"&amp;A163,Оплаты!$B$6:$B$505))</f>
        <v/>
      </c>
      <c r="E163">
        <f>IF(A163="","",IF(SUMPRODUCT((Ввод!$F$12:$F$31&lt;&gt;"")*(Ввод!$F$12:$F$31&lt;=A163)*(Ввод!$G$12:$G$31&gt;=A163))&gt;0,1,0))</f>
        <v/>
      </c>
      <c r="F163">
        <f>IF(OR(A163="",B163=""),"",IF(E163=1,0,D163*B163/100/C163))</f>
        <v/>
      </c>
      <c r="G163">
        <f>IF(A163="","",IF(OR(B163&lt;&gt;B162,C163&lt;&gt;C162,D163&lt;&gt;D162,E163&lt;&gt;E162),G162+1,G162))</f>
        <v/>
      </c>
    </row>
    <row r="164">
      <c r="A164" s="14">
        <f>IF(OR(NOT(ISNUMBER(Ввод!$B$5)),NOT(ISNUMBER(Ввод!$B$6))),"",IF(Ввод!$B$5+162&gt;Ввод!$B$6,"",Ввод!$B$5+162))</f>
        <v/>
      </c>
      <c r="B164">
        <f>IF(A164="","",IFERROR(INDEX(Ввод!$B$12:$B$71,MATCH(A164,Ввод!$D$12:$D$71,1)),""))</f>
        <v/>
      </c>
      <c r="C164">
        <f>IF(A164="","",DATE(YEAR(A164),12,31)-DATE(YEAR(A164),1,1)+1)</f>
        <v/>
      </c>
      <c r="D164">
        <f>IF(A164="","",Ввод!$B$4-SUMIF(Оплаты!$A$6:$A$505,"&lt;"&amp;A164,Оплаты!$B$6:$B$505))</f>
        <v/>
      </c>
      <c r="E164">
        <f>IF(A164="","",IF(SUMPRODUCT((Ввод!$F$12:$F$31&lt;&gt;"")*(Ввод!$F$12:$F$31&lt;=A164)*(Ввод!$G$12:$G$31&gt;=A164))&gt;0,1,0))</f>
        <v/>
      </c>
      <c r="F164">
        <f>IF(OR(A164="",B164=""),"",IF(E164=1,0,D164*B164/100/C164))</f>
        <v/>
      </c>
      <c r="G164">
        <f>IF(A164="","",IF(OR(B164&lt;&gt;B163,C164&lt;&gt;C163,D164&lt;&gt;D163,E164&lt;&gt;E163),G163+1,G163))</f>
        <v/>
      </c>
    </row>
    <row r="165">
      <c r="A165" s="14">
        <f>IF(OR(NOT(ISNUMBER(Ввод!$B$5)),NOT(ISNUMBER(Ввод!$B$6))),"",IF(Ввод!$B$5+163&gt;Ввод!$B$6,"",Ввод!$B$5+163))</f>
        <v/>
      </c>
      <c r="B165">
        <f>IF(A165="","",IFERROR(INDEX(Ввод!$B$12:$B$71,MATCH(A165,Ввод!$D$12:$D$71,1)),""))</f>
        <v/>
      </c>
      <c r="C165">
        <f>IF(A165="","",DATE(YEAR(A165),12,31)-DATE(YEAR(A165),1,1)+1)</f>
        <v/>
      </c>
      <c r="D165">
        <f>IF(A165="","",Ввод!$B$4-SUMIF(Оплаты!$A$6:$A$505,"&lt;"&amp;A165,Оплаты!$B$6:$B$505))</f>
        <v/>
      </c>
      <c r="E165">
        <f>IF(A165="","",IF(SUMPRODUCT((Ввод!$F$12:$F$31&lt;&gt;"")*(Ввод!$F$12:$F$31&lt;=A165)*(Ввод!$G$12:$G$31&gt;=A165))&gt;0,1,0))</f>
        <v/>
      </c>
      <c r="F165">
        <f>IF(OR(A165="",B165=""),"",IF(E165=1,0,D165*B165/100/C165))</f>
        <v/>
      </c>
      <c r="G165">
        <f>IF(A165="","",IF(OR(B165&lt;&gt;B164,C165&lt;&gt;C164,D165&lt;&gt;D164,E165&lt;&gt;E164),G164+1,G164))</f>
        <v/>
      </c>
    </row>
    <row r="166">
      <c r="A166" s="14">
        <f>IF(OR(NOT(ISNUMBER(Ввод!$B$5)),NOT(ISNUMBER(Ввод!$B$6))),"",IF(Ввод!$B$5+164&gt;Ввод!$B$6,"",Ввод!$B$5+164))</f>
        <v/>
      </c>
      <c r="B166">
        <f>IF(A166="","",IFERROR(INDEX(Ввод!$B$12:$B$71,MATCH(A166,Ввод!$D$12:$D$71,1)),""))</f>
        <v/>
      </c>
      <c r="C166">
        <f>IF(A166="","",DATE(YEAR(A166),12,31)-DATE(YEAR(A166),1,1)+1)</f>
        <v/>
      </c>
      <c r="D166">
        <f>IF(A166="","",Ввод!$B$4-SUMIF(Оплаты!$A$6:$A$505,"&lt;"&amp;A166,Оплаты!$B$6:$B$505))</f>
        <v/>
      </c>
      <c r="E166">
        <f>IF(A166="","",IF(SUMPRODUCT((Ввод!$F$12:$F$31&lt;&gt;"")*(Ввод!$F$12:$F$31&lt;=A166)*(Ввод!$G$12:$G$31&gt;=A166))&gt;0,1,0))</f>
        <v/>
      </c>
      <c r="F166">
        <f>IF(OR(A166="",B166=""),"",IF(E166=1,0,D166*B166/100/C166))</f>
        <v/>
      </c>
      <c r="G166">
        <f>IF(A166="","",IF(OR(B166&lt;&gt;B165,C166&lt;&gt;C165,D166&lt;&gt;D165,E166&lt;&gt;E165),G165+1,G165))</f>
        <v/>
      </c>
    </row>
    <row r="167">
      <c r="A167" s="14">
        <f>IF(OR(NOT(ISNUMBER(Ввод!$B$5)),NOT(ISNUMBER(Ввод!$B$6))),"",IF(Ввод!$B$5+165&gt;Ввод!$B$6,"",Ввод!$B$5+165))</f>
        <v/>
      </c>
      <c r="B167">
        <f>IF(A167="","",IFERROR(INDEX(Ввод!$B$12:$B$71,MATCH(A167,Ввод!$D$12:$D$71,1)),""))</f>
        <v/>
      </c>
      <c r="C167">
        <f>IF(A167="","",DATE(YEAR(A167),12,31)-DATE(YEAR(A167),1,1)+1)</f>
        <v/>
      </c>
      <c r="D167">
        <f>IF(A167="","",Ввод!$B$4-SUMIF(Оплаты!$A$6:$A$505,"&lt;"&amp;A167,Оплаты!$B$6:$B$505))</f>
        <v/>
      </c>
      <c r="E167">
        <f>IF(A167="","",IF(SUMPRODUCT((Ввод!$F$12:$F$31&lt;&gt;"")*(Ввод!$F$12:$F$31&lt;=A167)*(Ввод!$G$12:$G$31&gt;=A167))&gt;0,1,0))</f>
        <v/>
      </c>
      <c r="F167">
        <f>IF(OR(A167="",B167=""),"",IF(E167=1,0,D167*B167/100/C167))</f>
        <v/>
      </c>
      <c r="G167">
        <f>IF(A167="","",IF(OR(B167&lt;&gt;B166,C167&lt;&gt;C166,D167&lt;&gt;D166,E167&lt;&gt;E166),G166+1,G166))</f>
        <v/>
      </c>
    </row>
    <row r="168">
      <c r="A168" s="14">
        <f>IF(OR(NOT(ISNUMBER(Ввод!$B$5)),NOT(ISNUMBER(Ввод!$B$6))),"",IF(Ввод!$B$5+166&gt;Ввод!$B$6,"",Ввод!$B$5+166))</f>
        <v/>
      </c>
      <c r="B168">
        <f>IF(A168="","",IFERROR(INDEX(Ввод!$B$12:$B$71,MATCH(A168,Ввод!$D$12:$D$71,1)),""))</f>
        <v/>
      </c>
      <c r="C168">
        <f>IF(A168="","",DATE(YEAR(A168),12,31)-DATE(YEAR(A168),1,1)+1)</f>
        <v/>
      </c>
      <c r="D168">
        <f>IF(A168="","",Ввод!$B$4-SUMIF(Оплаты!$A$6:$A$505,"&lt;"&amp;A168,Оплаты!$B$6:$B$505))</f>
        <v/>
      </c>
      <c r="E168">
        <f>IF(A168="","",IF(SUMPRODUCT((Ввод!$F$12:$F$31&lt;&gt;"")*(Ввод!$F$12:$F$31&lt;=A168)*(Ввод!$G$12:$G$31&gt;=A168))&gt;0,1,0))</f>
        <v/>
      </c>
      <c r="F168">
        <f>IF(OR(A168="",B168=""),"",IF(E168=1,0,D168*B168/100/C168))</f>
        <v/>
      </c>
      <c r="G168">
        <f>IF(A168="","",IF(OR(B168&lt;&gt;B167,C168&lt;&gt;C167,D168&lt;&gt;D167,E168&lt;&gt;E167),G167+1,G167))</f>
        <v/>
      </c>
    </row>
    <row r="169">
      <c r="A169" s="14">
        <f>IF(OR(NOT(ISNUMBER(Ввод!$B$5)),NOT(ISNUMBER(Ввод!$B$6))),"",IF(Ввод!$B$5+167&gt;Ввод!$B$6,"",Ввод!$B$5+167))</f>
        <v/>
      </c>
      <c r="B169">
        <f>IF(A169="","",IFERROR(INDEX(Ввод!$B$12:$B$71,MATCH(A169,Ввод!$D$12:$D$71,1)),""))</f>
        <v/>
      </c>
      <c r="C169">
        <f>IF(A169="","",DATE(YEAR(A169),12,31)-DATE(YEAR(A169),1,1)+1)</f>
        <v/>
      </c>
      <c r="D169">
        <f>IF(A169="","",Ввод!$B$4-SUMIF(Оплаты!$A$6:$A$505,"&lt;"&amp;A169,Оплаты!$B$6:$B$505))</f>
        <v/>
      </c>
      <c r="E169">
        <f>IF(A169="","",IF(SUMPRODUCT((Ввод!$F$12:$F$31&lt;&gt;"")*(Ввод!$F$12:$F$31&lt;=A169)*(Ввод!$G$12:$G$31&gt;=A169))&gt;0,1,0))</f>
        <v/>
      </c>
      <c r="F169">
        <f>IF(OR(A169="",B169=""),"",IF(E169=1,0,D169*B169/100/C169))</f>
        <v/>
      </c>
      <c r="G169">
        <f>IF(A169="","",IF(OR(B169&lt;&gt;B168,C169&lt;&gt;C168,D169&lt;&gt;D168,E169&lt;&gt;E168),G168+1,G168))</f>
        <v/>
      </c>
    </row>
    <row r="170">
      <c r="A170" s="14">
        <f>IF(OR(NOT(ISNUMBER(Ввод!$B$5)),NOT(ISNUMBER(Ввод!$B$6))),"",IF(Ввод!$B$5+168&gt;Ввод!$B$6,"",Ввод!$B$5+168))</f>
        <v/>
      </c>
      <c r="B170">
        <f>IF(A170="","",IFERROR(INDEX(Ввод!$B$12:$B$71,MATCH(A170,Ввод!$D$12:$D$71,1)),""))</f>
        <v/>
      </c>
      <c r="C170">
        <f>IF(A170="","",DATE(YEAR(A170),12,31)-DATE(YEAR(A170),1,1)+1)</f>
        <v/>
      </c>
      <c r="D170">
        <f>IF(A170="","",Ввод!$B$4-SUMIF(Оплаты!$A$6:$A$505,"&lt;"&amp;A170,Оплаты!$B$6:$B$505))</f>
        <v/>
      </c>
      <c r="E170">
        <f>IF(A170="","",IF(SUMPRODUCT((Ввод!$F$12:$F$31&lt;&gt;"")*(Ввод!$F$12:$F$31&lt;=A170)*(Ввод!$G$12:$G$31&gt;=A170))&gt;0,1,0))</f>
        <v/>
      </c>
      <c r="F170">
        <f>IF(OR(A170="",B170=""),"",IF(E170=1,0,D170*B170/100/C170))</f>
        <v/>
      </c>
      <c r="G170">
        <f>IF(A170="","",IF(OR(B170&lt;&gt;B169,C170&lt;&gt;C169,D170&lt;&gt;D169,E170&lt;&gt;E169),G169+1,G169))</f>
        <v/>
      </c>
    </row>
    <row r="171">
      <c r="A171" s="14">
        <f>IF(OR(NOT(ISNUMBER(Ввод!$B$5)),NOT(ISNUMBER(Ввод!$B$6))),"",IF(Ввод!$B$5+169&gt;Ввод!$B$6,"",Ввод!$B$5+169))</f>
        <v/>
      </c>
      <c r="B171">
        <f>IF(A171="","",IFERROR(INDEX(Ввод!$B$12:$B$71,MATCH(A171,Ввод!$D$12:$D$71,1)),""))</f>
        <v/>
      </c>
      <c r="C171">
        <f>IF(A171="","",DATE(YEAR(A171),12,31)-DATE(YEAR(A171),1,1)+1)</f>
        <v/>
      </c>
      <c r="D171">
        <f>IF(A171="","",Ввод!$B$4-SUMIF(Оплаты!$A$6:$A$505,"&lt;"&amp;A171,Оплаты!$B$6:$B$505))</f>
        <v/>
      </c>
      <c r="E171">
        <f>IF(A171="","",IF(SUMPRODUCT((Ввод!$F$12:$F$31&lt;&gt;"")*(Ввод!$F$12:$F$31&lt;=A171)*(Ввод!$G$12:$G$31&gt;=A171))&gt;0,1,0))</f>
        <v/>
      </c>
      <c r="F171">
        <f>IF(OR(A171="",B171=""),"",IF(E171=1,0,D171*B171/100/C171))</f>
        <v/>
      </c>
      <c r="G171">
        <f>IF(A171="","",IF(OR(B171&lt;&gt;B170,C171&lt;&gt;C170,D171&lt;&gt;D170,E171&lt;&gt;E170),G170+1,G170))</f>
        <v/>
      </c>
    </row>
    <row r="172">
      <c r="A172" s="14">
        <f>IF(OR(NOT(ISNUMBER(Ввод!$B$5)),NOT(ISNUMBER(Ввод!$B$6))),"",IF(Ввод!$B$5+170&gt;Ввод!$B$6,"",Ввод!$B$5+170))</f>
        <v/>
      </c>
      <c r="B172">
        <f>IF(A172="","",IFERROR(INDEX(Ввод!$B$12:$B$71,MATCH(A172,Ввод!$D$12:$D$71,1)),""))</f>
        <v/>
      </c>
      <c r="C172">
        <f>IF(A172="","",DATE(YEAR(A172),12,31)-DATE(YEAR(A172),1,1)+1)</f>
        <v/>
      </c>
      <c r="D172">
        <f>IF(A172="","",Ввод!$B$4-SUMIF(Оплаты!$A$6:$A$505,"&lt;"&amp;A172,Оплаты!$B$6:$B$505))</f>
        <v/>
      </c>
      <c r="E172">
        <f>IF(A172="","",IF(SUMPRODUCT((Ввод!$F$12:$F$31&lt;&gt;"")*(Ввод!$F$12:$F$31&lt;=A172)*(Ввод!$G$12:$G$31&gt;=A172))&gt;0,1,0))</f>
        <v/>
      </c>
      <c r="F172">
        <f>IF(OR(A172="",B172=""),"",IF(E172=1,0,D172*B172/100/C172))</f>
        <v/>
      </c>
      <c r="G172">
        <f>IF(A172="","",IF(OR(B172&lt;&gt;B171,C172&lt;&gt;C171,D172&lt;&gt;D171,E172&lt;&gt;E171),G171+1,G171))</f>
        <v/>
      </c>
    </row>
    <row r="173">
      <c r="A173" s="14">
        <f>IF(OR(NOT(ISNUMBER(Ввод!$B$5)),NOT(ISNUMBER(Ввод!$B$6))),"",IF(Ввод!$B$5+171&gt;Ввод!$B$6,"",Ввод!$B$5+171))</f>
        <v/>
      </c>
      <c r="B173">
        <f>IF(A173="","",IFERROR(INDEX(Ввод!$B$12:$B$71,MATCH(A173,Ввод!$D$12:$D$71,1)),""))</f>
        <v/>
      </c>
      <c r="C173">
        <f>IF(A173="","",DATE(YEAR(A173),12,31)-DATE(YEAR(A173),1,1)+1)</f>
        <v/>
      </c>
      <c r="D173">
        <f>IF(A173="","",Ввод!$B$4-SUMIF(Оплаты!$A$6:$A$505,"&lt;"&amp;A173,Оплаты!$B$6:$B$505))</f>
        <v/>
      </c>
      <c r="E173">
        <f>IF(A173="","",IF(SUMPRODUCT((Ввод!$F$12:$F$31&lt;&gt;"")*(Ввод!$F$12:$F$31&lt;=A173)*(Ввод!$G$12:$G$31&gt;=A173))&gt;0,1,0))</f>
        <v/>
      </c>
      <c r="F173">
        <f>IF(OR(A173="",B173=""),"",IF(E173=1,0,D173*B173/100/C173))</f>
        <v/>
      </c>
      <c r="G173">
        <f>IF(A173="","",IF(OR(B173&lt;&gt;B172,C173&lt;&gt;C172,D173&lt;&gt;D172,E173&lt;&gt;E172),G172+1,G172))</f>
        <v/>
      </c>
    </row>
    <row r="174">
      <c r="A174" s="14">
        <f>IF(OR(NOT(ISNUMBER(Ввод!$B$5)),NOT(ISNUMBER(Ввод!$B$6))),"",IF(Ввод!$B$5+172&gt;Ввод!$B$6,"",Ввод!$B$5+172))</f>
        <v/>
      </c>
      <c r="B174">
        <f>IF(A174="","",IFERROR(INDEX(Ввод!$B$12:$B$71,MATCH(A174,Ввод!$D$12:$D$71,1)),""))</f>
        <v/>
      </c>
      <c r="C174">
        <f>IF(A174="","",DATE(YEAR(A174),12,31)-DATE(YEAR(A174),1,1)+1)</f>
        <v/>
      </c>
      <c r="D174">
        <f>IF(A174="","",Ввод!$B$4-SUMIF(Оплаты!$A$6:$A$505,"&lt;"&amp;A174,Оплаты!$B$6:$B$505))</f>
        <v/>
      </c>
      <c r="E174">
        <f>IF(A174="","",IF(SUMPRODUCT((Ввод!$F$12:$F$31&lt;&gt;"")*(Ввод!$F$12:$F$31&lt;=A174)*(Ввод!$G$12:$G$31&gt;=A174))&gt;0,1,0))</f>
        <v/>
      </c>
      <c r="F174">
        <f>IF(OR(A174="",B174=""),"",IF(E174=1,0,D174*B174/100/C174))</f>
        <v/>
      </c>
      <c r="G174">
        <f>IF(A174="","",IF(OR(B174&lt;&gt;B173,C174&lt;&gt;C173,D174&lt;&gt;D173,E174&lt;&gt;E173),G173+1,G173))</f>
        <v/>
      </c>
    </row>
    <row r="175">
      <c r="A175" s="14">
        <f>IF(OR(NOT(ISNUMBER(Ввод!$B$5)),NOT(ISNUMBER(Ввод!$B$6))),"",IF(Ввод!$B$5+173&gt;Ввод!$B$6,"",Ввод!$B$5+173))</f>
        <v/>
      </c>
      <c r="B175">
        <f>IF(A175="","",IFERROR(INDEX(Ввод!$B$12:$B$71,MATCH(A175,Ввод!$D$12:$D$71,1)),""))</f>
        <v/>
      </c>
      <c r="C175">
        <f>IF(A175="","",DATE(YEAR(A175),12,31)-DATE(YEAR(A175),1,1)+1)</f>
        <v/>
      </c>
      <c r="D175">
        <f>IF(A175="","",Ввод!$B$4-SUMIF(Оплаты!$A$6:$A$505,"&lt;"&amp;A175,Оплаты!$B$6:$B$505))</f>
        <v/>
      </c>
      <c r="E175">
        <f>IF(A175="","",IF(SUMPRODUCT((Ввод!$F$12:$F$31&lt;&gt;"")*(Ввод!$F$12:$F$31&lt;=A175)*(Ввод!$G$12:$G$31&gt;=A175))&gt;0,1,0))</f>
        <v/>
      </c>
      <c r="F175">
        <f>IF(OR(A175="",B175=""),"",IF(E175=1,0,D175*B175/100/C175))</f>
        <v/>
      </c>
      <c r="G175">
        <f>IF(A175="","",IF(OR(B175&lt;&gt;B174,C175&lt;&gt;C174,D175&lt;&gt;D174,E175&lt;&gt;E174),G174+1,G174))</f>
        <v/>
      </c>
    </row>
    <row r="176">
      <c r="A176" s="14">
        <f>IF(OR(NOT(ISNUMBER(Ввод!$B$5)),NOT(ISNUMBER(Ввод!$B$6))),"",IF(Ввод!$B$5+174&gt;Ввод!$B$6,"",Ввод!$B$5+174))</f>
        <v/>
      </c>
      <c r="B176">
        <f>IF(A176="","",IFERROR(INDEX(Ввод!$B$12:$B$71,MATCH(A176,Ввод!$D$12:$D$71,1)),""))</f>
        <v/>
      </c>
      <c r="C176">
        <f>IF(A176="","",DATE(YEAR(A176),12,31)-DATE(YEAR(A176),1,1)+1)</f>
        <v/>
      </c>
      <c r="D176">
        <f>IF(A176="","",Ввод!$B$4-SUMIF(Оплаты!$A$6:$A$505,"&lt;"&amp;A176,Оплаты!$B$6:$B$505))</f>
        <v/>
      </c>
      <c r="E176">
        <f>IF(A176="","",IF(SUMPRODUCT((Ввод!$F$12:$F$31&lt;&gt;"")*(Ввод!$F$12:$F$31&lt;=A176)*(Ввод!$G$12:$G$31&gt;=A176))&gt;0,1,0))</f>
        <v/>
      </c>
      <c r="F176">
        <f>IF(OR(A176="",B176=""),"",IF(E176=1,0,D176*B176/100/C176))</f>
        <v/>
      </c>
      <c r="G176">
        <f>IF(A176="","",IF(OR(B176&lt;&gt;B175,C176&lt;&gt;C175,D176&lt;&gt;D175,E176&lt;&gt;E175),G175+1,G175))</f>
        <v/>
      </c>
    </row>
    <row r="177">
      <c r="A177" s="14">
        <f>IF(OR(NOT(ISNUMBER(Ввод!$B$5)),NOT(ISNUMBER(Ввод!$B$6))),"",IF(Ввод!$B$5+175&gt;Ввод!$B$6,"",Ввод!$B$5+175))</f>
        <v/>
      </c>
      <c r="B177">
        <f>IF(A177="","",IFERROR(INDEX(Ввод!$B$12:$B$71,MATCH(A177,Ввод!$D$12:$D$71,1)),""))</f>
        <v/>
      </c>
      <c r="C177">
        <f>IF(A177="","",DATE(YEAR(A177),12,31)-DATE(YEAR(A177),1,1)+1)</f>
        <v/>
      </c>
      <c r="D177">
        <f>IF(A177="","",Ввод!$B$4-SUMIF(Оплаты!$A$6:$A$505,"&lt;"&amp;A177,Оплаты!$B$6:$B$505))</f>
        <v/>
      </c>
      <c r="E177">
        <f>IF(A177="","",IF(SUMPRODUCT((Ввод!$F$12:$F$31&lt;&gt;"")*(Ввод!$F$12:$F$31&lt;=A177)*(Ввод!$G$12:$G$31&gt;=A177))&gt;0,1,0))</f>
        <v/>
      </c>
      <c r="F177">
        <f>IF(OR(A177="",B177=""),"",IF(E177=1,0,D177*B177/100/C177))</f>
        <v/>
      </c>
      <c r="G177">
        <f>IF(A177="","",IF(OR(B177&lt;&gt;B176,C177&lt;&gt;C176,D177&lt;&gt;D176,E177&lt;&gt;E176),G176+1,G176))</f>
        <v/>
      </c>
    </row>
    <row r="178">
      <c r="A178" s="14">
        <f>IF(OR(NOT(ISNUMBER(Ввод!$B$5)),NOT(ISNUMBER(Ввод!$B$6))),"",IF(Ввод!$B$5+176&gt;Ввод!$B$6,"",Ввод!$B$5+176))</f>
        <v/>
      </c>
      <c r="B178">
        <f>IF(A178="","",IFERROR(INDEX(Ввод!$B$12:$B$71,MATCH(A178,Ввод!$D$12:$D$71,1)),""))</f>
        <v/>
      </c>
      <c r="C178">
        <f>IF(A178="","",DATE(YEAR(A178),12,31)-DATE(YEAR(A178),1,1)+1)</f>
        <v/>
      </c>
      <c r="D178">
        <f>IF(A178="","",Ввод!$B$4-SUMIF(Оплаты!$A$6:$A$505,"&lt;"&amp;A178,Оплаты!$B$6:$B$505))</f>
        <v/>
      </c>
      <c r="E178">
        <f>IF(A178="","",IF(SUMPRODUCT((Ввод!$F$12:$F$31&lt;&gt;"")*(Ввод!$F$12:$F$31&lt;=A178)*(Ввод!$G$12:$G$31&gt;=A178))&gt;0,1,0))</f>
        <v/>
      </c>
      <c r="F178">
        <f>IF(OR(A178="",B178=""),"",IF(E178=1,0,D178*B178/100/C178))</f>
        <v/>
      </c>
      <c r="G178">
        <f>IF(A178="","",IF(OR(B178&lt;&gt;B177,C178&lt;&gt;C177,D178&lt;&gt;D177,E178&lt;&gt;E177),G177+1,G177))</f>
        <v/>
      </c>
    </row>
    <row r="179">
      <c r="A179" s="14">
        <f>IF(OR(NOT(ISNUMBER(Ввод!$B$5)),NOT(ISNUMBER(Ввод!$B$6))),"",IF(Ввод!$B$5+177&gt;Ввод!$B$6,"",Ввод!$B$5+177))</f>
        <v/>
      </c>
      <c r="B179">
        <f>IF(A179="","",IFERROR(INDEX(Ввод!$B$12:$B$71,MATCH(A179,Ввод!$D$12:$D$71,1)),""))</f>
        <v/>
      </c>
      <c r="C179">
        <f>IF(A179="","",DATE(YEAR(A179),12,31)-DATE(YEAR(A179),1,1)+1)</f>
        <v/>
      </c>
      <c r="D179">
        <f>IF(A179="","",Ввод!$B$4-SUMIF(Оплаты!$A$6:$A$505,"&lt;"&amp;A179,Оплаты!$B$6:$B$505))</f>
        <v/>
      </c>
      <c r="E179">
        <f>IF(A179="","",IF(SUMPRODUCT((Ввод!$F$12:$F$31&lt;&gt;"")*(Ввод!$F$12:$F$31&lt;=A179)*(Ввод!$G$12:$G$31&gt;=A179))&gt;0,1,0))</f>
        <v/>
      </c>
      <c r="F179">
        <f>IF(OR(A179="",B179=""),"",IF(E179=1,0,D179*B179/100/C179))</f>
        <v/>
      </c>
      <c r="G179">
        <f>IF(A179="","",IF(OR(B179&lt;&gt;B178,C179&lt;&gt;C178,D179&lt;&gt;D178,E179&lt;&gt;E178),G178+1,G178))</f>
        <v/>
      </c>
    </row>
    <row r="180">
      <c r="A180" s="14">
        <f>IF(OR(NOT(ISNUMBER(Ввод!$B$5)),NOT(ISNUMBER(Ввод!$B$6))),"",IF(Ввод!$B$5+178&gt;Ввод!$B$6,"",Ввод!$B$5+178))</f>
        <v/>
      </c>
      <c r="B180">
        <f>IF(A180="","",IFERROR(INDEX(Ввод!$B$12:$B$71,MATCH(A180,Ввод!$D$12:$D$71,1)),""))</f>
        <v/>
      </c>
      <c r="C180">
        <f>IF(A180="","",DATE(YEAR(A180),12,31)-DATE(YEAR(A180),1,1)+1)</f>
        <v/>
      </c>
      <c r="D180">
        <f>IF(A180="","",Ввод!$B$4-SUMIF(Оплаты!$A$6:$A$505,"&lt;"&amp;A180,Оплаты!$B$6:$B$505))</f>
        <v/>
      </c>
      <c r="E180">
        <f>IF(A180="","",IF(SUMPRODUCT((Ввод!$F$12:$F$31&lt;&gt;"")*(Ввод!$F$12:$F$31&lt;=A180)*(Ввод!$G$12:$G$31&gt;=A180))&gt;0,1,0))</f>
        <v/>
      </c>
      <c r="F180">
        <f>IF(OR(A180="",B180=""),"",IF(E180=1,0,D180*B180/100/C180))</f>
        <v/>
      </c>
      <c r="G180">
        <f>IF(A180="","",IF(OR(B180&lt;&gt;B179,C180&lt;&gt;C179,D180&lt;&gt;D179,E180&lt;&gt;E179),G179+1,G179))</f>
        <v/>
      </c>
    </row>
    <row r="181">
      <c r="A181" s="14">
        <f>IF(OR(NOT(ISNUMBER(Ввод!$B$5)),NOT(ISNUMBER(Ввод!$B$6))),"",IF(Ввод!$B$5+179&gt;Ввод!$B$6,"",Ввод!$B$5+179))</f>
        <v/>
      </c>
      <c r="B181">
        <f>IF(A181="","",IFERROR(INDEX(Ввод!$B$12:$B$71,MATCH(A181,Ввод!$D$12:$D$71,1)),""))</f>
        <v/>
      </c>
      <c r="C181">
        <f>IF(A181="","",DATE(YEAR(A181),12,31)-DATE(YEAR(A181),1,1)+1)</f>
        <v/>
      </c>
      <c r="D181">
        <f>IF(A181="","",Ввод!$B$4-SUMIF(Оплаты!$A$6:$A$505,"&lt;"&amp;A181,Оплаты!$B$6:$B$505))</f>
        <v/>
      </c>
      <c r="E181">
        <f>IF(A181="","",IF(SUMPRODUCT((Ввод!$F$12:$F$31&lt;&gt;"")*(Ввод!$F$12:$F$31&lt;=A181)*(Ввод!$G$12:$G$31&gt;=A181))&gt;0,1,0))</f>
        <v/>
      </c>
      <c r="F181">
        <f>IF(OR(A181="",B181=""),"",IF(E181=1,0,D181*B181/100/C181))</f>
        <v/>
      </c>
      <c r="G181">
        <f>IF(A181="","",IF(OR(B181&lt;&gt;B180,C181&lt;&gt;C180,D181&lt;&gt;D180,E181&lt;&gt;E180),G180+1,G180))</f>
        <v/>
      </c>
    </row>
    <row r="182">
      <c r="A182" s="14">
        <f>IF(OR(NOT(ISNUMBER(Ввод!$B$5)),NOT(ISNUMBER(Ввод!$B$6))),"",IF(Ввод!$B$5+180&gt;Ввод!$B$6,"",Ввод!$B$5+180))</f>
        <v/>
      </c>
      <c r="B182">
        <f>IF(A182="","",IFERROR(INDEX(Ввод!$B$12:$B$71,MATCH(A182,Ввод!$D$12:$D$71,1)),""))</f>
        <v/>
      </c>
      <c r="C182">
        <f>IF(A182="","",DATE(YEAR(A182),12,31)-DATE(YEAR(A182),1,1)+1)</f>
        <v/>
      </c>
      <c r="D182">
        <f>IF(A182="","",Ввод!$B$4-SUMIF(Оплаты!$A$6:$A$505,"&lt;"&amp;A182,Оплаты!$B$6:$B$505))</f>
        <v/>
      </c>
      <c r="E182">
        <f>IF(A182="","",IF(SUMPRODUCT((Ввод!$F$12:$F$31&lt;&gt;"")*(Ввод!$F$12:$F$31&lt;=A182)*(Ввод!$G$12:$G$31&gt;=A182))&gt;0,1,0))</f>
        <v/>
      </c>
      <c r="F182">
        <f>IF(OR(A182="",B182=""),"",IF(E182=1,0,D182*B182/100/C182))</f>
        <v/>
      </c>
      <c r="G182">
        <f>IF(A182="","",IF(OR(B182&lt;&gt;B181,C182&lt;&gt;C181,D182&lt;&gt;D181,E182&lt;&gt;E181),G181+1,G181))</f>
        <v/>
      </c>
    </row>
    <row r="183">
      <c r="A183" s="14">
        <f>IF(OR(NOT(ISNUMBER(Ввод!$B$5)),NOT(ISNUMBER(Ввод!$B$6))),"",IF(Ввод!$B$5+181&gt;Ввод!$B$6,"",Ввод!$B$5+181))</f>
        <v/>
      </c>
      <c r="B183">
        <f>IF(A183="","",IFERROR(INDEX(Ввод!$B$12:$B$71,MATCH(A183,Ввод!$D$12:$D$71,1)),""))</f>
        <v/>
      </c>
      <c r="C183">
        <f>IF(A183="","",DATE(YEAR(A183),12,31)-DATE(YEAR(A183),1,1)+1)</f>
        <v/>
      </c>
      <c r="D183">
        <f>IF(A183="","",Ввод!$B$4-SUMIF(Оплаты!$A$6:$A$505,"&lt;"&amp;A183,Оплаты!$B$6:$B$505))</f>
        <v/>
      </c>
      <c r="E183">
        <f>IF(A183="","",IF(SUMPRODUCT((Ввод!$F$12:$F$31&lt;&gt;"")*(Ввод!$F$12:$F$31&lt;=A183)*(Ввод!$G$12:$G$31&gt;=A183))&gt;0,1,0))</f>
        <v/>
      </c>
      <c r="F183">
        <f>IF(OR(A183="",B183=""),"",IF(E183=1,0,D183*B183/100/C183))</f>
        <v/>
      </c>
      <c r="G183">
        <f>IF(A183="","",IF(OR(B183&lt;&gt;B182,C183&lt;&gt;C182,D183&lt;&gt;D182,E183&lt;&gt;E182),G182+1,G182))</f>
        <v/>
      </c>
    </row>
    <row r="184">
      <c r="A184" s="14">
        <f>IF(OR(NOT(ISNUMBER(Ввод!$B$5)),NOT(ISNUMBER(Ввод!$B$6))),"",IF(Ввод!$B$5+182&gt;Ввод!$B$6,"",Ввод!$B$5+182))</f>
        <v/>
      </c>
      <c r="B184">
        <f>IF(A184="","",IFERROR(INDEX(Ввод!$B$12:$B$71,MATCH(A184,Ввод!$D$12:$D$71,1)),""))</f>
        <v/>
      </c>
      <c r="C184">
        <f>IF(A184="","",DATE(YEAR(A184),12,31)-DATE(YEAR(A184),1,1)+1)</f>
        <v/>
      </c>
      <c r="D184">
        <f>IF(A184="","",Ввод!$B$4-SUMIF(Оплаты!$A$6:$A$505,"&lt;"&amp;A184,Оплаты!$B$6:$B$505))</f>
        <v/>
      </c>
      <c r="E184">
        <f>IF(A184="","",IF(SUMPRODUCT((Ввод!$F$12:$F$31&lt;&gt;"")*(Ввод!$F$12:$F$31&lt;=A184)*(Ввод!$G$12:$G$31&gt;=A184))&gt;0,1,0))</f>
        <v/>
      </c>
      <c r="F184">
        <f>IF(OR(A184="",B184=""),"",IF(E184=1,0,D184*B184/100/C184))</f>
        <v/>
      </c>
      <c r="G184">
        <f>IF(A184="","",IF(OR(B184&lt;&gt;B183,C184&lt;&gt;C183,D184&lt;&gt;D183,E184&lt;&gt;E183),G183+1,G183))</f>
        <v/>
      </c>
    </row>
    <row r="185">
      <c r="A185" s="14">
        <f>IF(OR(NOT(ISNUMBER(Ввод!$B$5)),NOT(ISNUMBER(Ввод!$B$6))),"",IF(Ввод!$B$5+183&gt;Ввод!$B$6,"",Ввод!$B$5+183))</f>
        <v/>
      </c>
      <c r="B185">
        <f>IF(A185="","",IFERROR(INDEX(Ввод!$B$12:$B$71,MATCH(A185,Ввод!$D$12:$D$71,1)),""))</f>
        <v/>
      </c>
      <c r="C185">
        <f>IF(A185="","",DATE(YEAR(A185),12,31)-DATE(YEAR(A185),1,1)+1)</f>
        <v/>
      </c>
      <c r="D185">
        <f>IF(A185="","",Ввод!$B$4-SUMIF(Оплаты!$A$6:$A$505,"&lt;"&amp;A185,Оплаты!$B$6:$B$505))</f>
        <v/>
      </c>
      <c r="E185">
        <f>IF(A185="","",IF(SUMPRODUCT((Ввод!$F$12:$F$31&lt;&gt;"")*(Ввод!$F$12:$F$31&lt;=A185)*(Ввод!$G$12:$G$31&gt;=A185))&gt;0,1,0))</f>
        <v/>
      </c>
      <c r="F185">
        <f>IF(OR(A185="",B185=""),"",IF(E185=1,0,D185*B185/100/C185))</f>
        <v/>
      </c>
      <c r="G185">
        <f>IF(A185="","",IF(OR(B185&lt;&gt;B184,C185&lt;&gt;C184,D185&lt;&gt;D184,E185&lt;&gt;E184),G184+1,G184))</f>
        <v/>
      </c>
    </row>
    <row r="186">
      <c r="A186" s="14">
        <f>IF(OR(NOT(ISNUMBER(Ввод!$B$5)),NOT(ISNUMBER(Ввод!$B$6))),"",IF(Ввод!$B$5+184&gt;Ввод!$B$6,"",Ввод!$B$5+184))</f>
        <v/>
      </c>
      <c r="B186">
        <f>IF(A186="","",IFERROR(INDEX(Ввод!$B$12:$B$71,MATCH(A186,Ввод!$D$12:$D$71,1)),""))</f>
        <v/>
      </c>
      <c r="C186">
        <f>IF(A186="","",DATE(YEAR(A186),12,31)-DATE(YEAR(A186),1,1)+1)</f>
        <v/>
      </c>
      <c r="D186">
        <f>IF(A186="","",Ввод!$B$4-SUMIF(Оплаты!$A$6:$A$505,"&lt;"&amp;A186,Оплаты!$B$6:$B$505))</f>
        <v/>
      </c>
      <c r="E186">
        <f>IF(A186="","",IF(SUMPRODUCT((Ввод!$F$12:$F$31&lt;&gt;"")*(Ввод!$F$12:$F$31&lt;=A186)*(Ввод!$G$12:$G$31&gt;=A186))&gt;0,1,0))</f>
        <v/>
      </c>
      <c r="F186">
        <f>IF(OR(A186="",B186=""),"",IF(E186=1,0,D186*B186/100/C186))</f>
        <v/>
      </c>
      <c r="G186">
        <f>IF(A186="","",IF(OR(B186&lt;&gt;B185,C186&lt;&gt;C185,D186&lt;&gt;D185,E186&lt;&gt;E185),G185+1,G185))</f>
        <v/>
      </c>
    </row>
    <row r="187">
      <c r="A187" s="14">
        <f>IF(OR(NOT(ISNUMBER(Ввод!$B$5)),NOT(ISNUMBER(Ввод!$B$6))),"",IF(Ввод!$B$5+185&gt;Ввод!$B$6,"",Ввод!$B$5+185))</f>
        <v/>
      </c>
      <c r="B187">
        <f>IF(A187="","",IFERROR(INDEX(Ввод!$B$12:$B$71,MATCH(A187,Ввод!$D$12:$D$71,1)),""))</f>
        <v/>
      </c>
      <c r="C187">
        <f>IF(A187="","",DATE(YEAR(A187),12,31)-DATE(YEAR(A187),1,1)+1)</f>
        <v/>
      </c>
      <c r="D187">
        <f>IF(A187="","",Ввод!$B$4-SUMIF(Оплаты!$A$6:$A$505,"&lt;"&amp;A187,Оплаты!$B$6:$B$505))</f>
        <v/>
      </c>
      <c r="E187">
        <f>IF(A187="","",IF(SUMPRODUCT((Ввод!$F$12:$F$31&lt;&gt;"")*(Ввод!$F$12:$F$31&lt;=A187)*(Ввод!$G$12:$G$31&gt;=A187))&gt;0,1,0))</f>
        <v/>
      </c>
      <c r="F187">
        <f>IF(OR(A187="",B187=""),"",IF(E187=1,0,D187*B187/100/C187))</f>
        <v/>
      </c>
      <c r="G187">
        <f>IF(A187="","",IF(OR(B187&lt;&gt;B186,C187&lt;&gt;C186,D187&lt;&gt;D186,E187&lt;&gt;E186),G186+1,G186))</f>
        <v/>
      </c>
    </row>
    <row r="188">
      <c r="A188" s="14">
        <f>IF(OR(NOT(ISNUMBER(Ввод!$B$5)),NOT(ISNUMBER(Ввод!$B$6))),"",IF(Ввод!$B$5+186&gt;Ввод!$B$6,"",Ввод!$B$5+186))</f>
        <v/>
      </c>
      <c r="B188">
        <f>IF(A188="","",IFERROR(INDEX(Ввод!$B$12:$B$71,MATCH(A188,Ввод!$D$12:$D$71,1)),""))</f>
        <v/>
      </c>
      <c r="C188">
        <f>IF(A188="","",DATE(YEAR(A188),12,31)-DATE(YEAR(A188),1,1)+1)</f>
        <v/>
      </c>
      <c r="D188">
        <f>IF(A188="","",Ввод!$B$4-SUMIF(Оплаты!$A$6:$A$505,"&lt;"&amp;A188,Оплаты!$B$6:$B$505))</f>
        <v/>
      </c>
      <c r="E188">
        <f>IF(A188="","",IF(SUMPRODUCT((Ввод!$F$12:$F$31&lt;&gt;"")*(Ввод!$F$12:$F$31&lt;=A188)*(Ввод!$G$12:$G$31&gt;=A188))&gt;0,1,0))</f>
        <v/>
      </c>
      <c r="F188">
        <f>IF(OR(A188="",B188=""),"",IF(E188=1,0,D188*B188/100/C188))</f>
        <v/>
      </c>
      <c r="G188">
        <f>IF(A188="","",IF(OR(B188&lt;&gt;B187,C188&lt;&gt;C187,D188&lt;&gt;D187,E188&lt;&gt;E187),G187+1,G187))</f>
        <v/>
      </c>
    </row>
    <row r="189">
      <c r="A189" s="14">
        <f>IF(OR(NOT(ISNUMBER(Ввод!$B$5)),NOT(ISNUMBER(Ввод!$B$6))),"",IF(Ввод!$B$5+187&gt;Ввод!$B$6,"",Ввод!$B$5+187))</f>
        <v/>
      </c>
      <c r="B189">
        <f>IF(A189="","",IFERROR(INDEX(Ввод!$B$12:$B$71,MATCH(A189,Ввод!$D$12:$D$71,1)),""))</f>
        <v/>
      </c>
      <c r="C189">
        <f>IF(A189="","",DATE(YEAR(A189),12,31)-DATE(YEAR(A189),1,1)+1)</f>
        <v/>
      </c>
      <c r="D189">
        <f>IF(A189="","",Ввод!$B$4-SUMIF(Оплаты!$A$6:$A$505,"&lt;"&amp;A189,Оплаты!$B$6:$B$505))</f>
        <v/>
      </c>
      <c r="E189">
        <f>IF(A189="","",IF(SUMPRODUCT((Ввод!$F$12:$F$31&lt;&gt;"")*(Ввод!$F$12:$F$31&lt;=A189)*(Ввод!$G$12:$G$31&gt;=A189))&gt;0,1,0))</f>
        <v/>
      </c>
      <c r="F189">
        <f>IF(OR(A189="",B189=""),"",IF(E189=1,0,D189*B189/100/C189))</f>
        <v/>
      </c>
      <c r="G189">
        <f>IF(A189="","",IF(OR(B189&lt;&gt;B188,C189&lt;&gt;C188,D189&lt;&gt;D188,E189&lt;&gt;E188),G188+1,G188))</f>
        <v/>
      </c>
    </row>
    <row r="190">
      <c r="A190" s="14">
        <f>IF(OR(NOT(ISNUMBER(Ввод!$B$5)),NOT(ISNUMBER(Ввод!$B$6))),"",IF(Ввод!$B$5+188&gt;Ввод!$B$6,"",Ввод!$B$5+188))</f>
        <v/>
      </c>
      <c r="B190">
        <f>IF(A190="","",IFERROR(INDEX(Ввод!$B$12:$B$71,MATCH(A190,Ввод!$D$12:$D$71,1)),""))</f>
        <v/>
      </c>
      <c r="C190">
        <f>IF(A190="","",DATE(YEAR(A190),12,31)-DATE(YEAR(A190),1,1)+1)</f>
        <v/>
      </c>
      <c r="D190">
        <f>IF(A190="","",Ввод!$B$4-SUMIF(Оплаты!$A$6:$A$505,"&lt;"&amp;A190,Оплаты!$B$6:$B$505))</f>
        <v/>
      </c>
      <c r="E190">
        <f>IF(A190="","",IF(SUMPRODUCT((Ввод!$F$12:$F$31&lt;&gt;"")*(Ввод!$F$12:$F$31&lt;=A190)*(Ввод!$G$12:$G$31&gt;=A190))&gt;0,1,0))</f>
        <v/>
      </c>
      <c r="F190">
        <f>IF(OR(A190="",B190=""),"",IF(E190=1,0,D190*B190/100/C190))</f>
        <v/>
      </c>
      <c r="G190">
        <f>IF(A190="","",IF(OR(B190&lt;&gt;B189,C190&lt;&gt;C189,D190&lt;&gt;D189,E190&lt;&gt;E189),G189+1,G189))</f>
        <v/>
      </c>
    </row>
    <row r="191">
      <c r="A191" s="14">
        <f>IF(OR(NOT(ISNUMBER(Ввод!$B$5)),NOT(ISNUMBER(Ввод!$B$6))),"",IF(Ввод!$B$5+189&gt;Ввод!$B$6,"",Ввод!$B$5+189))</f>
        <v/>
      </c>
      <c r="B191">
        <f>IF(A191="","",IFERROR(INDEX(Ввод!$B$12:$B$71,MATCH(A191,Ввод!$D$12:$D$71,1)),""))</f>
        <v/>
      </c>
      <c r="C191">
        <f>IF(A191="","",DATE(YEAR(A191),12,31)-DATE(YEAR(A191),1,1)+1)</f>
        <v/>
      </c>
      <c r="D191">
        <f>IF(A191="","",Ввод!$B$4-SUMIF(Оплаты!$A$6:$A$505,"&lt;"&amp;A191,Оплаты!$B$6:$B$505))</f>
        <v/>
      </c>
      <c r="E191">
        <f>IF(A191="","",IF(SUMPRODUCT((Ввод!$F$12:$F$31&lt;&gt;"")*(Ввод!$F$12:$F$31&lt;=A191)*(Ввод!$G$12:$G$31&gt;=A191))&gt;0,1,0))</f>
        <v/>
      </c>
      <c r="F191">
        <f>IF(OR(A191="",B191=""),"",IF(E191=1,0,D191*B191/100/C191))</f>
        <v/>
      </c>
      <c r="G191">
        <f>IF(A191="","",IF(OR(B191&lt;&gt;B190,C191&lt;&gt;C190,D191&lt;&gt;D190,E191&lt;&gt;E190),G190+1,G190))</f>
        <v/>
      </c>
    </row>
    <row r="192">
      <c r="A192" s="14">
        <f>IF(OR(NOT(ISNUMBER(Ввод!$B$5)),NOT(ISNUMBER(Ввод!$B$6))),"",IF(Ввод!$B$5+190&gt;Ввод!$B$6,"",Ввод!$B$5+190))</f>
        <v/>
      </c>
      <c r="B192">
        <f>IF(A192="","",IFERROR(INDEX(Ввод!$B$12:$B$71,MATCH(A192,Ввод!$D$12:$D$71,1)),""))</f>
        <v/>
      </c>
      <c r="C192">
        <f>IF(A192="","",DATE(YEAR(A192),12,31)-DATE(YEAR(A192),1,1)+1)</f>
        <v/>
      </c>
      <c r="D192">
        <f>IF(A192="","",Ввод!$B$4-SUMIF(Оплаты!$A$6:$A$505,"&lt;"&amp;A192,Оплаты!$B$6:$B$505))</f>
        <v/>
      </c>
      <c r="E192">
        <f>IF(A192="","",IF(SUMPRODUCT((Ввод!$F$12:$F$31&lt;&gt;"")*(Ввод!$F$12:$F$31&lt;=A192)*(Ввод!$G$12:$G$31&gt;=A192))&gt;0,1,0))</f>
        <v/>
      </c>
      <c r="F192">
        <f>IF(OR(A192="",B192=""),"",IF(E192=1,0,D192*B192/100/C192))</f>
        <v/>
      </c>
      <c r="G192">
        <f>IF(A192="","",IF(OR(B192&lt;&gt;B191,C192&lt;&gt;C191,D192&lt;&gt;D191,E192&lt;&gt;E191),G191+1,G191))</f>
        <v/>
      </c>
    </row>
    <row r="193">
      <c r="A193" s="14">
        <f>IF(OR(NOT(ISNUMBER(Ввод!$B$5)),NOT(ISNUMBER(Ввод!$B$6))),"",IF(Ввод!$B$5+191&gt;Ввод!$B$6,"",Ввод!$B$5+191))</f>
        <v/>
      </c>
      <c r="B193">
        <f>IF(A193="","",IFERROR(INDEX(Ввод!$B$12:$B$71,MATCH(A193,Ввод!$D$12:$D$71,1)),""))</f>
        <v/>
      </c>
      <c r="C193">
        <f>IF(A193="","",DATE(YEAR(A193),12,31)-DATE(YEAR(A193),1,1)+1)</f>
        <v/>
      </c>
      <c r="D193">
        <f>IF(A193="","",Ввод!$B$4-SUMIF(Оплаты!$A$6:$A$505,"&lt;"&amp;A193,Оплаты!$B$6:$B$505))</f>
        <v/>
      </c>
      <c r="E193">
        <f>IF(A193="","",IF(SUMPRODUCT((Ввод!$F$12:$F$31&lt;&gt;"")*(Ввод!$F$12:$F$31&lt;=A193)*(Ввод!$G$12:$G$31&gt;=A193))&gt;0,1,0))</f>
        <v/>
      </c>
      <c r="F193">
        <f>IF(OR(A193="",B193=""),"",IF(E193=1,0,D193*B193/100/C193))</f>
        <v/>
      </c>
      <c r="G193">
        <f>IF(A193="","",IF(OR(B193&lt;&gt;B192,C193&lt;&gt;C192,D193&lt;&gt;D192,E193&lt;&gt;E192),G192+1,G192))</f>
        <v/>
      </c>
    </row>
    <row r="194">
      <c r="A194" s="14">
        <f>IF(OR(NOT(ISNUMBER(Ввод!$B$5)),NOT(ISNUMBER(Ввод!$B$6))),"",IF(Ввод!$B$5+192&gt;Ввод!$B$6,"",Ввод!$B$5+192))</f>
        <v/>
      </c>
      <c r="B194">
        <f>IF(A194="","",IFERROR(INDEX(Ввод!$B$12:$B$71,MATCH(A194,Ввод!$D$12:$D$71,1)),""))</f>
        <v/>
      </c>
      <c r="C194">
        <f>IF(A194="","",DATE(YEAR(A194),12,31)-DATE(YEAR(A194),1,1)+1)</f>
        <v/>
      </c>
      <c r="D194">
        <f>IF(A194="","",Ввод!$B$4-SUMIF(Оплаты!$A$6:$A$505,"&lt;"&amp;A194,Оплаты!$B$6:$B$505))</f>
        <v/>
      </c>
      <c r="E194">
        <f>IF(A194="","",IF(SUMPRODUCT((Ввод!$F$12:$F$31&lt;&gt;"")*(Ввод!$F$12:$F$31&lt;=A194)*(Ввод!$G$12:$G$31&gt;=A194))&gt;0,1,0))</f>
        <v/>
      </c>
      <c r="F194">
        <f>IF(OR(A194="",B194=""),"",IF(E194=1,0,D194*B194/100/C194))</f>
        <v/>
      </c>
      <c r="G194">
        <f>IF(A194="","",IF(OR(B194&lt;&gt;B193,C194&lt;&gt;C193,D194&lt;&gt;D193,E194&lt;&gt;E193),G193+1,G193))</f>
        <v/>
      </c>
    </row>
    <row r="195">
      <c r="A195" s="14">
        <f>IF(OR(NOT(ISNUMBER(Ввод!$B$5)),NOT(ISNUMBER(Ввод!$B$6))),"",IF(Ввод!$B$5+193&gt;Ввод!$B$6,"",Ввод!$B$5+193))</f>
        <v/>
      </c>
      <c r="B195">
        <f>IF(A195="","",IFERROR(INDEX(Ввод!$B$12:$B$71,MATCH(A195,Ввод!$D$12:$D$71,1)),""))</f>
        <v/>
      </c>
      <c r="C195">
        <f>IF(A195="","",DATE(YEAR(A195),12,31)-DATE(YEAR(A195),1,1)+1)</f>
        <v/>
      </c>
      <c r="D195">
        <f>IF(A195="","",Ввод!$B$4-SUMIF(Оплаты!$A$6:$A$505,"&lt;"&amp;A195,Оплаты!$B$6:$B$505))</f>
        <v/>
      </c>
      <c r="E195">
        <f>IF(A195="","",IF(SUMPRODUCT((Ввод!$F$12:$F$31&lt;&gt;"")*(Ввод!$F$12:$F$31&lt;=A195)*(Ввод!$G$12:$G$31&gt;=A195))&gt;0,1,0))</f>
        <v/>
      </c>
      <c r="F195">
        <f>IF(OR(A195="",B195=""),"",IF(E195=1,0,D195*B195/100/C195))</f>
        <v/>
      </c>
      <c r="G195">
        <f>IF(A195="","",IF(OR(B195&lt;&gt;B194,C195&lt;&gt;C194,D195&lt;&gt;D194,E195&lt;&gt;E194),G194+1,G194))</f>
        <v/>
      </c>
    </row>
    <row r="196">
      <c r="A196" s="14">
        <f>IF(OR(NOT(ISNUMBER(Ввод!$B$5)),NOT(ISNUMBER(Ввод!$B$6))),"",IF(Ввод!$B$5+194&gt;Ввод!$B$6,"",Ввод!$B$5+194))</f>
        <v/>
      </c>
      <c r="B196">
        <f>IF(A196="","",IFERROR(INDEX(Ввод!$B$12:$B$71,MATCH(A196,Ввод!$D$12:$D$71,1)),""))</f>
        <v/>
      </c>
      <c r="C196">
        <f>IF(A196="","",DATE(YEAR(A196),12,31)-DATE(YEAR(A196),1,1)+1)</f>
        <v/>
      </c>
      <c r="D196">
        <f>IF(A196="","",Ввод!$B$4-SUMIF(Оплаты!$A$6:$A$505,"&lt;"&amp;A196,Оплаты!$B$6:$B$505))</f>
        <v/>
      </c>
      <c r="E196">
        <f>IF(A196="","",IF(SUMPRODUCT((Ввод!$F$12:$F$31&lt;&gt;"")*(Ввод!$F$12:$F$31&lt;=A196)*(Ввод!$G$12:$G$31&gt;=A196))&gt;0,1,0))</f>
        <v/>
      </c>
      <c r="F196">
        <f>IF(OR(A196="",B196=""),"",IF(E196=1,0,D196*B196/100/C196))</f>
        <v/>
      </c>
      <c r="G196">
        <f>IF(A196="","",IF(OR(B196&lt;&gt;B195,C196&lt;&gt;C195,D196&lt;&gt;D195,E196&lt;&gt;E195),G195+1,G195))</f>
        <v/>
      </c>
    </row>
    <row r="197">
      <c r="A197" s="14">
        <f>IF(OR(NOT(ISNUMBER(Ввод!$B$5)),NOT(ISNUMBER(Ввод!$B$6))),"",IF(Ввод!$B$5+195&gt;Ввод!$B$6,"",Ввод!$B$5+195))</f>
        <v/>
      </c>
      <c r="B197">
        <f>IF(A197="","",IFERROR(INDEX(Ввод!$B$12:$B$71,MATCH(A197,Ввод!$D$12:$D$71,1)),""))</f>
        <v/>
      </c>
      <c r="C197">
        <f>IF(A197="","",DATE(YEAR(A197),12,31)-DATE(YEAR(A197),1,1)+1)</f>
        <v/>
      </c>
      <c r="D197">
        <f>IF(A197="","",Ввод!$B$4-SUMIF(Оплаты!$A$6:$A$505,"&lt;"&amp;A197,Оплаты!$B$6:$B$505))</f>
        <v/>
      </c>
      <c r="E197">
        <f>IF(A197="","",IF(SUMPRODUCT((Ввод!$F$12:$F$31&lt;&gt;"")*(Ввод!$F$12:$F$31&lt;=A197)*(Ввод!$G$12:$G$31&gt;=A197))&gt;0,1,0))</f>
        <v/>
      </c>
      <c r="F197">
        <f>IF(OR(A197="",B197=""),"",IF(E197=1,0,D197*B197/100/C197))</f>
        <v/>
      </c>
      <c r="G197">
        <f>IF(A197="","",IF(OR(B197&lt;&gt;B196,C197&lt;&gt;C196,D197&lt;&gt;D196,E197&lt;&gt;E196),G196+1,G196))</f>
        <v/>
      </c>
    </row>
    <row r="198">
      <c r="A198" s="14">
        <f>IF(OR(NOT(ISNUMBER(Ввод!$B$5)),NOT(ISNUMBER(Ввод!$B$6))),"",IF(Ввод!$B$5+196&gt;Ввод!$B$6,"",Ввод!$B$5+196))</f>
        <v/>
      </c>
      <c r="B198">
        <f>IF(A198="","",IFERROR(INDEX(Ввод!$B$12:$B$71,MATCH(A198,Ввод!$D$12:$D$71,1)),""))</f>
        <v/>
      </c>
      <c r="C198">
        <f>IF(A198="","",DATE(YEAR(A198),12,31)-DATE(YEAR(A198),1,1)+1)</f>
        <v/>
      </c>
      <c r="D198">
        <f>IF(A198="","",Ввод!$B$4-SUMIF(Оплаты!$A$6:$A$505,"&lt;"&amp;A198,Оплаты!$B$6:$B$505))</f>
        <v/>
      </c>
      <c r="E198">
        <f>IF(A198="","",IF(SUMPRODUCT((Ввод!$F$12:$F$31&lt;&gt;"")*(Ввод!$F$12:$F$31&lt;=A198)*(Ввод!$G$12:$G$31&gt;=A198))&gt;0,1,0))</f>
        <v/>
      </c>
      <c r="F198">
        <f>IF(OR(A198="",B198=""),"",IF(E198=1,0,D198*B198/100/C198))</f>
        <v/>
      </c>
      <c r="G198">
        <f>IF(A198="","",IF(OR(B198&lt;&gt;B197,C198&lt;&gt;C197,D198&lt;&gt;D197,E198&lt;&gt;E197),G197+1,G197))</f>
        <v/>
      </c>
    </row>
    <row r="199">
      <c r="A199" s="14">
        <f>IF(OR(NOT(ISNUMBER(Ввод!$B$5)),NOT(ISNUMBER(Ввод!$B$6))),"",IF(Ввод!$B$5+197&gt;Ввод!$B$6,"",Ввод!$B$5+197))</f>
        <v/>
      </c>
      <c r="B199">
        <f>IF(A199="","",IFERROR(INDEX(Ввод!$B$12:$B$71,MATCH(A199,Ввод!$D$12:$D$71,1)),""))</f>
        <v/>
      </c>
      <c r="C199">
        <f>IF(A199="","",DATE(YEAR(A199),12,31)-DATE(YEAR(A199),1,1)+1)</f>
        <v/>
      </c>
      <c r="D199">
        <f>IF(A199="","",Ввод!$B$4-SUMIF(Оплаты!$A$6:$A$505,"&lt;"&amp;A199,Оплаты!$B$6:$B$505))</f>
        <v/>
      </c>
      <c r="E199">
        <f>IF(A199="","",IF(SUMPRODUCT((Ввод!$F$12:$F$31&lt;&gt;"")*(Ввод!$F$12:$F$31&lt;=A199)*(Ввод!$G$12:$G$31&gt;=A199))&gt;0,1,0))</f>
        <v/>
      </c>
      <c r="F199">
        <f>IF(OR(A199="",B199=""),"",IF(E199=1,0,D199*B199/100/C199))</f>
        <v/>
      </c>
      <c r="G199">
        <f>IF(A199="","",IF(OR(B199&lt;&gt;B198,C199&lt;&gt;C198,D199&lt;&gt;D198,E199&lt;&gt;E198),G198+1,G198))</f>
        <v/>
      </c>
    </row>
    <row r="200">
      <c r="A200" s="14">
        <f>IF(OR(NOT(ISNUMBER(Ввод!$B$5)),NOT(ISNUMBER(Ввод!$B$6))),"",IF(Ввод!$B$5+198&gt;Ввод!$B$6,"",Ввод!$B$5+198))</f>
        <v/>
      </c>
      <c r="B200">
        <f>IF(A200="","",IFERROR(INDEX(Ввод!$B$12:$B$71,MATCH(A200,Ввод!$D$12:$D$71,1)),""))</f>
        <v/>
      </c>
      <c r="C200">
        <f>IF(A200="","",DATE(YEAR(A200),12,31)-DATE(YEAR(A200),1,1)+1)</f>
        <v/>
      </c>
      <c r="D200">
        <f>IF(A200="","",Ввод!$B$4-SUMIF(Оплаты!$A$6:$A$505,"&lt;"&amp;A200,Оплаты!$B$6:$B$505))</f>
        <v/>
      </c>
      <c r="E200">
        <f>IF(A200="","",IF(SUMPRODUCT((Ввод!$F$12:$F$31&lt;&gt;"")*(Ввод!$F$12:$F$31&lt;=A200)*(Ввод!$G$12:$G$31&gt;=A200))&gt;0,1,0))</f>
        <v/>
      </c>
      <c r="F200">
        <f>IF(OR(A200="",B200=""),"",IF(E200=1,0,D200*B200/100/C200))</f>
        <v/>
      </c>
      <c r="G200">
        <f>IF(A200="","",IF(OR(B200&lt;&gt;B199,C200&lt;&gt;C199,D200&lt;&gt;D199,E200&lt;&gt;E199),G199+1,G199))</f>
        <v/>
      </c>
    </row>
    <row r="201">
      <c r="A201" s="14">
        <f>IF(OR(NOT(ISNUMBER(Ввод!$B$5)),NOT(ISNUMBER(Ввод!$B$6))),"",IF(Ввод!$B$5+199&gt;Ввод!$B$6,"",Ввод!$B$5+199))</f>
        <v/>
      </c>
      <c r="B201">
        <f>IF(A201="","",IFERROR(INDEX(Ввод!$B$12:$B$71,MATCH(A201,Ввод!$D$12:$D$71,1)),""))</f>
        <v/>
      </c>
      <c r="C201">
        <f>IF(A201="","",DATE(YEAR(A201),12,31)-DATE(YEAR(A201),1,1)+1)</f>
        <v/>
      </c>
      <c r="D201">
        <f>IF(A201="","",Ввод!$B$4-SUMIF(Оплаты!$A$6:$A$505,"&lt;"&amp;A201,Оплаты!$B$6:$B$505))</f>
        <v/>
      </c>
      <c r="E201">
        <f>IF(A201="","",IF(SUMPRODUCT((Ввод!$F$12:$F$31&lt;&gt;"")*(Ввод!$F$12:$F$31&lt;=A201)*(Ввод!$G$12:$G$31&gt;=A201))&gt;0,1,0))</f>
        <v/>
      </c>
      <c r="F201">
        <f>IF(OR(A201="",B201=""),"",IF(E201=1,0,D201*B201/100/C201))</f>
        <v/>
      </c>
      <c r="G201">
        <f>IF(A201="","",IF(OR(B201&lt;&gt;B200,C201&lt;&gt;C200,D201&lt;&gt;D200,E201&lt;&gt;E200),G200+1,G200))</f>
        <v/>
      </c>
    </row>
    <row r="202">
      <c r="A202" s="14">
        <f>IF(OR(NOT(ISNUMBER(Ввод!$B$5)),NOT(ISNUMBER(Ввод!$B$6))),"",IF(Ввод!$B$5+200&gt;Ввод!$B$6,"",Ввод!$B$5+200))</f>
        <v/>
      </c>
      <c r="B202">
        <f>IF(A202="","",IFERROR(INDEX(Ввод!$B$12:$B$71,MATCH(A202,Ввод!$D$12:$D$71,1)),""))</f>
        <v/>
      </c>
      <c r="C202">
        <f>IF(A202="","",DATE(YEAR(A202),12,31)-DATE(YEAR(A202),1,1)+1)</f>
        <v/>
      </c>
      <c r="D202">
        <f>IF(A202="","",Ввод!$B$4-SUMIF(Оплаты!$A$6:$A$505,"&lt;"&amp;A202,Оплаты!$B$6:$B$505))</f>
        <v/>
      </c>
      <c r="E202">
        <f>IF(A202="","",IF(SUMPRODUCT((Ввод!$F$12:$F$31&lt;&gt;"")*(Ввод!$F$12:$F$31&lt;=A202)*(Ввод!$G$12:$G$31&gt;=A202))&gt;0,1,0))</f>
        <v/>
      </c>
      <c r="F202">
        <f>IF(OR(A202="",B202=""),"",IF(E202=1,0,D202*B202/100/C202))</f>
        <v/>
      </c>
      <c r="G202">
        <f>IF(A202="","",IF(OR(B202&lt;&gt;B201,C202&lt;&gt;C201,D202&lt;&gt;D201,E202&lt;&gt;E201),G201+1,G201))</f>
        <v/>
      </c>
    </row>
    <row r="203">
      <c r="A203" s="14">
        <f>IF(OR(NOT(ISNUMBER(Ввод!$B$5)),NOT(ISNUMBER(Ввод!$B$6))),"",IF(Ввод!$B$5+201&gt;Ввод!$B$6,"",Ввод!$B$5+201))</f>
        <v/>
      </c>
      <c r="B203">
        <f>IF(A203="","",IFERROR(INDEX(Ввод!$B$12:$B$71,MATCH(A203,Ввод!$D$12:$D$71,1)),""))</f>
        <v/>
      </c>
      <c r="C203">
        <f>IF(A203="","",DATE(YEAR(A203),12,31)-DATE(YEAR(A203),1,1)+1)</f>
        <v/>
      </c>
      <c r="D203">
        <f>IF(A203="","",Ввод!$B$4-SUMIF(Оплаты!$A$6:$A$505,"&lt;"&amp;A203,Оплаты!$B$6:$B$505))</f>
        <v/>
      </c>
      <c r="E203">
        <f>IF(A203="","",IF(SUMPRODUCT((Ввод!$F$12:$F$31&lt;&gt;"")*(Ввод!$F$12:$F$31&lt;=A203)*(Ввод!$G$12:$G$31&gt;=A203))&gt;0,1,0))</f>
        <v/>
      </c>
      <c r="F203">
        <f>IF(OR(A203="",B203=""),"",IF(E203=1,0,D203*B203/100/C203))</f>
        <v/>
      </c>
      <c r="G203">
        <f>IF(A203="","",IF(OR(B203&lt;&gt;B202,C203&lt;&gt;C202,D203&lt;&gt;D202,E203&lt;&gt;E202),G202+1,G202))</f>
        <v/>
      </c>
    </row>
    <row r="204">
      <c r="A204" s="14">
        <f>IF(OR(NOT(ISNUMBER(Ввод!$B$5)),NOT(ISNUMBER(Ввод!$B$6))),"",IF(Ввод!$B$5+202&gt;Ввод!$B$6,"",Ввод!$B$5+202))</f>
        <v/>
      </c>
      <c r="B204">
        <f>IF(A204="","",IFERROR(INDEX(Ввод!$B$12:$B$71,MATCH(A204,Ввод!$D$12:$D$71,1)),""))</f>
        <v/>
      </c>
      <c r="C204">
        <f>IF(A204="","",DATE(YEAR(A204),12,31)-DATE(YEAR(A204),1,1)+1)</f>
        <v/>
      </c>
      <c r="D204">
        <f>IF(A204="","",Ввод!$B$4-SUMIF(Оплаты!$A$6:$A$505,"&lt;"&amp;A204,Оплаты!$B$6:$B$505))</f>
        <v/>
      </c>
      <c r="E204">
        <f>IF(A204="","",IF(SUMPRODUCT((Ввод!$F$12:$F$31&lt;&gt;"")*(Ввод!$F$12:$F$31&lt;=A204)*(Ввод!$G$12:$G$31&gt;=A204))&gt;0,1,0))</f>
        <v/>
      </c>
      <c r="F204">
        <f>IF(OR(A204="",B204=""),"",IF(E204=1,0,D204*B204/100/C204))</f>
        <v/>
      </c>
      <c r="G204">
        <f>IF(A204="","",IF(OR(B204&lt;&gt;B203,C204&lt;&gt;C203,D204&lt;&gt;D203,E204&lt;&gt;E203),G203+1,G203))</f>
        <v/>
      </c>
    </row>
    <row r="205">
      <c r="A205" s="14">
        <f>IF(OR(NOT(ISNUMBER(Ввод!$B$5)),NOT(ISNUMBER(Ввод!$B$6))),"",IF(Ввод!$B$5+203&gt;Ввод!$B$6,"",Ввод!$B$5+203))</f>
        <v/>
      </c>
      <c r="B205">
        <f>IF(A205="","",IFERROR(INDEX(Ввод!$B$12:$B$71,MATCH(A205,Ввод!$D$12:$D$71,1)),""))</f>
        <v/>
      </c>
      <c r="C205">
        <f>IF(A205="","",DATE(YEAR(A205),12,31)-DATE(YEAR(A205),1,1)+1)</f>
        <v/>
      </c>
      <c r="D205">
        <f>IF(A205="","",Ввод!$B$4-SUMIF(Оплаты!$A$6:$A$505,"&lt;"&amp;A205,Оплаты!$B$6:$B$505))</f>
        <v/>
      </c>
      <c r="E205">
        <f>IF(A205="","",IF(SUMPRODUCT((Ввод!$F$12:$F$31&lt;&gt;"")*(Ввод!$F$12:$F$31&lt;=A205)*(Ввод!$G$12:$G$31&gt;=A205))&gt;0,1,0))</f>
        <v/>
      </c>
      <c r="F205">
        <f>IF(OR(A205="",B205=""),"",IF(E205=1,0,D205*B205/100/C205))</f>
        <v/>
      </c>
      <c r="G205">
        <f>IF(A205="","",IF(OR(B205&lt;&gt;B204,C205&lt;&gt;C204,D205&lt;&gt;D204,E205&lt;&gt;E204),G204+1,G204))</f>
        <v/>
      </c>
    </row>
    <row r="206">
      <c r="A206" s="14">
        <f>IF(OR(NOT(ISNUMBER(Ввод!$B$5)),NOT(ISNUMBER(Ввод!$B$6))),"",IF(Ввод!$B$5+204&gt;Ввод!$B$6,"",Ввод!$B$5+204))</f>
        <v/>
      </c>
      <c r="B206">
        <f>IF(A206="","",IFERROR(INDEX(Ввод!$B$12:$B$71,MATCH(A206,Ввод!$D$12:$D$71,1)),""))</f>
        <v/>
      </c>
      <c r="C206">
        <f>IF(A206="","",DATE(YEAR(A206),12,31)-DATE(YEAR(A206),1,1)+1)</f>
        <v/>
      </c>
      <c r="D206">
        <f>IF(A206="","",Ввод!$B$4-SUMIF(Оплаты!$A$6:$A$505,"&lt;"&amp;A206,Оплаты!$B$6:$B$505))</f>
        <v/>
      </c>
      <c r="E206">
        <f>IF(A206="","",IF(SUMPRODUCT((Ввод!$F$12:$F$31&lt;&gt;"")*(Ввод!$F$12:$F$31&lt;=A206)*(Ввод!$G$12:$G$31&gt;=A206))&gt;0,1,0))</f>
        <v/>
      </c>
      <c r="F206">
        <f>IF(OR(A206="",B206=""),"",IF(E206=1,0,D206*B206/100/C206))</f>
        <v/>
      </c>
      <c r="G206">
        <f>IF(A206="","",IF(OR(B206&lt;&gt;B205,C206&lt;&gt;C205,D206&lt;&gt;D205,E206&lt;&gt;E205),G205+1,G205))</f>
        <v/>
      </c>
    </row>
    <row r="207">
      <c r="A207" s="14">
        <f>IF(OR(NOT(ISNUMBER(Ввод!$B$5)),NOT(ISNUMBER(Ввод!$B$6))),"",IF(Ввод!$B$5+205&gt;Ввод!$B$6,"",Ввод!$B$5+205))</f>
        <v/>
      </c>
      <c r="B207">
        <f>IF(A207="","",IFERROR(INDEX(Ввод!$B$12:$B$71,MATCH(A207,Ввод!$D$12:$D$71,1)),""))</f>
        <v/>
      </c>
      <c r="C207">
        <f>IF(A207="","",DATE(YEAR(A207),12,31)-DATE(YEAR(A207),1,1)+1)</f>
        <v/>
      </c>
      <c r="D207">
        <f>IF(A207="","",Ввод!$B$4-SUMIF(Оплаты!$A$6:$A$505,"&lt;"&amp;A207,Оплаты!$B$6:$B$505))</f>
        <v/>
      </c>
      <c r="E207">
        <f>IF(A207="","",IF(SUMPRODUCT((Ввод!$F$12:$F$31&lt;&gt;"")*(Ввод!$F$12:$F$31&lt;=A207)*(Ввод!$G$12:$G$31&gt;=A207))&gt;0,1,0))</f>
        <v/>
      </c>
      <c r="F207">
        <f>IF(OR(A207="",B207=""),"",IF(E207=1,0,D207*B207/100/C207))</f>
        <v/>
      </c>
      <c r="G207">
        <f>IF(A207="","",IF(OR(B207&lt;&gt;B206,C207&lt;&gt;C206,D207&lt;&gt;D206,E207&lt;&gt;E206),G206+1,G206))</f>
        <v/>
      </c>
    </row>
    <row r="208">
      <c r="A208" s="14">
        <f>IF(OR(NOT(ISNUMBER(Ввод!$B$5)),NOT(ISNUMBER(Ввод!$B$6))),"",IF(Ввод!$B$5+206&gt;Ввод!$B$6,"",Ввод!$B$5+206))</f>
        <v/>
      </c>
      <c r="B208">
        <f>IF(A208="","",IFERROR(INDEX(Ввод!$B$12:$B$71,MATCH(A208,Ввод!$D$12:$D$71,1)),""))</f>
        <v/>
      </c>
      <c r="C208">
        <f>IF(A208="","",DATE(YEAR(A208),12,31)-DATE(YEAR(A208),1,1)+1)</f>
        <v/>
      </c>
      <c r="D208">
        <f>IF(A208="","",Ввод!$B$4-SUMIF(Оплаты!$A$6:$A$505,"&lt;"&amp;A208,Оплаты!$B$6:$B$505))</f>
        <v/>
      </c>
      <c r="E208">
        <f>IF(A208="","",IF(SUMPRODUCT((Ввод!$F$12:$F$31&lt;&gt;"")*(Ввод!$F$12:$F$31&lt;=A208)*(Ввод!$G$12:$G$31&gt;=A208))&gt;0,1,0))</f>
        <v/>
      </c>
      <c r="F208">
        <f>IF(OR(A208="",B208=""),"",IF(E208=1,0,D208*B208/100/C208))</f>
        <v/>
      </c>
      <c r="G208">
        <f>IF(A208="","",IF(OR(B208&lt;&gt;B207,C208&lt;&gt;C207,D208&lt;&gt;D207,E208&lt;&gt;E207),G207+1,G207))</f>
        <v/>
      </c>
    </row>
    <row r="209">
      <c r="A209" s="14">
        <f>IF(OR(NOT(ISNUMBER(Ввод!$B$5)),NOT(ISNUMBER(Ввод!$B$6))),"",IF(Ввод!$B$5+207&gt;Ввод!$B$6,"",Ввод!$B$5+207))</f>
        <v/>
      </c>
      <c r="B209">
        <f>IF(A209="","",IFERROR(INDEX(Ввод!$B$12:$B$71,MATCH(A209,Ввод!$D$12:$D$71,1)),""))</f>
        <v/>
      </c>
      <c r="C209">
        <f>IF(A209="","",DATE(YEAR(A209),12,31)-DATE(YEAR(A209),1,1)+1)</f>
        <v/>
      </c>
      <c r="D209">
        <f>IF(A209="","",Ввод!$B$4-SUMIF(Оплаты!$A$6:$A$505,"&lt;"&amp;A209,Оплаты!$B$6:$B$505))</f>
        <v/>
      </c>
      <c r="E209">
        <f>IF(A209="","",IF(SUMPRODUCT((Ввод!$F$12:$F$31&lt;&gt;"")*(Ввод!$F$12:$F$31&lt;=A209)*(Ввод!$G$12:$G$31&gt;=A209))&gt;0,1,0))</f>
        <v/>
      </c>
      <c r="F209">
        <f>IF(OR(A209="",B209=""),"",IF(E209=1,0,D209*B209/100/C209))</f>
        <v/>
      </c>
      <c r="G209">
        <f>IF(A209="","",IF(OR(B209&lt;&gt;B208,C209&lt;&gt;C208,D209&lt;&gt;D208,E209&lt;&gt;E208),G208+1,G208))</f>
        <v/>
      </c>
    </row>
    <row r="210">
      <c r="A210" s="14">
        <f>IF(OR(NOT(ISNUMBER(Ввод!$B$5)),NOT(ISNUMBER(Ввод!$B$6))),"",IF(Ввод!$B$5+208&gt;Ввод!$B$6,"",Ввод!$B$5+208))</f>
        <v/>
      </c>
      <c r="B210">
        <f>IF(A210="","",IFERROR(INDEX(Ввод!$B$12:$B$71,MATCH(A210,Ввод!$D$12:$D$71,1)),""))</f>
        <v/>
      </c>
      <c r="C210">
        <f>IF(A210="","",DATE(YEAR(A210),12,31)-DATE(YEAR(A210),1,1)+1)</f>
        <v/>
      </c>
      <c r="D210">
        <f>IF(A210="","",Ввод!$B$4-SUMIF(Оплаты!$A$6:$A$505,"&lt;"&amp;A210,Оплаты!$B$6:$B$505))</f>
        <v/>
      </c>
      <c r="E210">
        <f>IF(A210="","",IF(SUMPRODUCT((Ввод!$F$12:$F$31&lt;&gt;"")*(Ввод!$F$12:$F$31&lt;=A210)*(Ввод!$G$12:$G$31&gt;=A210))&gt;0,1,0))</f>
        <v/>
      </c>
      <c r="F210">
        <f>IF(OR(A210="",B210=""),"",IF(E210=1,0,D210*B210/100/C210))</f>
        <v/>
      </c>
      <c r="G210">
        <f>IF(A210="","",IF(OR(B210&lt;&gt;B209,C210&lt;&gt;C209,D210&lt;&gt;D209,E210&lt;&gt;E209),G209+1,G209))</f>
        <v/>
      </c>
    </row>
    <row r="211">
      <c r="A211" s="14">
        <f>IF(OR(NOT(ISNUMBER(Ввод!$B$5)),NOT(ISNUMBER(Ввод!$B$6))),"",IF(Ввод!$B$5+209&gt;Ввод!$B$6,"",Ввод!$B$5+209))</f>
        <v/>
      </c>
      <c r="B211">
        <f>IF(A211="","",IFERROR(INDEX(Ввод!$B$12:$B$71,MATCH(A211,Ввод!$D$12:$D$71,1)),""))</f>
        <v/>
      </c>
      <c r="C211">
        <f>IF(A211="","",DATE(YEAR(A211),12,31)-DATE(YEAR(A211),1,1)+1)</f>
        <v/>
      </c>
      <c r="D211">
        <f>IF(A211="","",Ввод!$B$4-SUMIF(Оплаты!$A$6:$A$505,"&lt;"&amp;A211,Оплаты!$B$6:$B$505))</f>
        <v/>
      </c>
      <c r="E211">
        <f>IF(A211="","",IF(SUMPRODUCT((Ввод!$F$12:$F$31&lt;&gt;"")*(Ввод!$F$12:$F$31&lt;=A211)*(Ввод!$G$12:$G$31&gt;=A211))&gt;0,1,0))</f>
        <v/>
      </c>
      <c r="F211">
        <f>IF(OR(A211="",B211=""),"",IF(E211=1,0,D211*B211/100/C211))</f>
        <v/>
      </c>
      <c r="G211">
        <f>IF(A211="","",IF(OR(B211&lt;&gt;B210,C211&lt;&gt;C210,D211&lt;&gt;D210,E211&lt;&gt;E210),G210+1,G210))</f>
        <v/>
      </c>
    </row>
    <row r="212">
      <c r="A212" s="14">
        <f>IF(OR(NOT(ISNUMBER(Ввод!$B$5)),NOT(ISNUMBER(Ввод!$B$6))),"",IF(Ввод!$B$5+210&gt;Ввод!$B$6,"",Ввод!$B$5+210))</f>
        <v/>
      </c>
      <c r="B212">
        <f>IF(A212="","",IFERROR(INDEX(Ввод!$B$12:$B$71,MATCH(A212,Ввод!$D$12:$D$71,1)),""))</f>
        <v/>
      </c>
      <c r="C212">
        <f>IF(A212="","",DATE(YEAR(A212),12,31)-DATE(YEAR(A212),1,1)+1)</f>
        <v/>
      </c>
      <c r="D212">
        <f>IF(A212="","",Ввод!$B$4-SUMIF(Оплаты!$A$6:$A$505,"&lt;"&amp;A212,Оплаты!$B$6:$B$505))</f>
        <v/>
      </c>
      <c r="E212">
        <f>IF(A212="","",IF(SUMPRODUCT((Ввод!$F$12:$F$31&lt;&gt;"")*(Ввод!$F$12:$F$31&lt;=A212)*(Ввод!$G$12:$G$31&gt;=A212))&gt;0,1,0))</f>
        <v/>
      </c>
      <c r="F212">
        <f>IF(OR(A212="",B212=""),"",IF(E212=1,0,D212*B212/100/C212))</f>
        <v/>
      </c>
      <c r="G212">
        <f>IF(A212="","",IF(OR(B212&lt;&gt;B211,C212&lt;&gt;C211,D212&lt;&gt;D211,E212&lt;&gt;E211),G211+1,G211))</f>
        <v/>
      </c>
    </row>
    <row r="213">
      <c r="A213" s="14">
        <f>IF(OR(NOT(ISNUMBER(Ввод!$B$5)),NOT(ISNUMBER(Ввод!$B$6))),"",IF(Ввод!$B$5+211&gt;Ввод!$B$6,"",Ввод!$B$5+211))</f>
        <v/>
      </c>
      <c r="B213">
        <f>IF(A213="","",IFERROR(INDEX(Ввод!$B$12:$B$71,MATCH(A213,Ввод!$D$12:$D$71,1)),""))</f>
        <v/>
      </c>
      <c r="C213">
        <f>IF(A213="","",DATE(YEAR(A213),12,31)-DATE(YEAR(A213),1,1)+1)</f>
        <v/>
      </c>
      <c r="D213">
        <f>IF(A213="","",Ввод!$B$4-SUMIF(Оплаты!$A$6:$A$505,"&lt;"&amp;A213,Оплаты!$B$6:$B$505))</f>
        <v/>
      </c>
      <c r="E213">
        <f>IF(A213="","",IF(SUMPRODUCT((Ввод!$F$12:$F$31&lt;&gt;"")*(Ввод!$F$12:$F$31&lt;=A213)*(Ввод!$G$12:$G$31&gt;=A213))&gt;0,1,0))</f>
        <v/>
      </c>
      <c r="F213">
        <f>IF(OR(A213="",B213=""),"",IF(E213=1,0,D213*B213/100/C213))</f>
        <v/>
      </c>
      <c r="G213">
        <f>IF(A213="","",IF(OR(B213&lt;&gt;B212,C213&lt;&gt;C212,D213&lt;&gt;D212,E213&lt;&gt;E212),G212+1,G212))</f>
        <v/>
      </c>
    </row>
    <row r="214">
      <c r="A214" s="14">
        <f>IF(OR(NOT(ISNUMBER(Ввод!$B$5)),NOT(ISNUMBER(Ввод!$B$6))),"",IF(Ввод!$B$5+212&gt;Ввод!$B$6,"",Ввод!$B$5+212))</f>
        <v/>
      </c>
      <c r="B214">
        <f>IF(A214="","",IFERROR(INDEX(Ввод!$B$12:$B$71,MATCH(A214,Ввод!$D$12:$D$71,1)),""))</f>
        <v/>
      </c>
      <c r="C214">
        <f>IF(A214="","",DATE(YEAR(A214),12,31)-DATE(YEAR(A214),1,1)+1)</f>
        <v/>
      </c>
      <c r="D214">
        <f>IF(A214="","",Ввод!$B$4-SUMIF(Оплаты!$A$6:$A$505,"&lt;"&amp;A214,Оплаты!$B$6:$B$505))</f>
        <v/>
      </c>
      <c r="E214">
        <f>IF(A214="","",IF(SUMPRODUCT((Ввод!$F$12:$F$31&lt;&gt;"")*(Ввод!$F$12:$F$31&lt;=A214)*(Ввод!$G$12:$G$31&gt;=A214))&gt;0,1,0))</f>
        <v/>
      </c>
      <c r="F214">
        <f>IF(OR(A214="",B214=""),"",IF(E214=1,0,D214*B214/100/C214))</f>
        <v/>
      </c>
      <c r="G214">
        <f>IF(A214="","",IF(OR(B214&lt;&gt;B213,C214&lt;&gt;C213,D214&lt;&gt;D213,E214&lt;&gt;E213),G213+1,G213))</f>
        <v/>
      </c>
    </row>
    <row r="215">
      <c r="A215" s="14">
        <f>IF(OR(NOT(ISNUMBER(Ввод!$B$5)),NOT(ISNUMBER(Ввод!$B$6))),"",IF(Ввод!$B$5+213&gt;Ввод!$B$6,"",Ввод!$B$5+213))</f>
        <v/>
      </c>
      <c r="B215">
        <f>IF(A215="","",IFERROR(INDEX(Ввод!$B$12:$B$71,MATCH(A215,Ввод!$D$12:$D$71,1)),""))</f>
        <v/>
      </c>
      <c r="C215">
        <f>IF(A215="","",DATE(YEAR(A215),12,31)-DATE(YEAR(A215),1,1)+1)</f>
        <v/>
      </c>
      <c r="D215">
        <f>IF(A215="","",Ввод!$B$4-SUMIF(Оплаты!$A$6:$A$505,"&lt;"&amp;A215,Оплаты!$B$6:$B$505))</f>
        <v/>
      </c>
      <c r="E215">
        <f>IF(A215="","",IF(SUMPRODUCT((Ввод!$F$12:$F$31&lt;&gt;"")*(Ввод!$F$12:$F$31&lt;=A215)*(Ввод!$G$12:$G$31&gt;=A215))&gt;0,1,0))</f>
        <v/>
      </c>
      <c r="F215">
        <f>IF(OR(A215="",B215=""),"",IF(E215=1,0,D215*B215/100/C215))</f>
        <v/>
      </c>
      <c r="G215">
        <f>IF(A215="","",IF(OR(B215&lt;&gt;B214,C215&lt;&gt;C214,D215&lt;&gt;D214,E215&lt;&gt;E214),G214+1,G214))</f>
        <v/>
      </c>
    </row>
    <row r="216">
      <c r="A216" s="14">
        <f>IF(OR(NOT(ISNUMBER(Ввод!$B$5)),NOT(ISNUMBER(Ввод!$B$6))),"",IF(Ввод!$B$5+214&gt;Ввод!$B$6,"",Ввод!$B$5+214))</f>
        <v/>
      </c>
      <c r="B216">
        <f>IF(A216="","",IFERROR(INDEX(Ввод!$B$12:$B$71,MATCH(A216,Ввод!$D$12:$D$71,1)),""))</f>
        <v/>
      </c>
      <c r="C216">
        <f>IF(A216="","",DATE(YEAR(A216),12,31)-DATE(YEAR(A216),1,1)+1)</f>
        <v/>
      </c>
      <c r="D216">
        <f>IF(A216="","",Ввод!$B$4-SUMIF(Оплаты!$A$6:$A$505,"&lt;"&amp;A216,Оплаты!$B$6:$B$505))</f>
        <v/>
      </c>
      <c r="E216">
        <f>IF(A216="","",IF(SUMPRODUCT((Ввод!$F$12:$F$31&lt;&gt;"")*(Ввод!$F$12:$F$31&lt;=A216)*(Ввод!$G$12:$G$31&gt;=A216))&gt;0,1,0))</f>
        <v/>
      </c>
      <c r="F216">
        <f>IF(OR(A216="",B216=""),"",IF(E216=1,0,D216*B216/100/C216))</f>
        <v/>
      </c>
      <c r="G216">
        <f>IF(A216="","",IF(OR(B216&lt;&gt;B215,C216&lt;&gt;C215,D216&lt;&gt;D215,E216&lt;&gt;E215),G215+1,G215))</f>
        <v/>
      </c>
    </row>
    <row r="217">
      <c r="A217" s="14">
        <f>IF(OR(NOT(ISNUMBER(Ввод!$B$5)),NOT(ISNUMBER(Ввод!$B$6))),"",IF(Ввод!$B$5+215&gt;Ввод!$B$6,"",Ввод!$B$5+215))</f>
        <v/>
      </c>
      <c r="B217">
        <f>IF(A217="","",IFERROR(INDEX(Ввод!$B$12:$B$71,MATCH(A217,Ввод!$D$12:$D$71,1)),""))</f>
        <v/>
      </c>
      <c r="C217">
        <f>IF(A217="","",DATE(YEAR(A217),12,31)-DATE(YEAR(A217),1,1)+1)</f>
        <v/>
      </c>
      <c r="D217">
        <f>IF(A217="","",Ввод!$B$4-SUMIF(Оплаты!$A$6:$A$505,"&lt;"&amp;A217,Оплаты!$B$6:$B$505))</f>
        <v/>
      </c>
      <c r="E217">
        <f>IF(A217="","",IF(SUMPRODUCT((Ввод!$F$12:$F$31&lt;&gt;"")*(Ввод!$F$12:$F$31&lt;=A217)*(Ввод!$G$12:$G$31&gt;=A217))&gt;0,1,0))</f>
        <v/>
      </c>
      <c r="F217">
        <f>IF(OR(A217="",B217=""),"",IF(E217=1,0,D217*B217/100/C217))</f>
        <v/>
      </c>
      <c r="G217">
        <f>IF(A217="","",IF(OR(B217&lt;&gt;B216,C217&lt;&gt;C216,D217&lt;&gt;D216,E217&lt;&gt;E216),G216+1,G216))</f>
        <v/>
      </c>
    </row>
    <row r="218">
      <c r="A218" s="14">
        <f>IF(OR(NOT(ISNUMBER(Ввод!$B$5)),NOT(ISNUMBER(Ввод!$B$6))),"",IF(Ввод!$B$5+216&gt;Ввод!$B$6,"",Ввод!$B$5+216))</f>
        <v/>
      </c>
      <c r="B218">
        <f>IF(A218="","",IFERROR(INDEX(Ввод!$B$12:$B$71,MATCH(A218,Ввод!$D$12:$D$71,1)),""))</f>
        <v/>
      </c>
      <c r="C218">
        <f>IF(A218="","",DATE(YEAR(A218),12,31)-DATE(YEAR(A218),1,1)+1)</f>
        <v/>
      </c>
      <c r="D218">
        <f>IF(A218="","",Ввод!$B$4-SUMIF(Оплаты!$A$6:$A$505,"&lt;"&amp;A218,Оплаты!$B$6:$B$505))</f>
        <v/>
      </c>
      <c r="E218">
        <f>IF(A218="","",IF(SUMPRODUCT((Ввод!$F$12:$F$31&lt;&gt;"")*(Ввод!$F$12:$F$31&lt;=A218)*(Ввод!$G$12:$G$31&gt;=A218))&gt;0,1,0))</f>
        <v/>
      </c>
      <c r="F218">
        <f>IF(OR(A218="",B218=""),"",IF(E218=1,0,D218*B218/100/C218))</f>
        <v/>
      </c>
      <c r="G218">
        <f>IF(A218="","",IF(OR(B218&lt;&gt;B217,C218&lt;&gt;C217,D218&lt;&gt;D217,E218&lt;&gt;E217),G217+1,G217))</f>
        <v/>
      </c>
    </row>
    <row r="219">
      <c r="A219" s="14">
        <f>IF(OR(NOT(ISNUMBER(Ввод!$B$5)),NOT(ISNUMBER(Ввод!$B$6))),"",IF(Ввод!$B$5+217&gt;Ввод!$B$6,"",Ввод!$B$5+217))</f>
        <v/>
      </c>
      <c r="B219">
        <f>IF(A219="","",IFERROR(INDEX(Ввод!$B$12:$B$71,MATCH(A219,Ввод!$D$12:$D$71,1)),""))</f>
        <v/>
      </c>
      <c r="C219">
        <f>IF(A219="","",DATE(YEAR(A219),12,31)-DATE(YEAR(A219),1,1)+1)</f>
        <v/>
      </c>
      <c r="D219">
        <f>IF(A219="","",Ввод!$B$4-SUMIF(Оплаты!$A$6:$A$505,"&lt;"&amp;A219,Оплаты!$B$6:$B$505))</f>
        <v/>
      </c>
      <c r="E219">
        <f>IF(A219="","",IF(SUMPRODUCT((Ввод!$F$12:$F$31&lt;&gt;"")*(Ввод!$F$12:$F$31&lt;=A219)*(Ввод!$G$12:$G$31&gt;=A219))&gt;0,1,0))</f>
        <v/>
      </c>
      <c r="F219">
        <f>IF(OR(A219="",B219=""),"",IF(E219=1,0,D219*B219/100/C219))</f>
        <v/>
      </c>
      <c r="G219">
        <f>IF(A219="","",IF(OR(B219&lt;&gt;B218,C219&lt;&gt;C218,D219&lt;&gt;D218,E219&lt;&gt;E218),G218+1,G218))</f>
        <v/>
      </c>
    </row>
    <row r="220">
      <c r="A220" s="14">
        <f>IF(OR(NOT(ISNUMBER(Ввод!$B$5)),NOT(ISNUMBER(Ввод!$B$6))),"",IF(Ввод!$B$5+218&gt;Ввод!$B$6,"",Ввод!$B$5+218))</f>
        <v/>
      </c>
      <c r="B220">
        <f>IF(A220="","",IFERROR(INDEX(Ввод!$B$12:$B$71,MATCH(A220,Ввод!$D$12:$D$71,1)),""))</f>
        <v/>
      </c>
      <c r="C220">
        <f>IF(A220="","",DATE(YEAR(A220),12,31)-DATE(YEAR(A220),1,1)+1)</f>
        <v/>
      </c>
      <c r="D220">
        <f>IF(A220="","",Ввод!$B$4-SUMIF(Оплаты!$A$6:$A$505,"&lt;"&amp;A220,Оплаты!$B$6:$B$505))</f>
        <v/>
      </c>
      <c r="E220">
        <f>IF(A220="","",IF(SUMPRODUCT((Ввод!$F$12:$F$31&lt;&gt;"")*(Ввод!$F$12:$F$31&lt;=A220)*(Ввод!$G$12:$G$31&gt;=A220))&gt;0,1,0))</f>
        <v/>
      </c>
      <c r="F220">
        <f>IF(OR(A220="",B220=""),"",IF(E220=1,0,D220*B220/100/C220))</f>
        <v/>
      </c>
      <c r="G220">
        <f>IF(A220="","",IF(OR(B220&lt;&gt;B219,C220&lt;&gt;C219,D220&lt;&gt;D219,E220&lt;&gt;E219),G219+1,G219))</f>
        <v/>
      </c>
    </row>
    <row r="221">
      <c r="A221" s="14">
        <f>IF(OR(NOT(ISNUMBER(Ввод!$B$5)),NOT(ISNUMBER(Ввод!$B$6))),"",IF(Ввод!$B$5+219&gt;Ввод!$B$6,"",Ввод!$B$5+219))</f>
        <v/>
      </c>
      <c r="B221">
        <f>IF(A221="","",IFERROR(INDEX(Ввод!$B$12:$B$71,MATCH(A221,Ввод!$D$12:$D$71,1)),""))</f>
        <v/>
      </c>
      <c r="C221">
        <f>IF(A221="","",DATE(YEAR(A221),12,31)-DATE(YEAR(A221),1,1)+1)</f>
        <v/>
      </c>
      <c r="D221">
        <f>IF(A221="","",Ввод!$B$4-SUMIF(Оплаты!$A$6:$A$505,"&lt;"&amp;A221,Оплаты!$B$6:$B$505))</f>
        <v/>
      </c>
      <c r="E221">
        <f>IF(A221="","",IF(SUMPRODUCT((Ввод!$F$12:$F$31&lt;&gt;"")*(Ввод!$F$12:$F$31&lt;=A221)*(Ввод!$G$12:$G$31&gt;=A221))&gt;0,1,0))</f>
        <v/>
      </c>
      <c r="F221">
        <f>IF(OR(A221="",B221=""),"",IF(E221=1,0,D221*B221/100/C221))</f>
        <v/>
      </c>
      <c r="G221">
        <f>IF(A221="","",IF(OR(B221&lt;&gt;B220,C221&lt;&gt;C220,D221&lt;&gt;D220,E221&lt;&gt;E220),G220+1,G220))</f>
        <v/>
      </c>
    </row>
    <row r="222">
      <c r="A222" s="14">
        <f>IF(OR(NOT(ISNUMBER(Ввод!$B$5)),NOT(ISNUMBER(Ввод!$B$6))),"",IF(Ввод!$B$5+220&gt;Ввод!$B$6,"",Ввод!$B$5+220))</f>
        <v/>
      </c>
      <c r="B222">
        <f>IF(A222="","",IFERROR(INDEX(Ввод!$B$12:$B$71,MATCH(A222,Ввод!$D$12:$D$71,1)),""))</f>
        <v/>
      </c>
      <c r="C222">
        <f>IF(A222="","",DATE(YEAR(A222),12,31)-DATE(YEAR(A222),1,1)+1)</f>
        <v/>
      </c>
      <c r="D222">
        <f>IF(A222="","",Ввод!$B$4-SUMIF(Оплаты!$A$6:$A$505,"&lt;"&amp;A222,Оплаты!$B$6:$B$505))</f>
        <v/>
      </c>
      <c r="E222">
        <f>IF(A222="","",IF(SUMPRODUCT((Ввод!$F$12:$F$31&lt;&gt;"")*(Ввод!$F$12:$F$31&lt;=A222)*(Ввод!$G$12:$G$31&gt;=A222))&gt;0,1,0))</f>
        <v/>
      </c>
      <c r="F222">
        <f>IF(OR(A222="",B222=""),"",IF(E222=1,0,D222*B222/100/C222))</f>
        <v/>
      </c>
      <c r="G222">
        <f>IF(A222="","",IF(OR(B222&lt;&gt;B221,C222&lt;&gt;C221,D222&lt;&gt;D221,E222&lt;&gt;E221),G221+1,G221))</f>
        <v/>
      </c>
    </row>
    <row r="223">
      <c r="A223" s="14">
        <f>IF(OR(NOT(ISNUMBER(Ввод!$B$5)),NOT(ISNUMBER(Ввод!$B$6))),"",IF(Ввод!$B$5+221&gt;Ввод!$B$6,"",Ввод!$B$5+221))</f>
        <v/>
      </c>
      <c r="B223">
        <f>IF(A223="","",IFERROR(INDEX(Ввод!$B$12:$B$71,MATCH(A223,Ввод!$D$12:$D$71,1)),""))</f>
        <v/>
      </c>
      <c r="C223">
        <f>IF(A223="","",DATE(YEAR(A223),12,31)-DATE(YEAR(A223),1,1)+1)</f>
        <v/>
      </c>
      <c r="D223">
        <f>IF(A223="","",Ввод!$B$4-SUMIF(Оплаты!$A$6:$A$505,"&lt;"&amp;A223,Оплаты!$B$6:$B$505))</f>
        <v/>
      </c>
      <c r="E223">
        <f>IF(A223="","",IF(SUMPRODUCT((Ввод!$F$12:$F$31&lt;&gt;"")*(Ввод!$F$12:$F$31&lt;=A223)*(Ввод!$G$12:$G$31&gt;=A223))&gt;0,1,0))</f>
        <v/>
      </c>
      <c r="F223">
        <f>IF(OR(A223="",B223=""),"",IF(E223=1,0,D223*B223/100/C223))</f>
        <v/>
      </c>
      <c r="G223">
        <f>IF(A223="","",IF(OR(B223&lt;&gt;B222,C223&lt;&gt;C222,D223&lt;&gt;D222,E223&lt;&gt;E222),G222+1,G222))</f>
        <v/>
      </c>
    </row>
    <row r="224">
      <c r="A224" s="14">
        <f>IF(OR(NOT(ISNUMBER(Ввод!$B$5)),NOT(ISNUMBER(Ввод!$B$6))),"",IF(Ввод!$B$5+222&gt;Ввод!$B$6,"",Ввод!$B$5+222))</f>
        <v/>
      </c>
      <c r="B224">
        <f>IF(A224="","",IFERROR(INDEX(Ввод!$B$12:$B$71,MATCH(A224,Ввод!$D$12:$D$71,1)),""))</f>
        <v/>
      </c>
      <c r="C224">
        <f>IF(A224="","",DATE(YEAR(A224),12,31)-DATE(YEAR(A224),1,1)+1)</f>
        <v/>
      </c>
      <c r="D224">
        <f>IF(A224="","",Ввод!$B$4-SUMIF(Оплаты!$A$6:$A$505,"&lt;"&amp;A224,Оплаты!$B$6:$B$505))</f>
        <v/>
      </c>
      <c r="E224">
        <f>IF(A224="","",IF(SUMPRODUCT((Ввод!$F$12:$F$31&lt;&gt;"")*(Ввод!$F$12:$F$31&lt;=A224)*(Ввод!$G$12:$G$31&gt;=A224))&gt;0,1,0))</f>
        <v/>
      </c>
      <c r="F224">
        <f>IF(OR(A224="",B224=""),"",IF(E224=1,0,D224*B224/100/C224))</f>
        <v/>
      </c>
      <c r="G224">
        <f>IF(A224="","",IF(OR(B224&lt;&gt;B223,C224&lt;&gt;C223,D224&lt;&gt;D223,E224&lt;&gt;E223),G223+1,G223))</f>
        <v/>
      </c>
    </row>
    <row r="225">
      <c r="A225" s="14">
        <f>IF(OR(NOT(ISNUMBER(Ввод!$B$5)),NOT(ISNUMBER(Ввод!$B$6))),"",IF(Ввод!$B$5+223&gt;Ввод!$B$6,"",Ввод!$B$5+223))</f>
        <v/>
      </c>
      <c r="B225">
        <f>IF(A225="","",IFERROR(INDEX(Ввод!$B$12:$B$71,MATCH(A225,Ввод!$D$12:$D$71,1)),""))</f>
        <v/>
      </c>
      <c r="C225">
        <f>IF(A225="","",DATE(YEAR(A225),12,31)-DATE(YEAR(A225),1,1)+1)</f>
        <v/>
      </c>
      <c r="D225">
        <f>IF(A225="","",Ввод!$B$4-SUMIF(Оплаты!$A$6:$A$505,"&lt;"&amp;A225,Оплаты!$B$6:$B$505))</f>
        <v/>
      </c>
      <c r="E225">
        <f>IF(A225="","",IF(SUMPRODUCT((Ввод!$F$12:$F$31&lt;&gt;"")*(Ввод!$F$12:$F$31&lt;=A225)*(Ввод!$G$12:$G$31&gt;=A225))&gt;0,1,0))</f>
        <v/>
      </c>
      <c r="F225">
        <f>IF(OR(A225="",B225=""),"",IF(E225=1,0,D225*B225/100/C225))</f>
        <v/>
      </c>
      <c r="G225">
        <f>IF(A225="","",IF(OR(B225&lt;&gt;B224,C225&lt;&gt;C224,D225&lt;&gt;D224,E225&lt;&gt;E224),G224+1,G224))</f>
        <v/>
      </c>
    </row>
    <row r="226">
      <c r="A226" s="14">
        <f>IF(OR(NOT(ISNUMBER(Ввод!$B$5)),NOT(ISNUMBER(Ввод!$B$6))),"",IF(Ввод!$B$5+224&gt;Ввод!$B$6,"",Ввод!$B$5+224))</f>
        <v/>
      </c>
      <c r="B226">
        <f>IF(A226="","",IFERROR(INDEX(Ввод!$B$12:$B$71,MATCH(A226,Ввод!$D$12:$D$71,1)),""))</f>
        <v/>
      </c>
      <c r="C226">
        <f>IF(A226="","",DATE(YEAR(A226),12,31)-DATE(YEAR(A226),1,1)+1)</f>
        <v/>
      </c>
      <c r="D226">
        <f>IF(A226="","",Ввод!$B$4-SUMIF(Оплаты!$A$6:$A$505,"&lt;"&amp;A226,Оплаты!$B$6:$B$505))</f>
        <v/>
      </c>
      <c r="E226">
        <f>IF(A226="","",IF(SUMPRODUCT((Ввод!$F$12:$F$31&lt;&gt;"")*(Ввод!$F$12:$F$31&lt;=A226)*(Ввод!$G$12:$G$31&gt;=A226))&gt;0,1,0))</f>
        <v/>
      </c>
      <c r="F226">
        <f>IF(OR(A226="",B226=""),"",IF(E226=1,0,D226*B226/100/C226))</f>
        <v/>
      </c>
      <c r="G226">
        <f>IF(A226="","",IF(OR(B226&lt;&gt;B225,C226&lt;&gt;C225,D226&lt;&gt;D225,E226&lt;&gt;E225),G225+1,G225))</f>
        <v/>
      </c>
    </row>
    <row r="227">
      <c r="A227" s="14">
        <f>IF(OR(NOT(ISNUMBER(Ввод!$B$5)),NOT(ISNUMBER(Ввод!$B$6))),"",IF(Ввод!$B$5+225&gt;Ввод!$B$6,"",Ввод!$B$5+225))</f>
        <v/>
      </c>
      <c r="B227">
        <f>IF(A227="","",IFERROR(INDEX(Ввод!$B$12:$B$71,MATCH(A227,Ввод!$D$12:$D$71,1)),""))</f>
        <v/>
      </c>
      <c r="C227">
        <f>IF(A227="","",DATE(YEAR(A227),12,31)-DATE(YEAR(A227),1,1)+1)</f>
        <v/>
      </c>
      <c r="D227">
        <f>IF(A227="","",Ввод!$B$4-SUMIF(Оплаты!$A$6:$A$505,"&lt;"&amp;A227,Оплаты!$B$6:$B$505))</f>
        <v/>
      </c>
      <c r="E227">
        <f>IF(A227="","",IF(SUMPRODUCT((Ввод!$F$12:$F$31&lt;&gt;"")*(Ввод!$F$12:$F$31&lt;=A227)*(Ввод!$G$12:$G$31&gt;=A227))&gt;0,1,0))</f>
        <v/>
      </c>
      <c r="F227">
        <f>IF(OR(A227="",B227=""),"",IF(E227=1,0,D227*B227/100/C227))</f>
        <v/>
      </c>
      <c r="G227">
        <f>IF(A227="","",IF(OR(B227&lt;&gt;B226,C227&lt;&gt;C226,D227&lt;&gt;D226,E227&lt;&gt;E226),G226+1,G226))</f>
        <v/>
      </c>
    </row>
    <row r="228">
      <c r="A228" s="14">
        <f>IF(OR(NOT(ISNUMBER(Ввод!$B$5)),NOT(ISNUMBER(Ввод!$B$6))),"",IF(Ввод!$B$5+226&gt;Ввод!$B$6,"",Ввод!$B$5+226))</f>
        <v/>
      </c>
      <c r="B228">
        <f>IF(A228="","",IFERROR(INDEX(Ввод!$B$12:$B$71,MATCH(A228,Ввод!$D$12:$D$71,1)),""))</f>
        <v/>
      </c>
      <c r="C228">
        <f>IF(A228="","",DATE(YEAR(A228),12,31)-DATE(YEAR(A228),1,1)+1)</f>
        <v/>
      </c>
      <c r="D228">
        <f>IF(A228="","",Ввод!$B$4-SUMIF(Оплаты!$A$6:$A$505,"&lt;"&amp;A228,Оплаты!$B$6:$B$505))</f>
        <v/>
      </c>
      <c r="E228">
        <f>IF(A228="","",IF(SUMPRODUCT((Ввод!$F$12:$F$31&lt;&gt;"")*(Ввод!$F$12:$F$31&lt;=A228)*(Ввод!$G$12:$G$31&gt;=A228))&gt;0,1,0))</f>
        <v/>
      </c>
      <c r="F228">
        <f>IF(OR(A228="",B228=""),"",IF(E228=1,0,D228*B228/100/C228))</f>
        <v/>
      </c>
      <c r="G228">
        <f>IF(A228="","",IF(OR(B228&lt;&gt;B227,C228&lt;&gt;C227,D228&lt;&gt;D227,E228&lt;&gt;E227),G227+1,G227))</f>
        <v/>
      </c>
    </row>
    <row r="229">
      <c r="A229" s="14">
        <f>IF(OR(NOT(ISNUMBER(Ввод!$B$5)),NOT(ISNUMBER(Ввод!$B$6))),"",IF(Ввод!$B$5+227&gt;Ввод!$B$6,"",Ввод!$B$5+227))</f>
        <v/>
      </c>
      <c r="B229">
        <f>IF(A229="","",IFERROR(INDEX(Ввод!$B$12:$B$71,MATCH(A229,Ввод!$D$12:$D$71,1)),""))</f>
        <v/>
      </c>
      <c r="C229">
        <f>IF(A229="","",DATE(YEAR(A229),12,31)-DATE(YEAR(A229),1,1)+1)</f>
        <v/>
      </c>
      <c r="D229">
        <f>IF(A229="","",Ввод!$B$4-SUMIF(Оплаты!$A$6:$A$505,"&lt;"&amp;A229,Оплаты!$B$6:$B$505))</f>
        <v/>
      </c>
      <c r="E229">
        <f>IF(A229="","",IF(SUMPRODUCT((Ввод!$F$12:$F$31&lt;&gt;"")*(Ввод!$F$12:$F$31&lt;=A229)*(Ввод!$G$12:$G$31&gt;=A229))&gt;0,1,0))</f>
        <v/>
      </c>
      <c r="F229">
        <f>IF(OR(A229="",B229=""),"",IF(E229=1,0,D229*B229/100/C229))</f>
        <v/>
      </c>
      <c r="G229">
        <f>IF(A229="","",IF(OR(B229&lt;&gt;B228,C229&lt;&gt;C228,D229&lt;&gt;D228,E229&lt;&gt;E228),G228+1,G228))</f>
        <v/>
      </c>
    </row>
    <row r="230">
      <c r="A230" s="14">
        <f>IF(OR(NOT(ISNUMBER(Ввод!$B$5)),NOT(ISNUMBER(Ввод!$B$6))),"",IF(Ввод!$B$5+228&gt;Ввод!$B$6,"",Ввод!$B$5+228))</f>
        <v/>
      </c>
      <c r="B230">
        <f>IF(A230="","",IFERROR(INDEX(Ввод!$B$12:$B$71,MATCH(A230,Ввод!$D$12:$D$71,1)),""))</f>
        <v/>
      </c>
      <c r="C230">
        <f>IF(A230="","",DATE(YEAR(A230),12,31)-DATE(YEAR(A230),1,1)+1)</f>
        <v/>
      </c>
      <c r="D230">
        <f>IF(A230="","",Ввод!$B$4-SUMIF(Оплаты!$A$6:$A$505,"&lt;"&amp;A230,Оплаты!$B$6:$B$505))</f>
        <v/>
      </c>
      <c r="E230">
        <f>IF(A230="","",IF(SUMPRODUCT((Ввод!$F$12:$F$31&lt;&gt;"")*(Ввод!$F$12:$F$31&lt;=A230)*(Ввод!$G$12:$G$31&gt;=A230))&gt;0,1,0))</f>
        <v/>
      </c>
      <c r="F230">
        <f>IF(OR(A230="",B230=""),"",IF(E230=1,0,D230*B230/100/C230))</f>
        <v/>
      </c>
      <c r="G230">
        <f>IF(A230="","",IF(OR(B230&lt;&gt;B229,C230&lt;&gt;C229,D230&lt;&gt;D229,E230&lt;&gt;E229),G229+1,G229))</f>
        <v/>
      </c>
    </row>
    <row r="231">
      <c r="A231" s="14">
        <f>IF(OR(NOT(ISNUMBER(Ввод!$B$5)),NOT(ISNUMBER(Ввод!$B$6))),"",IF(Ввод!$B$5+229&gt;Ввод!$B$6,"",Ввод!$B$5+229))</f>
        <v/>
      </c>
      <c r="B231">
        <f>IF(A231="","",IFERROR(INDEX(Ввод!$B$12:$B$71,MATCH(A231,Ввод!$D$12:$D$71,1)),""))</f>
        <v/>
      </c>
      <c r="C231">
        <f>IF(A231="","",DATE(YEAR(A231),12,31)-DATE(YEAR(A231),1,1)+1)</f>
        <v/>
      </c>
      <c r="D231">
        <f>IF(A231="","",Ввод!$B$4-SUMIF(Оплаты!$A$6:$A$505,"&lt;"&amp;A231,Оплаты!$B$6:$B$505))</f>
        <v/>
      </c>
      <c r="E231">
        <f>IF(A231="","",IF(SUMPRODUCT((Ввод!$F$12:$F$31&lt;&gt;"")*(Ввод!$F$12:$F$31&lt;=A231)*(Ввод!$G$12:$G$31&gt;=A231))&gt;0,1,0))</f>
        <v/>
      </c>
      <c r="F231">
        <f>IF(OR(A231="",B231=""),"",IF(E231=1,0,D231*B231/100/C231))</f>
        <v/>
      </c>
      <c r="G231">
        <f>IF(A231="","",IF(OR(B231&lt;&gt;B230,C231&lt;&gt;C230,D231&lt;&gt;D230,E231&lt;&gt;E230),G230+1,G230))</f>
        <v/>
      </c>
    </row>
    <row r="232">
      <c r="A232" s="14">
        <f>IF(OR(NOT(ISNUMBER(Ввод!$B$5)),NOT(ISNUMBER(Ввод!$B$6))),"",IF(Ввод!$B$5+230&gt;Ввод!$B$6,"",Ввод!$B$5+230))</f>
        <v/>
      </c>
      <c r="B232">
        <f>IF(A232="","",IFERROR(INDEX(Ввод!$B$12:$B$71,MATCH(A232,Ввод!$D$12:$D$71,1)),""))</f>
        <v/>
      </c>
      <c r="C232">
        <f>IF(A232="","",DATE(YEAR(A232),12,31)-DATE(YEAR(A232),1,1)+1)</f>
        <v/>
      </c>
      <c r="D232">
        <f>IF(A232="","",Ввод!$B$4-SUMIF(Оплаты!$A$6:$A$505,"&lt;"&amp;A232,Оплаты!$B$6:$B$505))</f>
        <v/>
      </c>
      <c r="E232">
        <f>IF(A232="","",IF(SUMPRODUCT((Ввод!$F$12:$F$31&lt;&gt;"")*(Ввод!$F$12:$F$31&lt;=A232)*(Ввод!$G$12:$G$31&gt;=A232))&gt;0,1,0))</f>
        <v/>
      </c>
      <c r="F232">
        <f>IF(OR(A232="",B232=""),"",IF(E232=1,0,D232*B232/100/C232))</f>
        <v/>
      </c>
      <c r="G232">
        <f>IF(A232="","",IF(OR(B232&lt;&gt;B231,C232&lt;&gt;C231,D232&lt;&gt;D231,E232&lt;&gt;E231),G231+1,G231))</f>
        <v/>
      </c>
    </row>
    <row r="233">
      <c r="A233" s="14">
        <f>IF(OR(NOT(ISNUMBER(Ввод!$B$5)),NOT(ISNUMBER(Ввод!$B$6))),"",IF(Ввод!$B$5+231&gt;Ввод!$B$6,"",Ввод!$B$5+231))</f>
        <v/>
      </c>
      <c r="B233">
        <f>IF(A233="","",IFERROR(INDEX(Ввод!$B$12:$B$71,MATCH(A233,Ввод!$D$12:$D$71,1)),""))</f>
        <v/>
      </c>
      <c r="C233">
        <f>IF(A233="","",DATE(YEAR(A233),12,31)-DATE(YEAR(A233),1,1)+1)</f>
        <v/>
      </c>
      <c r="D233">
        <f>IF(A233="","",Ввод!$B$4-SUMIF(Оплаты!$A$6:$A$505,"&lt;"&amp;A233,Оплаты!$B$6:$B$505))</f>
        <v/>
      </c>
      <c r="E233">
        <f>IF(A233="","",IF(SUMPRODUCT((Ввод!$F$12:$F$31&lt;&gt;"")*(Ввод!$F$12:$F$31&lt;=A233)*(Ввод!$G$12:$G$31&gt;=A233))&gt;0,1,0))</f>
        <v/>
      </c>
      <c r="F233">
        <f>IF(OR(A233="",B233=""),"",IF(E233=1,0,D233*B233/100/C233))</f>
        <v/>
      </c>
      <c r="G233">
        <f>IF(A233="","",IF(OR(B233&lt;&gt;B232,C233&lt;&gt;C232,D233&lt;&gt;D232,E233&lt;&gt;E232),G232+1,G232))</f>
        <v/>
      </c>
    </row>
    <row r="234">
      <c r="A234" s="14">
        <f>IF(OR(NOT(ISNUMBER(Ввод!$B$5)),NOT(ISNUMBER(Ввод!$B$6))),"",IF(Ввод!$B$5+232&gt;Ввод!$B$6,"",Ввод!$B$5+232))</f>
        <v/>
      </c>
      <c r="B234">
        <f>IF(A234="","",IFERROR(INDEX(Ввод!$B$12:$B$71,MATCH(A234,Ввод!$D$12:$D$71,1)),""))</f>
        <v/>
      </c>
      <c r="C234">
        <f>IF(A234="","",DATE(YEAR(A234),12,31)-DATE(YEAR(A234),1,1)+1)</f>
        <v/>
      </c>
      <c r="D234">
        <f>IF(A234="","",Ввод!$B$4-SUMIF(Оплаты!$A$6:$A$505,"&lt;"&amp;A234,Оплаты!$B$6:$B$505))</f>
        <v/>
      </c>
      <c r="E234">
        <f>IF(A234="","",IF(SUMPRODUCT((Ввод!$F$12:$F$31&lt;&gt;"")*(Ввод!$F$12:$F$31&lt;=A234)*(Ввод!$G$12:$G$31&gt;=A234))&gt;0,1,0))</f>
        <v/>
      </c>
      <c r="F234">
        <f>IF(OR(A234="",B234=""),"",IF(E234=1,0,D234*B234/100/C234))</f>
        <v/>
      </c>
      <c r="G234">
        <f>IF(A234="","",IF(OR(B234&lt;&gt;B233,C234&lt;&gt;C233,D234&lt;&gt;D233,E234&lt;&gt;E233),G233+1,G233))</f>
        <v/>
      </c>
    </row>
    <row r="235">
      <c r="A235" s="14">
        <f>IF(OR(NOT(ISNUMBER(Ввод!$B$5)),NOT(ISNUMBER(Ввод!$B$6))),"",IF(Ввод!$B$5+233&gt;Ввод!$B$6,"",Ввод!$B$5+233))</f>
        <v/>
      </c>
      <c r="B235">
        <f>IF(A235="","",IFERROR(INDEX(Ввод!$B$12:$B$71,MATCH(A235,Ввод!$D$12:$D$71,1)),""))</f>
        <v/>
      </c>
      <c r="C235">
        <f>IF(A235="","",DATE(YEAR(A235),12,31)-DATE(YEAR(A235),1,1)+1)</f>
        <v/>
      </c>
      <c r="D235">
        <f>IF(A235="","",Ввод!$B$4-SUMIF(Оплаты!$A$6:$A$505,"&lt;"&amp;A235,Оплаты!$B$6:$B$505))</f>
        <v/>
      </c>
      <c r="E235">
        <f>IF(A235="","",IF(SUMPRODUCT((Ввод!$F$12:$F$31&lt;&gt;"")*(Ввод!$F$12:$F$31&lt;=A235)*(Ввод!$G$12:$G$31&gt;=A235))&gt;0,1,0))</f>
        <v/>
      </c>
      <c r="F235">
        <f>IF(OR(A235="",B235=""),"",IF(E235=1,0,D235*B235/100/C235))</f>
        <v/>
      </c>
      <c r="G235">
        <f>IF(A235="","",IF(OR(B235&lt;&gt;B234,C235&lt;&gt;C234,D235&lt;&gt;D234,E235&lt;&gt;E234),G234+1,G234))</f>
        <v/>
      </c>
    </row>
    <row r="236">
      <c r="A236" s="14">
        <f>IF(OR(NOT(ISNUMBER(Ввод!$B$5)),NOT(ISNUMBER(Ввод!$B$6))),"",IF(Ввод!$B$5+234&gt;Ввод!$B$6,"",Ввод!$B$5+234))</f>
        <v/>
      </c>
      <c r="B236">
        <f>IF(A236="","",IFERROR(INDEX(Ввод!$B$12:$B$71,MATCH(A236,Ввод!$D$12:$D$71,1)),""))</f>
        <v/>
      </c>
      <c r="C236">
        <f>IF(A236="","",DATE(YEAR(A236),12,31)-DATE(YEAR(A236),1,1)+1)</f>
        <v/>
      </c>
      <c r="D236">
        <f>IF(A236="","",Ввод!$B$4-SUMIF(Оплаты!$A$6:$A$505,"&lt;"&amp;A236,Оплаты!$B$6:$B$505))</f>
        <v/>
      </c>
      <c r="E236">
        <f>IF(A236="","",IF(SUMPRODUCT((Ввод!$F$12:$F$31&lt;&gt;"")*(Ввод!$F$12:$F$31&lt;=A236)*(Ввод!$G$12:$G$31&gt;=A236))&gt;0,1,0))</f>
        <v/>
      </c>
      <c r="F236">
        <f>IF(OR(A236="",B236=""),"",IF(E236=1,0,D236*B236/100/C236))</f>
        <v/>
      </c>
      <c r="G236">
        <f>IF(A236="","",IF(OR(B236&lt;&gt;B235,C236&lt;&gt;C235,D236&lt;&gt;D235,E236&lt;&gt;E235),G235+1,G235))</f>
        <v/>
      </c>
    </row>
    <row r="237">
      <c r="A237" s="14">
        <f>IF(OR(NOT(ISNUMBER(Ввод!$B$5)),NOT(ISNUMBER(Ввод!$B$6))),"",IF(Ввод!$B$5+235&gt;Ввод!$B$6,"",Ввод!$B$5+235))</f>
        <v/>
      </c>
      <c r="B237">
        <f>IF(A237="","",IFERROR(INDEX(Ввод!$B$12:$B$71,MATCH(A237,Ввод!$D$12:$D$71,1)),""))</f>
        <v/>
      </c>
      <c r="C237">
        <f>IF(A237="","",DATE(YEAR(A237),12,31)-DATE(YEAR(A237),1,1)+1)</f>
        <v/>
      </c>
      <c r="D237">
        <f>IF(A237="","",Ввод!$B$4-SUMIF(Оплаты!$A$6:$A$505,"&lt;"&amp;A237,Оплаты!$B$6:$B$505))</f>
        <v/>
      </c>
      <c r="E237">
        <f>IF(A237="","",IF(SUMPRODUCT((Ввод!$F$12:$F$31&lt;&gt;"")*(Ввод!$F$12:$F$31&lt;=A237)*(Ввод!$G$12:$G$31&gt;=A237))&gt;0,1,0))</f>
        <v/>
      </c>
      <c r="F237">
        <f>IF(OR(A237="",B237=""),"",IF(E237=1,0,D237*B237/100/C237))</f>
        <v/>
      </c>
      <c r="G237">
        <f>IF(A237="","",IF(OR(B237&lt;&gt;B236,C237&lt;&gt;C236,D237&lt;&gt;D236,E237&lt;&gt;E236),G236+1,G236))</f>
        <v/>
      </c>
    </row>
    <row r="238">
      <c r="A238" s="14">
        <f>IF(OR(NOT(ISNUMBER(Ввод!$B$5)),NOT(ISNUMBER(Ввод!$B$6))),"",IF(Ввод!$B$5+236&gt;Ввод!$B$6,"",Ввод!$B$5+236))</f>
        <v/>
      </c>
      <c r="B238">
        <f>IF(A238="","",IFERROR(INDEX(Ввод!$B$12:$B$71,MATCH(A238,Ввод!$D$12:$D$71,1)),""))</f>
        <v/>
      </c>
      <c r="C238">
        <f>IF(A238="","",DATE(YEAR(A238),12,31)-DATE(YEAR(A238),1,1)+1)</f>
        <v/>
      </c>
      <c r="D238">
        <f>IF(A238="","",Ввод!$B$4-SUMIF(Оплаты!$A$6:$A$505,"&lt;"&amp;A238,Оплаты!$B$6:$B$505))</f>
        <v/>
      </c>
      <c r="E238">
        <f>IF(A238="","",IF(SUMPRODUCT((Ввод!$F$12:$F$31&lt;&gt;"")*(Ввод!$F$12:$F$31&lt;=A238)*(Ввод!$G$12:$G$31&gt;=A238))&gt;0,1,0))</f>
        <v/>
      </c>
      <c r="F238">
        <f>IF(OR(A238="",B238=""),"",IF(E238=1,0,D238*B238/100/C238))</f>
        <v/>
      </c>
      <c r="G238">
        <f>IF(A238="","",IF(OR(B238&lt;&gt;B237,C238&lt;&gt;C237,D238&lt;&gt;D237,E238&lt;&gt;E237),G237+1,G237))</f>
        <v/>
      </c>
    </row>
    <row r="239">
      <c r="A239" s="14">
        <f>IF(OR(NOT(ISNUMBER(Ввод!$B$5)),NOT(ISNUMBER(Ввод!$B$6))),"",IF(Ввод!$B$5+237&gt;Ввод!$B$6,"",Ввод!$B$5+237))</f>
        <v/>
      </c>
      <c r="B239">
        <f>IF(A239="","",IFERROR(INDEX(Ввод!$B$12:$B$71,MATCH(A239,Ввод!$D$12:$D$71,1)),""))</f>
        <v/>
      </c>
      <c r="C239">
        <f>IF(A239="","",DATE(YEAR(A239),12,31)-DATE(YEAR(A239),1,1)+1)</f>
        <v/>
      </c>
      <c r="D239">
        <f>IF(A239="","",Ввод!$B$4-SUMIF(Оплаты!$A$6:$A$505,"&lt;"&amp;A239,Оплаты!$B$6:$B$505))</f>
        <v/>
      </c>
      <c r="E239">
        <f>IF(A239="","",IF(SUMPRODUCT((Ввод!$F$12:$F$31&lt;&gt;"")*(Ввод!$F$12:$F$31&lt;=A239)*(Ввод!$G$12:$G$31&gt;=A239))&gt;0,1,0))</f>
        <v/>
      </c>
      <c r="F239">
        <f>IF(OR(A239="",B239=""),"",IF(E239=1,0,D239*B239/100/C239))</f>
        <v/>
      </c>
      <c r="G239">
        <f>IF(A239="","",IF(OR(B239&lt;&gt;B238,C239&lt;&gt;C238,D239&lt;&gt;D238,E239&lt;&gt;E238),G238+1,G238))</f>
        <v/>
      </c>
    </row>
    <row r="240">
      <c r="A240" s="14">
        <f>IF(OR(NOT(ISNUMBER(Ввод!$B$5)),NOT(ISNUMBER(Ввод!$B$6))),"",IF(Ввод!$B$5+238&gt;Ввод!$B$6,"",Ввод!$B$5+238))</f>
        <v/>
      </c>
      <c r="B240">
        <f>IF(A240="","",IFERROR(INDEX(Ввод!$B$12:$B$71,MATCH(A240,Ввод!$D$12:$D$71,1)),""))</f>
        <v/>
      </c>
      <c r="C240">
        <f>IF(A240="","",DATE(YEAR(A240),12,31)-DATE(YEAR(A240),1,1)+1)</f>
        <v/>
      </c>
      <c r="D240">
        <f>IF(A240="","",Ввод!$B$4-SUMIF(Оплаты!$A$6:$A$505,"&lt;"&amp;A240,Оплаты!$B$6:$B$505))</f>
        <v/>
      </c>
      <c r="E240">
        <f>IF(A240="","",IF(SUMPRODUCT((Ввод!$F$12:$F$31&lt;&gt;"")*(Ввод!$F$12:$F$31&lt;=A240)*(Ввод!$G$12:$G$31&gt;=A240))&gt;0,1,0))</f>
        <v/>
      </c>
      <c r="F240">
        <f>IF(OR(A240="",B240=""),"",IF(E240=1,0,D240*B240/100/C240))</f>
        <v/>
      </c>
      <c r="G240">
        <f>IF(A240="","",IF(OR(B240&lt;&gt;B239,C240&lt;&gt;C239,D240&lt;&gt;D239,E240&lt;&gt;E239),G239+1,G239))</f>
        <v/>
      </c>
    </row>
    <row r="241">
      <c r="A241" s="14">
        <f>IF(OR(NOT(ISNUMBER(Ввод!$B$5)),NOT(ISNUMBER(Ввод!$B$6))),"",IF(Ввод!$B$5+239&gt;Ввод!$B$6,"",Ввод!$B$5+239))</f>
        <v/>
      </c>
      <c r="B241">
        <f>IF(A241="","",IFERROR(INDEX(Ввод!$B$12:$B$71,MATCH(A241,Ввод!$D$12:$D$71,1)),""))</f>
        <v/>
      </c>
      <c r="C241">
        <f>IF(A241="","",DATE(YEAR(A241),12,31)-DATE(YEAR(A241),1,1)+1)</f>
        <v/>
      </c>
      <c r="D241">
        <f>IF(A241="","",Ввод!$B$4-SUMIF(Оплаты!$A$6:$A$505,"&lt;"&amp;A241,Оплаты!$B$6:$B$505))</f>
        <v/>
      </c>
      <c r="E241">
        <f>IF(A241="","",IF(SUMPRODUCT((Ввод!$F$12:$F$31&lt;&gt;"")*(Ввод!$F$12:$F$31&lt;=A241)*(Ввод!$G$12:$G$31&gt;=A241))&gt;0,1,0))</f>
        <v/>
      </c>
      <c r="F241">
        <f>IF(OR(A241="",B241=""),"",IF(E241=1,0,D241*B241/100/C241))</f>
        <v/>
      </c>
      <c r="G241">
        <f>IF(A241="","",IF(OR(B241&lt;&gt;B240,C241&lt;&gt;C240,D241&lt;&gt;D240,E241&lt;&gt;E240),G240+1,G240))</f>
        <v/>
      </c>
    </row>
    <row r="242">
      <c r="A242" s="14">
        <f>IF(OR(NOT(ISNUMBER(Ввод!$B$5)),NOT(ISNUMBER(Ввод!$B$6))),"",IF(Ввод!$B$5+240&gt;Ввод!$B$6,"",Ввод!$B$5+240))</f>
        <v/>
      </c>
      <c r="B242">
        <f>IF(A242="","",IFERROR(INDEX(Ввод!$B$12:$B$71,MATCH(A242,Ввод!$D$12:$D$71,1)),""))</f>
        <v/>
      </c>
      <c r="C242">
        <f>IF(A242="","",DATE(YEAR(A242),12,31)-DATE(YEAR(A242),1,1)+1)</f>
        <v/>
      </c>
      <c r="D242">
        <f>IF(A242="","",Ввод!$B$4-SUMIF(Оплаты!$A$6:$A$505,"&lt;"&amp;A242,Оплаты!$B$6:$B$505))</f>
        <v/>
      </c>
      <c r="E242">
        <f>IF(A242="","",IF(SUMPRODUCT((Ввод!$F$12:$F$31&lt;&gt;"")*(Ввод!$F$12:$F$31&lt;=A242)*(Ввод!$G$12:$G$31&gt;=A242))&gt;0,1,0))</f>
        <v/>
      </c>
      <c r="F242">
        <f>IF(OR(A242="",B242=""),"",IF(E242=1,0,D242*B242/100/C242))</f>
        <v/>
      </c>
      <c r="G242">
        <f>IF(A242="","",IF(OR(B242&lt;&gt;B241,C242&lt;&gt;C241,D242&lt;&gt;D241,E242&lt;&gt;E241),G241+1,G241))</f>
        <v/>
      </c>
    </row>
    <row r="243">
      <c r="A243" s="14">
        <f>IF(OR(NOT(ISNUMBER(Ввод!$B$5)),NOT(ISNUMBER(Ввод!$B$6))),"",IF(Ввод!$B$5+241&gt;Ввод!$B$6,"",Ввод!$B$5+241))</f>
        <v/>
      </c>
      <c r="B243">
        <f>IF(A243="","",IFERROR(INDEX(Ввод!$B$12:$B$71,MATCH(A243,Ввод!$D$12:$D$71,1)),""))</f>
        <v/>
      </c>
      <c r="C243">
        <f>IF(A243="","",DATE(YEAR(A243),12,31)-DATE(YEAR(A243),1,1)+1)</f>
        <v/>
      </c>
      <c r="D243">
        <f>IF(A243="","",Ввод!$B$4-SUMIF(Оплаты!$A$6:$A$505,"&lt;"&amp;A243,Оплаты!$B$6:$B$505))</f>
        <v/>
      </c>
      <c r="E243">
        <f>IF(A243="","",IF(SUMPRODUCT((Ввод!$F$12:$F$31&lt;&gt;"")*(Ввод!$F$12:$F$31&lt;=A243)*(Ввод!$G$12:$G$31&gt;=A243))&gt;0,1,0))</f>
        <v/>
      </c>
      <c r="F243">
        <f>IF(OR(A243="",B243=""),"",IF(E243=1,0,D243*B243/100/C243))</f>
        <v/>
      </c>
      <c r="G243">
        <f>IF(A243="","",IF(OR(B243&lt;&gt;B242,C243&lt;&gt;C242,D243&lt;&gt;D242,E243&lt;&gt;E242),G242+1,G242))</f>
        <v/>
      </c>
    </row>
    <row r="244">
      <c r="A244" s="14">
        <f>IF(OR(NOT(ISNUMBER(Ввод!$B$5)),NOT(ISNUMBER(Ввод!$B$6))),"",IF(Ввод!$B$5+242&gt;Ввод!$B$6,"",Ввод!$B$5+242))</f>
        <v/>
      </c>
      <c r="B244">
        <f>IF(A244="","",IFERROR(INDEX(Ввод!$B$12:$B$71,MATCH(A244,Ввод!$D$12:$D$71,1)),""))</f>
        <v/>
      </c>
      <c r="C244">
        <f>IF(A244="","",DATE(YEAR(A244),12,31)-DATE(YEAR(A244),1,1)+1)</f>
        <v/>
      </c>
      <c r="D244">
        <f>IF(A244="","",Ввод!$B$4-SUMIF(Оплаты!$A$6:$A$505,"&lt;"&amp;A244,Оплаты!$B$6:$B$505))</f>
        <v/>
      </c>
      <c r="E244">
        <f>IF(A244="","",IF(SUMPRODUCT((Ввод!$F$12:$F$31&lt;&gt;"")*(Ввод!$F$12:$F$31&lt;=A244)*(Ввод!$G$12:$G$31&gt;=A244))&gt;0,1,0))</f>
        <v/>
      </c>
      <c r="F244">
        <f>IF(OR(A244="",B244=""),"",IF(E244=1,0,D244*B244/100/C244))</f>
        <v/>
      </c>
      <c r="G244">
        <f>IF(A244="","",IF(OR(B244&lt;&gt;B243,C244&lt;&gt;C243,D244&lt;&gt;D243,E244&lt;&gt;E243),G243+1,G243))</f>
        <v/>
      </c>
    </row>
    <row r="245">
      <c r="A245" s="14">
        <f>IF(OR(NOT(ISNUMBER(Ввод!$B$5)),NOT(ISNUMBER(Ввод!$B$6))),"",IF(Ввод!$B$5+243&gt;Ввод!$B$6,"",Ввод!$B$5+243))</f>
        <v/>
      </c>
      <c r="B245">
        <f>IF(A245="","",IFERROR(INDEX(Ввод!$B$12:$B$71,MATCH(A245,Ввод!$D$12:$D$71,1)),""))</f>
        <v/>
      </c>
      <c r="C245">
        <f>IF(A245="","",DATE(YEAR(A245),12,31)-DATE(YEAR(A245),1,1)+1)</f>
        <v/>
      </c>
      <c r="D245">
        <f>IF(A245="","",Ввод!$B$4-SUMIF(Оплаты!$A$6:$A$505,"&lt;"&amp;A245,Оплаты!$B$6:$B$505))</f>
        <v/>
      </c>
      <c r="E245">
        <f>IF(A245="","",IF(SUMPRODUCT((Ввод!$F$12:$F$31&lt;&gt;"")*(Ввод!$F$12:$F$31&lt;=A245)*(Ввод!$G$12:$G$31&gt;=A245))&gt;0,1,0))</f>
        <v/>
      </c>
      <c r="F245">
        <f>IF(OR(A245="",B245=""),"",IF(E245=1,0,D245*B245/100/C245))</f>
        <v/>
      </c>
      <c r="G245">
        <f>IF(A245="","",IF(OR(B245&lt;&gt;B244,C245&lt;&gt;C244,D245&lt;&gt;D244,E245&lt;&gt;E244),G244+1,G244))</f>
        <v/>
      </c>
    </row>
    <row r="246">
      <c r="A246" s="14">
        <f>IF(OR(NOT(ISNUMBER(Ввод!$B$5)),NOT(ISNUMBER(Ввод!$B$6))),"",IF(Ввод!$B$5+244&gt;Ввод!$B$6,"",Ввод!$B$5+244))</f>
        <v/>
      </c>
      <c r="B246">
        <f>IF(A246="","",IFERROR(INDEX(Ввод!$B$12:$B$71,MATCH(A246,Ввод!$D$12:$D$71,1)),""))</f>
        <v/>
      </c>
      <c r="C246">
        <f>IF(A246="","",DATE(YEAR(A246),12,31)-DATE(YEAR(A246),1,1)+1)</f>
        <v/>
      </c>
      <c r="D246">
        <f>IF(A246="","",Ввод!$B$4-SUMIF(Оплаты!$A$6:$A$505,"&lt;"&amp;A246,Оплаты!$B$6:$B$505))</f>
        <v/>
      </c>
      <c r="E246">
        <f>IF(A246="","",IF(SUMPRODUCT((Ввод!$F$12:$F$31&lt;&gt;"")*(Ввод!$F$12:$F$31&lt;=A246)*(Ввод!$G$12:$G$31&gt;=A246))&gt;0,1,0))</f>
        <v/>
      </c>
      <c r="F246">
        <f>IF(OR(A246="",B246=""),"",IF(E246=1,0,D246*B246/100/C246))</f>
        <v/>
      </c>
      <c r="G246">
        <f>IF(A246="","",IF(OR(B246&lt;&gt;B245,C246&lt;&gt;C245,D246&lt;&gt;D245,E246&lt;&gt;E245),G245+1,G245))</f>
        <v/>
      </c>
    </row>
    <row r="247">
      <c r="A247" s="14">
        <f>IF(OR(NOT(ISNUMBER(Ввод!$B$5)),NOT(ISNUMBER(Ввод!$B$6))),"",IF(Ввод!$B$5+245&gt;Ввод!$B$6,"",Ввод!$B$5+245))</f>
        <v/>
      </c>
      <c r="B247">
        <f>IF(A247="","",IFERROR(INDEX(Ввод!$B$12:$B$71,MATCH(A247,Ввод!$D$12:$D$71,1)),""))</f>
        <v/>
      </c>
      <c r="C247">
        <f>IF(A247="","",DATE(YEAR(A247),12,31)-DATE(YEAR(A247),1,1)+1)</f>
        <v/>
      </c>
      <c r="D247">
        <f>IF(A247="","",Ввод!$B$4-SUMIF(Оплаты!$A$6:$A$505,"&lt;"&amp;A247,Оплаты!$B$6:$B$505))</f>
        <v/>
      </c>
      <c r="E247">
        <f>IF(A247="","",IF(SUMPRODUCT((Ввод!$F$12:$F$31&lt;&gt;"")*(Ввод!$F$12:$F$31&lt;=A247)*(Ввод!$G$12:$G$31&gt;=A247))&gt;0,1,0))</f>
        <v/>
      </c>
      <c r="F247">
        <f>IF(OR(A247="",B247=""),"",IF(E247=1,0,D247*B247/100/C247))</f>
        <v/>
      </c>
      <c r="G247">
        <f>IF(A247="","",IF(OR(B247&lt;&gt;B246,C247&lt;&gt;C246,D247&lt;&gt;D246,E247&lt;&gt;E246),G246+1,G246))</f>
        <v/>
      </c>
    </row>
    <row r="248">
      <c r="A248" s="14">
        <f>IF(OR(NOT(ISNUMBER(Ввод!$B$5)),NOT(ISNUMBER(Ввод!$B$6))),"",IF(Ввод!$B$5+246&gt;Ввод!$B$6,"",Ввод!$B$5+246))</f>
        <v/>
      </c>
      <c r="B248">
        <f>IF(A248="","",IFERROR(INDEX(Ввод!$B$12:$B$71,MATCH(A248,Ввод!$D$12:$D$71,1)),""))</f>
        <v/>
      </c>
      <c r="C248">
        <f>IF(A248="","",DATE(YEAR(A248),12,31)-DATE(YEAR(A248),1,1)+1)</f>
        <v/>
      </c>
      <c r="D248">
        <f>IF(A248="","",Ввод!$B$4-SUMIF(Оплаты!$A$6:$A$505,"&lt;"&amp;A248,Оплаты!$B$6:$B$505))</f>
        <v/>
      </c>
      <c r="E248">
        <f>IF(A248="","",IF(SUMPRODUCT((Ввод!$F$12:$F$31&lt;&gt;"")*(Ввод!$F$12:$F$31&lt;=A248)*(Ввод!$G$12:$G$31&gt;=A248))&gt;0,1,0))</f>
        <v/>
      </c>
      <c r="F248">
        <f>IF(OR(A248="",B248=""),"",IF(E248=1,0,D248*B248/100/C248))</f>
        <v/>
      </c>
      <c r="G248">
        <f>IF(A248="","",IF(OR(B248&lt;&gt;B247,C248&lt;&gt;C247,D248&lt;&gt;D247,E248&lt;&gt;E247),G247+1,G247))</f>
        <v/>
      </c>
    </row>
    <row r="249">
      <c r="A249" s="14">
        <f>IF(OR(NOT(ISNUMBER(Ввод!$B$5)),NOT(ISNUMBER(Ввод!$B$6))),"",IF(Ввод!$B$5+247&gt;Ввод!$B$6,"",Ввод!$B$5+247))</f>
        <v/>
      </c>
      <c r="B249">
        <f>IF(A249="","",IFERROR(INDEX(Ввод!$B$12:$B$71,MATCH(A249,Ввод!$D$12:$D$71,1)),""))</f>
        <v/>
      </c>
      <c r="C249">
        <f>IF(A249="","",DATE(YEAR(A249),12,31)-DATE(YEAR(A249),1,1)+1)</f>
        <v/>
      </c>
      <c r="D249">
        <f>IF(A249="","",Ввод!$B$4-SUMIF(Оплаты!$A$6:$A$505,"&lt;"&amp;A249,Оплаты!$B$6:$B$505))</f>
        <v/>
      </c>
      <c r="E249">
        <f>IF(A249="","",IF(SUMPRODUCT((Ввод!$F$12:$F$31&lt;&gt;"")*(Ввод!$F$12:$F$31&lt;=A249)*(Ввод!$G$12:$G$31&gt;=A249))&gt;0,1,0))</f>
        <v/>
      </c>
      <c r="F249">
        <f>IF(OR(A249="",B249=""),"",IF(E249=1,0,D249*B249/100/C249))</f>
        <v/>
      </c>
      <c r="G249">
        <f>IF(A249="","",IF(OR(B249&lt;&gt;B248,C249&lt;&gt;C248,D249&lt;&gt;D248,E249&lt;&gt;E248),G248+1,G248))</f>
        <v/>
      </c>
    </row>
    <row r="250">
      <c r="A250" s="14">
        <f>IF(OR(NOT(ISNUMBER(Ввод!$B$5)),NOT(ISNUMBER(Ввод!$B$6))),"",IF(Ввод!$B$5+248&gt;Ввод!$B$6,"",Ввод!$B$5+248))</f>
        <v/>
      </c>
      <c r="B250">
        <f>IF(A250="","",IFERROR(INDEX(Ввод!$B$12:$B$71,MATCH(A250,Ввод!$D$12:$D$71,1)),""))</f>
        <v/>
      </c>
      <c r="C250">
        <f>IF(A250="","",DATE(YEAR(A250),12,31)-DATE(YEAR(A250),1,1)+1)</f>
        <v/>
      </c>
      <c r="D250">
        <f>IF(A250="","",Ввод!$B$4-SUMIF(Оплаты!$A$6:$A$505,"&lt;"&amp;A250,Оплаты!$B$6:$B$505))</f>
        <v/>
      </c>
      <c r="E250">
        <f>IF(A250="","",IF(SUMPRODUCT((Ввод!$F$12:$F$31&lt;&gt;"")*(Ввод!$F$12:$F$31&lt;=A250)*(Ввод!$G$12:$G$31&gt;=A250))&gt;0,1,0))</f>
        <v/>
      </c>
      <c r="F250">
        <f>IF(OR(A250="",B250=""),"",IF(E250=1,0,D250*B250/100/C250))</f>
        <v/>
      </c>
      <c r="G250">
        <f>IF(A250="","",IF(OR(B250&lt;&gt;B249,C250&lt;&gt;C249,D250&lt;&gt;D249,E250&lt;&gt;E249),G249+1,G249))</f>
        <v/>
      </c>
    </row>
    <row r="251">
      <c r="A251" s="14">
        <f>IF(OR(NOT(ISNUMBER(Ввод!$B$5)),NOT(ISNUMBER(Ввод!$B$6))),"",IF(Ввод!$B$5+249&gt;Ввод!$B$6,"",Ввод!$B$5+249))</f>
        <v/>
      </c>
      <c r="B251">
        <f>IF(A251="","",IFERROR(INDEX(Ввод!$B$12:$B$71,MATCH(A251,Ввод!$D$12:$D$71,1)),""))</f>
        <v/>
      </c>
      <c r="C251">
        <f>IF(A251="","",DATE(YEAR(A251),12,31)-DATE(YEAR(A251),1,1)+1)</f>
        <v/>
      </c>
      <c r="D251">
        <f>IF(A251="","",Ввод!$B$4-SUMIF(Оплаты!$A$6:$A$505,"&lt;"&amp;A251,Оплаты!$B$6:$B$505))</f>
        <v/>
      </c>
      <c r="E251">
        <f>IF(A251="","",IF(SUMPRODUCT((Ввод!$F$12:$F$31&lt;&gt;"")*(Ввод!$F$12:$F$31&lt;=A251)*(Ввод!$G$12:$G$31&gt;=A251))&gt;0,1,0))</f>
        <v/>
      </c>
      <c r="F251">
        <f>IF(OR(A251="",B251=""),"",IF(E251=1,0,D251*B251/100/C251))</f>
        <v/>
      </c>
      <c r="G251">
        <f>IF(A251="","",IF(OR(B251&lt;&gt;B250,C251&lt;&gt;C250,D251&lt;&gt;D250,E251&lt;&gt;E250),G250+1,G250))</f>
        <v/>
      </c>
    </row>
    <row r="252">
      <c r="A252" s="14">
        <f>IF(OR(NOT(ISNUMBER(Ввод!$B$5)),NOT(ISNUMBER(Ввод!$B$6))),"",IF(Ввод!$B$5+250&gt;Ввод!$B$6,"",Ввод!$B$5+250))</f>
        <v/>
      </c>
      <c r="B252">
        <f>IF(A252="","",IFERROR(INDEX(Ввод!$B$12:$B$71,MATCH(A252,Ввод!$D$12:$D$71,1)),""))</f>
        <v/>
      </c>
      <c r="C252">
        <f>IF(A252="","",DATE(YEAR(A252),12,31)-DATE(YEAR(A252),1,1)+1)</f>
        <v/>
      </c>
      <c r="D252">
        <f>IF(A252="","",Ввод!$B$4-SUMIF(Оплаты!$A$6:$A$505,"&lt;"&amp;A252,Оплаты!$B$6:$B$505))</f>
        <v/>
      </c>
      <c r="E252">
        <f>IF(A252="","",IF(SUMPRODUCT((Ввод!$F$12:$F$31&lt;&gt;"")*(Ввод!$F$12:$F$31&lt;=A252)*(Ввод!$G$12:$G$31&gt;=A252))&gt;0,1,0))</f>
        <v/>
      </c>
      <c r="F252">
        <f>IF(OR(A252="",B252=""),"",IF(E252=1,0,D252*B252/100/C252))</f>
        <v/>
      </c>
      <c r="G252">
        <f>IF(A252="","",IF(OR(B252&lt;&gt;B251,C252&lt;&gt;C251,D252&lt;&gt;D251,E252&lt;&gt;E251),G251+1,G251))</f>
        <v/>
      </c>
    </row>
    <row r="253">
      <c r="A253" s="14">
        <f>IF(OR(NOT(ISNUMBER(Ввод!$B$5)),NOT(ISNUMBER(Ввод!$B$6))),"",IF(Ввод!$B$5+251&gt;Ввод!$B$6,"",Ввод!$B$5+251))</f>
        <v/>
      </c>
      <c r="B253">
        <f>IF(A253="","",IFERROR(INDEX(Ввод!$B$12:$B$71,MATCH(A253,Ввод!$D$12:$D$71,1)),""))</f>
        <v/>
      </c>
      <c r="C253">
        <f>IF(A253="","",DATE(YEAR(A253),12,31)-DATE(YEAR(A253),1,1)+1)</f>
        <v/>
      </c>
      <c r="D253">
        <f>IF(A253="","",Ввод!$B$4-SUMIF(Оплаты!$A$6:$A$505,"&lt;"&amp;A253,Оплаты!$B$6:$B$505))</f>
        <v/>
      </c>
      <c r="E253">
        <f>IF(A253="","",IF(SUMPRODUCT((Ввод!$F$12:$F$31&lt;&gt;"")*(Ввод!$F$12:$F$31&lt;=A253)*(Ввод!$G$12:$G$31&gt;=A253))&gt;0,1,0))</f>
        <v/>
      </c>
      <c r="F253">
        <f>IF(OR(A253="",B253=""),"",IF(E253=1,0,D253*B253/100/C253))</f>
        <v/>
      </c>
      <c r="G253">
        <f>IF(A253="","",IF(OR(B253&lt;&gt;B252,C253&lt;&gt;C252,D253&lt;&gt;D252,E253&lt;&gt;E252),G252+1,G252))</f>
        <v/>
      </c>
    </row>
    <row r="254">
      <c r="A254" s="14">
        <f>IF(OR(NOT(ISNUMBER(Ввод!$B$5)),NOT(ISNUMBER(Ввод!$B$6))),"",IF(Ввод!$B$5+252&gt;Ввод!$B$6,"",Ввод!$B$5+252))</f>
        <v/>
      </c>
      <c r="B254">
        <f>IF(A254="","",IFERROR(INDEX(Ввод!$B$12:$B$71,MATCH(A254,Ввод!$D$12:$D$71,1)),""))</f>
        <v/>
      </c>
      <c r="C254">
        <f>IF(A254="","",DATE(YEAR(A254),12,31)-DATE(YEAR(A254),1,1)+1)</f>
        <v/>
      </c>
      <c r="D254">
        <f>IF(A254="","",Ввод!$B$4-SUMIF(Оплаты!$A$6:$A$505,"&lt;"&amp;A254,Оплаты!$B$6:$B$505))</f>
        <v/>
      </c>
      <c r="E254">
        <f>IF(A254="","",IF(SUMPRODUCT((Ввод!$F$12:$F$31&lt;&gt;"")*(Ввод!$F$12:$F$31&lt;=A254)*(Ввод!$G$12:$G$31&gt;=A254))&gt;0,1,0))</f>
        <v/>
      </c>
      <c r="F254">
        <f>IF(OR(A254="",B254=""),"",IF(E254=1,0,D254*B254/100/C254))</f>
        <v/>
      </c>
      <c r="G254">
        <f>IF(A254="","",IF(OR(B254&lt;&gt;B253,C254&lt;&gt;C253,D254&lt;&gt;D253,E254&lt;&gt;E253),G253+1,G253))</f>
        <v/>
      </c>
    </row>
    <row r="255">
      <c r="A255" s="14">
        <f>IF(OR(NOT(ISNUMBER(Ввод!$B$5)),NOT(ISNUMBER(Ввод!$B$6))),"",IF(Ввод!$B$5+253&gt;Ввод!$B$6,"",Ввод!$B$5+253))</f>
        <v/>
      </c>
      <c r="B255">
        <f>IF(A255="","",IFERROR(INDEX(Ввод!$B$12:$B$71,MATCH(A255,Ввод!$D$12:$D$71,1)),""))</f>
        <v/>
      </c>
      <c r="C255">
        <f>IF(A255="","",DATE(YEAR(A255),12,31)-DATE(YEAR(A255),1,1)+1)</f>
        <v/>
      </c>
      <c r="D255">
        <f>IF(A255="","",Ввод!$B$4-SUMIF(Оплаты!$A$6:$A$505,"&lt;"&amp;A255,Оплаты!$B$6:$B$505))</f>
        <v/>
      </c>
      <c r="E255">
        <f>IF(A255="","",IF(SUMPRODUCT((Ввод!$F$12:$F$31&lt;&gt;"")*(Ввод!$F$12:$F$31&lt;=A255)*(Ввод!$G$12:$G$31&gt;=A255))&gt;0,1,0))</f>
        <v/>
      </c>
      <c r="F255">
        <f>IF(OR(A255="",B255=""),"",IF(E255=1,0,D255*B255/100/C255))</f>
        <v/>
      </c>
      <c r="G255">
        <f>IF(A255="","",IF(OR(B255&lt;&gt;B254,C255&lt;&gt;C254,D255&lt;&gt;D254,E255&lt;&gt;E254),G254+1,G254))</f>
        <v/>
      </c>
    </row>
    <row r="256">
      <c r="A256" s="14">
        <f>IF(OR(NOT(ISNUMBER(Ввод!$B$5)),NOT(ISNUMBER(Ввод!$B$6))),"",IF(Ввод!$B$5+254&gt;Ввод!$B$6,"",Ввод!$B$5+254))</f>
        <v/>
      </c>
      <c r="B256">
        <f>IF(A256="","",IFERROR(INDEX(Ввод!$B$12:$B$71,MATCH(A256,Ввод!$D$12:$D$71,1)),""))</f>
        <v/>
      </c>
      <c r="C256">
        <f>IF(A256="","",DATE(YEAR(A256),12,31)-DATE(YEAR(A256),1,1)+1)</f>
        <v/>
      </c>
      <c r="D256">
        <f>IF(A256="","",Ввод!$B$4-SUMIF(Оплаты!$A$6:$A$505,"&lt;"&amp;A256,Оплаты!$B$6:$B$505))</f>
        <v/>
      </c>
      <c r="E256">
        <f>IF(A256="","",IF(SUMPRODUCT((Ввод!$F$12:$F$31&lt;&gt;"")*(Ввод!$F$12:$F$31&lt;=A256)*(Ввод!$G$12:$G$31&gt;=A256))&gt;0,1,0))</f>
        <v/>
      </c>
      <c r="F256">
        <f>IF(OR(A256="",B256=""),"",IF(E256=1,0,D256*B256/100/C256))</f>
        <v/>
      </c>
      <c r="G256">
        <f>IF(A256="","",IF(OR(B256&lt;&gt;B255,C256&lt;&gt;C255,D256&lt;&gt;D255,E256&lt;&gt;E255),G255+1,G255))</f>
        <v/>
      </c>
    </row>
    <row r="257">
      <c r="A257" s="14">
        <f>IF(OR(NOT(ISNUMBER(Ввод!$B$5)),NOT(ISNUMBER(Ввод!$B$6))),"",IF(Ввод!$B$5+255&gt;Ввод!$B$6,"",Ввод!$B$5+255))</f>
        <v/>
      </c>
      <c r="B257">
        <f>IF(A257="","",IFERROR(INDEX(Ввод!$B$12:$B$71,MATCH(A257,Ввод!$D$12:$D$71,1)),""))</f>
        <v/>
      </c>
      <c r="C257">
        <f>IF(A257="","",DATE(YEAR(A257),12,31)-DATE(YEAR(A257),1,1)+1)</f>
        <v/>
      </c>
      <c r="D257">
        <f>IF(A257="","",Ввод!$B$4-SUMIF(Оплаты!$A$6:$A$505,"&lt;"&amp;A257,Оплаты!$B$6:$B$505))</f>
        <v/>
      </c>
      <c r="E257">
        <f>IF(A257="","",IF(SUMPRODUCT((Ввод!$F$12:$F$31&lt;&gt;"")*(Ввод!$F$12:$F$31&lt;=A257)*(Ввод!$G$12:$G$31&gt;=A257))&gt;0,1,0))</f>
        <v/>
      </c>
      <c r="F257">
        <f>IF(OR(A257="",B257=""),"",IF(E257=1,0,D257*B257/100/C257))</f>
        <v/>
      </c>
      <c r="G257">
        <f>IF(A257="","",IF(OR(B257&lt;&gt;B256,C257&lt;&gt;C256,D257&lt;&gt;D256,E257&lt;&gt;E256),G256+1,G256))</f>
        <v/>
      </c>
    </row>
    <row r="258">
      <c r="A258" s="14">
        <f>IF(OR(NOT(ISNUMBER(Ввод!$B$5)),NOT(ISNUMBER(Ввод!$B$6))),"",IF(Ввод!$B$5+256&gt;Ввод!$B$6,"",Ввод!$B$5+256))</f>
        <v/>
      </c>
      <c r="B258">
        <f>IF(A258="","",IFERROR(INDEX(Ввод!$B$12:$B$71,MATCH(A258,Ввод!$D$12:$D$71,1)),""))</f>
        <v/>
      </c>
      <c r="C258">
        <f>IF(A258="","",DATE(YEAR(A258),12,31)-DATE(YEAR(A258),1,1)+1)</f>
        <v/>
      </c>
      <c r="D258">
        <f>IF(A258="","",Ввод!$B$4-SUMIF(Оплаты!$A$6:$A$505,"&lt;"&amp;A258,Оплаты!$B$6:$B$505))</f>
        <v/>
      </c>
      <c r="E258">
        <f>IF(A258="","",IF(SUMPRODUCT((Ввод!$F$12:$F$31&lt;&gt;"")*(Ввод!$F$12:$F$31&lt;=A258)*(Ввод!$G$12:$G$31&gt;=A258))&gt;0,1,0))</f>
        <v/>
      </c>
      <c r="F258">
        <f>IF(OR(A258="",B258=""),"",IF(E258=1,0,D258*B258/100/C258))</f>
        <v/>
      </c>
      <c r="G258">
        <f>IF(A258="","",IF(OR(B258&lt;&gt;B257,C258&lt;&gt;C257,D258&lt;&gt;D257,E258&lt;&gt;E257),G257+1,G257))</f>
        <v/>
      </c>
    </row>
    <row r="259">
      <c r="A259" s="14">
        <f>IF(OR(NOT(ISNUMBER(Ввод!$B$5)),NOT(ISNUMBER(Ввод!$B$6))),"",IF(Ввод!$B$5+257&gt;Ввод!$B$6,"",Ввод!$B$5+257))</f>
        <v/>
      </c>
      <c r="B259">
        <f>IF(A259="","",IFERROR(INDEX(Ввод!$B$12:$B$71,MATCH(A259,Ввод!$D$12:$D$71,1)),""))</f>
        <v/>
      </c>
      <c r="C259">
        <f>IF(A259="","",DATE(YEAR(A259),12,31)-DATE(YEAR(A259),1,1)+1)</f>
        <v/>
      </c>
      <c r="D259">
        <f>IF(A259="","",Ввод!$B$4-SUMIF(Оплаты!$A$6:$A$505,"&lt;"&amp;A259,Оплаты!$B$6:$B$505))</f>
        <v/>
      </c>
      <c r="E259">
        <f>IF(A259="","",IF(SUMPRODUCT((Ввод!$F$12:$F$31&lt;&gt;"")*(Ввод!$F$12:$F$31&lt;=A259)*(Ввод!$G$12:$G$31&gt;=A259))&gt;0,1,0))</f>
        <v/>
      </c>
      <c r="F259">
        <f>IF(OR(A259="",B259=""),"",IF(E259=1,0,D259*B259/100/C259))</f>
        <v/>
      </c>
      <c r="G259">
        <f>IF(A259="","",IF(OR(B259&lt;&gt;B258,C259&lt;&gt;C258,D259&lt;&gt;D258,E259&lt;&gt;E258),G258+1,G258))</f>
        <v/>
      </c>
    </row>
    <row r="260">
      <c r="A260" s="14">
        <f>IF(OR(NOT(ISNUMBER(Ввод!$B$5)),NOT(ISNUMBER(Ввод!$B$6))),"",IF(Ввод!$B$5+258&gt;Ввод!$B$6,"",Ввод!$B$5+258))</f>
        <v/>
      </c>
      <c r="B260">
        <f>IF(A260="","",IFERROR(INDEX(Ввод!$B$12:$B$71,MATCH(A260,Ввод!$D$12:$D$71,1)),""))</f>
        <v/>
      </c>
      <c r="C260">
        <f>IF(A260="","",DATE(YEAR(A260),12,31)-DATE(YEAR(A260),1,1)+1)</f>
        <v/>
      </c>
      <c r="D260">
        <f>IF(A260="","",Ввод!$B$4-SUMIF(Оплаты!$A$6:$A$505,"&lt;"&amp;A260,Оплаты!$B$6:$B$505))</f>
        <v/>
      </c>
      <c r="E260">
        <f>IF(A260="","",IF(SUMPRODUCT((Ввод!$F$12:$F$31&lt;&gt;"")*(Ввод!$F$12:$F$31&lt;=A260)*(Ввод!$G$12:$G$31&gt;=A260))&gt;0,1,0))</f>
        <v/>
      </c>
      <c r="F260">
        <f>IF(OR(A260="",B260=""),"",IF(E260=1,0,D260*B260/100/C260))</f>
        <v/>
      </c>
      <c r="G260">
        <f>IF(A260="","",IF(OR(B260&lt;&gt;B259,C260&lt;&gt;C259,D260&lt;&gt;D259,E260&lt;&gt;E259),G259+1,G259))</f>
        <v/>
      </c>
    </row>
    <row r="261">
      <c r="A261" s="14">
        <f>IF(OR(NOT(ISNUMBER(Ввод!$B$5)),NOT(ISNUMBER(Ввод!$B$6))),"",IF(Ввод!$B$5+259&gt;Ввод!$B$6,"",Ввод!$B$5+259))</f>
        <v/>
      </c>
      <c r="B261">
        <f>IF(A261="","",IFERROR(INDEX(Ввод!$B$12:$B$71,MATCH(A261,Ввод!$D$12:$D$71,1)),""))</f>
        <v/>
      </c>
      <c r="C261">
        <f>IF(A261="","",DATE(YEAR(A261),12,31)-DATE(YEAR(A261),1,1)+1)</f>
        <v/>
      </c>
      <c r="D261">
        <f>IF(A261="","",Ввод!$B$4-SUMIF(Оплаты!$A$6:$A$505,"&lt;"&amp;A261,Оплаты!$B$6:$B$505))</f>
        <v/>
      </c>
      <c r="E261">
        <f>IF(A261="","",IF(SUMPRODUCT((Ввод!$F$12:$F$31&lt;&gt;"")*(Ввод!$F$12:$F$31&lt;=A261)*(Ввод!$G$12:$G$31&gt;=A261))&gt;0,1,0))</f>
        <v/>
      </c>
      <c r="F261">
        <f>IF(OR(A261="",B261=""),"",IF(E261=1,0,D261*B261/100/C261))</f>
        <v/>
      </c>
      <c r="G261">
        <f>IF(A261="","",IF(OR(B261&lt;&gt;B260,C261&lt;&gt;C260,D261&lt;&gt;D260,E261&lt;&gt;E260),G260+1,G260))</f>
        <v/>
      </c>
    </row>
    <row r="262">
      <c r="A262" s="14">
        <f>IF(OR(NOT(ISNUMBER(Ввод!$B$5)),NOT(ISNUMBER(Ввод!$B$6))),"",IF(Ввод!$B$5+260&gt;Ввод!$B$6,"",Ввод!$B$5+260))</f>
        <v/>
      </c>
      <c r="B262">
        <f>IF(A262="","",IFERROR(INDEX(Ввод!$B$12:$B$71,MATCH(A262,Ввод!$D$12:$D$71,1)),""))</f>
        <v/>
      </c>
      <c r="C262">
        <f>IF(A262="","",DATE(YEAR(A262),12,31)-DATE(YEAR(A262),1,1)+1)</f>
        <v/>
      </c>
      <c r="D262">
        <f>IF(A262="","",Ввод!$B$4-SUMIF(Оплаты!$A$6:$A$505,"&lt;"&amp;A262,Оплаты!$B$6:$B$505))</f>
        <v/>
      </c>
      <c r="E262">
        <f>IF(A262="","",IF(SUMPRODUCT((Ввод!$F$12:$F$31&lt;&gt;"")*(Ввод!$F$12:$F$31&lt;=A262)*(Ввод!$G$12:$G$31&gt;=A262))&gt;0,1,0))</f>
        <v/>
      </c>
      <c r="F262">
        <f>IF(OR(A262="",B262=""),"",IF(E262=1,0,D262*B262/100/C262))</f>
        <v/>
      </c>
      <c r="G262">
        <f>IF(A262="","",IF(OR(B262&lt;&gt;B261,C262&lt;&gt;C261,D262&lt;&gt;D261,E262&lt;&gt;E261),G261+1,G261))</f>
        <v/>
      </c>
    </row>
    <row r="263">
      <c r="A263" s="14">
        <f>IF(OR(NOT(ISNUMBER(Ввод!$B$5)),NOT(ISNUMBER(Ввод!$B$6))),"",IF(Ввод!$B$5+261&gt;Ввод!$B$6,"",Ввод!$B$5+261))</f>
        <v/>
      </c>
      <c r="B263">
        <f>IF(A263="","",IFERROR(INDEX(Ввод!$B$12:$B$71,MATCH(A263,Ввод!$D$12:$D$71,1)),""))</f>
        <v/>
      </c>
      <c r="C263">
        <f>IF(A263="","",DATE(YEAR(A263),12,31)-DATE(YEAR(A263),1,1)+1)</f>
        <v/>
      </c>
      <c r="D263">
        <f>IF(A263="","",Ввод!$B$4-SUMIF(Оплаты!$A$6:$A$505,"&lt;"&amp;A263,Оплаты!$B$6:$B$505))</f>
        <v/>
      </c>
      <c r="E263">
        <f>IF(A263="","",IF(SUMPRODUCT((Ввод!$F$12:$F$31&lt;&gt;"")*(Ввод!$F$12:$F$31&lt;=A263)*(Ввод!$G$12:$G$31&gt;=A263))&gt;0,1,0))</f>
        <v/>
      </c>
      <c r="F263">
        <f>IF(OR(A263="",B263=""),"",IF(E263=1,0,D263*B263/100/C263))</f>
        <v/>
      </c>
      <c r="G263">
        <f>IF(A263="","",IF(OR(B263&lt;&gt;B262,C263&lt;&gt;C262,D263&lt;&gt;D262,E263&lt;&gt;E262),G262+1,G262))</f>
        <v/>
      </c>
    </row>
    <row r="264">
      <c r="A264" s="14">
        <f>IF(OR(NOT(ISNUMBER(Ввод!$B$5)),NOT(ISNUMBER(Ввод!$B$6))),"",IF(Ввод!$B$5+262&gt;Ввод!$B$6,"",Ввод!$B$5+262))</f>
        <v/>
      </c>
      <c r="B264">
        <f>IF(A264="","",IFERROR(INDEX(Ввод!$B$12:$B$71,MATCH(A264,Ввод!$D$12:$D$71,1)),""))</f>
        <v/>
      </c>
      <c r="C264">
        <f>IF(A264="","",DATE(YEAR(A264),12,31)-DATE(YEAR(A264),1,1)+1)</f>
        <v/>
      </c>
      <c r="D264">
        <f>IF(A264="","",Ввод!$B$4-SUMIF(Оплаты!$A$6:$A$505,"&lt;"&amp;A264,Оплаты!$B$6:$B$505))</f>
        <v/>
      </c>
      <c r="E264">
        <f>IF(A264="","",IF(SUMPRODUCT((Ввод!$F$12:$F$31&lt;&gt;"")*(Ввод!$F$12:$F$31&lt;=A264)*(Ввод!$G$12:$G$31&gt;=A264))&gt;0,1,0))</f>
        <v/>
      </c>
      <c r="F264">
        <f>IF(OR(A264="",B264=""),"",IF(E264=1,0,D264*B264/100/C264))</f>
        <v/>
      </c>
      <c r="G264">
        <f>IF(A264="","",IF(OR(B264&lt;&gt;B263,C264&lt;&gt;C263,D264&lt;&gt;D263,E264&lt;&gt;E263),G263+1,G263))</f>
        <v/>
      </c>
    </row>
    <row r="265">
      <c r="A265" s="14">
        <f>IF(OR(NOT(ISNUMBER(Ввод!$B$5)),NOT(ISNUMBER(Ввод!$B$6))),"",IF(Ввод!$B$5+263&gt;Ввод!$B$6,"",Ввод!$B$5+263))</f>
        <v/>
      </c>
      <c r="B265">
        <f>IF(A265="","",IFERROR(INDEX(Ввод!$B$12:$B$71,MATCH(A265,Ввод!$D$12:$D$71,1)),""))</f>
        <v/>
      </c>
      <c r="C265">
        <f>IF(A265="","",DATE(YEAR(A265),12,31)-DATE(YEAR(A265),1,1)+1)</f>
        <v/>
      </c>
      <c r="D265">
        <f>IF(A265="","",Ввод!$B$4-SUMIF(Оплаты!$A$6:$A$505,"&lt;"&amp;A265,Оплаты!$B$6:$B$505))</f>
        <v/>
      </c>
      <c r="E265">
        <f>IF(A265="","",IF(SUMPRODUCT((Ввод!$F$12:$F$31&lt;&gt;"")*(Ввод!$F$12:$F$31&lt;=A265)*(Ввод!$G$12:$G$31&gt;=A265))&gt;0,1,0))</f>
        <v/>
      </c>
      <c r="F265">
        <f>IF(OR(A265="",B265=""),"",IF(E265=1,0,D265*B265/100/C265))</f>
        <v/>
      </c>
      <c r="G265">
        <f>IF(A265="","",IF(OR(B265&lt;&gt;B264,C265&lt;&gt;C264,D265&lt;&gt;D264,E265&lt;&gt;E264),G264+1,G264))</f>
        <v/>
      </c>
    </row>
    <row r="266">
      <c r="A266" s="14">
        <f>IF(OR(NOT(ISNUMBER(Ввод!$B$5)),NOT(ISNUMBER(Ввод!$B$6))),"",IF(Ввод!$B$5+264&gt;Ввод!$B$6,"",Ввод!$B$5+264))</f>
        <v/>
      </c>
      <c r="B266">
        <f>IF(A266="","",IFERROR(INDEX(Ввод!$B$12:$B$71,MATCH(A266,Ввод!$D$12:$D$71,1)),""))</f>
        <v/>
      </c>
      <c r="C266">
        <f>IF(A266="","",DATE(YEAR(A266),12,31)-DATE(YEAR(A266),1,1)+1)</f>
        <v/>
      </c>
      <c r="D266">
        <f>IF(A266="","",Ввод!$B$4-SUMIF(Оплаты!$A$6:$A$505,"&lt;"&amp;A266,Оплаты!$B$6:$B$505))</f>
        <v/>
      </c>
      <c r="E266">
        <f>IF(A266="","",IF(SUMPRODUCT((Ввод!$F$12:$F$31&lt;&gt;"")*(Ввод!$F$12:$F$31&lt;=A266)*(Ввод!$G$12:$G$31&gt;=A266))&gt;0,1,0))</f>
        <v/>
      </c>
      <c r="F266">
        <f>IF(OR(A266="",B266=""),"",IF(E266=1,0,D266*B266/100/C266))</f>
        <v/>
      </c>
      <c r="G266">
        <f>IF(A266="","",IF(OR(B266&lt;&gt;B265,C266&lt;&gt;C265,D266&lt;&gt;D265,E266&lt;&gt;E265),G265+1,G265))</f>
        <v/>
      </c>
    </row>
    <row r="267">
      <c r="A267" s="14">
        <f>IF(OR(NOT(ISNUMBER(Ввод!$B$5)),NOT(ISNUMBER(Ввод!$B$6))),"",IF(Ввод!$B$5+265&gt;Ввод!$B$6,"",Ввод!$B$5+265))</f>
        <v/>
      </c>
      <c r="B267">
        <f>IF(A267="","",IFERROR(INDEX(Ввод!$B$12:$B$71,MATCH(A267,Ввод!$D$12:$D$71,1)),""))</f>
        <v/>
      </c>
      <c r="C267">
        <f>IF(A267="","",DATE(YEAR(A267),12,31)-DATE(YEAR(A267),1,1)+1)</f>
        <v/>
      </c>
      <c r="D267">
        <f>IF(A267="","",Ввод!$B$4-SUMIF(Оплаты!$A$6:$A$505,"&lt;"&amp;A267,Оплаты!$B$6:$B$505))</f>
        <v/>
      </c>
      <c r="E267">
        <f>IF(A267="","",IF(SUMPRODUCT((Ввод!$F$12:$F$31&lt;&gt;"")*(Ввод!$F$12:$F$31&lt;=A267)*(Ввод!$G$12:$G$31&gt;=A267))&gt;0,1,0))</f>
        <v/>
      </c>
      <c r="F267">
        <f>IF(OR(A267="",B267=""),"",IF(E267=1,0,D267*B267/100/C267))</f>
        <v/>
      </c>
      <c r="G267">
        <f>IF(A267="","",IF(OR(B267&lt;&gt;B266,C267&lt;&gt;C266,D267&lt;&gt;D266,E267&lt;&gt;E266),G266+1,G266))</f>
        <v/>
      </c>
    </row>
    <row r="268">
      <c r="A268" s="14">
        <f>IF(OR(NOT(ISNUMBER(Ввод!$B$5)),NOT(ISNUMBER(Ввод!$B$6))),"",IF(Ввод!$B$5+266&gt;Ввод!$B$6,"",Ввод!$B$5+266))</f>
        <v/>
      </c>
      <c r="B268">
        <f>IF(A268="","",IFERROR(INDEX(Ввод!$B$12:$B$71,MATCH(A268,Ввод!$D$12:$D$71,1)),""))</f>
        <v/>
      </c>
      <c r="C268">
        <f>IF(A268="","",DATE(YEAR(A268),12,31)-DATE(YEAR(A268),1,1)+1)</f>
        <v/>
      </c>
      <c r="D268">
        <f>IF(A268="","",Ввод!$B$4-SUMIF(Оплаты!$A$6:$A$505,"&lt;"&amp;A268,Оплаты!$B$6:$B$505))</f>
        <v/>
      </c>
      <c r="E268">
        <f>IF(A268="","",IF(SUMPRODUCT((Ввод!$F$12:$F$31&lt;&gt;"")*(Ввод!$F$12:$F$31&lt;=A268)*(Ввод!$G$12:$G$31&gt;=A268))&gt;0,1,0))</f>
        <v/>
      </c>
      <c r="F268">
        <f>IF(OR(A268="",B268=""),"",IF(E268=1,0,D268*B268/100/C268))</f>
        <v/>
      </c>
      <c r="G268">
        <f>IF(A268="","",IF(OR(B268&lt;&gt;B267,C268&lt;&gt;C267,D268&lt;&gt;D267,E268&lt;&gt;E267),G267+1,G267))</f>
        <v/>
      </c>
    </row>
    <row r="269">
      <c r="A269" s="14">
        <f>IF(OR(NOT(ISNUMBER(Ввод!$B$5)),NOT(ISNUMBER(Ввод!$B$6))),"",IF(Ввод!$B$5+267&gt;Ввод!$B$6,"",Ввод!$B$5+267))</f>
        <v/>
      </c>
      <c r="B269">
        <f>IF(A269="","",IFERROR(INDEX(Ввод!$B$12:$B$71,MATCH(A269,Ввод!$D$12:$D$71,1)),""))</f>
        <v/>
      </c>
      <c r="C269">
        <f>IF(A269="","",DATE(YEAR(A269),12,31)-DATE(YEAR(A269),1,1)+1)</f>
        <v/>
      </c>
      <c r="D269">
        <f>IF(A269="","",Ввод!$B$4-SUMIF(Оплаты!$A$6:$A$505,"&lt;"&amp;A269,Оплаты!$B$6:$B$505))</f>
        <v/>
      </c>
      <c r="E269">
        <f>IF(A269="","",IF(SUMPRODUCT((Ввод!$F$12:$F$31&lt;&gt;"")*(Ввод!$F$12:$F$31&lt;=A269)*(Ввод!$G$12:$G$31&gt;=A269))&gt;0,1,0))</f>
        <v/>
      </c>
      <c r="F269">
        <f>IF(OR(A269="",B269=""),"",IF(E269=1,0,D269*B269/100/C269))</f>
        <v/>
      </c>
      <c r="G269">
        <f>IF(A269="","",IF(OR(B269&lt;&gt;B268,C269&lt;&gt;C268,D269&lt;&gt;D268,E269&lt;&gt;E268),G268+1,G268))</f>
        <v/>
      </c>
    </row>
    <row r="270">
      <c r="A270" s="14">
        <f>IF(OR(NOT(ISNUMBER(Ввод!$B$5)),NOT(ISNUMBER(Ввод!$B$6))),"",IF(Ввод!$B$5+268&gt;Ввод!$B$6,"",Ввод!$B$5+268))</f>
        <v/>
      </c>
      <c r="B270">
        <f>IF(A270="","",IFERROR(INDEX(Ввод!$B$12:$B$71,MATCH(A270,Ввод!$D$12:$D$71,1)),""))</f>
        <v/>
      </c>
      <c r="C270">
        <f>IF(A270="","",DATE(YEAR(A270),12,31)-DATE(YEAR(A270),1,1)+1)</f>
        <v/>
      </c>
      <c r="D270">
        <f>IF(A270="","",Ввод!$B$4-SUMIF(Оплаты!$A$6:$A$505,"&lt;"&amp;A270,Оплаты!$B$6:$B$505))</f>
        <v/>
      </c>
      <c r="E270">
        <f>IF(A270="","",IF(SUMPRODUCT((Ввод!$F$12:$F$31&lt;&gt;"")*(Ввод!$F$12:$F$31&lt;=A270)*(Ввод!$G$12:$G$31&gt;=A270))&gt;0,1,0))</f>
        <v/>
      </c>
      <c r="F270">
        <f>IF(OR(A270="",B270=""),"",IF(E270=1,0,D270*B270/100/C270))</f>
        <v/>
      </c>
      <c r="G270">
        <f>IF(A270="","",IF(OR(B270&lt;&gt;B269,C270&lt;&gt;C269,D270&lt;&gt;D269,E270&lt;&gt;E269),G269+1,G269))</f>
        <v/>
      </c>
    </row>
    <row r="271">
      <c r="A271" s="14">
        <f>IF(OR(NOT(ISNUMBER(Ввод!$B$5)),NOT(ISNUMBER(Ввод!$B$6))),"",IF(Ввод!$B$5+269&gt;Ввод!$B$6,"",Ввод!$B$5+269))</f>
        <v/>
      </c>
      <c r="B271">
        <f>IF(A271="","",IFERROR(INDEX(Ввод!$B$12:$B$71,MATCH(A271,Ввод!$D$12:$D$71,1)),""))</f>
        <v/>
      </c>
      <c r="C271">
        <f>IF(A271="","",DATE(YEAR(A271),12,31)-DATE(YEAR(A271),1,1)+1)</f>
        <v/>
      </c>
      <c r="D271">
        <f>IF(A271="","",Ввод!$B$4-SUMIF(Оплаты!$A$6:$A$505,"&lt;"&amp;A271,Оплаты!$B$6:$B$505))</f>
        <v/>
      </c>
      <c r="E271">
        <f>IF(A271="","",IF(SUMPRODUCT((Ввод!$F$12:$F$31&lt;&gt;"")*(Ввод!$F$12:$F$31&lt;=A271)*(Ввод!$G$12:$G$31&gt;=A271))&gt;0,1,0))</f>
        <v/>
      </c>
      <c r="F271">
        <f>IF(OR(A271="",B271=""),"",IF(E271=1,0,D271*B271/100/C271))</f>
        <v/>
      </c>
      <c r="G271">
        <f>IF(A271="","",IF(OR(B271&lt;&gt;B270,C271&lt;&gt;C270,D271&lt;&gt;D270,E271&lt;&gt;E270),G270+1,G270))</f>
        <v/>
      </c>
    </row>
    <row r="272">
      <c r="A272" s="14">
        <f>IF(OR(NOT(ISNUMBER(Ввод!$B$5)),NOT(ISNUMBER(Ввод!$B$6))),"",IF(Ввод!$B$5+270&gt;Ввод!$B$6,"",Ввод!$B$5+270))</f>
        <v/>
      </c>
      <c r="B272">
        <f>IF(A272="","",IFERROR(INDEX(Ввод!$B$12:$B$71,MATCH(A272,Ввод!$D$12:$D$71,1)),""))</f>
        <v/>
      </c>
      <c r="C272">
        <f>IF(A272="","",DATE(YEAR(A272),12,31)-DATE(YEAR(A272),1,1)+1)</f>
        <v/>
      </c>
      <c r="D272">
        <f>IF(A272="","",Ввод!$B$4-SUMIF(Оплаты!$A$6:$A$505,"&lt;"&amp;A272,Оплаты!$B$6:$B$505))</f>
        <v/>
      </c>
      <c r="E272">
        <f>IF(A272="","",IF(SUMPRODUCT((Ввод!$F$12:$F$31&lt;&gt;"")*(Ввод!$F$12:$F$31&lt;=A272)*(Ввод!$G$12:$G$31&gt;=A272))&gt;0,1,0))</f>
        <v/>
      </c>
      <c r="F272">
        <f>IF(OR(A272="",B272=""),"",IF(E272=1,0,D272*B272/100/C272))</f>
        <v/>
      </c>
      <c r="G272">
        <f>IF(A272="","",IF(OR(B272&lt;&gt;B271,C272&lt;&gt;C271,D272&lt;&gt;D271,E272&lt;&gt;E271),G271+1,G271))</f>
        <v/>
      </c>
    </row>
    <row r="273">
      <c r="A273" s="14">
        <f>IF(OR(NOT(ISNUMBER(Ввод!$B$5)),NOT(ISNUMBER(Ввод!$B$6))),"",IF(Ввод!$B$5+271&gt;Ввод!$B$6,"",Ввод!$B$5+271))</f>
        <v/>
      </c>
      <c r="B273">
        <f>IF(A273="","",IFERROR(INDEX(Ввод!$B$12:$B$71,MATCH(A273,Ввод!$D$12:$D$71,1)),""))</f>
        <v/>
      </c>
      <c r="C273">
        <f>IF(A273="","",DATE(YEAR(A273),12,31)-DATE(YEAR(A273),1,1)+1)</f>
        <v/>
      </c>
      <c r="D273">
        <f>IF(A273="","",Ввод!$B$4-SUMIF(Оплаты!$A$6:$A$505,"&lt;"&amp;A273,Оплаты!$B$6:$B$505))</f>
        <v/>
      </c>
      <c r="E273">
        <f>IF(A273="","",IF(SUMPRODUCT((Ввод!$F$12:$F$31&lt;&gt;"")*(Ввод!$F$12:$F$31&lt;=A273)*(Ввод!$G$12:$G$31&gt;=A273))&gt;0,1,0))</f>
        <v/>
      </c>
      <c r="F273">
        <f>IF(OR(A273="",B273=""),"",IF(E273=1,0,D273*B273/100/C273))</f>
        <v/>
      </c>
      <c r="G273">
        <f>IF(A273="","",IF(OR(B273&lt;&gt;B272,C273&lt;&gt;C272,D273&lt;&gt;D272,E273&lt;&gt;E272),G272+1,G272))</f>
        <v/>
      </c>
    </row>
    <row r="274">
      <c r="A274" s="14">
        <f>IF(OR(NOT(ISNUMBER(Ввод!$B$5)),NOT(ISNUMBER(Ввод!$B$6))),"",IF(Ввод!$B$5+272&gt;Ввод!$B$6,"",Ввод!$B$5+272))</f>
        <v/>
      </c>
      <c r="B274">
        <f>IF(A274="","",IFERROR(INDEX(Ввод!$B$12:$B$71,MATCH(A274,Ввод!$D$12:$D$71,1)),""))</f>
        <v/>
      </c>
      <c r="C274">
        <f>IF(A274="","",DATE(YEAR(A274),12,31)-DATE(YEAR(A274),1,1)+1)</f>
        <v/>
      </c>
      <c r="D274">
        <f>IF(A274="","",Ввод!$B$4-SUMIF(Оплаты!$A$6:$A$505,"&lt;"&amp;A274,Оплаты!$B$6:$B$505))</f>
        <v/>
      </c>
      <c r="E274">
        <f>IF(A274="","",IF(SUMPRODUCT((Ввод!$F$12:$F$31&lt;&gt;"")*(Ввод!$F$12:$F$31&lt;=A274)*(Ввод!$G$12:$G$31&gt;=A274))&gt;0,1,0))</f>
        <v/>
      </c>
      <c r="F274">
        <f>IF(OR(A274="",B274=""),"",IF(E274=1,0,D274*B274/100/C274))</f>
        <v/>
      </c>
      <c r="G274">
        <f>IF(A274="","",IF(OR(B274&lt;&gt;B273,C274&lt;&gt;C273,D274&lt;&gt;D273,E274&lt;&gt;E273),G273+1,G273))</f>
        <v/>
      </c>
    </row>
    <row r="275">
      <c r="A275" s="14">
        <f>IF(OR(NOT(ISNUMBER(Ввод!$B$5)),NOT(ISNUMBER(Ввод!$B$6))),"",IF(Ввод!$B$5+273&gt;Ввод!$B$6,"",Ввод!$B$5+273))</f>
        <v/>
      </c>
      <c r="B275">
        <f>IF(A275="","",IFERROR(INDEX(Ввод!$B$12:$B$71,MATCH(A275,Ввод!$D$12:$D$71,1)),""))</f>
        <v/>
      </c>
      <c r="C275">
        <f>IF(A275="","",DATE(YEAR(A275),12,31)-DATE(YEAR(A275),1,1)+1)</f>
        <v/>
      </c>
      <c r="D275">
        <f>IF(A275="","",Ввод!$B$4-SUMIF(Оплаты!$A$6:$A$505,"&lt;"&amp;A275,Оплаты!$B$6:$B$505))</f>
        <v/>
      </c>
      <c r="E275">
        <f>IF(A275="","",IF(SUMPRODUCT((Ввод!$F$12:$F$31&lt;&gt;"")*(Ввод!$F$12:$F$31&lt;=A275)*(Ввод!$G$12:$G$31&gt;=A275))&gt;0,1,0))</f>
        <v/>
      </c>
      <c r="F275">
        <f>IF(OR(A275="",B275=""),"",IF(E275=1,0,D275*B275/100/C275))</f>
        <v/>
      </c>
      <c r="G275">
        <f>IF(A275="","",IF(OR(B275&lt;&gt;B274,C275&lt;&gt;C274,D275&lt;&gt;D274,E275&lt;&gt;E274),G274+1,G274))</f>
        <v/>
      </c>
    </row>
    <row r="276">
      <c r="A276" s="14">
        <f>IF(OR(NOT(ISNUMBER(Ввод!$B$5)),NOT(ISNUMBER(Ввод!$B$6))),"",IF(Ввод!$B$5+274&gt;Ввод!$B$6,"",Ввод!$B$5+274))</f>
        <v/>
      </c>
      <c r="B276">
        <f>IF(A276="","",IFERROR(INDEX(Ввод!$B$12:$B$71,MATCH(A276,Ввод!$D$12:$D$71,1)),""))</f>
        <v/>
      </c>
      <c r="C276">
        <f>IF(A276="","",DATE(YEAR(A276),12,31)-DATE(YEAR(A276),1,1)+1)</f>
        <v/>
      </c>
      <c r="D276">
        <f>IF(A276="","",Ввод!$B$4-SUMIF(Оплаты!$A$6:$A$505,"&lt;"&amp;A276,Оплаты!$B$6:$B$505))</f>
        <v/>
      </c>
      <c r="E276">
        <f>IF(A276="","",IF(SUMPRODUCT((Ввод!$F$12:$F$31&lt;&gt;"")*(Ввод!$F$12:$F$31&lt;=A276)*(Ввод!$G$12:$G$31&gt;=A276))&gt;0,1,0))</f>
        <v/>
      </c>
      <c r="F276">
        <f>IF(OR(A276="",B276=""),"",IF(E276=1,0,D276*B276/100/C276))</f>
        <v/>
      </c>
      <c r="G276">
        <f>IF(A276="","",IF(OR(B276&lt;&gt;B275,C276&lt;&gt;C275,D276&lt;&gt;D275,E276&lt;&gt;E275),G275+1,G275))</f>
        <v/>
      </c>
    </row>
    <row r="277">
      <c r="A277" s="14">
        <f>IF(OR(NOT(ISNUMBER(Ввод!$B$5)),NOT(ISNUMBER(Ввод!$B$6))),"",IF(Ввод!$B$5+275&gt;Ввод!$B$6,"",Ввод!$B$5+275))</f>
        <v/>
      </c>
      <c r="B277">
        <f>IF(A277="","",IFERROR(INDEX(Ввод!$B$12:$B$71,MATCH(A277,Ввод!$D$12:$D$71,1)),""))</f>
        <v/>
      </c>
      <c r="C277">
        <f>IF(A277="","",DATE(YEAR(A277),12,31)-DATE(YEAR(A277),1,1)+1)</f>
        <v/>
      </c>
      <c r="D277">
        <f>IF(A277="","",Ввод!$B$4-SUMIF(Оплаты!$A$6:$A$505,"&lt;"&amp;A277,Оплаты!$B$6:$B$505))</f>
        <v/>
      </c>
      <c r="E277">
        <f>IF(A277="","",IF(SUMPRODUCT((Ввод!$F$12:$F$31&lt;&gt;"")*(Ввод!$F$12:$F$31&lt;=A277)*(Ввод!$G$12:$G$31&gt;=A277))&gt;0,1,0))</f>
        <v/>
      </c>
      <c r="F277">
        <f>IF(OR(A277="",B277=""),"",IF(E277=1,0,D277*B277/100/C277))</f>
        <v/>
      </c>
      <c r="G277">
        <f>IF(A277="","",IF(OR(B277&lt;&gt;B276,C277&lt;&gt;C276,D277&lt;&gt;D276,E277&lt;&gt;E276),G276+1,G276))</f>
        <v/>
      </c>
    </row>
    <row r="278">
      <c r="A278" s="14">
        <f>IF(OR(NOT(ISNUMBER(Ввод!$B$5)),NOT(ISNUMBER(Ввод!$B$6))),"",IF(Ввод!$B$5+276&gt;Ввод!$B$6,"",Ввод!$B$5+276))</f>
        <v/>
      </c>
      <c r="B278">
        <f>IF(A278="","",IFERROR(INDEX(Ввод!$B$12:$B$71,MATCH(A278,Ввод!$D$12:$D$71,1)),""))</f>
        <v/>
      </c>
      <c r="C278">
        <f>IF(A278="","",DATE(YEAR(A278),12,31)-DATE(YEAR(A278),1,1)+1)</f>
        <v/>
      </c>
      <c r="D278">
        <f>IF(A278="","",Ввод!$B$4-SUMIF(Оплаты!$A$6:$A$505,"&lt;"&amp;A278,Оплаты!$B$6:$B$505))</f>
        <v/>
      </c>
      <c r="E278">
        <f>IF(A278="","",IF(SUMPRODUCT((Ввод!$F$12:$F$31&lt;&gt;"")*(Ввод!$F$12:$F$31&lt;=A278)*(Ввод!$G$12:$G$31&gt;=A278))&gt;0,1,0))</f>
        <v/>
      </c>
      <c r="F278">
        <f>IF(OR(A278="",B278=""),"",IF(E278=1,0,D278*B278/100/C278))</f>
        <v/>
      </c>
      <c r="G278">
        <f>IF(A278="","",IF(OR(B278&lt;&gt;B277,C278&lt;&gt;C277,D278&lt;&gt;D277,E278&lt;&gt;E277),G277+1,G277))</f>
        <v/>
      </c>
    </row>
    <row r="279">
      <c r="A279" s="14">
        <f>IF(OR(NOT(ISNUMBER(Ввод!$B$5)),NOT(ISNUMBER(Ввод!$B$6))),"",IF(Ввод!$B$5+277&gt;Ввод!$B$6,"",Ввод!$B$5+277))</f>
        <v/>
      </c>
      <c r="B279">
        <f>IF(A279="","",IFERROR(INDEX(Ввод!$B$12:$B$71,MATCH(A279,Ввод!$D$12:$D$71,1)),""))</f>
        <v/>
      </c>
      <c r="C279">
        <f>IF(A279="","",DATE(YEAR(A279),12,31)-DATE(YEAR(A279),1,1)+1)</f>
        <v/>
      </c>
      <c r="D279">
        <f>IF(A279="","",Ввод!$B$4-SUMIF(Оплаты!$A$6:$A$505,"&lt;"&amp;A279,Оплаты!$B$6:$B$505))</f>
        <v/>
      </c>
      <c r="E279">
        <f>IF(A279="","",IF(SUMPRODUCT((Ввод!$F$12:$F$31&lt;&gt;"")*(Ввод!$F$12:$F$31&lt;=A279)*(Ввод!$G$12:$G$31&gt;=A279))&gt;0,1,0))</f>
        <v/>
      </c>
      <c r="F279">
        <f>IF(OR(A279="",B279=""),"",IF(E279=1,0,D279*B279/100/C279))</f>
        <v/>
      </c>
      <c r="G279">
        <f>IF(A279="","",IF(OR(B279&lt;&gt;B278,C279&lt;&gt;C278,D279&lt;&gt;D278,E279&lt;&gt;E278),G278+1,G278))</f>
        <v/>
      </c>
    </row>
    <row r="280">
      <c r="A280" s="14">
        <f>IF(OR(NOT(ISNUMBER(Ввод!$B$5)),NOT(ISNUMBER(Ввод!$B$6))),"",IF(Ввод!$B$5+278&gt;Ввод!$B$6,"",Ввод!$B$5+278))</f>
        <v/>
      </c>
      <c r="B280">
        <f>IF(A280="","",IFERROR(INDEX(Ввод!$B$12:$B$71,MATCH(A280,Ввод!$D$12:$D$71,1)),""))</f>
        <v/>
      </c>
      <c r="C280">
        <f>IF(A280="","",DATE(YEAR(A280),12,31)-DATE(YEAR(A280),1,1)+1)</f>
        <v/>
      </c>
      <c r="D280">
        <f>IF(A280="","",Ввод!$B$4-SUMIF(Оплаты!$A$6:$A$505,"&lt;"&amp;A280,Оплаты!$B$6:$B$505))</f>
        <v/>
      </c>
      <c r="E280">
        <f>IF(A280="","",IF(SUMPRODUCT((Ввод!$F$12:$F$31&lt;&gt;"")*(Ввод!$F$12:$F$31&lt;=A280)*(Ввод!$G$12:$G$31&gt;=A280))&gt;0,1,0))</f>
        <v/>
      </c>
      <c r="F280">
        <f>IF(OR(A280="",B280=""),"",IF(E280=1,0,D280*B280/100/C280))</f>
        <v/>
      </c>
      <c r="G280">
        <f>IF(A280="","",IF(OR(B280&lt;&gt;B279,C280&lt;&gt;C279,D280&lt;&gt;D279,E280&lt;&gt;E279),G279+1,G279))</f>
        <v/>
      </c>
    </row>
    <row r="281">
      <c r="A281" s="14">
        <f>IF(OR(NOT(ISNUMBER(Ввод!$B$5)),NOT(ISNUMBER(Ввод!$B$6))),"",IF(Ввод!$B$5+279&gt;Ввод!$B$6,"",Ввод!$B$5+279))</f>
        <v/>
      </c>
      <c r="B281">
        <f>IF(A281="","",IFERROR(INDEX(Ввод!$B$12:$B$71,MATCH(A281,Ввод!$D$12:$D$71,1)),""))</f>
        <v/>
      </c>
      <c r="C281">
        <f>IF(A281="","",DATE(YEAR(A281),12,31)-DATE(YEAR(A281),1,1)+1)</f>
        <v/>
      </c>
      <c r="D281">
        <f>IF(A281="","",Ввод!$B$4-SUMIF(Оплаты!$A$6:$A$505,"&lt;"&amp;A281,Оплаты!$B$6:$B$505))</f>
        <v/>
      </c>
      <c r="E281">
        <f>IF(A281="","",IF(SUMPRODUCT((Ввод!$F$12:$F$31&lt;&gt;"")*(Ввод!$F$12:$F$31&lt;=A281)*(Ввод!$G$12:$G$31&gt;=A281))&gt;0,1,0))</f>
        <v/>
      </c>
      <c r="F281">
        <f>IF(OR(A281="",B281=""),"",IF(E281=1,0,D281*B281/100/C281))</f>
        <v/>
      </c>
      <c r="G281">
        <f>IF(A281="","",IF(OR(B281&lt;&gt;B280,C281&lt;&gt;C280,D281&lt;&gt;D280,E281&lt;&gt;E280),G280+1,G280))</f>
        <v/>
      </c>
    </row>
    <row r="282">
      <c r="A282" s="14">
        <f>IF(OR(NOT(ISNUMBER(Ввод!$B$5)),NOT(ISNUMBER(Ввод!$B$6))),"",IF(Ввод!$B$5+280&gt;Ввод!$B$6,"",Ввод!$B$5+280))</f>
        <v/>
      </c>
      <c r="B282">
        <f>IF(A282="","",IFERROR(INDEX(Ввод!$B$12:$B$71,MATCH(A282,Ввод!$D$12:$D$71,1)),""))</f>
        <v/>
      </c>
      <c r="C282">
        <f>IF(A282="","",DATE(YEAR(A282),12,31)-DATE(YEAR(A282),1,1)+1)</f>
        <v/>
      </c>
      <c r="D282">
        <f>IF(A282="","",Ввод!$B$4-SUMIF(Оплаты!$A$6:$A$505,"&lt;"&amp;A282,Оплаты!$B$6:$B$505))</f>
        <v/>
      </c>
      <c r="E282">
        <f>IF(A282="","",IF(SUMPRODUCT((Ввод!$F$12:$F$31&lt;&gt;"")*(Ввод!$F$12:$F$31&lt;=A282)*(Ввод!$G$12:$G$31&gt;=A282))&gt;0,1,0))</f>
        <v/>
      </c>
      <c r="F282">
        <f>IF(OR(A282="",B282=""),"",IF(E282=1,0,D282*B282/100/C282))</f>
        <v/>
      </c>
      <c r="G282">
        <f>IF(A282="","",IF(OR(B282&lt;&gt;B281,C282&lt;&gt;C281,D282&lt;&gt;D281,E282&lt;&gt;E281),G281+1,G281))</f>
        <v/>
      </c>
    </row>
    <row r="283">
      <c r="A283" s="14">
        <f>IF(OR(NOT(ISNUMBER(Ввод!$B$5)),NOT(ISNUMBER(Ввод!$B$6))),"",IF(Ввод!$B$5+281&gt;Ввод!$B$6,"",Ввод!$B$5+281))</f>
        <v/>
      </c>
      <c r="B283">
        <f>IF(A283="","",IFERROR(INDEX(Ввод!$B$12:$B$71,MATCH(A283,Ввод!$D$12:$D$71,1)),""))</f>
        <v/>
      </c>
      <c r="C283">
        <f>IF(A283="","",DATE(YEAR(A283),12,31)-DATE(YEAR(A283),1,1)+1)</f>
        <v/>
      </c>
      <c r="D283">
        <f>IF(A283="","",Ввод!$B$4-SUMIF(Оплаты!$A$6:$A$505,"&lt;"&amp;A283,Оплаты!$B$6:$B$505))</f>
        <v/>
      </c>
      <c r="E283">
        <f>IF(A283="","",IF(SUMPRODUCT((Ввод!$F$12:$F$31&lt;&gt;"")*(Ввод!$F$12:$F$31&lt;=A283)*(Ввод!$G$12:$G$31&gt;=A283))&gt;0,1,0))</f>
        <v/>
      </c>
      <c r="F283">
        <f>IF(OR(A283="",B283=""),"",IF(E283=1,0,D283*B283/100/C283))</f>
        <v/>
      </c>
      <c r="G283">
        <f>IF(A283="","",IF(OR(B283&lt;&gt;B282,C283&lt;&gt;C282,D283&lt;&gt;D282,E283&lt;&gt;E282),G282+1,G282))</f>
        <v/>
      </c>
    </row>
    <row r="284">
      <c r="A284" s="14">
        <f>IF(OR(NOT(ISNUMBER(Ввод!$B$5)),NOT(ISNUMBER(Ввод!$B$6))),"",IF(Ввод!$B$5+282&gt;Ввод!$B$6,"",Ввод!$B$5+282))</f>
        <v/>
      </c>
      <c r="B284">
        <f>IF(A284="","",IFERROR(INDEX(Ввод!$B$12:$B$71,MATCH(A284,Ввод!$D$12:$D$71,1)),""))</f>
        <v/>
      </c>
      <c r="C284">
        <f>IF(A284="","",DATE(YEAR(A284),12,31)-DATE(YEAR(A284),1,1)+1)</f>
        <v/>
      </c>
      <c r="D284">
        <f>IF(A284="","",Ввод!$B$4-SUMIF(Оплаты!$A$6:$A$505,"&lt;"&amp;A284,Оплаты!$B$6:$B$505))</f>
        <v/>
      </c>
      <c r="E284">
        <f>IF(A284="","",IF(SUMPRODUCT((Ввод!$F$12:$F$31&lt;&gt;"")*(Ввод!$F$12:$F$31&lt;=A284)*(Ввод!$G$12:$G$31&gt;=A284))&gt;0,1,0))</f>
        <v/>
      </c>
      <c r="F284">
        <f>IF(OR(A284="",B284=""),"",IF(E284=1,0,D284*B284/100/C284))</f>
        <v/>
      </c>
      <c r="G284">
        <f>IF(A284="","",IF(OR(B284&lt;&gt;B283,C284&lt;&gt;C283,D284&lt;&gt;D283,E284&lt;&gt;E283),G283+1,G283))</f>
        <v/>
      </c>
    </row>
    <row r="285">
      <c r="A285" s="14">
        <f>IF(OR(NOT(ISNUMBER(Ввод!$B$5)),NOT(ISNUMBER(Ввод!$B$6))),"",IF(Ввод!$B$5+283&gt;Ввод!$B$6,"",Ввод!$B$5+283))</f>
        <v/>
      </c>
      <c r="B285">
        <f>IF(A285="","",IFERROR(INDEX(Ввод!$B$12:$B$71,MATCH(A285,Ввод!$D$12:$D$71,1)),""))</f>
        <v/>
      </c>
      <c r="C285">
        <f>IF(A285="","",DATE(YEAR(A285),12,31)-DATE(YEAR(A285),1,1)+1)</f>
        <v/>
      </c>
      <c r="D285">
        <f>IF(A285="","",Ввод!$B$4-SUMIF(Оплаты!$A$6:$A$505,"&lt;"&amp;A285,Оплаты!$B$6:$B$505))</f>
        <v/>
      </c>
      <c r="E285">
        <f>IF(A285="","",IF(SUMPRODUCT((Ввод!$F$12:$F$31&lt;&gt;"")*(Ввод!$F$12:$F$31&lt;=A285)*(Ввод!$G$12:$G$31&gt;=A285))&gt;0,1,0))</f>
        <v/>
      </c>
      <c r="F285">
        <f>IF(OR(A285="",B285=""),"",IF(E285=1,0,D285*B285/100/C285))</f>
        <v/>
      </c>
      <c r="G285">
        <f>IF(A285="","",IF(OR(B285&lt;&gt;B284,C285&lt;&gt;C284,D285&lt;&gt;D284,E285&lt;&gt;E284),G284+1,G284))</f>
        <v/>
      </c>
    </row>
    <row r="286">
      <c r="A286" s="14">
        <f>IF(OR(NOT(ISNUMBER(Ввод!$B$5)),NOT(ISNUMBER(Ввод!$B$6))),"",IF(Ввод!$B$5+284&gt;Ввод!$B$6,"",Ввод!$B$5+284))</f>
        <v/>
      </c>
      <c r="B286">
        <f>IF(A286="","",IFERROR(INDEX(Ввод!$B$12:$B$71,MATCH(A286,Ввод!$D$12:$D$71,1)),""))</f>
        <v/>
      </c>
      <c r="C286">
        <f>IF(A286="","",DATE(YEAR(A286),12,31)-DATE(YEAR(A286),1,1)+1)</f>
        <v/>
      </c>
      <c r="D286">
        <f>IF(A286="","",Ввод!$B$4-SUMIF(Оплаты!$A$6:$A$505,"&lt;"&amp;A286,Оплаты!$B$6:$B$505))</f>
        <v/>
      </c>
      <c r="E286">
        <f>IF(A286="","",IF(SUMPRODUCT((Ввод!$F$12:$F$31&lt;&gt;"")*(Ввод!$F$12:$F$31&lt;=A286)*(Ввод!$G$12:$G$31&gt;=A286))&gt;0,1,0))</f>
        <v/>
      </c>
      <c r="F286">
        <f>IF(OR(A286="",B286=""),"",IF(E286=1,0,D286*B286/100/C286))</f>
        <v/>
      </c>
      <c r="G286">
        <f>IF(A286="","",IF(OR(B286&lt;&gt;B285,C286&lt;&gt;C285,D286&lt;&gt;D285,E286&lt;&gt;E285),G285+1,G285))</f>
        <v/>
      </c>
    </row>
    <row r="287">
      <c r="A287" s="14">
        <f>IF(OR(NOT(ISNUMBER(Ввод!$B$5)),NOT(ISNUMBER(Ввод!$B$6))),"",IF(Ввод!$B$5+285&gt;Ввод!$B$6,"",Ввод!$B$5+285))</f>
        <v/>
      </c>
      <c r="B287">
        <f>IF(A287="","",IFERROR(INDEX(Ввод!$B$12:$B$71,MATCH(A287,Ввод!$D$12:$D$71,1)),""))</f>
        <v/>
      </c>
      <c r="C287">
        <f>IF(A287="","",DATE(YEAR(A287),12,31)-DATE(YEAR(A287),1,1)+1)</f>
        <v/>
      </c>
      <c r="D287">
        <f>IF(A287="","",Ввод!$B$4-SUMIF(Оплаты!$A$6:$A$505,"&lt;"&amp;A287,Оплаты!$B$6:$B$505))</f>
        <v/>
      </c>
      <c r="E287">
        <f>IF(A287="","",IF(SUMPRODUCT((Ввод!$F$12:$F$31&lt;&gt;"")*(Ввод!$F$12:$F$31&lt;=A287)*(Ввод!$G$12:$G$31&gt;=A287))&gt;0,1,0))</f>
        <v/>
      </c>
      <c r="F287">
        <f>IF(OR(A287="",B287=""),"",IF(E287=1,0,D287*B287/100/C287))</f>
        <v/>
      </c>
      <c r="G287">
        <f>IF(A287="","",IF(OR(B287&lt;&gt;B286,C287&lt;&gt;C286,D287&lt;&gt;D286,E287&lt;&gt;E286),G286+1,G286))</f>
        <v/>
      </c>
    </row>
    <row r="288">
      <c r="A288" s="14">
        <f>IF(OR(NOT(ISNUMBER(Ввод!$B$5)),NOT(ISNUMBER(Ввод!$B$6))),"",IF(Ввод!$B$5+286&gt;Ввод!$B$6,"",Ввод!$B$5+286))</f>
        <v/>
      </c>
      <c r="B288">
        <f>IF(A288="","",IFERROR(INDEX(Ввод!$B$12:$B$71,MATCH(A288,Ввод!$D$12:$D$71,1)),""))</f>
        <v/>
      </c>
      <c r="C288">
        <f>IF(A288="","",DATE(YEAR(A288),12,31)-DATE(YEAR(A288),1,1)+1)</f>
        <v/>
      </c>
      <c r="D288">
        <f>IF(A288="","",Ввод!$B$4-SUMIF(Оплаты!$A$6:$A$505,"&lt;"&amp;A288,Оплаты!$B$6:$B$505))</f>
        <v/>
      </c>
      <c r="E288">
        <f>IF(A288="","",IF(SUMPRODUCT((Ввод!$F$12:$F$31&lt;&gt;"")*(Ввод!$F$12:$F$31&lt;=A288)*(Ввод!$G$12:$G$31&gt;=A288))&gt;0,1,0))</f>
        <v/>
      </c>
      <c r="F288">
        <f>IF(OR(A288="",B288=""),"",IF(E288=1,0,D288*B288/100/C288))</f>
        <v/>
      </c>
      <c r="G288">
        <f>IF(A288="","",IF(OR(B288&lt;&gt;B287,C288&lt;&gt;C287,D288&lt;&gt;D287,E288&lt;&gt;E287),G287+1,G287))</f>
        <v/>
      </c>
    </row>
    <row r="289">
      <c r="A289" s="14">
        <f>IF(OR(NOT(ISNUMBER(Ввод!$B$5)),NOT(ISNUMBER(Ввод!$B$6))),"",IF(Ввод!$B$5+287&gt;Ввод!$B$6,"",Ввод!$B$5+287))</f>
        <v/>
      </c>
      <c r="B289">
        <f>IF(A289="","",IFERROR(INDEX(Ввод!$B$12:$B$71,MATCH(A289,Ввод!$D$12:$D$71,1)),""))</f>
        <v/>
      </c>
      <c r="C289">
        <f>IF(A289="","",DATE(YEAR(A289),12,31)-DATE(YEAR(A289),1,1)+1)</f>
        <v/>
      </c>
      <c r="D289">
        <f>IF(A289="","",Ввод!$B$4-SUMIF(Оплаты!$A$6:$A$505,"&lt;"&amp;A289,Оплаты!$B$6:$B$505))</f>
        <v/>
      </c>
      <c r="E289">
        <f>IF(A289="","",IF(SUMPRODUCT((Ввод!$F$12:$F$31&lt;&gt;"")*(Ввод!$F$12:$F$31&lt;=A289)*(Ввод!$G$12:$G$31&gt;=A289))&gt;0,1,0))</f>
        <v/>
      </c>
      <c r="F289">
        <f>IF(OR(A289="",B289=""),"",IF(E289=1,0,D289*B289/100/C289))</f>
        <v/>
      </c>
      <c r="G289">
        <f>IF(A289="","",IF(OR(B289&lt;&gt;B288,C289&lt;&gt;C288,D289&lt;&gt;D288,E289&lt;&gt;E288),G288+1,G288))</f>
        <v/>
      </c>
    </row>
    <row r="290">
      <c r="A290" s="14">
        <f>IF(OR(NOT(ISNUMBER(Ввод!$B$5)),NOT(ISNUMBER(Ввод!$B$6))),"",IF(Ввод!$B$5+288&gt;Ввод!$B$6,"",Ввод!$B$5+288))</f>
        <v/>
      </c>
      <c r="B290">
        <f>IF(A290="","",IFERROR(INDEX(Ввод!$B$12:$B$71,MATCH(A290,Ввод!$D$12:$D$71,1)),""))</f>
        <v/>
      </c>
      <c r="C290">
        <f>IF(A290="","",DATE(YEAR(A290),12,31)-DATE(YEAR(A290),1,1)+1)</f>
        <v/>
      </c>
      <c r="D290">
        <f>IF(A290="","",Ввод!$B$4-SUMIF(Оплаты!$A$6:$A$505,"&lt;"&amp;A290,Оплаты!$B$6:$B$505))</f>
        <v/>
      </c>
      <c r="E290">
        <f>IF(A290="","",IF(SUMPRODUCT((Ввод!$F$12:$F$31&lt;&gt;"")*(Ввод!$F$12:$F$31&lt;=A290)*(Ввод!$G$12:$G$31&gt;=A290))&gt;0,1,0))</f>
        <v/>
      </c>
      <c r="F290">
        <f>IF(OR(A290="",B290=""),"",IF(E290=1,0,D290*B290/100/C290))</f>
        <v/>
      </c>
      <c r="G290">
        <f>IF(A290="","",IF(OR(B290&lt;&gt;B289,C290&lt;&gt;C289,D290&lt;&gt;D289,E290&lt;&gt;E289),G289+1,G289))</f>
        <v/>
      </c>
    </row>
    <row r="291">
      <c r="A291" s="14">
        <f>IF(OR(NOT(ISNUMBER(Ввод!$B$5)),NOT(ISNUMBER(Ввод!$B$6))),"",IF(Ввод!$B$5+289&gt;Ввод!$B$6,"",Ввод!$B$5+289))</f>
        <v/>
      </c>
      <c r="B291">
        <f>IF(A291="","",IFERROR(INDEX(Ввод!$B$12:$B$71,MATCH(A291,Ввод!$D$12:$D$71,1)),""))</f>
        <v/>
      </c>
      <c r="C291">
        <f>IF(A291="","",DATE(YEAR(A291),12,31)-DATE(YEAR(A291),1,1)+1)</f>
        <v/>
      </c>
      <c r="D291">
        <f>IF(A291="","",Ввод!$B$4-SUMIF(Оплаты!$A$6:$A$505,"&lt;"&amp;A291,Оплаты!$B$6:$B$505))</f>
        <v/>
      </c>
      <c r="E291">
        <f>IF(A291="","",IF(SUMPRODUCT((Ввод!$F$12:$F$31&lt;&gt;"")*(Ввод!$F$12:$F$31&lt;=A291)*(Ввод!$G$12:$G$31&gt;=A291))&gt;0,1,0))</f>
        <v/>
      </c>
      <c r="F291">
        <f>IF(OR(A291="",B291=""),"",IF(E291=1,0,D291*B291/100/C291))</f>
        <v/>
      </c>
      <c r="G291">
        <f>IF(A291="","",IF(OR(B291&lt;&gt;B290,C291&lt;&gt;C290,D291&lt;&gt;D290,E291&lt;&gt;E290),G290+1,G290))</f>
        <v/>
      </c>
    </row>
    <row r="292">
      <c r="A292" s="14">
        <f>IF(OR(NOT(ISNUMBER(Ввод!$B$5)),NOT(ISNUMBER(Ввод!$B$6))),"",IF(Ввод!$B$5+290&gt;Ввод!$B$6,"",Ввод!$B$5+290))</f>
        <v/>
      </c>
      <c r="B292">
        <f>IF(A292="","",IFERROR(INDEX(Ввод!$B$12:$B$71,MATCH(A292,Ввод!$D$12:$D$71,1)),""))</f>
        <v/>
      </c>
      <c r="C292">
        <f>IF(A292="","",DATE(YEAR(A292),12,31)-DATE(YEAR(A292),1,1)+1)</f>
        <v/>
      </c>
      <c r="D292">
        <f>IF(A292="","",Ввод!$B$4-SUMIF(Оплаты!$A$6:$A$505,"&lt;"&amp;A292,Оплаты!$B$6:$B$505))</f>
        <v/>
      </c>
      <c r="E292">
        <f>IF(A292="","",IF(SUMPRODUCT((Ввод!$F$12:$F$31&lt;&gt;"")*(Ввод!$F$12:$F$31&lt;=A292)*(Ввод!$G$12:$G$31&gt;=A292))&gt;0,1,0))</f>
        <v/>
      </c>
      <c r="F292">
        <f>IF(OR(A292="",B292=""),"",IF(E292=1,0,D292*B292/100/C292))</f>
        <v/>
      </c>
      <c r="G292">
        <f>IF(A292="","",IF(OR(B292&lt;&gt;B291,C292&lt;&gt;C291,D292&lt;&gt;D291,E292&lt;&gt;E291),G291+1,G291))</f>
        <v/>
      </c>
    </row>
    <row r="293">
      <c r="A293" s="14">
        <f>IF(OR(NOT(ISNUMBER(Ввод!$B$5)),NOT(ISNUMBER(Ввод!$B$6))),"",IF(Ввод!$B$5+291&gt;Ввод!$B$6,"",Ввод!$B$5+291))</f>
        <v/>
      </c>
      <c r="B293">
        <f>IF(A293="","",IFERROR(INDEX(Ввод!$B$12:$B$71,MATCH(A293,Ввод!$D$12:$D$71,1)),""))</f>
        <v/>
      </c>
      <c r="C293">
        <f>IF(A293="","",DATE(YEAR(A293),12,31)-DATE(YEAR(A293),1,1)+1)</f>
        <v/>
      </c>
      <c r="D293">
        <f>IF(A293="","",Ввод!$B$4-SUMIF(Оплаты!$A$6:$A$505,"&lt;"&amp;A293,Оплаты!$B$6:$B$505))</f>
        <v/>
      </c>
      <c r="E293">
        <f>IF(A293="","",IF(SUMPRODUCT((Ввод!$F$12:$F$31&lt;&gt;"")*(Ввод!$F$12:$F$31&lt;=A293)*(Ввод!$G$12:$G$31&gt;=A293))&gt;0,1,0))</f>
        <v/>
      </c>
      <c r="F293">
        <f>IF(OR(A293="",B293=""),"",IF(E293=1,0,D293*B293/100/C293))</f>
        <v/>
      </c>
      <c r="G293">
        <f>IF(A293="","",IF(OR(B293&lt;&gt;B292,C293&lt;&gt;C292,D293&lt;&gt;D292,E293&lt;&gt;E292),G292+1,G292))</f>
        <v/>
      </c>
    </row>
    <row r="294">
      <c r="A294" s="14">
        <f>IF(OR(NOT(ISNUMBER(Ввод!$B$5)),NOT(ISNUMBER(Ввод!$B$6))),"",IF(Ввод!$B$5+292&gt;Ввод!$B$6,"",Ввод!$B$5+292))</f>
        <v/>
      </c>
      <c r="B294">
        <f>IF(A294="","",IFERROR(INDEX(Ввод!$B$12:$B$71,MATCH(A294,Ввод!$D$12:$D$71,1)),""))</f>
        <v/>
      </c>
      <c r="C294">
        <f>IF(A294="","",DATE(YEAR(A294),12,31)-DATE(YEAR(A294),1,1)+1)</f>
        <v/>
      </c>
      <c r="D294">
        <f>IF(A294="","",Ввод!$B$4-SUMIF(Оплаты!$A$6:$A$505,"&lt;"&amp;A294,Оплаты!$B$6:$B$505))</f>
        <v/>
      </c>
      <c r="E294">
        <f>IF(A294="","",IF(SUMPRODUCT((Ввод!$F$12:$F$31&lt;&gt;"")*(Ввод!$F$12:$F$31&lt;=A294)*(Ввод!$G$12:$G$31&gt;=A294))&gt;0,1,0))</f>
        <v/>
      </c>
      <c r="F294">
        <f>IF(OR(A294="",B294=""),"",IF(E294=1,0,D294*B294/100/C294))</f>
        <v/>
      </c>
      <c r="G294">
        <f>IF(A294="","",IF(OR(B294&lt;&gt;B293,C294&lt;&gt;C293,D294&lt;&gt;D293,E294&lt;&gt;E293),G293+1,G293))</f>
        <v/>
      </c>
    </row>
    <row r="295">
      <c r="A295" s="14">
        <f>IF(OR(NOT(ISNUMBER(Ввод!$B$5)),NOT(ISNUMBER(Ввод!$B$6))),"",IF(Ввод!$B$5+293&gt;Ввод!$B$6,"",Ввод!$B$5+293))</f>
        <v/>
      </c>
      <c r="B295">
        <f>IF(A295="","",IFERROR(INDEX(Ввод!$B$12:$B$71,MATCH(A295,Ввод!$D$12:$D$71,1)),""))</f>
        <v/>
      </c>
      <c r="C295">
        <f>IF(A295="","",DATE(YEAR(A295),12,31)-DATE(YEAR(A295),1,1)+1)</f>
        <v/>
      </c>
      <c r="D295">
        <f>IF(A295="","",Ввод!$B$4-SUMIF(Оплаты!$A$6:$A$505,"&lt;"&amp;A295,Оплаты!$B$6:$B$505))</f>
        <v/>
      </c>
      <c r="E295">
        <f>IF(A295="","",IF(SUMPRODUCT((Ввод!$F$12:$F$31&lt;&gt;"")*(Ввод!$F$12:$F$31&lt;=A295)*(Ввод!$G$12:$G$31&gt;=A295))&gt;0,1,0))</f>
        <v/>
      </c>
      <c r="F295">
        <f>IF(OR(A295="",B295=""),"",IF(E295=1,0,D295*B295/100/C295))</f>
        <v/>
      </c>
      <c r="G295">
        <f>IF(A295="","",IF(OR(B295&lt;&gt;B294,C295&lt;&gt;C294,D295&lt;&gt;D294,E295&lt;&gt;E294),G294+1,G294))</f>
        <v/>
      </c>
    </row>
    <row r="296">
      <c r="A296" s="14">
        <f>IF(OR(NOT(ISNUMBER(Ввод!$B$5)),NOT(ISNUMBER(Ввод!$B$6))),"",IF(Ввод!$B$5+294&gt;Ввод!$B$6,"",Ввод!$B$5+294))</f>
        <v/>
      </c>
      <c r="B296">
        <f>IF(A296="","",IFERROR(INDEX(Ввод!$B$12:$B$71,MATCH(A296,Ввод!$D$12:$D$71,1)),""))</f>
        <v/>
      </c>
      <c r="C296">
        <f>IF(A296="","",DATE(YEAR(A296),12,31)-DATE(YEAR(A296),1,1)+1)</f>
        <v/>
      </c>
      <c r="D296">
        <f>IF(A296="","",Ввод!$B$4-SUMIF(Оплаты!$A$6:$A$505,"&lt;"&amp;A296,Оплаты!$B$6:$B$505))</f>
        <v/>
      </c>
      <c r="E296">
        <f>IF(A296="","",IF(SUMPRODUCT((Ввод!$F$12:$F$31&lt;&gt;"")*(Ввод!$F$12:$F$31&lt;=A296)*(Ввод!$G$12:$G$31&gt;=A296))&gt;0,1,0))</f>
        <v/>
      </c>
      <c r="F296">
        <f>IF(OR(A296="",B296=""),"",IF(E296=1,0,D296*B296/100/C296))</f>
        <v/>
      </c>
      <c r="G296">
        <f>IF(A296="","",IF(OR(B296&lt;&gt;B295,C296&lt;&gt;C295,D296&lt;&gt;D295,E296&lt;&gt;E295),G295+1,G295))</f>
        <v/>
      </c>
    </row>
    <row r="297">
      <c r="A297" s="14">
        <f>IF(OR(NOT(ISNUMBER(Ввод!$B$5)),NOT(ISNUMBER(Ввод!$B$6))),"",IF(Ввод!$B$5+295&gt;Ввод!$B$6,"",Ввод!$B$5+295))</f>
        <v/>
      </c>
      <c r="B297">
        <f>IF(A297="","",IFERROR(INDEX(Ввод!$B$12:$B$71,MATCH(A297,Ввод!$D$12:$D$71,1)),""))</f>
        <v/>
      </c>
      <c r="C297">
        <f>IF(A297="","",DATE(YEAR(A297),12,31)-DATE(YEAR(A297),1,1)+1)</f>
        <v/>
      </c>
      <c r="D297">
        <f>IF(A297="","",Ввод!$B$4-SUMIF(Оплаты!$A$6:$A$505,"&lt;"&amp;A297,Оплаты!$B$6:$B$505))</f>
        <v/>
      </c>
      <c r="E297">
        <f>IF(A297="","",IF(SUMPRODUCT((Ввод!$F$12:$F$31&lt;&gt;"")*(Ввод!$F$12:$F$31&lt;=A297)*(Ввод!$G$12:$G$31&gt;=A297))&gt;0,1,0))</f>
        <v/>
      </c>
      <c r="F297">
        <f>IF(OR(A297="",B297=""),"",IF(E297=1,0,D297*B297/100/C297))</f>
        <v/>
      </c>
      <c r="G297">
        <f>IF(A297="","",IF(OR(B297&lt;&gt;B296,C297&lt;&gt;C296,D297&lt;&gt;D296,E297&lt;&gt;E296),G296+1,G296))</f>
        <v/>
      </c>
    </row>
    <row r="298">
      <c r="A298" s="14">
        <f>IF(OR(NOT(ISNUMBER(Ввод!$B$5)),NOT(ISNUMBER(Ввод!$B$6))),"",IF(Ввод!$B$5+296&gt;Ввод!$B$6,"",Ввод!$B$5+296))</f>
        <v/>
      </c>
      <c r="B298">
        <f>IF(A298="","",IFERROR(INDEX(Ввод!$B$12:$B$71,MATCH(A298,Ввод!$D$12:$D$71,1)),""))</f>
        <v/>
      </c>
      <c r="C298">
        <f>IF(A298="","",DATE(YEAR(A298),12,31)-DATE(YEAR(A298),1,1)+1)</f>
        <v/>
      </c>
      <c r="D298">
        <f>IF(A298="","",Ввод!$B$4-SUMIF(Оплаты!$A$6:$A$505,"&lt;"&amp;A298,Оплаты!$B$6:$B$505))</f>
        <v/>
      </c>
      <c r="E298">
        <f>IF(A298="","",IF(SUMPRODUCT((Ввод!$F$12:$F$31&lt;&gt;"")*(Ввод!$F$12:$F$31&lt;=A298)*(Ввод!$G$12:$G$31&gt;=A298))&gt;0,1,0))</f>
        <v/>
      </c>
      <c r="F298">
        <f>IF(OR(A298="",B298=""),"",IF(E298=1,0,D298*B298/100/C298))</f>
        <v/>
      </c>
      <c r="G298">
        <f>IF(A298="","",IF(OR(B298&lt;&gt;B297,C298&lt;&gt;C297,D298&lt;&gt;D297,E298&lt;&gt;E297),G297+1,G297))</f>
        <v/>
      </c>
    </row>
    <row r="299">
      <c r="A299" s="14">
        <f>IF(OR(NOT(ISNUMBER(Ввод!$B$5)),NOT(ISNUMBER(Ввод!$B$6))),"",IF(Ввод!$B$5+297&gt;Ввод!$B$6,"",Ввод!$B$5+297))</f>
        <v/>
      </c>
      <c r="B299">
        <f>IF(A299="","",IFERROR(INDEX(Ввод!$B$12:$B$71,MATCH(A299,Ввод!$D$12:$D$71,1)),""))</f>
        <v/>
      </c>
      <c r="C299">
        <f>IF(A299="","",DATE(YEAR(A299),12,31)-DATE(YEAR(A299),1,1)+1)</f>
        <v/>
      </c>
      <c r="D299">
        <f>IF(A299="","",Ввод!$B$4-SUMIF(Оплаты!$A$6:$A$505,"&lt;"&amp;A299,Оплаты!$B$6:$B$505))</f>
        <v/>
      </c>
      <c r="E299">
        <f>IF(A299="","",IF(SUMPRODUCT((Ввод!$F$12:$F$31&lt;&gt;"")*(Ввод!$F$12:$F$31&lt;=A299)*(Ввод!$G$12:$G$31&gt;=A299))&gt;0,1,0))</f>
        <v/>
      </c>
      <c r="F299">
        <f>IF(OR(A299="",B299=""),"",IF(E299=1,0,D299*B299/100/C299))</f>
        <v/>
      </c>
      <c r="G299">
        <f>IF(A299="","",IF(OR(B299&lt;&gt;B298,C299&lt;&gt;C298,D299&lt;&gt;D298,E299&lt;&gt;E298),G298+1,G298))</f>
        <v/>
      </c>
    </row>
    <row r="300">
      <c r="A300" s="14">
        <f>IF(OR(NOT(ISNUMBER(Ввод!$B$5)),NOT(ISNUMBER(Ввод!$B$6))),"",IF(Ввод!$B$5+298&gt;Ввод!$B$6,"",Ввод!$B$5+298))</f>
        <v/>
      </c>
      <c r="B300">
        <f>IF(A300="","",IFERROR(INDEX(Ввод!$B$12:$B$71,MATCH(A300,Ввод!$D$12:$D$71,1)),""))</f>
        <v/>
      </c>
      <c r="C300">
        <f>IF(A300="","",DATE(YEAR(A300),12,31)-DATE(YEAR(A300),1,1)+1)</f>
        <v/>
      </c>
      <c r="D300">
        <f>IF(A300="","",Ввод!$B$4-SUMIF(Оплаты!$A$6:$A$505,"&lt;"&amp;A300,Оплаты!$B$6:$B$505))</f>
        <v/>
      </c>
      <c r="E300">
        <f>IF(A300="","",IF(SUMPRODUCT((Ввод!$F$12:$F$31&lt;&gt;"")*(Ввод!$F$12:$F$31&lt;=A300)*(Ввод!$G$12:$G$31&gt;=A300))&gt;0,1,0))</f>
        <v/>
      </c>
      <c r="F300">
        <f>IF(OR(A300="",B300=""),"",IF(E300=1,0,D300*B300/100/C300))</f>
        <v/>
      </c>
      <c r="G300">
        <f>IF(A300="","",IF(OR(B300&lt;&gt;B299,C300&lt;&gt;C299,D300&lt;&gt;D299,E300&lt;&gt;E299),G299+1,G299))</f>
        <v/>
      </c>
    </row>
    <row r="301">
      <c r="A301" s="14">
        <f>IF(OR(NOT(ISNUMBER(Ввод!$B$5)),NOT(ISNUMBER(Ввод!$B$6))),"",IF(Ввод!$B$5+299&gt;Ввод!$B$6,"",Ввод!$B$5+299))</f>
        <v/>
      </c>
      <c r="B301">
        <f>IF(A301="","",IFERROR(INDEX(Ввод!$B$12:$B$71,MATCH(A301,Ввод!$D$12:$D$71,1)),""))</f>
        <v/>
      </c>
      <c r="C301">
        <f>IF(A301="","",DATE(YEAR(A301),12,31)-DATE(YEAR(A301),1,1)+1)</f>
        <v/>
      </c>
      <c r="D301">
        <f>IF(A301="","",Ввод!$B$4-SUMIF(Оплаты!$A$6:$A$505,"&lt;"&amp;A301,Оплаты!$B$6:$B$505))</f>
        <v/>
      </c>
      <c r="E301">
        <f>IF(A301="","",IF(SUMPRODUCT((Ввод!$F$12:$F$31&lt;&gt;"")*(Ввод!$F$12:$F$31&lt;=A301)*(Ввод!$G$12:$G$31&gt;=A301))&gt;0,1,0))</f>
        <v/>
      </c>
      <c r="F301">
        <f>IF(OR(A301="",B301=""),"",IF(E301=1,0,D301*B301/100/C301))</f>
        <v/>
      </c>
      <c r="G301">
        <f>IF(A301="","",IF(OR(B301&lt;&gt;B300,C301&lt;&gt;C300,D301&lt;&gt;D300,E301&lt;&gt;E300),G300+1,G300))</f>
        <v/>
      </c>
    </row>
    <row r="302">
      <c r="A302" s="14">
        <f>IF(OR(NOT(ISNUMBER(Ввод!$B$5)),NOT(ISNUMBER(Ввод!$B$6))),"",IF(Ввод!$B$5+300&gt;Ввод!$B$6,"",Ввод!$B$5+300))</f>
        <v/>
      </c>
      <c r="B302">
        <f>IF(A302="","",IFERROR(INDEX(Ввод!$B$12:$B$71,MATCH(A302,Ввод!$D$12:$D$71,1)),""))</f>
        <v/>
      </c>
      <c r="C302">
        <f>IF(A302="","",DATE(YEAR(A302),12,31)-DATE(YEAR(A302),1,1)+1)</f>
        <v/>
      </c>
      <c r="D302">
        <f>IF(A302="","",Ввод!$B$4-SUMIF(Оплаты!$A$6:$A$505,"&lt;"&amp;A302,Оплаты!$B$6:$B$505))</f>
        <v/>
      </c>
      <c r="E302">
        <f>IF(A302="","",IF(SUMPRODUCT((Ввод!$F$12:$F$31&lt;&gt;"")*(Ввод!$F$12:$F$31&lt;=A302)*(Ввод!$G$12:$G$31&gt;=A302))&gt;0,1,0))</f>
        <v/>
      </c>
      <c r="F302">
        <f>IF(OR(A302="",B302=""),"",IF(E302=1,0,D302*B302/100/C302))</f>
        <v/>
      </c>
      <c r="G302">
        <f>IF(A302="","",IF(OR(B302&lt;&gt;B301,C302&lt;&gt;C301,D302&lt;&gt;D301,E302&lt;&gt;E301),G301+1,G301))</f>
        <v/>
      </c>
    </row>
    <row r="303">
      <c r="A303" s="14">
        <f>IF(OR(NOT(ISNUMBER(Ввод!$B$5)),NOT(ISNUMBER(Ввод!$B$6))),"",IF(Ввод!$B$5+301&gt;Ввод!$B$6,"",Ввод!$B$5+301))</f>
        <v/>
      </c>
      <c r="B303">
        <f>IF(A303="","",IFERROR(INDEX(Ввод!$B$12:$B$71,MATCH(A303,Ввод!$D$12:$D$71,1)),""))</f>
        <v/>
      </c>
      <c r="C303">
        <f>IF(A303="","",DATE(YEAR(A303),12,31)-DATE(YEAR(A303),1,1)+1)</f>
        <v/>
      </c>
      <c r="D303">
        <f>IF(A303="","",Ввод!$B$4-SUMIF(Оплаты!$A$6:$A$505,"&lt;"&amp;A303,Оплаты!$B$6:$B$505))</f>
        <v/>
      </c>
      <c r="E303">
        <f>IF(A303="","",IF(SUMPRODUCT((Ввод!$F$12:$F$31&lt;&gt;"")*(Ввод!$F$12:$F$31&lt;=A303)*(Ввод!$G$12:$G$31&gt;=A303))&gt;0,1,0))</f>
        <v/>
      </c>
      <c r="F303">
        <f>IF(OR(A303="",B303=""),"",IF(E303=1,0,D303*B303/100/C303))</f>
        <v/>
      </c>
      <c r="G303">
        <f>IF(A303="","",IF(OR(B303&lt;&gt;B302,C303&lt;&gt;C302,D303&lt;&gt;D302,E303&lt;&gt;E302),G302+1,G302))</f>
        <v/>
      </c>
    </row>
    <row r="304">
      <c r="A304" s="14">
        <f>IF(OR(NOT(ISNUMBER(Ввод!$B$5)),NOT(ISNUMBER(Ввод!$B$6))),"",IF(Ввод!$B$5+302&gt;Ввод!$B$6,"",Ввод!$B$5+302))</f>
        <v/>
      </c>
      <c r="B304">
        <f>IF(A304="","",IFERROR(INDEX(Ввод!$B$12:$B$71,MATCH(A304,Ввод!$D$12:$D$71,1)),""))</f>
        <v/>
      </c>
      <c r="C304">
        <f>IF(A304="","",DATE(YEAR(A304),12,31)-DATE(YEAR(A304),1,1)+1)</f>
        <v/>
      </c>
      <c r="D304">
        <f>IF(A304="","",Ввод!$B$4-SUMIF(Оплаты!$A$6:$A$505,"&lt;"&amp;A304,Оплаты!$B$6:$B$505))</f>
        <v/>
      </c>
      <c r="E304">
        <f>IF(A304="","",IF(SUMPRODUCT((Ввод!$F$12:$F$31&lt;&gt;"")*(Ввод!$F$12:$F$31&lt;=A304)*(Ввод!$G$12:$G$31&gt;=A304))&gt;0,1,0))</f>
        <v/>
      </c>
      <c r="F304">
        <f>IF(OR(A304="",B304=""),"",IF(E304=1,0,D304*B304/100/C304))</f>
        <v/>
      </c>
      <c r="G304">
        <f>IF(A304="","",IF(OR(B304&lt;&gt;B303,C304&lt;&gt;C303,D304&lt;&gt;D303,E304&lt;&gt;E303),G303+1,G303))</f>
        <v/>
      </c>
    </row>
    <row r="305">
      <c r="A305" s="14">
        <f>IF(OR(NOT(ISNUMBER(Ввод!$B$5)),NOT(ISNUMBER(Ввод!$B$6))),"",IF(Ввод!$B$5+303&gt;Ввод!$B$6,"",Ввод!$B$5+303))</f>
        <v/>
      </c>
      <c r="B305">
        <f>IF(A305="","",IFERROR(INDEX(Ввод!$B$12:$B$71,MATCH(A305,Ввод!$D$12:$D$71,1)),""))</f>
        <v/>
      </c>
      <c r="C305">
        <f>IF(A305="","",DATE(YEAR(A305),12,31)-DATE(YEAR(A305),1,1)+1)</f>
        <v/>
      </c>
      <c r="D305">
        <f>IF(A305="","",Ввод!$B$4-SUMIF(Оплаты!$A$6:$A$505,"&lt;"&amp;A305,Оплаты!$B$6:$B$505))</f>
        <v/>
      </c>
      <c r="E305">
        <f>IF(A305="","",IF(SUMPRODUCT((Ввод!$F$12:$F$31&lt;&gt;"")*(Ввод!$F$12:$F$31&lt;=A305)*(Ввод!$G$12:$G$31&gt;=A305))&gt;0,1,0))</f>
        <v/>
      </c>
      <c r="F305">
        <f>IF(OR(A305="",B305=""),"",IF(E305=1,0,D305*B305/100/C305))</f>
        <v/>
      </c>
      <c r="G305">
        <f>IF(A305="","",IF(OR(B305&lt;&gt;B304,C305&lt;&gt;C304,D305&lt;&gt;D304,E305&lt;&gt;E304),G304+1,G304))</f>
        <v/>
      </c>
    </row>
    <row r="306">
      <c r="A306" s="14">
        <f>IF(OR(NOT(ISNUMBER(Ввод!$B$5)),NOT(ISNUMBER(Ввод!$B$6))),"",IF(Ввод!$B$5+304&gt;Ввод!$B$6,"",Ввод!$B$5+304))</f>
        <v/>
      </c>
      <c r="B306">
        <f>IF(A306="","",IFERROR(INDEX(Ввод!$B$12:$B$71,MATCH(A306,Ввод!$D$12:$D$71,1)),""))</f>
        <v/>
      </c>
      <c r="C306">
        <f>IF(A306="","",DATE(YEAR(A306),12,31)-DATE(YEAR(A306),1,1)+1)</f>
        <v/>
      </c>
      <c r="D306">
        <f>IF(A306="","",Ввод!$B$4-SUMIF(Оплаты!$A$6:$A$505,"&lt;"&amp;A306,Оплаты!$B$6:$B$505))</f>
        <v/>
      </c>
      <c r="E306">
        <f>IF(A306="","",IF(SUMPRODUCT((Ввод!$F$12:$F$31&lt;&gt;"")*(Ввод!$F$12:$F$31&lt;=A306)*(Ввод!$G$12:$G$31&gt;=A306))&gt;0,1,0))</f>
        <v/>
      </c>
      <c r="F306">
        <f>IF(OR(A306="",B306=""),"",IF(E306=1,0,D306*B306/100/C306))</f>
        <v/>
      </c>
      <c r="G306">
        <f>IF(A306="","",IF(OR(B306&lt;&gt;B305,C306&lt;&gt;C305,D306&lt;&gt;D305,E306&lt;&gt;E305),G305+1,G305))</f>
        <v/>
      </c>
    </row>
    <row r="307">
      <c r="A307" s="14">
        <f>IF(OR(NOT(ISNUMBER(Ввод!$B$5)),NOT(ISNUMBER(Ввод!$B$6))),"",IF(Ввод!$B$5+305&gt;Ввод!$B$6,"",Ввод!$B$5+305))</f>
        <v/>
      </c>
      <c r="B307">
        <f>IF(A307="","",IFERROR(INDEX(Ввод!$B$12:$B$71,MATCH(A307,Ввод!$D$12:$D$71,1)),""))</f>
        <v/>
      </c>
      <c r="C307">
        <f>IF(A307="","",DATE(YEAR(A307),12,31)-DATE(YEAR(A307),1,1)+1)</f>
        <v/>
      </c>
      <c r="D307">
        <f>IF(A307="","",Ввод!$B$4-SUMIF(Оплаты!$A$6:$A$505,"&lt;"&amp;A307,Оплаты!$B$6:$B$505))</f>
        <v/>
      </c>
      <c r="E307">
        <f>IF(A307="","",IF(SUMPRODUCT((Ввод!$F$12:$F$31&lt;&gt;"")*(Ввод!$F$12:$F$31&lt;=A307)*(Ввод!$G$12:$G$31&gt;=A307))&gt;0,1,0))</f>
        <v/>
      </c>
      <c r="F307">
        <f>IF(OR(A307="",B307=""),"",IF(E307=1,0,D307*B307/100/C307))</f>
        <v/>
      </c>
      <c r="G307">
        <f>IF(A307="","",IF(OR(B307&lt;&gt;B306,C307&lt;&gt;C306,D307&lt;&gt;D306,E307&lt;&gt;E306),G306+1,G306))</f>
        <v/>
      </c>
    </row>
    <row r="308">
      <c r="A308" s="14">
        <f>IF(OR(NOT(ISNUMBER(Ввод!$B$5)),NOT(ISNUMBER(Ввод!$B$6))),"",IF(Ввод!$B$5+306&gt;Ввод!$B$6,"",Ввод!$B$5+306))</f>
        <v/>
      </c>
      <c r="B308">
        <f>IF(A308="","",IFERROR(INDEX(Ввод!$B$12:$B$71,MATCH(A308,Ввод!$D$12:$D$71,1)),""))</f>
        <v/>
      </c>
      <c r="C308">
        <f>IF(A308="","",DATE(YEAR(A308),12,31)-DATE(YEAR(A308),1,1)+1)</f>
        <v/>
      </c>
      <c r="D308">
        <f>IF(A308="","",Ввод!$B$4-SUMIF(Оплаты!$A$6:$A$505,"&lt;"&amp;A308,Оплаты!$B$6:$B$505))</f>
        <v/>
      </c>
      <c r="E308">
        <f>IF(A308="","",IF(SUMPRODUCT((Ввод!$F$12:$F$31&lt;&gt;"")*(Ввод!$F$12:$F$31&lt;=A308)*(Ввод!$G$12:$G$31&gt;=A308))&gt;0,1,0))</f>
        <v/>
      </c>
      <c r="F308">
        <f>IF(OR(A308="",B308=""),"",IF(E308=1,0,D308*B308/100/C308))</f>
        <v/>
      </c>
      <c r="G308">
        <f>IF(A308="","",IF(OR(B308&lt;&gt;B307,C308&lt;&gt;C307,D308&lt;&gt;D307,E308&lt;&gt;E307),G307+1,G307))</f>
        <v/>
      </c>
    </row>
    <row r="309">
      <c r="A309" s="14">
        <f>IF(OR(NOT(ISNUMBER(Ввод!$B$5)),NOT(ISNUMBER(Ввод!$B$6))),"",IF(Ввод!$B$5+307&gt;Ввод!$B$6,"",Ввод!$B$5+307))</f>
        <v/>
      </c>
      <c r="B309">
        <f>IF(A309="","",IFERROR(INDEX(Ввод!$B$12:$B$71,MATCH(A309,Ввод!$D$12:$D$71,1)),""))</f>
        <v/>
      </c>
      <c r="C309">
        <f>IF(A309="","",DATE(YEAR(A309),12,31)-DATE(YEAR(A309),1,1)+1)</f>
        <v/>
      </c>
      <c r="D309">
        <f>IF(A309="","",Ввод!$B$4-SUMIF(Оплаты!$A$6:$A$505,"&lt;"&amp;A309,Оплаты!$B$6:$B$505))</f>
        <v/>
      </c>
      <c r="E309">
        <f>IF(A309="","",IF(SUMPRODUCT((Ввод!$F$12:$F$31&lt;&gt;"")*(Ввод!$F$12:$F$31&lt;=A309)*(Ввод!$G$12:$G$31&gt;=A309))&gt;0,1,0))</f>
        <v/>
      </c>
      <c r="F309">
        <f>IF(OR(A309="",B309=""),"",IF(E309=1,0,D309*B309/100/C309))</f>
        <v/>
      </c>
      <c r="G309">
        <f>IF(A309="","",IF(OR(B309&lt;&gt;B308,C309&lt;&gt;C308,D309&lt;&gt;D308,E309&lt;&gt;E308),G308+1,G308))</f>
        <v/>
      </c>
    </row>
    <row r="310">
      <c r="A310" s="14">
        <f>IF(OR(NOT(ISNUMBER(Ввод!$B$5)),NOT(ISNUMBER(Ввод!$B$6))),"",IF(Ввод!$B$5+308&gt;Ввод!$B$6,"",Ввод!$B$5+308))</f>
        <v/>
      </c>
      <c r="B310">
        <f>IF(A310="","",IFERROR(INDEX(Ввод!$B$12:$B$71,MATCH(A310,Ввод!$D$12:$D$71,1)),""))</f>
        <v/>
      </c>
      <c r="C310">
        <f>IF(A310="","",DATE(YEAR(A310),12,31)-DATE(YEAR(A310),1,1)+1)</f>
        <v/>
      </c>
      <c r="D310">
        <f>IF(A310="","",Ввод!$B$4-SUMIF(Оплаты!$A$6:$A$505,"&lt;"&amp;A310,Оплаты!$B$6:$B$505))</f>
        <v/>
      </c>
      <c r="E310">
        <f>IF(A310="","",IF(SUMPRODUCT((Ввод!$F$12:$F$31&lt;&gt;"")*(Ввод!$F$12:$F$31&lt;=A310)*(Ввод!$G$12:$G$31&gt;=A310))&gt;0,1,0))</f>
        <v/>
      </c>
      <c r="F310">
        <f>IF(OR(A310="",B310=""),"",IF(E310=1,0,D310*B310/100/C310))</f>
        <v/>
      </c>
      <c r="G310">
        <f>IF(A310="","",IF(OR(B310&lt;&gt;B309,C310&lt;&gt;C309,D310&lt;&gt;D309,E310&lt;&gt;E309),G309+1,G309))</f>
        <v/>
      </c>
    </row>
    <row r="311">
      <c r="A311" s="14">
        <f>IF(OR(NOT(ISNUMBER(Ввод!$B$5)),NOT(ISNUMBER(Ввод!$B$6))),"",IF(Ввод!$B$5+309&gt;Ввод!$B$6,"",Ввод!$B$5+309))</f>
        <v/>
      </c>
      <c r="B311">
        <f>IF(A311="","",IFERROR(INDEX(Ввод!$B$12:$B$71,MATCH(A311,Ввод!$D$12:$D$71,1)),""))</f>
        <v/>
      </c>
      <c r="C311">
        <f>IF(A311="","",DATE(YEAR(A311),12,31)-DATE(YEAR(A311),1,1)+1)</f>
        <v/>
      </c>
      <c r="D311">
        <f>IF(A311="","",Ввод!$B$4-SUMIF(Оплаты!$A$6:$A$505,"&lt;"&amp;A311,Оплаты!$B$6:$B$505))</f>
        <v/>
      </c>
      <c r="E311">
        <f>IF(A311="","",IF(SUMPRODUCT((Ввод!$F$12:$F$31&lt;&gt;"")*(Ввод!$F$12:$F$31&lt;=A311)*(Ввод!$G$12:$G$31&gt;=A311))&gt;0,1,0))</f>
        <v/>
      </c>
      <c r="F311">
        <f>IF(OR(A311="",B311=""),"",IF(E311=1,0,D311*B311/100/C311))</f>
        <v/>
      </c>
      <c r="G311">
        <f>IF(A311="","",IF(OR(B311&lt;&gt;B310,C311&lt;&gt;C310,D311&lt;&gt;D310,E311&lt;&gt;E310),G310+1,G310))</f>
        <v/>
      </c>
    </row>
    <row r="312">
      <c r="A312" s="14">
        <f>IF(OR(NOT(ISNUMBER(Ввод!$B$5)),NOT(ISNUMBER(Ввод!$B$6))),"",IF(Ввод!$B$5+310&gt;Ввод!$B$6,"",Ввод!$B$5+310))</f>
        <v/>
      </c>
      <c r="B312">
        <f>IF(A312="","",IFERROR(INDEX(Ввод!$B$12:$B$71,MATCH(A312,Ввод!$D$12:$D$71,1)),""))</f>
        <v/>
      </c>
      <c r="C312">
        <f>IF(A312="","",DATE(YEAR(A312),12,31)-DATE(YEAR(A312),1,1)+1)</f>
        <v/>
      </c>
      <c r="D312">
        <f>IF(A312="","",Ввод!$B$4-SUMIF(Оплаты!$A$6:$A$505,"&lt;"&amp;A312,Оплаты!$B$6:$B$505))</f>
        <v/>
      </c>
      <c r="E312">
        <f>IF(A312="","",IF(SUMPRODUCT((Ввод!$F$12:$F$31&lt;&gt;"")*(Ввод!$F$12:$F$31&lt;=A312)*(Ввод!$G$12:$G$31&gt;=A312))&gt;0,1,0))</f>
        <v/>
      </c>
      <c r="F312">
        <f>IF(OR(A312="",B312=""),"",IF(E312=1,0,D312*B312/100/C312))</f>
        <v/>
      </c>
      <c r="G312">
        <f>IF(A312="","",IF(OR(B312&lt;&gt;B311,C312&lt;&gt;C311,D312&lt;&gt;D311,E312&lt;&gt;E311),G311+1,G311))</f>
        <v/>
      </c>
    </row>
    <row r="313">
      <c r="A313" s="14">
        <f>IF(OR(NOT(ISNUMBER(Ввод!$B$5)),NOT(ISNUMBER(Ввод!$B$6))),"",IF(Ввод!$B$5+311&gt;Ввод!$B$6,"",Ввод!$B$5+311))</f>
        <v/>
      </c>
      <c r="B313">
        <f>IF(A313="","",IFERROR(INDEX(Ввод!$B$12:$B$71,MATCH(A313,Ввод!$D$12:$D$71,1)),""))</f>
        <v/>
      </c>
      <c r="C313">
        <f>IF(A313="","",DATE(YEAR(A313),12,31)-DATE(YEAR(A313),1,1)+1)</f>
        <v/>
      </c>
      <c r="D313">
        <f>IF(A313="","",Ввод!$B$4-SUMIF(Оплаты!$A$6:$A$505,"&lt;"&amp;A313,Оплаты!$B$6:$B$505))</f>
        <v/>
      </c>
      <c r="E313">
        <f>IF(A313="","",IF(SUMPRODUCT((Ввод!$F$12:$F$31&lt;&gt;"")*(Ввод!$F$12:$F$31&lt;=A313)*(Ввод!$G$12:$G$31&gt;=A313))&gt;0,1,0))</f>
        <v/>
      </c>
      <c r="F313">
        <f>IF(OR(A313="",B313=""),"",IF(E313=1,0,D313*B313/100/C313))</f>
        <v/>
      </c>
      <c r="G313">
        <f>IF(A313="","",IF(OR(B313&lt;&gt;B312,C313&lt;&gt;C312,D313&lt;&gt;D312,E313&lt;&gt;E312),G312+1,G312))</f>
        <v/>
      </c>
    </row>
    <row r="314">
      <c r="A314" s="14">
        <f>IF(OR(NOT(ISNUMBER(Ввод!$B$5)),NOT(ISNUMBER(Ввод!$B$6))),"",IF(Ввод!$B$5+312&gt;Ввод!$B$6,"",Ввод!$B$5+312))</f>
        <v/>
      </c>
      <c r="B314">
        <f>IF(A314="","",IFERROR(INDEX(Ввод!$B$12:$B$71,MATCH(A314,Ввод!$D$12:$D$71,1)),""))</f>
        <v/>
      </c>
      <c r="C314">
        <f>IF(A314="","",DATE(YEAR(A314),12,31)-DATE(YEAR(A314),1,1)+1)</f>
        <v/>
      </c>
      <c r="D314">
        <f>IF(A314="","",Ввод!$B$4-SUMIF(Оплаты!$A$6:$A$505,"&lt;"&amp;A314,Оплаты!$B$6:$B$505))</f>
        <v/>
      </c>
      <c r="E314">
        <f>IF(A314="","",IF(SUMPRODUCT((Ввод!$F$12:$F$31&lt;&gt;"")*(Ввод!$F$12:$F$31&lt;=A314)*(Ввод!$G$12:$G$31&gt;=A314))&gt;0,1,0))</f>
        <v/>
      </c>
      <c r="F314">
        <f>IF(OR(A314="",B314=""),"",IF(E314=1,0,D314*B314/100/C314))</f>
        <v/>
      </c>
      <c r="G314">
        <f>IF(A314="","",IF(OR(B314&lt;&gt;B313,C314&lt;&gt;C313,D314&lt;&gt;D313,E314&lt;&gt;E313),G313+1,G313))</f>
        <v/>
      </c>
    </row>
    <row r="315">
      <c r="A315" s="14">
        <f>IF(OR(NOT(ISNUMBER(Ввод!$B$5)),NOT(ISNUMBER(Ввод!$B$6))),"",IF(Ввод!$B$5+313&gt;Ввод!$B$6,"",Ввод!$B$5+313))</f>
        <v/>
      </c>
      <c r="B315">
        <f>IF(A315="","",IFERROR(INDEX(Ввод!$B$12:$B$71,MATCH(A315,Ввод!$D$12:$D$71,1)),""))</f>
        <v/>
      </c>
      <c r="C315">
        <f>IF(A315="","",DATE(YEAR(A315),12,31)-DATE(YEAR(A315),1,1)+1)</f>
        <v/>
      </c>
      <c r="D315">
        <f>IF(A315="","",Ввод!$B$4-SUMIF(Оплаты!$A$6:$A$505,"&lt;"&amp;A315,Оплаты!$B$6:$B$505))</f>
        <v/>
      </c>
      <c r="E315">
        <f>IF(A315="","",IF(SUMPRODUCT((Ввод!$F$12:$F$31&lt;&gt;"")*(Ввод!$F$12:$F$31&lt;=A315)*(Ввод!$G$12:$G$31&gt;=A315))&gt;0,1,0))</f>
        <v/>
      </c>
      <c r="F315">
        <f>IF(OR(A315="",B315=""),"",IF(E315=1,0,D315*B315/100/C315))</f>
        <v/>
      </c>
      <c r="G315">
        <f>IF(A315="","",IF(OR(B315&lt;&gt;B314,C315&lt;&gt;C314,D315&lt;&gt;D314,E315&lt;&gt;E314),G314+1,G314))</f>
        <v/>
      </c>
    </row>
    <row r="316">
      <c r="A316" s="14">
        <f>IF(OR(NOT(ISNUMBER(Ввод!$B$5)),NOT(ISNUMBER(Ввод!$B$6))),"",IF(Ввод!$B$5+314&gt;Ввод!$B$6,"",Ввод!$B$5+314))</f>
        <v/>
      </c>
      <c r="B316">
        <f>IF(A316="","",IFERROR(INDEX(Ввод!$B$12:$B$71,MATCH(A316,Ввод!$D$12:$D$71,1)),""))</f>
        <v/>
      </c>
      <c r="C316">
        <f>IF(A316="","",DATE(YEAR(A316),12,31)-DATE(YEAR(A316),1,1)+1)</f>
        <v/>
      </c>
      <c r="D316">
        <f>IF(A316="","",Ввод!$B$4-SUMIF(Оплаты!$A$6:$A$505,"&lt;"&amp;A316,Оплаты!$B$6:$B$505))</f>
        <v/>
      </c>
      <c r="E316">
        <f>IF(A316="","",IF(SUMPRODUCT((Ввод!$F$12:$F$31&lt;&gt;"")*(Ввод!$F$12:$F$31&lt;=A316)*(Ввод!$G$12:$G$31&gt;=A316))&gt;0,1,0))</f>
        <v/>
      </c>
      <c r="F316">
        <f>IF(OR(A316="",B316=""),"",IF(E316=1,0,D316*B316/100/C316))</f>
        <v/>
      </c>
      <c r="G316">
        <f>IF(A316="","",IF(OR(B316&lt;&gt;B315,C316&lt;&gt;C315,D316&lt;&gt;D315,E316&lt;&gt;E315),G315+1,G315))</f>
        <v/>
      </c>
    </row>
    <row r="317">
      <c r="A317" s="14">
        <f>IF(OR(NOT(ISNUMBER(Ввод!$B$5)),NOT(ISNUMBER(Ввод!$B$6))),"",IF(Ввод!$B$5+315&gt;Ввод!$B$6,"",Ввод!$B$5+315))</f>
        <v/>
      </c>
      <c r="B317">
        <f>IF(A317="","",IFERROR(INDEX(Ввод!$B$12:$B$71,MATCH(A317,Ввод!$D$12:$D$71,1)),""))</f>
        <v/>
      </c>
      <c r="C317">
        <f>IF(A317="","",DATE(YEAR(A317),12,31)-DATE(YEAR(A317),1,1)+1)</f>
        <v/>
      </c>
      <c r="D317">
        <f>IF(A317="","",Ввод!$B$4-SUMIF(Оплаты!$A$6:$A$505,"&lt;"&amp;A317,Оплаты!$B$6:$B$505))</f>
        <v/>
      </c>
      <c r="E317">
        <f>IF(A317="","",IF(SUMPRODUCT((Ввод!$F$12:$F$31&lt;&gt;"")*(Ввод!$F$12:$F$31&lt;=A317)*(Ввод!$G$12:$G$31&gt;=A317))&gt;0,1,0))</f>
        <v/>
      </c>
      <c r="F317">
        <f>IF(OR(A317="",B317=""),"",IF(E317=1,0,D317*B317/100/C317))</f>
        <v/>
      </c>
      <c r="G317">
        <f>IF(A317="","",IF(OR(B317&lt;&gt;B316,C317&lt;&gt;C316,D317&lt;&gt;D316,E317&lt;&gt;E316),G316+1,G316))</f>
        <v/>
      </c>
    </row>
    <row r="318">
      <c r="A318" s="14">
        <f>IF(OR(NOT(ISNUMBER(Ввод!$B$5)),NOT(ISNUMBER(Ввод!$B$6))),"",IF(Ввод!$B$5+316&gt;Ввод!$B$6,"",Ввод!$B$5+316))</f>
        <v/>
      </c>
      <c r="B318">
        <f>IF(A318="","",IFERROR(INDEX(Ввод!$B$12:$B$71,MATCH(A318,Ввод!$D$12:$D$71,1)),""))</f>
        <v/>
      </c>
      <c r="C318">
        <f>IF(A318="","",DATE(YEAR(A318),12,31)-DATE(YEAR(A318),1,1)+1)</f>
        <v/>
      </c>
      <c r="D318">
        <f>IF(A318="","",Ввод!$B$4-SUMIF(Оплаты!$A$6:$A$505,"&lt;"&amp;A318,Оплаты!$B$6:$B$505))</f>
        <v/>
      </c>
      <c r="E318">
        <f>IF(A318="","",IF(SUMPRODUCT((Ввод!$F$12:$F$31&lt;&gt;"")*(Ввод!$F$12:$F$31&lt;=A318)*(Ввод!$G$12:$G$31&gt;=A318))&gt;0,1,0))</f>
        <v/>
      </c>
      <c r="F318">
        <f>IF(OR(A318="",B318=""),"",IF(E318=1,0,D318*B318/100/C318))</f>
        <v/>
      </c>
      <c r="G318">
        <f>IF(A318="","",IF(OR(B318&lt;&gt;B317,C318&lt;&gt;C317,D318&lt;&gt;D317,E318&lt;&gt;E317),G317+1,G317))</f>
        <v/>
      </c>
    </row>
    <row r="319">
      <c r="A319" s="14">
        <f>IF(OR(NOT(ISNUMBER(Ввод!$B$5)),NOT(ISNUMBER(Ввод!$B$6))),"",IF(Ввод!$B$5+317&gt;Ввод!$B$6,"",Ввод!$B$5+317))</f>
        <v/>
      </c>
      <c r="B319">
        <f>IF(A319="","",IFERROR(INDEX(Ввод!$B$12:$B$71,MATCH(A319,Ввод!$D$12:$D$71,1)),""))</f>
        <v/>
      </c>
      <c r="C319">
        <f>IF(A319="","",DATE(YEAR(A319),12,31)-DATE(YEAR(A319),1,1)+1)</f>
        <v/>
      </c>
      <c r="D319">
        <f>IF(A319="","",Ввод!$B$4-SUMIF(Оплаты!$A$6:$A$505,"&lt;"&amp;A319,Оплаты!$B$6:$B$505))</f>
        <v/>
      </c>
      <c r="E319">
        <f>IF(A319="","",IF(SUMPRODUCT((Ввод!$F$12:$F$31&lt;&gt;"")*(Ввод!$F$12:$F$31&lt;=A319)*(Ввод!$G$12:$G$31&gt;=A319))&gt;0,1,0))</f>
        <v/>
      </c>
      <c r="F319">
        <f>IF(OR(A319="",B319=""),"",IF(E319=1,0,D319*B319/100/C319))</f>
        <v/>
      </c>
      <c r="G319">
        <f>IF(A319="","",IF(OR(B319&lt;&gt;B318,C319&lt;&gt;C318,D319&lt;&gt;D318,E319&lt;&gt;E318),G318+1,G318))</f>
        <v/>
      </c>
    </row>
    <row r="320">
      <c r="A320" s="14">
        <f>IF(OR(NOT(ISNUMBER(Ввод!$B$5)),NOT(ISNUMBER(Ввод!$B$6))),"",IF(Ввод!$B$5+318&gt;Ввод!$B$6,"",Ввод!$B$5+318))</f>
        <v/>
      </c>
      <c r="B320">
        <f>IF(A320="","",IFERROR(INDEX(Ввод!$B$12:$B$71,MATCH(A320,Ввод!$D$12:$D$71,1)),""))</f>
        <v/>
      </c>
      <c r="C320">
        <f>IF(A320="","",DATE(YEAR(A320),12,31)-DATE(YEAR(A320),1,1)+1)</f>
        <v/>
      </c>
      <c r="D320">
        <f>IF(A320="","",Ввод!$B$4-SUMIF(Оплаты!$A$6:$A$505,"&lt;"&amp;A320,Оплаты!$B$6:$B$505))</f>
        <v/>
      </c>
      <c r="E320">
        <f>IF(A320="","",IF(SUMPRODUCT((Ввод!$F$12:$F$31&lt;&gt;"")*(Ввод!$F$12:$F$31&lt;=A320)*(Ввод!$G$12:$G$31&gt;=A320))&gt;0,1,0))</f>
        <v/>
      </c>
      <c r="F320">
        <f>IF(OR(A320="",B320=""),"",IF(E320=1,0,D320*B320/100/C320))</f>
        <v/>
      </c>
      <c r="G320">
        <f>IF(A320="","",IF(OR(B320&lt;&gt;B319,C320&lt;&gt;C319,D320&lt;&gt;D319,E320&lt;&gt;E319),G319+1,G319))</f>
        <v/>
      </c>
    </row>
    <row r="321">
      <c r="A321" s="14">
        <f>IF(OR(NOT(ISNUMBER(Ввод!$B$5)),NOT(ISNUMBER(Ввод!$B$6))),"",IF(Ввод!$B$5+319&gt;Ввод!$B$6,"",Ввод!$B$5+319))</f>
        <v/>
      </c>
      <c r="B321">
        <f>IF(A321="","",IFERROR(INDEX(Ввод!$B$12:$B$71,MATCH(A321,Ввод!$D$12:$D$71,1)),""))</f>
        <v/>
      </c>
      <c r="C321">
        <f>IF(A321="","",DATE(YEAR(A321),12,31)-DATE(YEAR(A321),1,1)+1)</f>
        <v/>
      </c>
      <c r="D321">
        <f>IF(A321="","",Ввод!$B$4-SUMIF(Оплаты!$A$6:$A$505,"&lt;"&amp;A321,Оплаты!$B$6:$B$505))</f>
        <v/>
      </c>
      <c r="E321">
        <f>IF(A321="","",IF(SUMPRODUCT((Ввод!$F$12:$F$31&lt;&gt;"")*(Ввод!$F$12:$F$31&lt;=A321)*(Ввод!$G$12:$G$31&gt;=A321))&gt;0,1,0))</f>
        <v/>
      </c>
      <c r="F321">
        <f>IF(OR(A321="",B321=""),"",IF(E321=1,0,D321*B321/100/C321))</f>
        <v/>
      </c>
      <c r="G321">
        <f>IF(A321="","",IF(OR(B321&lt;&gt;B320,C321&lt;&gt;C320,D321&lt;&gt;D320,E321&lt;&gt;E320),G320+1,G320))</f>
        <v/>
      </c>
    </row>
    <row r="322">
      <c r="A322" s="14">
        <f>IF(OR(NOT(ISNUMBER(Ввод!$B$5)),NOT(ISNUMBER(Ввод!$B$6))),"",IF(Ввод!$B$5+320&gt;Ввод!$B$6,"",Ввод!$B$5+320))</f>
        <v/>
      </c>
      <c r="B322">
        <f>IF(A322="","",IFERROR(INDEX(Ввод!$B$12:$B$71,MATCH(A322,Ввод!$D$12:$D$71,1)),""))</f>
        <v/>
      </c>
      <c r="C322">
        <f>IF(A322="","",DATE(YEAR(A322),12,31)-DATE(YEAR(A322),1,1)+1)</f>
        <v/>
      </c>
      <c r="D322">
        <f>IF(A322="","",Ввод!$B$4-SUMIF(Оплаты!$A$6:$A$505,"&lt;"&amp;A322,Оплаты!$B$6:$B$505))</f>
        <v/>
      </c>
      <c r="E322">
        <f>IF(A322="","",IF(SUMPRODUCT((Ввод!$F$12:$F$31&lt;&gt;"")*(Ввод!$F$12:$F$31&lt;=A322)*(Ввод!$G$12:$G$31&gt;=A322))&gt;0,1,0))</f>
        <v/>
      </c>
      <c r="F322">
        <f>IF(OR(A322="",B322=""),"",IF(E322=1,0,D322*B322/100/C322))</f>
        <v/>
      </c>
      <c r="G322">
        <f>IF(A322="","",IF(OR(B322&lt;&gt;B321,C322&lt;&gt;C321,D322&lt;&gt;D321,E322&lt;&gt;E321),G321+1,G321))</f>
        <v/>
      </c>
    </row>
    <row r="323">
      <c r="A323" s="14">
        <f>IF(OR(NOT(ISNUMBER(Ввод!$B$5)),NOT(ISNUMBER(Ввод!$B$6))),"",IF(Ввод!$B$5+321&gt;Ввод!$B$6,"",Ввод!$B$5+321))</f>
        <v/>
      </c>
      <c r="B323">
        <f>IF(A323="","",IFERROR(INDEX(Ввод!$B$12:$B$71,MATCH(A323,Ввод!$D$12:$D$71,1)),""))</f>
        <v/>
      </c>
      <c r="C323">
        <f>IF(A323="","",DATE(YEAR(A323),12,31)-DATE(YEAR(A323),1,1)+1)</f>
        <v/>
      </c>
      <c r="D323">
        <f>IF(A323="","",Ввод!$B$4-SUMIF(Оплаты!$A$6:$A$505,"&lt;"&amp;A323,Оплаты!$B$6:$B$505))</f>
        <v/>
      </c>
      <c r="E323">
        <f>IF(A323="","",IF(SUMPRODUCT((Ввод!$F$12:$F$31&lt;&gt;"")*(Ввод!$F$12:$F$31&lt;=A323)*(Ввод!$G$12:$G$31&gt;=A323))&gt;0,1,0))</f>
        <v/>
      </c>
      <c r="F323">
        <f>IF(OR(A323="",B323=""),"",IF(E323=1,0,D323*B323/100/C323))</f>
        <v/>
      </c>
      <c r="G323">
        <f>IF(A323="","",IF(OR(B323&lt;&gt;B322,C323&lt;&gt;C322,D323&lt;&gt;D322,E323&lt;&gt;E322),G322+1,G322))</f>
        <v/>
      </c>
    </row>
    <row r="324">
      <c r="A324" s="14">
        <f>IF(OR(NOT(ISNUMBER(Ввод!$B$5)),NOT(ISNUMBER(Ввод!$B$6))),"",IF(Ввод!$B$5+322&gt;Ввод!$B$6,"",Ввод!$B$5+322))</f>
        <v/>
      </c>
      <c r="B324">
        <f>IF(A324="","",IFERROR(INDEX(Ввод!$B$12:$B$71,MATCH(A324,Ввод!$D$12:$D$71,1)),""))</f>
        <v/>
      </c>
      <c r="C324">
        <f>IF(A324="","",DATE(YEAR(A324),12,31)-DATE(YEAR(A324),1,1)+1)</f>
        <v/>
      </c>
      <c r="D324">
        <f>IF(A324="","",Ввод!$B$4-SUMIF(Оплаты!$A$6:$A$505,"&lt;"&amp;A324,Оплаты!$B$6:$B$505))</f>
        <v/>
      </c>
      <c r="E324">
        <f>IF(A324="","",IF(SUMPRODUCT((Ввод!$F$12:$F$31&lt;&gt;"")*(Ввод!$F$12:$F$31&lt;=A324)*(Ввод!$G$12:$G$31&gt;=A324))&gt;0,1,0))</f>
        <v/>
      </c>
      <c r="F324">
        <f>IF(OR(A324="",B324=""),"",IF(E324=1,0,D324*B324/100/C324))</f>
        <v/>
      </c>
      <c r="G324">
        <f>IF(A324="","",IF(OR(B324&lt;&gt;B323,C324&lt;&gt;C323,D324&lt;&gt;D323,E324&lt;&gt;E323),G323+1,G323))</f>
        <v/>
      </c>
    </row>
    <row r="325">
      <c r="A325" s="14">
        <f>IF(OR(NOT(ISNUMBER(Ввод!$B$5)),NOT(ISNUMBER(Ввод!$B$6))),"",IF(Ввод!$B$5+323&gt;Ввод!$B$6,"",Ввод!$B$5+323))</f>
        <v/>
      </c>
      <c r="B325">
        <f>IF(A325="","",IFERROR(INDEX(Ввод!$B$12:$B$71,MATCH(A325,Ввод!$D$12:$D$71,1)),""))</f>
        <v/>
      </c>
      <c r="C325">
        <f>IF(A325="","",DATE(YEAR(A325),12,31)-DATE(YEAR(A325),1,1)+1)</f>
        <v/>
      </c>
      <c r="D325">
        <f>IF(A325="","",Ввод!$B$4-SUMIF(Оплаты!$A$6:$A$505,"&lt;"&amp;A325,Оплаты!$B$6:$B$505))</f>
        <v/>
      </c>
      <c r="E325">
        <f>IF(A325="","",IF(SUMPRODUCT((Ввод!$F$12:$F$31&lt;&gt;"")*(Ввод!$F$12:$F$31&lt;=A325)*(Ввод!$G$12:$G$31&gt;=A325))&gt;0,1,0))</f>
        <v/>
      </c>
      <c r="F325">
        <f>IF(OR(A325="",B325=""),"",IF(E325=1,0,D325*B325/100/C325))</f>
        <v/>
      </c>
      <c r="G325">
        <f>IF(A325="","",IF(OR(B325&lt;&gt;B324,C325&lt;&gt;C324,D325&lt;&gt;D324,E325&lt;&gt;E324),G324+1,G324))</f>
        <v/>
      </c>
    </row>
    <row r="326">
      <c r="A326" s="14">
        <f>IF(OR(NOT(ISNUMBER(Ввод!$B$5)),NOT(ISNUMBER(Ввод!$B$6))),"",IF(Ввод!$B$5+324&gt;Ввод!$B$6,"",Ввод!$B$5+324))</f>
        <v/>
      </c>
      <c r="B326">
        <f>IF(A326="","",IFERROR(INDEX(Ввод!$B$12:$B$71,MATCH(A326,Ввод!$D$12:$D$71,1)),""))</f>
        <v/>
      </c>
      <c r="C326">
        <f>IF(A326="","",DATE(YEAR(A326),12,31)-DATE(YEAR(A326),1,1)+1)</f>
        <v/>
      </c>
      <c r="D326">
        <f>IF(A326="","",Ввод!$B$4-SUMIF(Оплаты!$A$6:$A$505,"&lt;"&amp;A326,Оплаты!$B$6:$B$505))</f>
        <v/>
      </c>
      <c r="E326">
        <f>IF(A326="","",IF(SUMPRODUCT((Ввод!$F$12:$F$31&lt;&gt;"")*(Ввод!$F$12:$F$31&lt;=A326)*(Ввод!$G$12:$G$31&gt;=A326))&gt;0,1,0))</f>
        <v/>
      </c>
      <c r="F326">
        <f>IF(OR(A326="",B326=""),"",IF(E326=1,0,D326*B326/100/C326))</f>
        <v/>
      </c>
      <c r="G326">
        <f>IF(A326="","",IF(OR(B326&lt;&gt;B325,C326&lt;&gt;C325,D326&lt;&gt;D325,E326&lt;&gt;E325),G325+1,G325))</f>
        <v/>
      </c>
    </row>
    <row r="327">
      <c r="A327" s="14">
        <f>IF(OR(NOT(ISNUMBER(Ввод!$B$5)),NOT(ISNUMBER(Ввод!$B$6))),"",IF(Ввод!$B$5+325&gt;Ввод!$B$6,"",Ввод!$B$5+325))</f>
        <v/>
      </c>
      <c r="B327">
        <f>IF(A327="","",IFERROR(INDEX(Ввод!$B$12:$B$71,MATCH(A327,Ввод!$D$12:$D$71,1)),""))</f>
        <v/>
      </c>
      <c r="C327">
        <f>IF(A327="","",DATE(YEAR(A327),12,31)-DATE(YEAR(A327),1,1)+1)</f>
        <v/>
      </c>
      <c r="D327">
        <f>IF(A327="","",Ввод!$B$4-SUMIF(Оплаты!$A$6:$A$505,"&lt;"&amp;A327,Оплаты!$B$6:$B$505))</f>
        <v/>
      </c>
      <c r="E327">
        <f>IF(A327="","",IF(SUMPRODUCT((Ввод!$F$12:$F$31&lt;&gt;"")*(Ввод!$F$12:$F$31&lt;=A327)*(Ввод!$G$12:$G$31&gt;=A327))&gt;0,1,0))</f>
        <v/>
      </c>
      <c r="F327">
        <f>IF(OR(A327="",B327=""),"",IF(E327=1,0,D327*B327/100/C327))</f>
        <v/>
      </c>
      <c r="G327">
        <f>IF(A327="","",IF(OR(B327&lt;&gt;B326,C327&lt;&gt;C326,D327&lt;&gt;D326,E327&lt;&gt;E326),G326+1,G326))</f>
        <v/>
      </c>
    </row>
    <row r="328">
      <c r="A328" s="14">
        <f>IF(OR(NOT(ISNUMBER(Ввод!$B$5)),NOT(ISNUMBER(Ввод!$B$6))),"",IF(Ввод!$B$5+326&gt;Ввод!$B$6,"",Ввод!$B$5+326))</f>
        <v/>
      </c>
      <c r="B328">
        <f>IF(A328="","",IFERROR(INDEX(Ввод!$B$12:$B$71,MATCH(A328,Ввод!$D$12:$D$71,1)),""))</f>
        <v/>
      </c>
      <c r="C328">
        <f>IF(A328="","",DATE(YEAR(A328),12,31)-DATE(YEAR(A328),1,1)+1)</f>
        <v/>
      </c>
      <c r="D328">
        <f>IF(A328="","",Ввод!$B$4-SUMIF(Оплаты!$A$6:$A$505,"&lt;"&amp;A328,Оплаты!$B$6:$B$505))</f>
        <v/>
      </c>
      <c r="E328">
        <f>IF(A328="","",IF(SUMPRODUCT((Ввод!$F$12:$F$31&lt;&gt;"")*(Ввод!$F$12:$F$31&lt;=A328)*(Ввод!$G$12:$G$31&gt;=A328))&gt;0,1,0))</f>
        <v/>
      </c>
      <c r="F328">
        <f>IF(OR(A328="",B328=""),"",IF(E328=1,0,D328*B328/100/C328))</f>
        <v/>
      </c>
      <c r="G328">
        <f>IF(A328="","",IF(OR(B328&lt;&gt;B327,C328&lt;&gt;C327,D328&lt;&gt;D327,E328&lt;&gt;E327),G327+1,G327))</f>
        <v/>
      </c>
    </row>
    <row r="329">
      <c r="A329" s="14">
        <f>IF(OR(NOT(ISNUMBER(Ввод!$B$5)),NOT(ISNUMBER(Ввод!$B$6))),"",IF(Ввод!$B$5+327&gt;Ввод!$B$6,"",Ввод!$B$5+327))</f>
        <v/>
      </c>
      <c r="B329">
        <f>IF(A329="","",IFERROR(INDEX(Ввод!$B$12:$B$71,MATCH(A329,Ввод!$D$12:$D$71,1)),""))</f>
        <v/>
      </c>
      <c r="C329">
        <f>IF(A329="","",DATE(YEAR(A329),12,31)-DATE(YEAR(A329),1,1)+1)</f>
        <v/>
      </c>
      <c r="D329">
        <f>IF(A329="","",Ввод!$B$4-SUMIF(Оплаты!$A$6:$A$505,"&lt;"&amp;A329,Оплаты!$B$6:$B$505))</f>
        <v/>
      </c>
      <c r="E329">
        <f>IF(A329="","",IF(SUMPRODUCT((Ввод!$F$12:$F$31&lt;&gt;"")*(Ввод!$F$12:$F$31&lt;=A329)*(Ввод!$G$12:$G$31&gt;=A329))&gt;0,1,0))</f>
        <v/>
      </c>
      <c r="F329">
        <f>IF(OR(A329="",B329=""),"",IF(E329=1,0,D329*B329/100/C329))</f>
        <v/>
      </c>
      <c r="G329">
        <f>IF(A329="","",IF(OR(B329&lt;&gt;B328,C329&lt;&gt;C328,D329&lt;&gt;D328,E329&lt;&gt;E328),G328+1,G328))</f>
        <v/>
      </c>
    </row>
    <row r="330">
      <c r="A330" s="14">
        <f>IF(OR(NOT(ISNUMBER(Ввод!$B$5)),NOT(ISNUMBER(Ввод!$B$6))),"",IF(Ввод!$B$5+328&gt;Ввод!$B$6,"",Ввод!$B$5+328))</f>
        <v/>
      </c>
      <c r="B330">
        <f>IF(A330="","",IFERROR(INDEX(Ввод!$B$12:$B$71,MATCH(A330,Ввод!$D$12:$D$71,1)),""))</f>
        <v/>
      </c>
      <c r="C330">
        <f>IF(A330="","",DATE(YEAR(A330),12,31)-DATE(YEAR(A330),1,1)+1)</f>
        <v/>
      </c>
      <c r="D330">
        <f>IF(A330="","",Ввод!$B$4-SUMIF(Оплаты!$A$6:$A$505,"&lt;"&amp;A330,Оплаты!$B$6:$B$505))</f>
        <v/>
      </c>
      <c r="E330">
        <f>IF(A330="","",IF(SUMPRODUCT((Ввод!$F$12:$F$31&lt;&gt;"")*(Ввод!$F$12:$F$31&lt;=A330)*(Ввод!$G$12:$G$31&gt;=A330))&gt;0,1,0))</f>
        <v/>
      </c>
      <c r="F330">
        <f>IF(OR(A330="",B330=""),"",IF(E330=1,0,D330*B330/100/C330))</f>
        <v/>
      </c>
      <c r="G330">
        <f>IF(A330="","",IF(OR(B330&lt;&gt;B329,C330&lt;&gt;C329,D330&lt;&gt;D329,E330&lt;&gt;E329),G329+1,G329))</f>
        <v/>
      </c>
    </row>
    <row r="331">
      <c r="A331" s="14">
        <f>IF(OR(NOT(ISNUMBER(Ввод!$B$5)),NOT(ISNUMBER(Ввод!$B$6))),"",IF(Ввод!$B$5+329&gt;Ввод!$B$6,"",Ввод!$B$5+329))</f>
        <v/>
      </c>
      <c r="B331">
        <f>IF(A331="","",IFERROR(INDEX(Ввод!$B$12:$B$71,MATCH(A331,Ввод!$D$12:$D$71,1)),""))</f>
        <v/>
      </c>
      <c r="C331">
        <f>IF(A331="","",DATE(YEAR(A331),12,31)-DATE(YEAR(A331),1,1)+1)</f>
        <v/>
      </c>
      <c r="D331">
        <f>IF(A331="","",Ввод!$B$4-SUMIF(Оплаты!$A$6:$A$505,"&lt;"&amp;A331,Оплаты!$B$6:$B$505))</f>
        <v/>
      </c>
      <c r="E331">
        <f>IF(A331="","",IF(SUMPRODUCT((Ввод!$F$12:$F$31&lt;&gt;"")*(Ввод!$F$12:$F$31&lt;=A331)*(Ввод!$G$12:$G$31&gt;=A331))&gt;0,1,0))</f>
        <v/>
      </c>
      <c r="F331">
        <f>IF(OR(A331="",B331=""),"",IF(E331=1,0,D331*B331/100/C331))</f>
        <v/>
      </c>
      <c r="G331">
        <f>IF(A331="","",IF(OR(B331&lt;&gt;B330,C331&lt;&gt;C330,D331&lt;&gt;D330,E331&lt;&gt;E330),G330+1,G330))</f>
        <v/>
      </c>
    </row>
    <row r="332">
      <c r="A332" s="14">
        <f>IF(OR(NOT(ISNUMBER(Ввод!$B$5)),NOT(ISNUMBER(Ввод!$B$6))),"",IF(Ввод!$B$5+330&gt;Ввод!$B$6,"",Ввод!$B$5+330))</f>
        <v/>
      </c>
      <c r="B332">
        <f>IF(A332="","",IFERROR(INDEX(Ввод!$B$12:$B$71,MATCH(A332,Ввод!$D$12:$D$71,1)),""))</f>
        <v/>
      </c>
      <c r="C332">
        <f>IF(A332="","",DATE(YEAR(A332),12,31)-DATE(YEAR(A332),1,1)+1)</f>
        <v/>
      </c>
      <c r="D332">
        <f>IF(A332="","",Ввод!$B$4-SUMIF(Оплаты!$A$6:$A$505,"&lt;"&amp;A332,Оплаты!$B$6:$B$505))</f>
        <v/>
      </c>
      <c r="E332">
        <f>IF(A332="","",IF(SUMPRODUCT((Ввод!$F$12:$F$31&lt;&gt;"")*(Ввод!$F$12:$F$31&lt;=A332)*(Ввод!$G$12:$G$31&gt;=A332))&gt;0,1,0))</f>
        <v/>
      </c>
      <c r="F332">
        <f>IF(OR(A332="",B332=""),"",IF(E332=1,0,D332*B332/100/C332))</f>
        <v/>
      </c>
      <c r="G332">
        <f>IF(A332="","",IF(OR(B332&lt;&gt;B331,C332&lt;&gt;C331,D332&lt;&gt;D331,E332&lt;&gt;E331),G331+1,G331))</f>
        <v/>
      </c>
    </row>
    <row r="333">
      <c r="A333" s="14">
        <f>IF(OR(NOT(ISNUMBER(Ввод!$B$5)),NOT(ISNUMBER(Ввод!$B$6))),"",IF(Ввод!$B$5+331&gt;Ввод!$B$6,"",Ввод!$B$5+331))</f>
        <v/>
      </c>
      <c r="B333">
        <f>IF(A333="","",IFERROR(INDEX(Ввод!$B$12:$B$71,MATCH(A333,Ввод!$D$12:$D$71,1)),""))</f>
        <v/>
      </c>
      <c r="C333">
        <f>IF(A333="","",DATE(YEAR(A333),12,31)-DATE(YEAR(A333),1,1)+1)</f>
        <v/>
      </c>
      <c r="D333">
        <f>IF(A333="","",Ввод!$B$4-SUMIF(Оплаты!$A$6:$A$505,"&lt;"&amp;A333,Оплаты!$B$6:$B$505))</f>
        <v/>
      </c>
      <c r="E333">
        <f>IF(A333="","",IF(SUMPRODUCT((Ввод!$F$12:$F$31&lt;&gt;"")*(Ввод!$F$12:$F$31&lt;=A333)*(Ввод!$G$12:$G$31&gt;=A333))&gt;0,1,0))</f>
        <v/>
      </c>
      <c r="F333">
        <f>IF(OR(A333="",B333=""),"",IF(E333=1,0,D333*B333/100/C333))</f>
        <v/>
      </c>
      <c r="G333">
        <f>IF(A333="","",IF(OR(B333&lt;&gt;B332,C333&lt;&gt;C332,D333&lt;&gt;D332,E333&lt;&gt;E332),G332+1,G332))</f>
        <v/>
      </c>
    </row>
    <row r="334">
      <c r="A334" s="14">
        <f>IF(OR(NOT(ISNUMBER(Ввод!$B$5)),NOT(ISNUMBER(Ввод!$B$6))),"",IF(Ввод!$B$5+332&gt;Ввод!$B$6,"",Ввод!$B$5+332))</f>
        <v/>
      </c>
      <c r="B334">
        <f>IF(A334="","",IFERROR(INDEX(Ввод!$B$12:$B$71,MATCH(A334,Ввод!$D$12:$D$71,1)),""))</f>
        <v/>
      </c>
      <c r="C334">
        <f>IF(A334="","",DATE(YEAR(A334),12,31)-DATE(YEAR(A334),1,1)+1)</f>
        <v/>
      </c>
      <c r="D334">
        <f>IF(A334="","",Ввод!$B$4-SUMIF(Оплаты!$A$6:$A$505,"&lt;"&amp;A334,Оплаты!$B$6:$B$505))</f>
        <v/>
      </c>
      <c r="E334">
        <f>IF(A334="","",IF(SUMPRODUCT((Ввод!$F$12:$F$31&lt;&gt;"")*(Ввод!$F$12:$F$31&lt;=A334)*(Ввод!$G$12:$G$31&gt;=A334))&gt;0,1,0))</f>
        <v/>
      </c>
      <c r="F334">
        <f>IF(OR(A334="",B334=""),"",IF(E334=1,0,D334*B334/100/C334))</f>
        <v/>
      </c>
      <c r="G334">
        <f>IF(A334="","",IF(OR(B334&lt;&gt;B333,C334&lt;&gt;C333,D334&lt;&gt;D333,E334&lt;&gt;E333),G333+1,G333))</f>
        <v/>
      </c>
    </row>
    <row r="335">
      <c r="A335" s="14">
        <f>IF(OR(NOT(ISNUMBER(Ввод!$B$5)),NOT(ISNUMBER(Ввод!$B$6))),"",IF(Ввод!$B$5+333&gt;Ввод!$B$6,"",Ввод!$B$5+333))</f>
        <v/>
      </c>
      <c r="B335">
        <f>IF(A335="","",IFERROR(INDEX(Ввод!$B$12:$B$71,MATCH(A335,Ввод!$D$12:$D$71,1)),""))</f>
        <v/>
      </c>
      <c r="C335">
        <f>IF(A335="","",DATE(YEAR(A335),12,31)-DATE(YEAR(A335),1,1)+1)</f>
        <v/>
      </c>
      <c r="D335">
        <f>IF(A335="","",Ввод!$B$4-SUMIF(Оплаты!$A$6:$A$505,"&lt;"&amp;A335,Оплаты!$B$6:$B$505))</f>
        <v/>
      </c>
      <c r="E335">
        <f>IF(A335="","",IF(SUMPRODUCT((Ввод!$F$12:$F$31&lt;&gt;"")*(Ввод!$F$12:$F$31&lt;=A335)*(Ввод!$G$12:$G$31&gt;=A335))&gt;0,1,0))</f>
        <v/>
      </c>
      <c r="F335">
        <f>IF(OR(A335="",B335=""),"",IF(E335=1,0,D335*B335/100/C335))</f>
        <v/>
      </c>
      <c r="G335">
        <f>IF(A335="","",IF(OR(B335&lt;&gt;B334,C335&lt;&gt;C334,D335&lt;&gt;D334,E335&lt;&gt;E334),G334+1,G334))</f>
        <v/>
      </c>
    </row>
    <row r="336">
      <c r="A336" s="14">
        <f>IF(OR(NOT(ISNUMBER(Ввод!$B$5)),NOT(ISNUMBER(Ввод!$B$6))),"",IF(Ввод!$B$5+334&gt;Ввод!$B$6,"",Ввод!$B$5+334))</f>
        <v/>
      </c>
      <c r="B336">
        <f>IF(A336="","",IFERROR(INDEX(Ввод!$B$12:$B$71,MATCH(A336,Ввод!$D$12:$D$71,1)),""))</f>
        <v/>
      </c>
      <c r="C336">
        <f>IF(A336="","",DATE(YEAR(A336),12,31)-DATE(YEAR(A336),1,1)+1)</f>
        <v/>
      </c>
      <c r="D336">
        <f>IF(A336="","",Ввод!$B$4-SUMIF(Оплаты!$A$6:$A$505,"&lt;"&amp;A336,Оплаты!$B$6:$B$505))</f>
        <v/>
      </c>
      <c r="E336">
        <f>IF(A336="","",IF(SUMPRODUCT((Ввод!$F$12:$F$31&lt;&gt;"")*(Ввод!$F$12:$F$31&lt;=A336)*(Ввод!$G$12:$G$31&gt;=A336))&gt;0,1,0))</f>
        <v/>
      </c>
      <c r="F336">
        <f>IF(OR(A336="",B336=""),"",IF(E336=1,0,D336*B336/100/C336))</f>
        <v/>
      </c>
      <c r="G336">
        <f>IF(A336="","",IF(OR(B336&lt;&gt;B335,C336&lt;&gt;C335,D336&lt;&gt;D335,E336&lt;&gt;E335),G335+1,G335))</f>
        <v/>
      </c>
    </row>
    <row r="337">
      <c r="A337" s="14">
        <f>IF(OR(NOT(ISNUMBER(Ввод!$B$5)),NOT(ISNUMBER(Ввод!$B$6))),"",IF(Ввод!$B$5+335&gt;Ввод!$B$6,"",Ввод!$B$5+335))</f>
        <v/>
      </c>
      <c r="B337">
        <f>IF(A337="","",IFERROR(INDEX(Ввод!$B$12:$B$71,MATCH(A337,Ввод!$D$12:$D$71,1)),""))</f>
        <v/>
      </c>
      <c r="C337">
        <f>IF(A337="","",DATE(YEAR(A337),12,31)-DATE(YEAR(A337),1,1)+1)</f>
        <v/>
      </c>
      <c r="D337">
        <f>IF(A337="","",Ввод!$B$4-SUMIF(Оплаты!$A$6:$A$505,"&lt;"&amp;A337,Оплаты!$B$6:$B$505))</f>
        <v/>
      </c>
      <c r="E337">
        <f>IF(A337="","",IF(SUMPRODUCT((Ввод!$F$12:$F$31&lt;&gt;"")*(Ввод!$F$12:$F$31&lt;=A337)*(Ввод!$G$12:$G$31&gt;=A337))&gt;0,1,0))</f>
        <v/>
      </c>
      <c r="F337">
        <f>IF(OR(A337="",B337=""),"",IF(E337=1,0,D337*B337/100/C337))</f>
        <v/>
      </c>
      <c r="G337">
        <f>IF(A337="","",IF(OR(B337&lt;&gt;B336,C337&lt;&gt;C336,D337&lt;&gt;D336,E337&lt;&gt;E336),G336+1,G336))</f>
        <v/>
      </c>
    </row>
    <row r="338">
      <c r="A338" s="14">
        <f>IF(OR(NOT(ISNUMBER(Ввод!$B$5)),NOT(ISNUMBER(Ввод!$B$6))),"",IF(Ввод!$B$5+336&gt;Ввод!$B$6,"",Ввод!$B$5+336))</f>
        <v/>
      </c>
      <c r="B338">
        <f>IF(A338="","",IFERROR(INDEX(Ввод!$B$12:$B$71,MATCH(A338,Ввод!$D$12:$D$71,1)),""))</f>
        <v/>
      </c>
      <c r="C338">
        <f>IF(A338="","",DATE(YEAR(A338),12,31)-DATE(YEAR(A338),1,1)+1)</f>
        <v/>
      </c>
      <c r="D338">
        <f>IF(A338="","",Ввод!$B$4-SUMIF(Оплаты!$A$6:$A$505,"&lt;"&amp;A338,Оплаты!$B$6:$B$505))</f>
        <v/>
      </c>
      <c r="E338">
        <f>IF(A338="","",IF(SUMPRODUCT((Ввод!$F$12:$F$31&lt;&gt;"")*(Ввод!$F$12:$F$31&lt;=A338)*(Ввод!$G$12:$G$31&gt;=A338))&gt;0,1,0))</f>
        <v/>
      </c>
      <c r="F338">
        <f>IF(OR(A338="",B338=""),"",IF(E338=1,0,D338*B338/100/C338))</f>
        <v/>
      </c>
      <c r="G338">
        <f>IF(A338="","",IF(OR(B338&lt;&gt;B337,C338&lt;&gt;C337,D338&lt;&gt;D337,E338&lt;&gt;E337),G337+1,G337))</f>
        <v/>
      </c>
    </row>
    <row r="339">
      <c r="A339" s="14">
        <f>IF(OR(NOT(ISNUMBER(Ввод!$B$5)),NOT(ISNUMBER(Ввод!$B$6))),"",IF(Ввод!$B$5+337&gt;Ввод!$B$6,"",Ввод!$B$5+337))</f>
        <v/>
      </c>
      <c r="B339">
        <f>IF(A339="","",IFERROR(INDEX(Ввод!$B$12:$B$71,MATCH(A339,Ввод!$D$12:$D$71,1)),""))</f>
        <v/>
      </c>
      <c r="C339">
        <f>IF(A339="","",DATE(YEAR(A339),12,31)-DATE(YEAR(A339),1,1)+1)</f>
        <v/>
      </c>
      <c r="D339">
        <f>IF(A339="","",Ввод!$B$4-SUMIF(Оплаты!$A$6:$A$505,"&lt;"&amp;A339,Оплаты!$B$6:$B$505))</f>
        <v/>
      </c>
      <c r="E339">
        <f>IF(A339="","",IF(SUMPRODUCT((Ввод!$F$12:$F$31&lt;&gt;"")*(Ввод!$F$12:$F$31&lt;=A339)*(Ввод!$G$12:$G$31&gt;=A339))&gt;0,1,0))</f>
        <v/>
      </c>
      <c r="F339">
        <f>IF(OR(A339="",B339=""),"",IF(E339=1,0,D339*B339/100/C339))</f>
        <v/>
      </c>
      <c r="G339">
        <f>IF(A339="","",IF(OR(B339&lt;&gt;B338,C339&lt;&gt;C338,D339&lt;&gt;D338,E339&lt;&gt;E338),G338+1,G338))</f>
        <v/>
      </c>
    </row>
    <row r="340">
      <c r="A340" s="14">
        <f>IF(OR(NOT(ISNUMBER(Ввод!$B$5)),NOT(ISNUMBER(Ввод!$B$6))),"",IF(Ввод!$B$5+338&gt;Ввод!$B$6,"",Ввод!$B$5+338))</f>
        <v/>
      </c>
      <c r="B340">
        <f>IF(A340="","",IFERROR(INDEX(Ввод!$B$12:$B$71,MATCH(A340,Ввод!$D$12:$D$71,1)),""))</f>
        <v/>
      </c>
      <c r="C340">
        <f>IF(A340="","",DATE(YEAR(A340),12,31)-DATE(YEAR(A340),1,1)+1)</f>
        <v/>
      </c>
      <c r="D340">
        <f>IF(A340="","",Ввод!$B$4-SUMIF(Оплаты!$A$6:$A$505,"&lt;"&amp;A340,Оплаты!$B$6:$B$505))</f>
        <v/>
      </c>
      <c r="E340">
        <f>IF(A340="","",IF(SUMPRODUCT((Ввод!$F$12:$F$31&lt;&gt;"")*(Ввод!$F$12:$F$31&lt;=A340)*(Ввод!$G$12:$G$31&gt;=A340))&gt;0,1,0))</f>
        <v/>
      </c>
      <c r="F340">
        <f>IF(OR(A340="",B340=""),"",IF(E340=1,0,D340*B340/100/C340))</f>
        <v/>
      </c>
      <c r="G340">
        <f>IF(A340="","",IF(OR(B340&lt;&gt;B339,C340&lt;&gt;C339,D340&lt;&gt;D339,E340&lt;&gt;E339),G339+1,G339))</f>
        <v/>
      </c>
    </row>
    <row r="341">
      <c r="A341" s="14">
        <f>IF(OR(NOT(ISNUMBER(Ввод!$B$5)),NOT(ISNUMBER(Ввод!$B$6))),"",IF(Ввод!$B$5+339&gt;Ввод!$B$6,"",Ввод!$B$5+339))</f>
        <v/>
      </c>
      <c r="B341">
        <f>IF(A341="","",IFERROR(INDEX(Ввод!$B$12:$B$71,MATCH(A341,Ввод!$D$12:$D$71,1)),""))</f>
        <v/>
      </c>
      <c r="C341">
        <f>IF(A341="","",DATE(YEAR(A341),12,31)-DATE(YEAR(A341),1,1)+1)</f>
        <v/>
      </c>
      <c r="D341">
        <f>IF(A341="","",Ввод!$B$4-SUMIF(Оплаты!$A$6:$A$505,"&lt;"&amp;A341,Оплаты!$B$6:$B$505))</f>
        <v/>
      </c>
      <c r="E341">
        <f>IF(A341="","",IF(SUMPRODUCT((Ввод!$F$12:$F$31&lt;&gt;"")*(Ввод!$F$12:$F$31&lt;=A341)*(Ввод!$G$12:$G$31&gt;=A341))&gt;0,1,0))</f>
        <v/>
      </c>
      <c r="F341">
        <f>IF(OR(A341="",B341=""),"",IF(E341=1,0,D341*B341/100/C341))</f>
        <v/>
      </c>
      <c r="G341">
        <f>IF(A341="","",IF(OR(B341&lt;&gt;B340,C341&lt;&gt;C340,D341&lt;&gt;D340,E341&lt;&gt;E340),G340+1,G340))</f>
        <v/>
      </c>
    </row>
    <row r="342">
      <c r="A342" s="14">
        <f>IF(OR(NOT(ISNUMBER(Ввод!$B$5)),NOT(ISNUMBER(Ввод!$B$6))),"",IF(Ввод!$B$5+340&gt;Ввод!$B$6,"",Ввод!$B$5+340))</f>
        <v/>
      </c>
      <c r="B342">
        <f>IF(A342="","",IFERROR(INDEX(Ввод!$B$12:$B$71,MATCH(A342,Ввод!$D$12:$D$71,1)),""))</f>
        <v/>
      </c>
      <c r="C342">
        <f>IF(A342="","",DATE(YEAR(A342),12,31)-DATE(YEAR(A342),1,1)+1)</f>
        <v/>
      </c>
      <c r="D342">
        <f>IF(A342="","",Ввод!$B$4-SUMIF(Оплаты!$A$6:$A$505,"&lt;"&amp;A342,Оплаты!$B$6:$B$505))</f>
        <v/>
      </c>
      <c r="E342">
        <f>IF(A342="","",IF(SUMPRODUCT((Ввод!$F$12:$F$31&lt;&gt;"")*(Ввод!$F$12:$F$31&lt;=A342)*(Ввод!$G$12:$G$31&gt;=A342))&gt;0,1,0))</f>
        <v/>
      </c>
      <c r="F342">
        <f>IF(OR(A342="",B342=""),"",IF(E342=1,0,D342*B342/100/C342))</f>
        <v/>
      </c>
      <c r="G342">
        <f>IF(A342="","",IF(OR(B342&lt;&gt;B341,C342&lt;&gt;C341,D342&lt;&gt;D341,E342&lt;&gt;E341),G341+1,G341))</f>
        <v/>
      </c>
    </row>
    <row r="343">
      <c r="A343" s="14">
        <f>IF(OR(NOT(ISNUMBER(Ввод!$B$5)),NOT(ISNUMBER(Ввод!$B$6))),"",IF(Ввод!$B$5+341&gt;Ввод!$B$6,"",Ввод!$B$5+341))</f>
        <v/>
      </c>
      <c r="B343">
        <f>IF(A343="","",IFERROR(INDEX(Ввод!$B$12:$B$71,MATCH(A343,Ввод!$D$12:$D$71,1)),""))</f>
        <v/>
      </c>
      <c r="C343">
        <f>IF(A343="","",DATE(YEAR(A343),12,31)-DATE(YEAR(A343),1,1)+1)</f>
        <v/>
      </c>
      <c r="D343">
        <f>IF(A343="","",Ввод!$B$4-SUMIF(Оплаты!$A$6:$A$505,"&lt;"&amp;A343,Оплаты!$B$6:$B$505))</f>
        <v/>
      </c>
      <c r="E343">
        <f>IF(A343="","",IF(SUMPRODUCT((Ввод!$F$12:$F$31&lt;&gt;"")*(Ввод!$F$12:$F$31&lt;=A343)*(Ввод!$G$12:$G$31&gt;=A343))&gt;0,1,0))</f>
        <v/>
      </c>
      <c r="F343">
        <f>IF(OR(A343="",B343=""),"",IF(E343=1,0,D343*B343/100/C343))</f>
        <v/>
      </c>
      <c r="G343">
        <f>IF(A343="","",IF(OR(B343&lt;&gt;B342,C343&lt;&gt;C342,D343&lt;&gt;D342,E343&lt;&gt;E342),G342+1,G342))</f>
        <v/>
      </c>
    </row>
    <row r="344">
      <c r="A344" s="14">
        <f>IF(OR(NOT(ISNUMBER(Ввод!$B$5)),NOT(ISNUMBER(Ввод!$B$6))),"",IF(Ввод!$B$5+342&gt;Ввод!$B$6,"",Ввод!$B$5+342))</f>
        <v/>
      </c>
      <c r="B344">
        <f>IF(A344="","",IFERROR(INDEX(Ввод!$B$12:$B$71,MATCH(A344,Ввод!$D$12:$D$71,1)),""))</f>
        <v/>
      </c>
      <c r="C344">
        <f>IF(A344="","",DATE(YEAR(A344),12,31)-DATE(YEAR(A344),1,1)+1)</f>
        <v/>
      </c>
      <c r="D344">
        <f>IF(A344="","",Ввод!$B$4-SUMIF(Оплаты!$A$6:$A$505,"&lt;"&amp;A344,Оплаты!$B$6:$B$505))</f>
        <v/>
      </c>
      <c r="E344">
        <f>IF(A344="","",IF(SUMPRODUCT((Ввод!$F$12:$F$31&lt;&gt;"")*(Ввод!$F$12:$F$31&lt;=A344)*(Ввод!$G$12:$G$31&gt;=A344))&gt;0,1,0))</f>
        <v/>
      </c>
      <c r="F344">
        <f>IF(OR(A344="",B344=""),"",IF(E344=1,0,D344*B344/100/C344))</f>
        <v/>
      </c>
      <c r="G344">
        <f>IF(A344="","",IF(OR(B344&lt;&gt;B343,C344&lt;&gt;C343,D344&lt;&gt;D343,E344&lt;&gt;E343),G343+1,G343))</f>
        <v/>
      </c>
    </row>
    <row r="345">
      <c r="A345" s="14">
        <f>IF(OR(NOT(ISNUMBER(Ввод!$B$5)),NOT(ISNUMBER(Ввод!$B$6))),"",IF(Ввод!$B$5+343&gt;Ввод!$B$6,"",Ввод!$B$5+343))</f>
        <v/>
      </c>
      <c r="B345">
        <f>IF(A345="","",IFERROR(INDEX(Ввод!$B$12:$B$71,MATCH(A345,Ввод!$D$12:$D$71,1)),""))</f>
        <v/>
      </c>
      <c r="C345">
        <f>IF(A345="","",DATE(YEAR(A345),12,31)-DATE(YEAR(A345),1,1)+1)</f>
        <v/>
      </c>
      <c r="D345">
        <f>IF(A345="","",Ввод!$B$4-SUMIF(Оплаты!$A$6:$A$505,"&lt;"&amp;A345,Оплаты!$B$6:$B$505))</f>
        <v/>
      </c>
      <c r="E345">
        <f>IF(A345="","",IF(SUMPRODUCT((Ввод!$F$12:$F$31&lt;&gt;"")*(Ввод!$F$12:$F$31&lt;=A345)*(Ввод!$G$12:$G$31&gt;=A345))&gt;0,1,0))</f>
        <v/>
      </c>
      <c r="F345">
        <f>IF(OR(A345="",B345=""),"",IF(E345=1,0,D345*B345/100/C345))</f>
        <v/>
      </c>
      <c r="G345">
        <f>IF(A345="","",IF(OR(B345&lt;&gt;B344,C345&lt;&gt;C344,D345&lt;&gt;D344,E345&lt;&gt;E344),G344+1,G344))</f>
        <v/>
      </c>
    </row>
    <row r="346">
      <c r="A346" s="14">
        <f>IF(OR(NOT(ISNUMBER(Ввод!$B$5)),NOT(ISNUMBER(Ввод!$B$6))),"",IF(Ввод!$B$5+344&gt;Ввод!$B$6,"",Ввод!$B$5+344))</f>
        <v/>
      </c>
      <c r="B346">
        <f>IF(A346="","",IFERROR(INDEX(Ввод!$B$12:$B$71,MATCH(A346,Ввод!$D$12:$D$71,1)),""))</f>
        <v/>
      </c>
      <c r="C346">
        <f>IF(A346="","",DATE(YEAR(A346),12,31)-DATE(YEAR(A346),1,1)+1)</f>
        <v/>
      </c>
      <c r="D346">
        <f>IF(A346="","",Ввод!$B$4-SUMIF(Оплаты!$A$6:$A$505,"&lt;"&amp;A346,Оплаты!$B$6:$B$505))</f>
        <v/>
      </c>
      <c r="E346">
        <f>IF(A346="","",IF(SUMPRODUCT((Ввод!$F$12:$F$31&lt;&gt;"")*(Ввод!$F$12:$F$31&lt;=A346)*(Ввод!$G$12:$G$31&gt;=A346))&gt;0,1,0))</f>
        <v/>
      </c>
      <c r="F346">
        <f>IF(OR(A346="",B346=""),"",IF(E346=1,0,D346*B346/100/C346))</f>
        <v/>
      </c>
      <c r="G346">
        <f>IF(A346="","",IF(OR(B346&lt;&gt;B345,C346&lt;&gt;C345,D346&lt;&gt;D345,E346&lt;&gt;E345),G345+1,G345))</f>
        <v/>
      </c>
    </row>
    <row r="347">
      <c r="A347" s="14">
        <f>IF(OR(NOT(ISNUMBER(Ввод!$B$5)),NOT(ISNUMBER(Ввод!$B$6))),"",IF(Ввод!$B$5+345&gt;Ввод!$B$6,"",Ввод!$B$5+345))</f>
        <v/>
      </c>
      <c r="B347">
        <f>IF(A347="","",IFERROR(INDEX(Ввод!$B$12:$B$71,MATCH(A347,Ввод!$D$12:$D$71,1)),""))</f>
        <v/>
      </c>
      <c r="C347">
        <f>IF(A347="","",DATE(YEAR(A347),12,31)-DATE(YEAR(A347),1,1)+1)</f>
        <v/>
      </c>
      <c r="D347">
        <f>IF(A347="","",Ввод!$B$4-SUMIF(Оплаты!$A$6:$A$505,"&lt;"&amp;A347,Оплаты!$B$6:$B$505))</f>
        <v/>
      </c>
      <c r="E347">
        <f>IF(A347="","",IF(SUMPRODUCT((Ввод!$F$12:$F$31&lt;&gt;"")*(Ввод!$F$12:$F$31&lt;=A347)*(Ввод!$G$12:$G$31&gt;=A347))&gt;0,1,0))</f>
        <v/>
      </c>
      <c r="F347">
        <f>IF(OR(A347="",B347=""),"",IF(E347=1,0,D347*B347/100/C347))</f>
        <v/>
      </c>
      <c r="G347">
        <f>IF(A347="","",IF(OR(B347&lt;&gt;B346,C347&lt;&gt;C346,D347&lt;&gt;D346,E347&lt;&gt;E346),G346+1,G346))</f>
        <v/>
      </c>
    </row>
    <row r="348">
      <c r="A348" s="14">
        <f>IF(OR(NOT(ISNUMBER(Ввод!$B$5)),NOT(ISNUMBER(Ввод!$B$6))),"",IF(Ввод!$B$5+346&gt;Ввод!$B$6,"",Ввод!$B$5+346))</f>
        <v/>
      </c>
      <c r="B348">
        <f>IF(A348="","",IFERROR(INDEX(Ввод!$B$12:$B$71,MATCH(A348,Ввод!$D$12:$D$71,1)),""))</f>
        <v/>
      </c>
      <c r="C348">
        <f>IF(A348="","",DATE(YEAR(A348),12,31)-DATE(YEAR(A348),1,1)+1)</f>
        <v/>
      </c>
      <c r="D348">
        <f>IF(A348="","",Ввод!$B$4-SUMIF(Оплаты!$A$6:$A$505,"&lt;"&amp;A348,Оплаты!$B$6:$B$505))</f>
        <v/>
      </c>
      <c r="E348">
        <f>IF(A348="","",IF(SUMPRODUCT((Ввод!$F$12:$F$31&lt;&gt;"")*(Ввод!$F$12:$F$31&lt;=A348)*(Ввод!$G$12:$G$31&gt;=A348))&gt;0,1,0))</f>
        <v/>
      </c>
      <c r="F348">
        <f>IF(OR(A348="",B348=""),"",IF(E348=1,0,D348*B348/100/C348))</f>
        <v/>
      </c>
      <c r="G348">
        <f>IF(A348="","",IF(OR(B348&lt;&gt;B347,C348&lt;&gt;C347,D348&lt;&gt;D347,E348&lt;&gt;E347),G347+1,G347))</f>
        <v/>
      </c>
    </row>
    <row r="349">
      <c r="A349" s="14">
        <f>IF(OR(NOT(ISNUMBER(Ввод!$B$5)),NOT(ISNUMBER(Ввод!$B$6))),"",IF(Ввод!$B$5+347&gt;Ввод!$B$6,"",Ввод!$B$5+347))</f>
        <v/>
      </c>
      <c r="B349">
        <f>IF(A349="","",IFERROR(INDEX(Ввод!$B$12:$B$71,MATCH(A349,Ввод!$D$12:$D$71,1)),""))</f>
        <v/>
      </c>
      <c r="C349">
        <f>IF(A349="","",DATE(YEAR(A349),12,31)-DATE(YEAR(A349),1,1)+1)</f>
        <v/>
      </c>
      <c r="D349">
        <f>IF(A349="","",Ввод!$B$4-SUMIF(Оплаты!$A$6:$A$505,"&lt;"&amp;A349,Оплаты!$B$6:$B$505))</f>
        <v/>
      </c>
      <c r="E349">
        <f>IF(A349="","",IF(SUMPRODUCT((Ввод!$F$12:$F$31&lt;&gt;"")*(Ввод!$F$12:$F$31&lt;=A349)*(Ввод!$G$12:$G$31&gt;=A349))&gt;0,1,0))</f>
        <v/>
      </c>
      <c r="F349">
        <f>IF(OR(A349="",B349=""),"",IF(E349=1,0,D349*B349/100/C349))</f>
        <v/>
      </c>
      <c r="G349">
        <f>IF(A349="","",IF(OR(B349&lt;&gt;B348,C349&lt;&gt;C348,D349&lt;&gt;D348,E349&lt;&gt;E348),G348+1,G348))</f>
        <v/>
      </c>
    </row>
    <row r="350">
      <c r="A350" s="14">
        <f>IF(OR(NOT(ISNUMBER(Ввод!$B$5)),NOT(ISNUMBER(Ввод!$B$6))),"",IF(Ввод!$B$5+348&gt;Ввод!$B$6,"",Ввод!$B$5+348))</f>
        <v/>
      </c>
      <c r="B350">
        <f>IF(A350="","",IFERROR(INDEX(Ввод!$B$12:$B$71,MATCH(A350,Ввод!$D$12:$D$71,1)),""))</f>
        <v/>
      </c>
      <c r="C350">
        <f>IF(A350="","",DATE(YEAR(A350),12,31)-DATE(YEAR(A350),1,1)+1)</f>
        <v/>
      </c>
      <c r="D350">
        <f>IF(A350="","",Ввод!$B$4-SUMIF(Оплаты!$A$6:$A$505,"&lt;"&amp;A350,Оплаты!$B$6:$B$505))</f>
        <v/>
      </c>
      <c r="E350">
        <f>IF(A350="","",IF(SUMPRODUCT((Ввод!$F$12:$F$31&lt;&gt;"")*(Ввод!$F$12:$F$31&lt;=A350)*(Ввод!$G$12:$G$31&gt;=A350))&gt;0,1,0))</f>
        <v/>
      </c>
      <c r="F350">
        <f>IF(OR(A350="",B350=""),"",IF(E350=1,0,D350*B350/100/C350))</f>
        <v/>
      </c>
      <c r="G350">
        <f>IF(A350="","",IF(OR(B350&lt;&gt;B349,C350&lt;&gt;C349,D350&lt;&gt;D349,E350&lt;&gt;E349),G349+1,G349))</f>
        <v/>
      </c>
    </row>
    <row r="351">
      <c r="A351" s="14">
        <f>IF(OR(NOT(ISNUMBER(Ввод!$B$5)),NOT(ISNUMBER(Ввод!$B$6))),"",IF(Ввод!$B$5+349&gt;Ввод!$B$6,"",Ввод!$B$5+349))</f>
        <v/>
      </c>
      <c r="B351">
        <f>IF(A351="","",IFERROR(INDEX(Ввод!$B$12:$B$71,MATCH(A351,Ввод!$D$12:$D$71,1)),""))</f>
        <v/>
      </c>
      <c r="C351">
        <f>IF(A351="","",DATE(YEAR(A351),12,31)-DATE(YEAR(A351),1,1)+1)</f>
        <v/>
      </c>
      <c r="D351">
        <f>IF(A351="","",Ввод!$B$4-SUMIF(Оплаты!$A$6:$A$505,"&lt;"&amp;A351,Оплаты!$B$6:$B$505))</f>
        <v/>
      </c>
      <c r="E351">
        <f>IF(A351="","",IF(SUMPRODUCT((Ввод!$F$12:$F$31&lt;&gt;"")*(Ввод!$F$12:$F$31&lt;=A351)*(Ввод!$G$12:$G$31&gt;=A351))&gt;0,1,0))</f>
        <v/>
      </c>
      <c r="F351">
        <f>IF(OR(A351="",B351=""),"",IF(E351=1,0,D351*B351/100/C351))</f>
        <v/>
      </c>
      <c r="G351">
        <f>IF(A351="","",IF(OR(B351&lt;&gt;B350,C351&lt;&gt;C350,D351&lt;&gt;D350,E351&lt;&gt;E350),G350+1,G350))</f>
        <v/>
      </c>
    </row>
    <row r="352">
      <c r="A352" s="14">
        <f>IF(OR(NOT(ISNUMBER(Ввод!$B$5)),NOT(ISNUMBER(Ввод!$B$6))),"",IF(Ввод!$B$5+350&gt;Ввод!$B$6,"",Ввод!$B$5+350))</f>
        <v/>
      </c>
      <c r="B352">
        <f>IF(A352="","",IFERROR(INDEX(Ввод!$B$12:$B$71,MATCH(A352,Ввод!$D$12:$D$71,1)),""))</f>
        <v/>
      </c>
      <c r="C352">
        <f>IF(A352="","",DATE(YEAR(A352),12,31)-DATE(YEAR(A352),1,1)+1)</f>
        <v/>
      </c>
      <c r="D352">
        <f>IF(A352="","",Ввод!$B$4-SUMIF(Оплаты!$A$6:$A$505,"&lt;"&amp;A352,Оплаты!$B$6:$B$505))</f>
        <v/>
      </c>
      <c r="E352">
        <f>IF(A352="","",IF(SUMPRODUCT((Ввод!$F$12:$F$31&lt;&gt;"")*(Ввод!$F$12:$F$31&lt;=A352)*(Ввод!$G$12:$G$31&gt;=A352))&gt;0,1,0))</f>
        <v/>
      </c>
      <c r="F352">
        <f>IF(OR(A352="",B352=""),"",IF(E352=1,0,D352*B352/100/C352))</f>
        <v/>
      </c>
      <c r="G352">
        <f>IF(A352="","",IF(OR(B352&lt;&gt;B351,C352&lt;&gt;C351,D352&lt;&gt;D351,E352&lt;&gt;E351),G351+1,G351))</f>
        <v/>
      </c>
    </row>
    <row r="353">
      <c r="A353" s="14">
        <f>IF(OR(NOT(ISNUMBER(Ввод!$B$5)),NOT(ISNUMBER(Ввод!$B$6))),"",IF(Ввод!$B$5+351&gt;Ввод!$B$6,"",Ввод!$B$5+351))</f>
        <v/>
      </c>
      <c r="B353">
        <f>IF(A353="","",IFERROR(INDEX(Ввод!$B$12:$B$71,MATCH(A353,Ввод!$D$12:$D$71,1)),""))</f>
        <v/>
      </c>
      <c r="C353">
        <f>IF(A353="","",DATE(YEAR(A353),12,31)-DATE(YEAR(A353),1,1)+1)</f>
        <v/>
      </c>
      <c r="D353">
        <f>IF(A353="","",Ввод!$B$4-SUMIF(Оплаты!$A$6:$A$505,"&lt;"&amp;A353,Оплаты!$B$6:$B$505))</f>
        <v/>
      </c>
      <c r="E353">
        <f>IF(A353="","",IF(SUMPRODUCT((Ввод!$F$12:$F$31&lt;&gt;"")*(Ввод!$F$12:$F$31&lt;=A353)*(Ввод!$G$12:$G$31&gt;=A353))&gt;0,1,0))</f>
        <v/>
      </c>
      <c r="F353">
        <f>IF(OR(A353="",B353=""),"",IF(E353=1,0,D353*B353/100/C353))</f>
        <v/>
      </c>
      <c r="G353">
        <f>IF(A353="","",IF(OR(B353&lt;&gt;B352,C353&lt;&gt;C352,D353&lt;&gt;D352,E353&lt;&gt;E352),G352+1,G352))</f>
        <v/>
      </c>
    </row>
    <row r="354">
      <c r="A354" s="14">
        <f>IF(OR(NOT(ISNUMBER(Ввод!$B$5)),NOT(ISNUMBER(Ввод!$B$6))),"",IF(Ввод!$B$5+352&gt;Ввод!$B$6,"",Ввод!$B$5+352))</f>
        <v/>
      </c>
      <c r="B354">
        <f>IF(A354="","",IFERROR(INDEX(Ввод!$B$12:$B$71,MATCH(A354,Ввод!$D$12:$D$71,1)),""))</f>
        <v/>
      </c>
      <c r="C354">
        <f>IF(A354="","",DATE(YEAR(A354),12,31)-DATE(YEAR(A354),1,1)+1)</f>
        <v/>
      </c>
      <c r="D354">
        <f>IF(A354="","",Ввод!$B$4-SUMIF(Оплаты!$A$6:$A$505,"&lt;"&amp;A354,Оплаты!$B$6:$B$505))</f>
        <v/>
      </c>
      <c r="E354">
        <f>IF(A354="","",IF(SUMPRODUCT((Ввод!$F$12:$F$31&lt;&gt;"")*(Ввод!$F$12:$F$31&lt;=A354)*(Ввод!$G$12:$G$31&gt;=A354))&gt;0,1,0))</f>
        <v/>
      </c>
      <c r="F354">
        <f>IF(OR(A354="",B354=""),"",IF(E354=1,0,D354*B354/100/C354))</f>
        <v/>
      </c>
      <c r="G354">
        <f>IF(A354="","",IF(OR(B354&lt;&gt;B353,C354&lt;&gt;C353,D354&lt;&gt;D353,E354&lt;&gt;E353),G353+1,G353))</f>
        <v/>
      </c>
    </row>
    <row r="355">
      <c r="A355" s="14">
        <f>IF(OR(NOT(ISNUMBER(Ввод!$B$5)),NOT(ISNUMBER(Ввод!$B$6))),"",IF(Ввод!$B$5+353&gt;Ввод!$B$6,"",Ввод!$B$5+353))</f>
        <v/>
      </c>
      <c r="B355">
        <f>IF(A355="","",IFERROR(INDEX(Ввод!$B$12:$B$71,MATCH(A355,Ввод!$D$12:$D$71,1)),""))</f>
        <v/>
      </c>
      <c r="C355">
        <f>IF(A355="","",DATE(YEAR(A355),12,31)-DATE(YEAR(A355),1,1)+1)</f>
        <v/>
      </c>
      <c r="D355">
        <f>IF(A355="","",Ввод!$B$4-SUMIF(Оплаты!$A$6:$A$505,"&lt;"&amp;A355,Оплаты!$B$6:$B$505))</f>
        <v/>
      </c>
      <c r="E355">
        <f>IF(A355="","",IF(SUMPRODUCT((Ввод!$F$12:$F$31&lt;&gt;"")*(Ввод!$F$12:$F$31&lt;=A355)*(Ввод!$G$12:$G$31&gt;=A355))&gt;0,1,0))</f>
        <v/>
      </c>
      <c r="F355">
        <f>IF(OR(A355="",B355=""),"",IF(E355=1,0,D355*B355/100/C355))</f>
        <v/>
      </c>
      <c r="G355">
        <f>IF(A355="","",IF(OR(B355&lt;&gt;B354,C355&lt;&gt;C354,D355&lt;&gt;D354,E355&lt;&gt;E354),G354+1,G354))</f>
        <v/>
      </c>
    </row>
    <row r="356">
      <c r="A356" s="14">
        <f>IF(OR(NOT(ISNUMBER(Ввод!$B$5)),NOT(ISNUMBER(Ввод!$B$6))),"",IF(Ввод!$B$5+354&gt;Ввод!$B$6,"",Ввод!$B$5+354))</f>
        <v/>
      </c>
      <c r="B356">
        <f>IF(A356="","",IFERROR(INDEX(Ввод!$B$12:$B$71,MATCH(A356,Ввод!$D$12:$D$71,1)),""))</f>
        <v/>
      </c>
      <c r="C356">
        <f>IF(A356="","",DATE(YEAR(A356),12,31)-DATE(YEAR(A356),1,1)+1)</f>
        <v/>
      </c>
      <c r="D356">
        <f>IF(A356="","",Ввод!$B$4-SUMIF(Оплаты!$A$6:$A$505,"&lt;"&amp;A356,Оплаты!$B$6:$B$505))</f>
        <v/>
      </c>
      <c r="E356">
        <f>IF(A356="","",IF(SUMPRODUCT((Ввод!$F$12:$F$31&lt;&gt;"")*(Ввод!$F$12:$F$31&lt;=A356)*(Ввод!$G$12:$G$31&gt;=A356))&gt;0,1,0))</f>
        <v/>
      </c>
      <c r="F356">
        <f>IF(OR(A356="",B356=""),"",IF(E356=1,0,D356*B356/100/C356))</f>
        <v/>
      </c>
      <c r="G356">
        <f>IF(A356="","",IF(OR(B356&lt;&gt;B355,C356&lt;&gt;C355,D356&lt;&gt;D355,E356&lt;&gt;E355),G355+1,G355))</f>
        <v/>
      </c>
    </row>
    <row r="357">
      <c r="A357" s="14">
        <f>IF(OR(NOT(ISNUMBER(Ввод!$B$5)),NOT(ISNUMBER(Ввод!$B$6))),"",IF(Ввод!$B$5+355&gt;Ввод!$B$6,"",Ввод!$B$5+355))</f>
        <v/>
      </c>
      <c r="B357">
        <f>IF(A357="","",IFERROR(INDEX(Ввод!$B$12:$B$71,MATCH(A357,Ввод!$D$12:$D$71,1)),""))</f>
        <v/>
      </c>
      <c r="C357">
        <f>IF(A357="","",DATE(YEAR(A357),12,31)-DATE(YEAR(A357),1,1)+1)</f>
        <v/>
      </c>
      <c r="D357">
        <f>IF(A357="","",Ввод!$B$4-SUMIF(Оплаты!$A$6:$A$505,"&lt;"&amp;A357,Оплаты!$B$6:$B$505))</f>
        <v/>
      </c>
      <c r="E357">
        <f>IF(A357="","",IF(SUMPRODUCT((Ввод!$F$12:$F$31&lt;&gt;"")*(Ввод!$F$12:$F$31&lt;=A357)*(Ввод!$G$12:$G$31&gt;=A357))&gt;0,1,0))</f>
        <v/>
      </c>
      <c r="F357">
        <f>IF(OR(A357="",B357=""),"",IF(E357=1,0,D357*B357/100/C357))</f>
        <v/>
      </c>
      <c r="G357">
        <f>IF(A357="","",IF(OR(B357&lt;&gt;B356,C357&lt;&gt;C356,D357&lt;&gt;D356,E357&lt;&gt;E356),G356+1,G356))</f>
        <v/>
      </c>
    </row>
    <row r="358">
      <c r="A358" s="14">
        <f>IF(OR(NOT(ISNUMBER(Ввод!$B$5)),NOT(ISNUMBER(Ввод!$B$6))),"",IF(Ввод!$B$5+356&gt;Ввод!$B$6,"",Ввод!$B$5+356))</f>
        <v/>
      </c>
      <c r="B358">
        <f>IF(A358="","",IFERROR(INDEX(Ввод!$B$12:$B$71,MATCH(A358,Ввод!$D$12:$D$71,1)),""))</f>
        <v/>
      </c>
      <c r="C358">
        <f>IF(A358="","",DATE(YEAR(A358),12,31)-DATE(YEAR(A358),1,1)+1)</f>
        <v/>
      </c>
      <c r="D358">
        <f>IF(A358="","",Ввод!$B$4-SUMIF(Оплаты!$A$6:$A$505,"&lt;"&amp;A358,Оплаты!$B$6:$B$505))</f>
        <v/>
      </c>
      <c r="E358">
        <f>IF(A358="","",IF(SUMPRODUCT((Ввод!$F$12:$F$31&lt;&gt;"")*(Ввод!$F$12:$F$31&lt;=A358)*(Ввод!$G$12:$G$31&gt;=A358))&gt;0,1,0))</f>
        <v/>
      </c>
      <c r="F358">
        <f>IF(OR(A358="",B358=""),"",IF(E358=1,0,D358*B358/100/C358))</f>
        <v/>
      </c>
      <c r="G358">
        <f>IF(A358="","",IF(OR(B358&lt;&gt;B357,C358&lt;&gt;C357,D358&lt;&gt;D357,E358&lt;&gt;E357),G357+1,G357))</f>
        <v/>
      </c>
    </row>
    <row r="359">
      <c r="A359" s="14">
        <f>IF(OR(NOT(ISNUMBER(Ввод!$B$5)),NOT(ISNUMBER(Ввод!$B$6))),"",IF(Ввод!$B$5+357&gt;Ввод!$B$6,"",Ввод!$B$5+357))</f>
        <v/>
      </c>
      <c r="B359">
        <f>IF(A359="","",IFERROR(INDEX(Ввод!$B$12:$B$71,MATCH(A359,Ввод!$D$12:$D$71,1)),""))</f>
        <v/>
      </c>
      <c r="C359">
        <f>IF(A359="","",DATE(YEAR(A359),12,31)-DATE(YEAR(A359),1,1)+1)</f>
        <v/>
      </c>
      <c r="D359">
        <f>IF(A359="","",Ввод!$B$4-SUMIF(Оплаты!$A$6:$A$505,"&lt;"&amp;A359,Оплаты!$B$6:$B$505))</f>
        <v/>
      </c>
      <c r="E359">
        <f>IF(A359="","",IF(SUMPRODUCT((Ввод!$F$12:$F$31&lt;&gt;"")*(Ввод!$F$12:$F$31&lt;=A359)*(Ввод!$G$12:$G$31&gt;=A359))&gt;0,1,0))</f>
        <v/>
      </c>
      <c r="F359">
        <f>IF(OR(A359="",B359=""),"",IF(E359=1,0,D359*B359/100/C359))</f>
        <v/>
      </c>
      <c r="G359">
        <f>IF(A359="","",IF(OR(B359&lt;&gt;B358,C359&lt;&gt;C358,D359&lt;&gt;D358,E359&lt;&gt;E358),G358+1,G358))</f>
        <v/>
      </c>
    </row>
    <row r="360">
      <c r="A360" s="14">
        <f>IF(OR(NOT(ISNUMBER(Ввод!$B$5)),NOT(ISNUMBER(Ввод!$B$6))),"",IF(Ввод!$B$5+358&gt;Ввод!$B$6,"",Ввод!$B$5+358))</f>
        <v/>
      </c>
      <c r="B360">
        <f>IF(A360="","",IFERROR(INDEX(Ввод!$B$12:$B$71,MATCH(A360,Ввод!$D$12:$D$71,1)),""))</f>
        <v/>
      </c>
      <c r="C360">
        <f>IF(A360="","",DATE(YEAR(A360),12,31)-DATE(YEAR(A360),1,1)+1)</f>
        <v/>
      </c>
      <c r="D360">
        <f>IF(A360="","",Ввод!$B$4-SUMIF(Оплаты!$A$6:$A$505,"&lt;"&amp;A360,Оплаты!$B$6:$B$505))</f>
        <v/>
      </c>
      <c r="E360">
        <f>IF(A360="","",IF(SUMPRODUCT((Ввод!$F$12:$F$31&lt;&gt;"")*(Ввод!$F$12:$F$31&lt;=A360)*(Ввод!$G$12:$G$31&gt;=A360))&gt;0,1,0))</f>
        <v/>
      </c>
      <c r="F360">
        <f>IF(OR(A360="",B360=""),"",IF(E360=1,0,D360*B360/100/C360))</f>
        <v/>
      </c>
      <c r="G360">
        <f>IF(A360="","",IF(OR(B360&lt;&gt;B359,C360&lt;&gt;C359,D360&lt;&gt;D359,E360&lt;&gt;E359),G359+1,G359))</f>
        <v/>
      </c>
    </row>
    <row r="361">
      <c r="A361" s="14">
        <f>IF(OR(NOT(ISNUMBER(Ввод!$B$5)),NOT(ISNUMBER(Ввод!$B$6))),"",IF(Ввод!$B$5+359&gt;Ввод!$B$6,"",Ввод!$B$5+359))</f>
        <v/>
      </c>
      <c r="B361">
        <f>IF(A361="","",IFERROR(INDEX(Ввод!$B$12:$B$71,MATCH(A361,Ввод!$D$12:$D$71,1)),""))</f>
        <v/>
      </c>
      <c r="C361">
        <f>IF(A361="","",DATE(YEAR(A361),12,31)-DATE(YEAR(A361),1,1)+1)</f>
        <v/>
      </c>
      <c r="D361">
        <f>IF(A361="","",Ввод!$B$4-SUMIF(Оплаты!$A$6:$A$505,"&lt;"&amp;A361,Оплаты!$B$6:$B$505))</f>
        <v/>
      </c>
      <c r="E361">
        <f>IF(A361="","",IF(SUMPRODUCT((Ввод!$F$12:$F$31&lt;&gt;"")*(Ввод!$F$12:$F$31&lt;=A361)*(Ввод!$G$12:$G$31&gt;=A361))&gt;0,1,0))</f>
        <v/>
      </c>
      <c r="F361">
        <f>IF(OR(A361="",B361=""),"",IF(E361=1,0,D361*B361/100/C361))</f>
        <v/>
      </c>
      <c r="G361">
        <f>IF(A361="","",IF(OR(B361&lt;&gt;B360,C361&lt;&gt;C360,D361&lt;&gt;D360,E361&lt;&gt;E360),G360+1,G360))</f>
        <v/>
      </c>
    </row>
    <row r="362">
      <c r="A362" s="14">
        <f>IF(OR(NOT(ISNUMBER(Ввод!$B$5)),NOT(ISNUMBER(Ввод!$B$6))),"",IF(Ввод!$B$5+360&gt;Ввод!$B$6,"",Ввод!$B$5+360))</f>
        <v/>
      </c>
      <c r="B362">
        <f>IF(A362="","",IFERROR(INDEX(Ввод!$B$12:$B$71,MATCH(A362,Ввод!$D$12:$D$71,1)),""))</f>
        <v/>
      </c>
      <c r="C362">
        <f>IF(A362="","",DATE(YEAR(A362),12,31)-DATE(YEAR(A362),1,1)+1)</f>
        <v/>
      </c>
      <c r="D362">
        <f>IF(A362="","",Ввод!$B$4-SUMIF(Оплаты!$A$6:$A$505,"&lt;"&amp;A362,Оплаты!$B$6:$B$505))</f>
        <v/>
      </c>
      <c r="E362">
        <f>IF(A362="","",IF(SUMPRODUCT((Ввод!$F$12:$F$31&lt;&gt;"")*(Ввод!$F$12:$F$31&lt;=A362)*(Ввод!$G$12:$G$31&gt;=A362))&gt;0,1,0))</f>
        <v/>
      </c>
      <c r="F362">
        <f>IF(OR(A362="",B362=""),"",IF(E362=1,0,D362*B362/100/C362))</f>
        <v/>
      </c>
      <c r="G362">
        <f>IF(A362="","",IF(OR(B362&lt;&gt;B361,C362&lt;&gt;C361,D362&lt;&gt;D361,E362&lt;&gt;E361),G361+1,G361))</f>
        <v/>
      </c>
    </row>
    <row r="363">
      <c r="A363" s="14">
        <f>IF(OR(NOT(ISNUMBER(Ввод!$B$5)),NOT(ISNUMBER(Ввод!$B$6))),"",IF(Ввод!$B$5+361&gt;Ввод!$B$6,"",Ввод!$B$5+361))</f>
        <v/>
      </c>
      <c r="B363">
        <f>IF(A363="","",IFERROR(INDEX(Ввод!$B$12:$B$71,MATCH(A363,Ввод!$D$12:$D$71,1)),""))</f>
        <v/>
      </c>
      <c r="C363">
        <f>IF(A363="","",DATE(YEAR(A363),12,31)-DATE(YEAR(A363),1,1)+1)</f>
        <v/>
      </c>
      <c r="D363">
        <f>IF(A363="","",Ввод!$B$4-SUMIF(Оплаты!$A$6:$A$505,"&lt;"&amp;A363,Оплаты!$B$6:$B$505))</f>
        <v/>
      </c>
      <c r="E363">
        <f>IF(A363="","",IF(SUMPRODUCT((Ввод!$F$12:$F$31&lt;&gt;"")*(Ввод!$F$12:$F$31&lt;=A363)*(Ввод!$G$12:$G$31&gt;=A363))&gt;0,1,0))</f>
        <v/>
      </c>
      <c r="F363">
        <f>IF(OR(A363="",B363=""),"",IF(E363=1,0,D363*B363/100/C363))</f>
        <v/>
      </c>
      <c r="G363">
        <f>IF(A363="","",IF(OR(B363&lt;&gt;B362,C363&lt;&gt;C362,D363&lt;&gt;D362,E363&lt;&gt;E362),G362+1,G362))</f>
        <v/>
      </c>
    </row>
    <row r="364">
      <c r="A364" s="14">
        <f>IF(OR(NOT(ISNUMBER(Ввод!$B$5)),NOT(ISNUMBER(Ввод!$B$6))),"",IF(Ввод!$B$5+362&gt;Ввод!$B$6,"",Ввод!$B$5+362))</f>
        <v/>
      </c>
      <c r="B364">
        <f>IF(A364="","",IFERROR(INDEX(Ввод!$B$12:$B$71,MATCH(A364,Ввод!$D$12:$D$71,1)),""))</f>
        <v/>
      </c>
      <c r="C364">
        <f>IF(A364="","",DATE(YEAR(A364),12,31)-DATE(YEAR(A364),1,1)+1)</f>
        <v/>
      </c>
      <c r="D364">
        <f>IF(A364="","",Ввод!$B$4-SUMIF(Оплаты!$A$6:$A$505,"&lt;"&amp;A364,Оплаты!$B$6:$B$505))</f>
        <v/>
      </c>
      <c r="E364">
        <f>IF(A364="","",IF(SUMPRODUCT((Ввод!$F$12:$F$31&lt;&gt;"")*(Ввод!$F$12:$F$31&lt;=A364)*(Ввод!$G$12:$G$31&gt;=A364))&gt;0,1,0))</f>
        <v/>
      </c>
      <c r="F364">
        <f>IF(OR(A364="",B364=""),"",IF(E364=1,0,D364*B364/100/C364))</f>
        <v/>
      </c>
      <c r="G364">
        <f>IF(A364="","",IF(OR(B364&lt;&gt;B363,C364&lt;&gt;C363,D364&lt;&gt;D363,E364&lt;&gt;E363),G363+1,G363))</f>
        <v/>
      </c>
    </row>
    <row r="365">
      <c r="A365" s="14">
        <f>IF(OR(NOT(ISNUMBER(Ввод!$B$5)),NOT(ISNUMBER(Ввод!$B$6))),"",IF(Ввод!$B$5+363&gt;Ввод!$B$6,"",Ввод!$B$5+363))</f>
        <v/>
      </c>
      <c r="B365">
        <f>IF(A365="","",IFERROR(INDEX(Ввод!$B$12:$B$71,MATCH(A365,Ввод!$D$12:$D$71,1)),""))</f>
        <v/>
      </c>
      <c r="C365">
        <f>IF(A365="","",DATE(YEAR(A365),12,31)-DATE(YEAR(A365),1,1)+1)</f>
        <v/>
      </c>
      <c r="D365">
        <f>IF(A365="","",Ввод!$B$4-SUMIF(Оплаты!$A$6:$A$505,"&lt;"&amp;A365,Оплаты!$B$6:$B$505))</f>
        <v/>
      </c>
      <c r="E365">
        <f>IF(A365="","",IF(SUMPRODUCT((Ввод!$F$12:$F$31&lt;&gt;"")*(Ввод!$F$12:$F$31&lt;=A365)*(Ввод!$G$12:$G$31&gt;=A365))&gt;0,1,0))</f>
        <v/>
      </c>
      <c r="F365">
        <f>IF(OR(A365="",B365=""),"",IF(E365=1,0,D365*B365/100/C365))</f>
        <v/>
      </c>
      <c r="G365">
        <f>IF(A365="","",IF(OR(B365&lt;&gt;B364,C365&lt;&gt;C364,D365&lt;&gt;D364,E365&lt;&gt;E364),G364+1,G364))</f>
        <v/>
      </c>
    </row>
    <row r="366">
      <c r="A366" s="14">
        <f>IF(OR(NOT(ISNUMBER(Ввод!$B$5)),NOT(ISNUMBER(Ввод!$B$6))),"",IF(Ввод!$B$5+364&gt;Ввод!$B$6,"",Ввод!$B$5+364))</f>
        <v/>
      </c>
      <c r="B366">
        <f>IF(A366="","",IFERROR(INDEX(Ввод!$B$12:$B$71,MATCH(A366,Ввод!$D$12:$D$71,1)),""))</f>
        <v/>
      </c>
      <c r="C366">
        <f>IF(A366="","",DATE(YEAR(A366),12,31)-DATE(YEAR(A366),1,1)+1)</f>
        <v/>
      </c>
      <c r="D366">
        <f>IF(A366="","",Ввод!$B$4-SUMIF(Оплаты!$A$6:$A$505,"&lt;"&amp;A366,Оплаты!$B$6:$B$505))</f>
        <v/>
      </c>
      <c r="E366">
        <f>IF(A366="","",IF(SUMPRODUCT((Ввод!$F$12:$F$31&lt;&gt;"")*(Ввод!$F$12:$F$31&lt;=A366)*(Ввод!$G$12:$G$31&gt;=A366))&gt;0,1,0))</f>
        <v/>
      </c>
      <c r="F366">
        <f>IF(OR(A366="",B366=""),"",IF(E366=1,0,D366*B366/100/C366))</f>
        <v/>
      </c>
      <c r="G366">
        <f>IF(A366="","",IF(OR(B366&lt;&gt;B365,C366&lt;&gt;C365,D366&lt;&gt;D365,E366&lt;&gt;E365),G365+1,G365))</f>
        <v/>
      </c>
    </row>
    <row r="367">
      <c r="A367" s="14">
        <f>IF(OR(NOT(ISNUMBER(Ввод!$B$5)),NOT(ISNUMBER(Ввод!$B$6))),"",IF(Ввод!$B$5+365&gt;Ввод!$B$6,"",Ввод!$B$5+365))</f>
        <v/>
      </c>
      <c r="B367">
        <f>IF(A367="","",IFERROR(INDEX(Ввод!$B$12:$B$71,MATCH(A367,Ввод!$D$12:$D$71,1)),""))</f>
        <v/>
      </c>
      <c r="C367">
        <f>IF(A367="","",DATE(YEAR(A367),12,31)-DATE(YEAR(A367),1,1)+1)</f>
        <v/>
      </c>
      <c r="D367">
        <f>IF(A367="","",Ввод!$B$4-SUMIF(Оплаты!$A$6:$A$505,"&lt;"&amp;A367,Оплаты!$B$6:$B$505))</f>
        <v/>
      </c>
      <c r="E367">
        <f>IF(A367="","",IF(SUMPRODUCT((Ввод!$F$12:$F$31&lt;&gt;"")*(Ввод!$F$12:$F$31&lt;=A367)*(Ввод!$G$12:$G$31&gt;=A367))&gt;0,1,0))</f>
        <v/>
      </c>
      <c r="F367">
        <f>IF(OR(A367="",B367=""),"",IF(E367=1,0,D367*B367/100/C367))</f>
        <v/>
      </c>
      <c r="G367">
        <f>IF(A367="","",IF(OR(B367&lt;&gt;B366,C367&lt;&gt;C366,D367&lt;&gt;D366,E367&lt;&gt;E366),G366+1,G366))</f>
        <v/>
      </c>
    </row>
    <row r="368">
      <c r="A368" s="14">
        <f>IF(OR(NOT(ISNUMBER(Ввод!$B$5)),NOT(ISNUMBER(Ввод!$B$6))),"",IF(Ввод!$B$5+366&gt;Ввод!$B$6,"",Ввод!$B$5+366))</f>
        <v/>
      </c>
      <c r="B368">
        <f>IF(A368="","",IFERROR(INDEX(Ввод!$B$12:$B$71,MATCH(A368,Ввод!$D$12:$D$71,1)),""))</f>
        <v/>
      </c>
      <c r="C368">
        <f>IF(A368="","",DATE(YEAR(A368),12,31)-DATE(YEAR(A368),1,1)+1)</f>
        <v/>
      </c>
      <c r="D368">
        <f>IF(A368="","",Ввод!$B$4-SUMIF(Оплаты!$A$6:$A$505,"&lt;"&amp;A368,Оплаты!$B$6:$B$505))</f>
        <v/>
      </c>
      <c r="E368">
        <f>IF(A368="","",IF(SUMPRODUCT((Ввод!$F$12:$F$31&lt;&gt;"")*(Ввод!$F$12:$F$31&lt;=A368)*(Ввод!$G$12:$G$31&gt;=A368))&gt;0,1,0))</f>
        <v/>
      </c>
      <c r="F368">
        <f>IF(OR(A368="",B368=""),"",IF(E368=1,0,D368*B368/100/C368))</f>
        <v/>
      </c>
      <c r="G368">
        <f>IF(A368="","",IF(OR(B368&lt;&gt;B367,C368&lt;&gt;C367,D368&lt;&gt;D367,E368&lt;&gt;E367),G367+1,G367))</f>
        <v/>
      </c>
    </row>
    <row r="369">
      <c r="A369" s="14">
        <f>IF(OR(NOT(ISNUMBER(Ввод!$B$5)),NOT(ISNUMBER(Ввод!$B$6))),"",IF(Ввод!$B$5+367&gt;Ввод!$B$6,"",Ввод!$B$5+367))</f>
        <v/>
      </c>
      <c r="B369">
        <f>IF(A369="","",IFERROR(INDEX(Ввод!$B$12:$B$71,MATCH(A369,Ввод!$D$12:$D$71,1)),""))</f>
        <v/>
      </c>
      <c r="C369">
        <f>IF(A369="","",DATE(YEAR(A369),12,31)-DATE(YEAR(A369),1,1)+1)</f>
        <v/>
      </c>
      <c r="D369">
        <f>IF(A369="","",Ввод!$B$4-SUMIF(Оплаты!$A$6:$A$505,"&lt;"&amp;A369,Оплаты!$B$6:$B$505))</f>
        <v/>
      </c>
      <c r="E369">
        <f>IF(A369="","",IF(SUMPRODUCT((Ввод!$F$12:$F$31&lt;&gt;"")*(Ввод!$F$12:$F$31&lt;=A369)*(Ввод!$G$12:$G$31&gt;=A369))&gt;0,1,0))</f>
        <v/>
      </c>
      <c r="F369">
        <f>IF(OR(A369="",B369=""),"",IF(E369=1,0,D369*B369/100/C369))</f>
        <v/>
      </c>
      <c r="G369">
        <f>IF(A369="","",IF(OR(B369&lt;&gt;B368,C369&lt;&gt;C368,D369&lt;&gt;D368,E369&lt;&gt;E368),G368+1,G368))</f>
        <v/>
      </c>
    </row>
    <row r="370">
      <c r="A370" s="14">
        <f>IF(OR(NOT(ISNUMBER(Ввод!$B$5)),NOT(ISNUMBER(Ввод!$B$6))),"",IF(Ввод!$B$5+368&gt;Ввод!$B$6,"",Ввод!$B$5+368))</f>
        <v/>
      </c>
      <c r="B370">
        <f>IF(A370="","",IFERROR(INDEX(Ввод!$B$12:$B$71,MATCH(A370,Ввод!$D$12:$D$71,1)),""))</f>
        <v/>
      </c>
      <c r="C370">
        <f>IF(A370="","",DATE(YEAR(A370),12,31)-DATE(YEAR(A370),1,1)+1)</f>
        <v/>
      </c>
      <c r="D370">
        <f>IF(A370="","",Ввод!$B$4-SUMIF(Оплаты!$A$6:$A$505,"&lt;"&amp;A370,Оплаты!$B$6:$B$505))</f>
        <v/>
      </c>
      <c r="E370">
        <f>IF(A370="","",IF(SUMPRODUCT((Ввод!$F$12:$F$31&lt;&gt;"")*(Ввод!$F$12:$F$31&lt;=A370)*(Ввод!$G$12:$G$31&gt;=A370))&gt;0,1,0))</f>
        <v/>
      </c>
      <c r="F370">
        <f>IF(OR(A370="",B370=""),"",IF(E370=1,0,D370*B370/100/C370))</f>
        <v/>
      </c>
      <c r="G370">
        <f>IF(A370="","",IF(OR(B370&lt;&gt;B369,C370&lt;&gt;C369,D370&lt;&gt;D369,E370&lt;&gt;E369),G369+1,G369))</f>
        <v/>
      </c>
    </row>
    <row r="371">
      <c r="A371" s="14">
        <f>IF(OR(NOT(ISNUMBER(Ввод!$B$5)),NOT(ISNUMBER(Ввод!$B$6))),"",IF(Ввод!$B$5+369&gt;Ввод!$B$6,"",Ввод!$B$5+369))</f>
        <v/>
      </c>
      <c r="B371">
        <f>IF(A371="","",IFERROR(INDEX(Ввод!$B$12:$B$71,MATCH(A371,Ввод!$D$12:$D$71,1)),""))</f>
        <v/>
      </c>
      <c r="C371">
        <f>IF(A371="","",DATE(YEAR(A371),12,31)-DATE(YEAR(A371),1,1)+1)</f>
        <v/>
      </c>
      <c r="D371">
        <f>IF(A371="","",Ввод!$B$4-SUMIF(Оплаты!$A$6:$A$505,"&lt;"&amp;A371,Оплаты!$B$6:$B$505))</f>
        <v/>
      </c>
      <c r="E371">
        <f>IF(A371="","",IF(SUMPRODUCT((Ввод!$F$12:$F$31&lt;&gt;"")*(Ввод!$F$12:$F$31&lt;=A371)*(Ввод!$G$12:$G$31&gt;=A371))&gt;0,1,0))</f>
        <v/>
      </c>
      <c r="F371">
        <f>IF(OR(A371="",B371=""),"",IF(E371=1,0,D371*B371/100/C371))</f>
        <v/>
      </c>
      <c r="G371">
        <f>IF(A371="","",IF(OR(B371&lt;&gt;B370,C371&lt;&gt;C370,D371&lt;&gt;D370,E371&lt;&gt;E370),G370+1,G370))</f>
        <v/>
      </c>
    </row>
    <row r="372">
      <c r="A372" s="14">
        <f>IF(OR(NOT(ISNUMBER(Ввод!$B$5)),NOT(ISNUMBER(Ввод!$B$6))),"",IF(Ввод!$B$5+370&gt;Ввод!$B$6,"",Ввод!$B$5+370))</f>
        <v/>
      </c>
      <c r="B372">
        <f>IF(A372="","",IFERROR(INDEX(Ввод!$B$12:$B$71,MATCH(A372,Ввод!$D$12:$D$71,1)),""))</f>
        <v/>
      </c>
      <c r="C372">
        <f>IF(A372="","",DATE(YEAR(A372),12,31)-DATE(YEAR(A372),1,1)+1)</f>
        <v/>
      </c>
      <c r="D372">
        <f>IF(A372="","",Ввод!$B$4-SUMIF(Оплаты!$A$6:$A$505,"&lt;"&amp;A372,Оплаты!$B$6:$B$505))</f>
        <v/>
      </c>
      <c r="E372">
        <f>IF(A372="","",IF(SUMPRODUCT((Ввод!$F$12:$F$31&lt;&gt;"")*(Ввод!$F$12:$F$31&lt;=A372)*(Ввод!$G$12:$G$31&gt;=A372))&gt;0,1,0))</f>
        <v/>
      </c>
      <c r="F372">
        <f>IF(OR(A372="",B372=""),"",IF(E372=1,0,D372*B372/100/C372))</f>
        <v/>
      </c>
      <c r="G372">
        <f>IF(A372="","",IF(OR(B372&lt;&gt;B371,C372&lt;&gt;C371,D372&lt;&gt;D371,E372&lt;&gt;E371),G371+1,G371))</f>
        <v/>
      </c>
    </row>
    <row r="373">
      <c r="A373" s="14">
        <f>IF(OR(NOT(ISNUMBER(Ввод!$B$5)),NOT(ISNUMBER(Ввод!$B$6))),"",IF(Ввод!$B$5+371&gt;Ввод!$B$6,"",Ввод!$B$5+371))</f>
        <v/>
      </c>
      <c r="B373">
        <f>IF(A373="","",IFERROR(INDEX(Ввод!$B$12:$B$71,MATCH(A373,Ввод!$D$12:$D$71,1)),""))</f>
        <v/>
      </c>
      <c r="C373">
        <f>IF(A373="","",DATE(YEAR(A373),12,31)-DATE(YEAR(A373),1,1)+1)</f>
        <v/>
      </c>
      <c r="D373">
        <f>IF(A373="","",Ввод!$B$4-SUMIF(Оплаты!$A$6:$A$505,"&lt;"&amp;A373,Оплаты!$B$6:$B$505))</f>
        <v/>
      </c>
      <c r="E373">
        <f>IF(A373="","",IF(SUMPRODUCT((Ввод!$F$12:$F$31&lt;&gt;"")*(Ввод!$F$12:$F$31&lt;=A373)*(Ввод!$G$12:$G$31&gt;=A373))&gt;0,1,0))</f>
        <v/>
      </c>
      <c r="F373">
        <f>IF(OR(A373="",B373=""),"",IF(E373=1,0,D373*B373/100/C373))</f>
        <v/>
      </c>
      <c r="G373">
        <f>IF(A373="","",IF(OR(B373&lt;&gt;B372,C373&lt;&gt;C372,D373&lt;&gt;D372,E373&lt;&gt;E372),G372+1,G372))</f>
        <v/>
      </c>
    </row>
    <row r="374">
      <c r="A374" s="14">
        <f>IF(OR(NOT(ISNUMBER(Ввод!$B$5)),NOT(ISNUMBER(Ввод!$B$6))),"",IF(Ввод!$B$5+372&gt;Ввод!$B$6,"",Ввод!$B$5+372))</f>
        <v/>
      </c>
      <c r="B374">
        <f>IF(A374="","",IFERROR(INDEX(Ввод!$B$12:$B$71,MATCH(A374,Ввод!$D$12:$D$71,1)),""))</f>
        <v/>
      </c>
      <c r="C374">
        <f>IF(A374="","",DATE(YEAR(A374),12,31)-DATE(YEAR(A374),1,1)+1)</f>
        <v/>
      </c>
      <c r="D374">
        <f>IF(A374="","",Ввод!$B$4-SUMIF(Оплаты!$A$6:$A$505,"&lt;"&amp;A374,Оплаты!$B$6:$B$505))</f>
        <v/>
      </c>
      <c r="E374">
        <f>IF(A374="","",IF(SUMPRODUCT((Ввод!$F$12:$F$31&lt;&gt;"")*(Ввод!$F$12:$F$31&lt;=A374)*(Ввод!$G$12:$G$31&gt;=A374))&gt;0,1,0))</f>
        <v/>
      </c>
      <c r="F374">
        <f>IF(OR(A374="",B374=""),"",IF(E374=1,0,D374*B374/100/C374))</f>
        <v/>
      </c>
      <c r="G374">
        <f>IF(A374="","",IF(OR(B374&lt;&gt;B373,C374&lt;&gt;C373,D374&lt;&gt;D373,E374&lt;&gt;E373),G373+1,G373))</f>
        <v/>
      </c>
    </row>
    <row r="375">
      <c r="A375" s="14">
        <f>IF(OR(NOT(ISNUMBER(Ввод!$B$5)),NOT(ISNUMBER(Ввод!$B$6))),"",IF(Ввод!$B$5+373&gt;Ввод!$B$6,"",Ввод!$B$5+373))</f>
        <v/>
      </c>
      <c r="B375">
        <f>IF(A375="","",IFERROR(INDEX(Ввод!$B$12:$B$71,MATCH(A375,Ввод!$D$12:$D$71,1)),""))</f>
        <v/>
      </c>
      <c r="C375">
        <f>IF(A375="","",DATE(YEAR(A375),12,31)-DATE(YEAR(A375),1,1)+1)</f>
        <v/>
      </c>
      <c r="D375">
        <f>IF(A375="","",Ввод!$B$4-SUMIF(Оплаты!$A$6:$A$505,"&lt;"&amp;A375,Оплаты!$B$6:$B$505))</f>
        <v/>
      </c>
      <c r="E375">
        <f>IF(A375="","",IF(SUMPRODUCT((Ввод!$F$12:$F$31&lt;&gt;"")*(Ввод!$F$12:$F$31&lt;=A375)*(Ввод!$G$12:$G$31&gt;=A375))&gt;0,1,0))</f>
        <v/>
      </c>
      <c r="F375">
        <f>IF(OR(A375="",B375=""),"",IF(E375=1,0,D375*B375/100/C375))</f>
        <v/>
      </c>
      <c r="G375">
        <f>IF(A375="","",IF(OR(B375&lt;&gt;B374,C375&lt;&gt;C374,D375&lt;&gt;D374,E375&lt;&gt;E374),G374+1,G374))</f>
        <v/>
      </c>
    </row>
    <row r="376">
      <c r="A376" s="14">
        <f>IF(OR(NOT(ISNUMBER(Ввод!$B$5)),NOT(ISNUMBER(Ввод!$B$6))),"",IF(Ввод!$B$5+374&gt;Ввод!$B$6,"",Ввод!$B$5+374))</f>
        <v/>
      </c>
      <c r="B376">
        <f>IF(A376="","",IFERROR(INDEX(Ввод!$B$12:$B$71,MATCH(A376,Ввод!$D$12:$D$71,1)),""))</f>
        <v/>
      </c>
      <c r="C376">
        <f>IF(A376="","",DATE(YEAR(A376),12,31)-DATE(YEAR(A376),1,1)+1)</f>
        <v/>
      </c>
      <c r="D376">
        <f>IF(A376="","",Ввод!$B$4-SUMIF(Оплаты!$A$6:$A$505,"&lt;"&amp;A376,Оплаты!$B$6:$B$505))</f>
        <v/>
      </c>
      <c r="E376">
        <f>IF(A376="","",IF(SUMPRODUCT((Ввод!$F$12:$F$31&lt;&gt;"")*(Ввод!$F$12:$F$31&lt;=A376)*(Ввод!$G$12:$G$31&gt;=A376))&gt;0,1,0))</f>
        <v/>
      </c>
      <c r="F376">
        <f>IF(OR(A376="",B376=""),"",IF(E376=1,0,D376*B376/100/C376))</f>
        <v/>
      </c>
      <c r="G376">
        <f>IF(A376="","",IF(OR(B376&lt;&gt;B375,C376&lt;&gt;C375,D376&lt;&gt;D375,E376&lt;&gt;E375),G375+1,G375))</f>
        <v/>
      </c>
    </row>
    <row r="377">
      <c r="A377" s="14">
        <f>IF(OR(NOT(ISNUMBER(Ввод!$B$5)),NOT(ISNUMBER(Ввод!$B$6))),"",IF(Ввод!$B$5+375&gt;Ввод!$B$6,"",Ввод!$B$5+375))</f>
        <v/>
      </c>
      <c r="B377">
        <f>IF(A377="","",IFERROR(INDEX(Ввод!$B$12:$B$71,MATCH(A377,Ввод!$D$12:$D$71,1)),""))</f>
        <v/>
      </c>
      <c r="C377">
        <f>IF(A377="","",DATE(YEAR(A377),12,31)-DATE(YEAR(A377),1,1)+1)</f>
        <v/>
      </c>
      <c r="D377">
        <f>IF(A377="","",Ввод!$B$4-SUMIF(Оплаты!$A$6:$A$505,"&lt;"&amp;A377,Оплаты!$B$6:$B$505))</f>
        <v/>
      </c>
      <c r="E377">
        <f>IF(A377="","",IF(SUMPRODUCT((Ввод!$F$12:$F$31&lt;&gt;"")*(Ввод!$F$12:$F$31&lt;=A377)*(Ввод!$G$12:$G$31&gt;=A377))&gt;0,1,0))</f>
        <v/>
      </c>
      <c r="F377">
        <f>IF(OR(A377="",B377=""),"",IF(E377=1,0,D377*B377/100/C377))</f>
        <v/>
      </c>
      <c r="G377">
        <f>IF(A377="","",IF(OR(B377&lt;&gt;B376,C377&lt;&gt;C376,D377&lt;&gt;D376,E377&lt;&gt;E376),G376+1,G376))</f>
        <v/>
      </c>
    </row>
    <row r="378">
      <c r="A378" s="14">
        <f>IF(OR(NOT(ISNUMBER(Ввод!$B$5)),NOT(ISNUMBER(Ввод!$B$6))),"",IF(Ввод!$B$5+376&gt;Ввод!$B$6,"",Ввод!$B$5+376))</f>
        <v/>
      </c>
      <c r="B378">
        <f>IF(A378="","",IFERROR(INDEX(Ввод!$B$12:$B$71,MATCH(A378,Ввод!$D$12:$D$71,1)),""))</f>
        <v/>
      </c>
      <c r="C378">
        <f>IF(A378="","",DATE(YEAR(A378),12,31)-DATE(YEAR(A378),1,1)+1)</f>
        <v/>
      </c>
      <c r="D378">
        <f>IF(A378="","",Ввод!$B$4-SUMIF(Оплаты!$A$6:$A$505,"&lt;"&amp;A378,Оплаты!$B$6:$B$505))</f>
        <v/>
      </c>
      <c r="E378">
        <f>IF(A378="","",IF(SUMPRODUCT((Ввод!$F$12:$F$31&lt;&gt;"")*(Ввод!$F$12:$F$31&lt;=A378)*(Ввод!$G$12:$G$31&gt;=A378))&gt;0,1,0))</f>
        <v/>
      </c>
      <c r="F378">
        <f>IF(OR(A378="",B378=""),"",IF(E378=1,0,D378*B378/100/C378))</f>
        <v/>
      </c>
      <c r="G378">
        <f>IF(A378="","",IF(OR(B378&lt;&gt;B377,C378&lt;&gt;C377,D378&lt;&gt;D377,E378&lt;&gt;E377),G377+1,G377))</f>
        <v/>
      </c>
    </row>
    <row r="379">
      <c r="A379" s="14">
        <f>IF(OR(NOT(ISNUMBER(Ввод!$B$5)),NOT(ISNUMBER(Ввод!$B$6))),"",IF(Ввод!$B$5+377&gt;Ввод!$B$6,"",Ввод!$B$5+377))</f>
        <v/>
      </c>
      <c r="B379">
        <f>IF(A379="","",IFERROR(INDEX(Ввод!$B$12:$B$71,MATCH(A379,Ввод!$D$12:$D$71,1)),""))</f>
        <v/>
      </c>
      <c r="C379">
        <f>IF(A379="","",DATE(YEAR(A379),12,31)-DATE(YEAR(A379),1,1)+1)</f>
        <v/>
      </c>
      <c r="D379">
        <f>IF(A379="","",Ввод!$B$4-SUMIF(Оплаты!$A$6:$A$505,"&lt;"&amp;A379,Оплаты!$B$6:$B$505))</f>
        <v/>
      </c>
      <c r="E379">
        <f>IF(A379="","",IF(SUMPRODUCT((Ввод!$F$12:$F$31&lt;&gt;"")*(Ввод!$F$12:$F$31&lt;=A379)*(Ввод!$G$12:$G$31&gt;=A379))&gt;0,1,0))</f>
        <v/>
      </c>
      <c r="F379">
        <f>IF(OR(A379="",B379=""),"",IF(E379=1,0,D379*B379/100/C379))</f>
        <v/>
      </c>
      <c r="G379">
        <f>IF(A379="","",IF(OR(B379&lt;&gt;B378,C379&lt;&gt;C378,D379&lt;&gt;D378,E379&lt;&gt;E378),G378+1,G378))</f>
        <v/>
      </c>
    </row>
    <row r="380">
      <c r="A380" s="14">
        <f>IF(OR(NOT(ISNUMBER(Ввод!$B$5)),NOT(ISNUMBER(Ввод!$B$6))),"",IF(Ввод!$B$5+378&gt;Ввод!$B$6,"",Ввод!$B$5+378))</f>
        <v/>
      </c>
      <c r="B380">
        <f>IF(A380="","",IFERROR(INDEX(Ввод!$B$12:$B$71,MATCH(A380,Ввод!$D$12:$D$71,1)),""))</f>
        <v/>
      </c>
      <c r="C380">
        <f>IF(A380="","",DATE(YEAR(A380),12,31)-DATE(YEAR(A380),1,1)+1)</f>
        <v/>
      </c>
      <c r="D380">
        <f>IF(A380="","",Ввод!$B$4-SUMIF(Оплаты!$A$6:$A$505,"&lt;"&amp;A380,Оплаты!$B$6:$B$505))</f>
        <v/>
      </c>
      <c r="E380">
        <f>IF(A380="","",IF(SUMPRODUCT((Ввод!$F$12:$F$31&lt;&gt;"")*(Ввод!$F$12:$F$31&lt;=A380)*(Ввод!$G$12:$G$31&gt;=A380))&gt;0,1,0))</f>
        <v/>
      </c>
      <c r="F380">
        <f>IF(OR(A380="",B380=""),"",IF(E380=1,0,D380*B380/100/C380))</f>
        <v/>
      </c>
      <c r="G380">
        <f>IF(A380="","",IF(OR(B380&lt;&gt;B379,C380&lt;&gt;C379,D380&lt;&gt;D379,E380&lt;&gt;E379),G379+1,G379))</f>
        <v/>
      </c>
    </row>
    <row r="381">
      <c r="A381" s="14">
        <f>IF(OR(NOT(ISNUMBER(Ввод!$B$5)),NOT(ISNUMBER(Ввод!$B$6))),"",IF(Ввод!$B$5+379&gt;Ввод!$B$6,"",Ввод!$B$5+379))</f>
        <v/>
      </c>
      <c r="B381">
        <f>IF(A381="","",IFERROR(INDEX(Ввод!$B$12:$B$71,MATCH(A381,Ввод!$D$12:$D$71,1)),""))</f>
        <v/>
      </c>
      <c r="C381">
        <f>IF(A381="","",DATE(YEAR(A381),12,31)-DATE(YEAR(A381),1,1)+1)</f>
        <v/>
      </c>
      <c r="D381">
        <f>IF(A381="","",Ввод!$B$4-SUMIF(Оплаты!$A$6:$A$505,"&lt;"&amp;A381,Оплаты!$B$6:$B$505))</f>
        <v/>
      </c>
      <c r="E381">
        <f>IF(A381="","",IF(SUMPRODUCT((Ввод!$F$12:$F$31&lt;&gt;"")*(Ввод!$F$12:$F$31&lt;=A381)*(Ввод!$G$12:$G$31&gt;=A381))&gt;0,1,0))</f>
        <v/>
      </c>
      <c r="F381">
        <f>IF(OR(A381="",B381=""),"",IF(E381=1,0,D381*B381/100/C381))</f>
        <v/>
      </c>
      <c r="G381">
        <f>IF(A381="","",IF(OR(B381&lt;&gt;B380,C381&lt;&gt;C380,D381&lt;&gt;D380,E381&lt;&gt;E380),G380+1,G380))</f>
        <v/>
      </c>
    </row>
    <row r="382">
      <c r="A382" s="14">
        <f>IF(OR(NOT(ISNUMBER(Ввод!$B$5)),NOT(ISNUMBER(Ввод!$B$6))),"",IF(Ввод!$B$5+380&gt;Ввод!$B$6,"",Ввод!$B$5+380))</f>
        <v/>
      </c>
      <c r="B382">
        <f>IF(A382="","",IFERROR(INDEX(Ввод!$B$12:$B$71,MATCH(A382,Ввод!$D$12:$D$71,1)),""))</f>
        <v/>
      </c>
      <c r="C382">
        <f>IF(A382="","",DATE(YEAR(A382),12,31)-DATE(YEAR(A382),1,1)+1)</f>
        <v/>
      </c>
      <c r="D382">
        <f>IF(A382="","",Ввод!$B$4-SUMIF(Оплаты!$A$6:$A$505,"&lt;"&amp;A382,Оплаты!$B$6:$B$505))</f>
        <v/>
      </c>
      <c r="E382">
        <f>IF(A382="","",IF(SUMPRODUCT((Ввод!$F$12:$F$31&lt;&gt;"")*(Ввод!$F$12:$F$31&lt;=A382)*(Ввод!$G$12:$G$31&gt;=A382))&gt;0,1,0))</f>
        <v/>
      </c>
      <c r="F382">
        <f>IF(OR(A382="",B382=""),"",IF(E382=1,0,D382*B382/100/C382))</f>
        <v/>
      </c>
      <c r="G382">
        <f>IF(A382="","",IF(OR(B382&lt;&gt;B381,C382&lt;&gt;C381,D382&lt;&gt;D381,E382&lt;&gt;E381),G381+1,G381))</f>
        <v/>
      </c>
    </row>
    <row r="383">
      <c r="A383" s="14">
        <f>IF(OR(NOT(ISNUMBER(Ввод!$B$5)),NOT(ISNUMBER(Ввод!$B$6))),"",IF(Ввод!$B$5+381&gt;Ввод!$B$6,"",Ввод!$B$5+381))</f>
        <v/>
      </c>
      <c r="B383">
        <f>IF(A383="","",IFERROR(INDEX(Ввод!$B$12:$B$71,MATCH(A383,Ввод!$D$12:$D$71,1)),""))</f>
        <v/>
      </c>
      <c r="C383">
        <f>IF(A383="","",DATE(YEAR(A383),12,31)-DATE(YEAR(A383),1,1)+1)</f>
        <v/>
      </c>
      <c r="D383">
        <f>IF(A383="","",Ввод!$B$4-SUMIF(Оплаты!$A$6:$A$505,"&lt;"&amp;A383,Оплаты!$B$6:$B$505))</f>
        <v/>
      </c>
      <c r="E383">
        <f>IF(A383="","",IF(SUMPRODUCT((Ввод!$F$12:$F$31&lt;&gt;"")*(Ввод!$F$12:$F$31&lt;=A383)*(Ввод!$G$12:$G$31&gt;=A383))&gt;0,1,0))</f>
        <v/>
      </c>
      <c r="F383">
        <f>IF(OR(A383="",B383=""),"",IF(E383=1,0,D383*B383/100/C383))</f>
        <v/>
      </c>
      <c r="G383">
        <f>IF(A383="","",IF(OR(B383&lt;&gt;B382,C383&lt;&gt;C382,D383&lt;&gt;D382,E383&lt;&gt;E382),G382+1,G382))</f>
        <v/>
      </c>
    </row>
    <row r="384">
      <c r="A384" s="14">
        <f>IF(OR(NOT(ISNUMBER(Ввод!$B$5)),NOT(ISNUMBER(Ввод!$B$6))),"",IF(Ввод!$B$5+382&gt;Ввод!$B$6,"",Ввод!$B$5+382))</f>
        <v/>
      </c>
      <c r="B384">
        <f>IF(A384="","",IFERROR(INDEX(Ввод!$B$12:$B$71,MATCH(A384,Ввод!$D$12:$D$71,1)),""))</f>
        <v/>
      </c>
      <c r="C384">
        <f>IF(A384="","",DATE(YEAR(A384),12,31)-DATE(YEAR(A384),1,1)+1)</f>
        <v/>
      </c>
      <c r="D384">
        <f>IF(A384="","",Ввод!$B$4-SUMIF(Оплаты!$A$6:$A$505,"&lt;"&amp;A384,Оплаты!$B$6:$B$505))</f>
        <v/>
      </c>
      <c r="E384">
        <f>IF(A384="","",IF(SUMPRODUCT((Ввод!$F$12:$F$31&lt;&gt;"")*(Ввод!$F$12:$F$31&lt;=A384)*(Ввод!$G$12:$G$31&gt;=A384))&gt;0,1,0))</f>
        <v/>
      </c>
      <c r="F384">
        <f>IF(OR(A384="",B384=""),"",IF(E384=1,0,D384*B384/100/C384))</f>
        <v/>
      </c>
      <c r="G384">
        <f>IF(A384="","",IF(OR(B384&lt;&gt;B383,C384&lt;&gt;C383,D384&lt;&gt;D383,E384&lt;&gt;E383),G383+1,G383))</f>
        <v/>
      </c>
    </row>
    <row r="385">
      <c r="A385" s="14">
        <f>IF(OR(NOT(ISNUMBER(Ввод!$B$5)),NOT(ISNUMBER(Ввод!$B$6))),"",IF(Ввод!$B$5+383&gt;Ввод!$B$6,"",Ввод!$B$5+383))</f>
        <v/>
      </c>
      <c r="B385">
        <f>IF(A385="","",IFERROR(INDEX(Ввод!$B$12:$B$71,MATCH(A385,Ввод!$D$12:$D$71,1)),""))</f>
        <v/>
      </c>
      <c r="C385">
        <f>IF(A385="","",DATE(YEAR(A385),12,31)-DATE(YEAR(A385),1,1)+1)</f>
        <v/>
      </c>
      <c r="D385">
        <f>IF(A385="","",Ввод!$B$4-SUMIF(Оплаты!$A$6:$A$505,"&lt;"&amp;A385,Оплаты!$B$6:$B$505))</f>
        <v/>
      </c>
      <c r="E385">
        <f>IF(A385="","",IF(SUMPRODUCT((Ввод!$F$12:$F$31&lt;&gt;"")*(Ввод!$F$12:$F$31&lt;=A385)*(Ввод!$G$12:$G$31&gt;=A385))&gt;0,1,0))</f>
        <v/>
      </c>
      <c r="F385">
        <f>IF(OR(A385="",B385=""),"",IF(E385=1,0,D385*B385/100/C385))</f>
        <v/>
      </c>
      <c r="G385">
        <f>IF(A385="","",IF(OR(B385&lt;&gt;B384,C385&lt;&gt;C384,D385&lt;&gt;D384,E385&lt;&gt;E384),G384+1,G384))</f>
        <v/>
      </c>
    </row>
    <row r="386">
      <c r="A386" s="14">
        <f>IF(OR(NOT(ISNUMBER(Ввод!$B$5)),NOT(ISNUMBER(Ввод!$B$6))),"",IF(Ввод!$B$5+384&gt;Ввод!$B$6,"",Ввод!$B$5+384))</f>
        <v/>
      </c>
      <c r="B386">
        <f>IF(A386="","",IFERROR(INDEX(Ввод!$B$12:$B$71,MATCH(A386,Ввод!$D$12:$D$71,1)),""))</f>
        <v/>
      </c>
      <c r="C386">
        <f>IF(A386="","",DATE(YEAR(A386),12,31)-DATE(YEAR(A386),1,1)+1)</f>
        <v/>
      </c>
      <c r="D386">
        <f>IF(A386="","",Ввод!$B$4-SUMIF(Оплаты!$A$6:$A$505,"&lt;"&amp;A386,Оплаты!$B$6:$B$505))</f>
        <v/>
      </c>
      <c r="E386">
        <f>IF(A386="","",IF(SUMPRODUCT((Ввод!$F$12:$F$31&lt;&gt;"")*(Ввод!$F$12:$F$31&lt;=A386)*(Ввод!$G$12:$G$31&gt;=A386))&gt;0,1,0))</f>
        <v/>
      </c>
      <c r="F386">
        <f>IF(OR(A386="",B386=""),"",IF(E386=1,0,D386*B386/100/C386))</f>
        <v/>
      </c>
      <c r="G386">
        <f>IF(A386="","",IF(OR(B386&lt;&gt;B385,C386&lt;&gt;C385,D386&lt;&gt;D385,E386&lt;&gt;E385),G385+1,G385))</f>
        <v/>
      </c>
    </row>
    <row r="387">
      <c r="A387" s="14">
        <f>IF(OR(NOT(ISNUMBER(Ввод!$B$5)),NOT(ISNUMBER(Ввод!$B$6))),"",IF(Ввод!$B$5+385&gt;Ввод!$B$6,"",Ввод!$B$5+385))</f>
        <v/>
      </c>
      <c r="B387">
        <f>IF(A387="","",IFERROR(INDEX(Ввод!$B$12:$B$71,MATCH(A387,Ввод!$D$12:$D$71,1)),""))</f>
        <v/>
      </c>
      <c r="C387">
        <f>IF(A387="","",DATE(YEAR(A387),12,31)-DATE(YEAR(A387),1,1)+1)</f>
        <v/>
      </c>
      <c r="D387">
        <f>IF(A387="","",Ввод!$B$4-SUMIF(Оплаты!$A$6:$A$505,"&lt;"&amp;A387,Оплаты!$B$6:$B$505))</f>
        <v/>
      </c>
      <c r="E387">
        <f>IF(A387="","",IF(SUMPRODUCT((Ввод!$F$12:$F$31&lt;&gt;"")*(Ввод!$F$12:$F$31&lt;=A387)*(Ввод!$G$12:$G$31&gt;=A387))&gt;0,1,0))</f>
        <v/>
      </c>
      <c r="F387">
        <f>IF(OR(A387="",B387=""),"",IF(E387=1,0,D387*B387/100/C387))</f>
        <v/>
      </c>
      <c r="G387">
        <f>IF(A387="","",IF(OR(B387&lt;&gt;B386,C387&lt;&gt;C386,D387&lt;&gt;D386,E387&lt;&gt;E386),G386+1,G386))</f>
        <v/>
      </c>
    </row>
    <row r="388">
      <c r="A388" s="14">
        <f>IF(OR(NOT(ISNUMBER(Ввод!$B$5)),NOT(ISNUMBER(Ввод!$B$6))),"",IF(Ввод!$B$5+386&gt;Ввод!$B$6,"",Ввод!$B$5+386))</f>
        <v/>
      </c>
      <c r="B388">
        <f>IF(A388="","",IFERROR(INDEX(Ввод!$B$12:$B$71,MATCH(A388,Ввод!$D$12:$D$71,1)),""))</f>
        <v/>
      </c>
      <c r="C388">
        <f>IF(A388="","",DATE(YEAR(A388),12,31)-DATE(YEAR(A388),1,1)+1)</f>
        <v/>
      </c>
      <c r="D388">
        <f>IF(A388="","",Ввод!$B$4-SUMIF(Оплаты!$A$6:$A$505,"&lt;"&amp;A388,Оплаты!$B$6:$B$505))</f>
        <v/>
      </c>
      <c r="E388">
        <f>IF(A388="","",IF(SUMPRODUCT((Ввод!$F$12:$F$31&lt;&gt;"")*(Ввод!$F$12:$F$31&lt;=A388)*(Ввод!$G$12:$G$31&gt;=A388))&gt;0,1,0))</f>
        <v/>
      </c>
      <c r="F388">
        <f>IF(OR(A388="",B388=""),"",IF(E388=1,0,D388*B388/100/C388))</f>
        <v/>
      </c>
      <c r="G388">
        <f>IF(A388="","",IF(OR(B388&lt;&gt;B387,C388&lt;&gt;C387,D388&lt;&gt;D387,E388&lt;&gt;E387),G387+1,G387))</f>
        <v/>
      </c>
    </row>
    <row r="389">
      <c r="A389" s="14">
        <f>IF(OR(NOT(ISNUMBER(Ввод!$B$5)),NOT(ISNUMBER(Ввод!$B$6))),"",IF(Ввод!$B$5+387&gt;Ввод!$B$6,"",Ввод!$B$5+387))</f>
        <v/>
      </c>
      <c r="B389">
        <f>IF(A389="","",IFERROR(INDEX(Ввод!$B$12:$B$71,MATCH(A389,Ввод!$D$12:$D$71,1)),""))</f>
        <v/>
      </c>
      <c r="C389">
        <f>IF(A389="","",DATE(YEAR(A389),12,31)-DATE(YEAR(A389),1,1)+1)</f>
        <v/>
      </c>
      <c r="D389">
        <f>IF(A389="","",Ввод!$B$4-SUMIF(Оплаты!$A$6:$A$505,"&lt;"&amp;A389,Оплаты!$B$6:$B$505))</f>
        <v/>
      </c>
      <c r="E389">
        <f>IF(A389="","",IF(SUMPRODUCT((Ввод!$F$12:$F$31&lt;&gt;"")*(Ввод!$F$12:$F$31&lt;=A389)*(Ввод!$G$12:$G$31&gt;=A389))&gt;0,1,0))</f>
        <v/>
      </c>
      <c r="F389">
        <f>IF(OR(A389="",B389=""),"",IF(E389=1,0,D389*B389/100/C389))</f>
        <v/>
      </c>
      <c r="G389">
        <f>IF(A389="","",IF(OR(B389&lt;&gt;B388,C389&lt;&gt;C388,D389&lt;&gt;D388,E389&lt;&gt;E388),G388+1,G388))</f>
        <v/>
      </c>
    </row>
    <row r="390">
      <c r="A390" s="14">
        <f>IF(OR(NOT(ISNUMBER(Ввод!$B$5)),NOT(ISNUMBER(Ввод!$B$6))),"",IF(Ввод!$B$5+388&gt;Ввод!$B$6,"",Ввод!$B$5+388))</f>
        <v/>
      </c>
      <c r="B390">
        <f>IF(A390="","",IFERROR(INDEX(Ввод!$B$12:$B$71,MATCH(A390,Ввод!$D$12:$D$71,1)),""))</f>
        <v/>
      </c>
      <c r="C390">
        <f>IF(A390="","",DATE(YEAR(A390),12,31)-DATE(YEAR(A390),1,1)+1)</f>
        <v/>
      </c>
      <c r="D390">
        <f>IF(A390="","",Ввод!$B$4-SUMIF(Оплаты!$A$6:$A$505,"&lt;"&amp;A390,Оплаты!$B$6:$B$505))</f>
        <v/>
      </c>
      <c r="E390">
        <f>IF(A390="","",IF(SUMPRODUCT((Ввод!$F$12:$F$31&lt;&gt;"")*(Ввод!$F$12:$F$31&lt;=A390)*(Ввод!$G$12:$G$31&gt;=A390))&gt;0,1,0))</f>
        <v/>
      </c>
      <c r="F390">
        <f>IF(OR(A390="",B390=""),"",IF(E390=1,0,D390*B390/100/C390))</f>
        <v/>
      </c>
      <c r="G390">
        <f>IF(A390="","",IF(OR(B390&lt;&gt;B389,C390&lt;&gt;C389,D390&lt;&gt;D389,E390&lt;&gt;E389),G389+1,G389))</f>
        <v/>
      </c>
    </row>
    <row r="391">
      <c r="A391" s="14">
        <f>IF(OR(NOT(ISNUMBER(Ввод!$B$5)),NOT(ISNUMBER(Ввод!$B$6))),"",IF(Ввод!$B$5+389&gt;Ввод!$B$6,"",Ввод!$B$5+389))</f>
        <v/>
      </c>
      <c r="B391">
        <f>IF(A391="","",IFERROR(INDEX(Ввод!$B$12:$B$71,MATCH(A391,Ввод!$D$12:$D$71,1)),""))</f>
        <v/>
      </c>
      <c r="C391">
        <f>IF(A391="","",DATE(YEAR(A391),12,31)-DATE(YEAR(A391),1,1)+1)</f>
        <v/>
      </c>
      <c r="D391">
        <f>IF(A391="","",Ввод!$B$4-SUMIF(Оплаты!$A$6:$A$505,"&lt;"&amp;A391,Оплаты!$B$6:$B$505))</f>
        <v/>
      </c>
      <c r="E391">
        <f>IF(A391="","",IF(SUMPRODUCT((Ввод!$F$12:$F$31&lt;&gt;"")*(Ввод!$F$12:$F$31&lt;=A391)*(Ввод!$G$12:$G$31&gt;=A391))&gt;0,1,0))</f>
        <v/>
      </c>
      <c r="F391">
        <f>IF(OR(A391="",B391=""),"",IF(E391=1,0,D391*B391/100/C391))</f>
        <v/>
      </c>
      <c r="G391">
        <f>IF(A391="","",IF(OR(B391&lt;&gt;B390,C391&lt;&gt;C390,D391&lt;&gt;D390,E391&lt;&gt;E390),G390+1,G390))</f>
        <v/>
      </c>
    </row>
    <row r="392">
      <c r="A392" s="14">
        <f>IF(OR(NOT(ISNUMBER(Ввод!$B$5)),NOT(ISNUMBER(Ввод!$B$6))),"",IF(Ввод!$B$5+390&gt;Ввод!$B$6,"",Ввод!$B$5+390))</f>
        <v/>
      </c>
      <c r="B392">
        <f>IF(A392="","",IFERROR(INDEX(Ввод!$B$12:$B$71,MATCH(A392,Ввод!$D$12:$D$71,1)),""))</f>
        <v/>
      </c>
      <c r="C392">
        <f>IF(A392="","",DATE(YEAR(A392),12,31)-DATE(YEAR(A392),1,1)+1)</f>
        <v/>
      </c>
      <c r="D392">
        <f>IF(A392="","",Ввод!$B$4-SUMIF(Оплаты!$A$6:$A$505,"&lt;"&amp;A392,Оплаты!$B$6:$B$505))</f>
        <v/>
      </c>
      <c r="E392">
        <f>IF(A392="","",IF(SUMPRODUCT((Ввод!$F$12:$F$31&lt;&gt;"")*(Ввод!$F$12:$F$31&lt;=A392)*(Ввод!$G$12:$G$31&gt;=A392))&gt;0,1,0))</f>
        <v/>
      </c>
      <c r="F392">
        <f>IF(OR(A392="",B392=""),"",IF(E392=1,0,D392*B392/100/C392))</f>
        <v/>
      </c>
      <c r="G392">
        <f>IF(A392="","",IF(OR(B392&lt;&gt;B391,C392&lt;&gt;C391,D392&lt;&gt;D391,E392&lt;&gt;E391),G391+1,G391))</f>
        <v/>
      </c>
    </row>
    <row r="393">
      <c r="A393" s="14">
        <f>IF(OR(NOT(ISNUMBER(Ввод!$B$5)),NOT(ISNUMBER(Ввод!$B$6))),"",IF(Ввод!$B$5+391&gt;Ввод!$B$6,"",Ввод!$B$5+391))</f>
        <v/>
      </c>
      <c r="B393">
        <f>IF(A393="","",IFERROR(INDEX(Ввод!$B$12:$B$71,MATCH(A393,Ввод!$D$12:$D$71,1)),""))</f>
        <v/>
      </c>
      <c r="C393">
        <f>IF(A393="","",DATE(YEAR(A393),12,31)-DATE(YEAR(A393),1,1)+1)</f>
        <v/>
      </c>
      <c r="D393">
        <f>IF(A393="","",Ввод!$B$4-SUMIF(Оплаты!$A$6:$A$505,"&lt;"&amp;A393,Оплаты!$B$6:$B$505))</f>
        <v/>
      </c>
      <c r="E393">
        <f>IF(A393="","",IF(SUMPRODUCT((Ввод!$F$12:$F$31&lt;&gt;"")*(Ввод!$F$12:$F$31&lt;=A393)*(Ввод!$G$12:$G$31&gt;=A393))&gt;0,1,0))</f>
        <v/>
      </c>
      <c r="F393">
        <f>IF(OR(A393="",B393=""),"",IF(E393=1,0,D393*B393/100/C393))</f>
        <v/>
      </c>
      <c r="G393">
        <f>IF(A393="","",IF(OR(B393&lt;&gt;B392,C393&lt;&gt;C392,D393&lt;&gt;D392,E393&lt;&gt;E392),G392+1,G392))</f>
        <v/>
      </c>
    </row>
    <row r="394">
      <c r="A394" s="14">
        <f>IF(OR(NOT(ISNUMBER(Ввод!$B$5)),NOT(ISNUMBER(Ввод!$B$6))),"",IF(Ввод!$B$5+392&gt;Ввод!$B$6,"",Ввод!$B$5+392))</f>
        <v/>
      </c>
      <c r="B394">
        <f>IF(A394="","",IFERROR(INDEX(Ввод!$B$12:$B$71,MATCH(A394,Ввод!$D$12:$D$71,1)),""))</f>
        <v/>
      </c>
      <c r="C394">
        <f>IF(A394="","",DATE(YEAR(A394),12,31)-DATE(YEAR(A394),1,1)+1)</f>
        <v/>
      </c>
      <c r="D394">
        <f>IF(A394="","",Ввод!$B$4-SUMIF(Оплаты!$A$6:$A$505,"&lt;"&amp;A394,Оплаты!$B$6:$B$505))</f>
        <v/>
      </c>
      <c r="E394">
        <f>IF(A394="","",IF(SUMPRODUCT((Ввод!$F$12:$F$31&lt;&gt;"")*(Ввод!$F$12:$F$31&lt;=A394)*(Ввод!$G$12:$G$31&gt;=A394))&gt;0,1,0))</f>
        <v/>
      </c>
      <c r="F394">
        <f>IF(OR(A394="",B394=""),"",IF(E394=1,0,D394*B394/100/C394))</f>
        <v/>
      </c>
      <c r="G394">
        <f>IF(A394="","",IF(OR(B394&lt;&gt;B393,C394&lt;&gt;C393,D394&lt;&gt;D393,E394&lt;&gt;E393),G393+1,G393))</f>
        <v/>
      </c>
    </row>
    <row r="395">
      <c r="A395" s="14">
        <f>IF(OR(NOT(ISNUMBER(Ввод!$B$5)),NOT(ISNUMBER(Ввод!$B$6))),"",IF(Ввод!$B$5+393&gt;Ввод!$B$6,"",Ввод!$B$5+393))</f>
        <v/>
      </c>
      <c r="B395">
        <f>IF(A395="","",IFERROR(INDEX(Ввод!$B$12:$B$71,MATCH(A395,Ввод!$D$12:$D$71,1)),""))</f>
        <v/>
      </c>
      <c r="C395">
        <f>IF(A395="","",DATE(YEAR(A395),12,31)-DATE(YEAR(A395),1,1)+1)</f>
        <v/>
      </c>
      <c r="D395">
        <f>IF(A395="","",Ввод!$B$4-SUMIF(Оплаты!$A$6:$A$505,"&lt;"&amp;A395,Оплаты!$B$6:$B$505))</f>
        <v/>
      </c>
      <c r="E395">
        <f>IF(A395="","",IF(SUMPRODUCT((Ввод!$F$12:$F$31&lt;&gt;"")*(Ввод!$F$12:$F$31&lt;=A395)*(Ввод!$G$12:$G$31&gt;=A395))&gt;0,1,0))</f>
        <v/>
      </c>
      <c r="F395">
        <f>IF(OR(A395="",B395=""),"",IF(E395=1,0,D395*B395/100/C395))</f>
        <v/>
      </c>
      <c r="G395">
        <f>IF(A395="","",IF(OR(B395&lt;&gt;B394,C395&lt;&gt;C394,D395&lt;&gt;D394,E395&lt;&gt;E394),G394+1,G394))</f>
        <v/>
      </c>
    </row>
    <row r="396">
      <c r="A396" s="14">
        <f>IF(OR(NOT(ISNUMBER(Ввод!$B$5)),NOT(ISNUMBER(Ввод!$B$6))),"",IF(Ввод!$B$5+394&gt;Ввод!$B$6,"",Ввод!$B$5+394))</f>
        <v/>
      </c>
      <c r="B396">
        <f>IF(A396="","",IFERROR(INDEX(Ввод!$B$12:$B$71,MATCH(A396,Ввод!$D$12:$D$71,1)),""))</f>
        <v/>
      </c>
      <c r="C396">
        <f>IF(A396="","",DATE(YEAR(A396),12,31)-DATE(YEAR(A396),1,1)+1)</f>
        <v/>
      </c>
      <c r="D396">
        <f>IF(A396="","",Ввод!$B$4-SUMIF(Оплаты!$A$6:$A$505,"&lt;"&amp;A396,Оплаты!$B$6:$B$505))</f>
        <v/>
      </c>
      <c r="E396">
        <f>IF(A396="","",IF(SUMPRODUCT((Ввод!$F$12:$F$31&lt;&gt;"")*(Ввод!$F$12:$F$31&lt;=A396)*(Ввод!$G$12:$G$31&gt;=A396))&gt;0,1,0))</f>
        <v/>
      </c>
      <c r="F396">
        <f>IF(OR(A396="",B396=""),"",IF(E396=1,0,D396*B396/100/C396))</f>
        <v/>
      </c>
      <c r="G396">
        <f>IF(A396="","",IF(OR(B396&lt;&gt;B395,C396&lt;&gt;C395,D396&lt;&gt;D395,E396&lt;&gt;E395),G395+1,G395))</f>
        <v/>
      </c>
    </row>
    <row r="397">
      <c r="A397" s="14">
        <f>IF(OR(NOT(ISNUMBER(Ввод!$B$5)),NOT(ISNUMBER(Ввод!$B$6))),"",IF(Ввод!$B$5+395&gt;Ввод!$B$6,"",Ввод!$B$5+395))</f>
        <v/>
      </c>
      <c r="B397">
        <f>IF(A397="","",IFERROR(INDEX(Ввод!$B$12:$B$71,MATCH(A397,Ввод!$D$12:$D$71,1)),""))</f>
        <v/>
      </c>
      <c r="C397">
        <f>IF(A397="","",DATE(YEAR(A397),12,31)-DATE(YEAR(A397),1,1)+1)</f>
        <v/>
      </c>
      <c r="D397">
        <f>IF(A397="","",Ввод!$B$4-SUMIF(Оплаты!$A$6:$A$505,"&lt;"&amp;A397,Оплаты!$B$6:$B$505))</f>
        <v/>
      </c>
      <c r="E397">
        <f>IF(A397="","",IF(SUMPRODUCT((Ввод!$F$12:$F$31&lt;&gt;"")*(Ввод!$F$12:$F$31&lt;=A397)*(Ввод!$G$12:$G$31&gt;=A397))&gt;0,1,0))</f>
        <v/>
      </c>
      <c r="F397">
        <f>IF(OR(A397="",B397=""),"",IF(E397=1,0,D397*B397/100/C397))</f>
        <v/>
      </c>
      <c r="G397">
        <f>IF(A397="","",IF(OR(B397&lt;&gt;B396,C397&lt;&gt;C396,D397&lt;&gt;D396,E397&lt;&gt;E396),G396+1,G396))</f>
        <v/>
      </c>
    </row>
    <row r="398">
      <c r="A398" s="14">
        <f>IF(OR(NOT(ISNUMBER(Ввод!$B$5)),NOT(ISNUMBER(Ввод!$B$6))),"",IF(Ввод!$B$5+396&gt;Ввод!$B$6,"",Ввод!$B$5+396))</f>
        <v/>
      </c>
      <c r="B398">
        <f>IF(A398="","",IFERROR(INDEX(Ввод!$B$12:$B$71,MATCH(A398,Ввод!$D$12:$D$71,1)),""))</f>
        <v/>
      </c>
      <c r="C398">
        <f>IF(A398="","",DATE(YEAR(A398),12,31)-DATE(YEAR(A398),1,1)+1)</f>
        <v/>
      </c>
      <c r="D398">
        <f>IF(A398="","",Ввод!$B$4-SUMIF(Оплаты!$A$6:$A$505,"&lt;"&amp;A398,Оплаты!$B$6:$B$505))</f>
        <v/>
      </c>
      <c r="E398">
        <f>IF(A398="","",IF(SUMPRODUCT((Ввод!$F$12:$F$31&lt;&gt;"")*(Ввод!$F$12:$F$31&lt;=A398)*(Ввод!$G$12:$G$31&gt;=A398))&gt;0,1,0))</f>
        <v/>
      </c>
      <c r="F398">
        <f>IF(OR(A398="",B398=""),"",IF(E398=1,0,D398*B398/100/C398))</f>
        <v/>
      </c>
      <c r="G398">
        <f>IF(A398="","",IF(OR(B398&lt;&gt;B397,C398&lt;&gt;C397,D398&lt;&gt;D397,E398&lt;&gt;E397),G397+1,G397))</f>
        <v/>
      </c>
    </row>
    <row r="399">
      <c r="A399" s="14">
        <f>IF(OR(NOT(ISNUMBER(Ввод!$B$5)),NOT(ISNUMBER(Ввод!$B$6))),"",IF(Ввод!$B$5+397&gt;Ввод!$B$6,"",Ввод!$B$5+397))</f>
        <v/>
      </c>
      <c r="B399">
        <f>IF(A399="","",IFERROR(INDEX(Ввод!$B$12:$B$71,MATCH(A399,Ввод!$D$12:$D$71,1)),""))</f>
        <v/>
      </c>
      <c r="C399">
        <f>IF(A399="","",DATE(YEAR(A399),12,31)-DATE(YEAR(A399),1,1)+1)</f>
        <v/>
      </c>
      <c r="D399">
        <f>IF(A399="","",Ввод!$B$4-SUMIF(Оплаты!$A$6:$A$505,"&lt;"&amp;A399,Оплаты!$B$6:$B$505))</f>
        <v/>
      </c>
      <c r="E399">
        <f>IF(A399="","",IF(SUMPRODUCT((Ввод!$F$12:$F$31&lt;&gt;"")*(Ввод!$F$12:$F$31&lt;=A399)*(Ввод!$G$12:$G$31&gt;=A399))&gt;0,1,0))</f>
        <v/>
      </c>
      <c r="F399">
        <f>IF(OR(A399="",B399=""),"",IF(E399=1,0,D399*B399/100/C399))</f>
        <v/>
      </c>
      <c r="G399">
        <f>IF(A399="","",IF(OR(B399&lt;&gt;B398,C399&lt;&gt;C398,D399&lt;&gt;D398,E399&lt;&gt;E398),G398+1,G398))</f>
        <v/>
      </c>
    </row>
    <row r="400">
      <c r="A400" s="14">
        <f>IF(OR(NOT(ISNUMBER(Ввод!$B$5)),NOT(ISNUMBER(Ввод!$B$6))),"",IF(Ввод!$B$5+398&gt;Ввод!$B$6,"",Ввод!$B$5+398))</f>
        <v/>
      </c>
      <c r="B400">
        <f>IF(A400="","",IFERROR(INDEX(Ввод!$B$12:$B$71,MATCH(A400,Ввод!$D$12:$D$71,1)),""))</f>
        <v/>
      </c>
      <c r="C400">
        <f>IF(A400="","",DATE(YEAR(A400),12,31)-DATE(YEAR(A400),1,1)+1)</f>
        <v/>
      </c>
      <c r="D400">
        <f>IF(A400="","",Ввод!$B$4-SUMIF(Оплаты!$A$6:$A$505,"&lt;"&amp;A400,Оплаты!$B$6:$B$505))</f>
        <v/>
      </c>
      <c r="E400">
        <f>IF(A400="","",IF(SUMPRODUCT((Ввод!$F$12:$F$31&lt;&gt;"")*(Ввод!$F$12:$F$31&lt;=A400)*(Ввод!$G$12:$G$31&gt;=A400))&gt;0,1,0))</f>
        <v/>
      </c>
      <c r="F400">
        <f>IF(OR(A400="",B400=""),"",IF(E400=1,0,D400*B400/100/C400))</f>
        <v/>
      </c>
      <c r="G400">
        <f>IF(A400="","",IF(OR(B400&lt;&gt;B399,C400&lt;&gt;C399,D400&lt;&gt;D399,E400&lt;&gt;E399),G399+1,G399))</f>
        <v/>
      </c>
    </row>
    <row r="401">
      <c r="A401" s="14">
        <f>IF(OR(NOT(ISNUMBER(Ввод!$B$5)),NOT(ISNUMBER(Ввод!$B$6))),"",IF(Ввод!$B$5+399&gt;Ввод!$B$6,"",Ввод!$B$5+399))</f>
        <v/>
      </c>
      <c r="B401">
        <f>IF(A401="","",IFERROR(INDEX(Ввод!$B$12:$B$71,MATCH(A401,Ввод!$D$12:$D$71,1)),""))</f>
        <v/>
      </c>
      <c r="C401">
        <f>IF(A401="","",DATE(YEAR(A401),12,31)-DATE(YEAR(A401),1,1)+1)</f>
        <v/>
      </c>
      <c r="D401">
        <f>IF(A401="","",Ввод!$B$4-SUMIF(Оплаты!$A$6:$A$505,"&lt;"&amp;A401,Оплаты!$B$6:$B$505))</f>
        <v/>
      </c>
      <c r="E401">
        <f>IF(A401="","",IF(SUMPRODUCT((Ввод!$F$12:$F$31&lt;&gt;"")*(Ввод!$F$12:$F$31&lt;=A401)*(Ввод!$G$12:$G$31&gt;=A401))&gt;0,1,0))</f>
        <v/>
      </c>
      <c r="F401">
        <f>IF(OR(A401="",B401=""),"",IF(E401=1,0,D401*B401/100/C401))</f>
        <v/>
      </c>
      <c r="G401">
        <f>IF(A401="","",IF(OR(B401&lt;&gt;B400,C401&lt;&gt;C400,D401&lt;&gt;D400,E401&lt;&gt;E400),G400+1,G400))</f>
        <v/>
      </c>
    </row>
    <row r="402">
      <c r="A402" s="14">
        <f>IF(OR(NOT(ISNUMBER(Ввод!$B$5)),NOT(ISNUMBER(Ввод!$B$6))),"",IF(Ввод!$B$5+400&gt;Ввод!$B$6,"",Ввод!$B$5+400))</f>
        <v/>
      </c>
      <c r="B402">
        <f>IF(A402="","",IFERROR(INDEX(Ввод!$B$12:$B$71,MATCH(A402,Ввод!$D$12:$D$71,1)),""))</f>
        <v/>
      </c>
      <c r="C402">
        <f>IF(A402="","",DATE(YEAR(A402),12,31)-DATE(YEAR(A402),1,1)+1)</f>
        <v/>
      </c>
      <c r="D402">
        <f>IF(A402="","",Ввод!$B$4-SUMIF(Оплаты!$A$6:$A$505,"&lt;"&amp;A402,Оплаты!$B$6:$B$505))</f>
        <v/>
      </c>
      <c r="E402">
        <f>IF(A402="","",IF(SUMPRODUCT((Ввод!$F$12:$F$31&lt;&gt;"")*(Ввод!$F$12:$F$31&lt;=A402)*(Ввод!$G$12:$G$31&gt;=A402))&gt;0,1,0))</f>
        <v/>
      </c>
      <c r="F402">
        <f>IF(OR(A402="",B402=""),"",IF(E402=1,0,D402*B402/100/C402))</f>
        <v/>
      </c>
      <c r="G402">
        <f>IF(A402="","",IF(OR(B402&lt;&gt;B401,C402&lt;&gt;C401,D402&lt;&gt;D401,E402&lt;&gt;E401),G401+1,G401))</f>
        <v/>
      </c>
    </row>
    <row r="403">
      <c r="A403" s="14">
        <f>IF(OR(NOT(ISNUMBER(Ввод!$B$5)),NOT(ISNUMBER(Ввод!$B$6))),"",IF(Ввод!$B$5+401&gt;Ввод!$B$6,"",Ввод!$B$5+401))</f>
        <v/>
      </c>
      <c r="B403">
        <f>IF(A403="","",IFERROR(INDEX(Ввод!$B$12:$B$71,MATCH(A403,Ввод!$D$12:$D$71,1)),""))</f>
        <v/>
      </c>
      <c r="C403">
        <f>IF(A403="","",DATE(YEAR(A403),12,31)-DATE(YEAR(A403),1,1)+1)</f>
        <v/>
      </c>
      <c r="D403">
        <f>IF(A403="","",Ввод!$B$4-SUMIF(Оплаты!$A$6:$A$505,"&lt;"&amp;A403,Оплаты!$B$6:$B$505))</f>
        <v/>
      </c>
      <c r="E403">
        <f>IF(A403="","",IF(SUMPRODUCT((Ввод!$F$12:$F$31&lt;&gt;"")*(Ввод!$F$12:$F$31&lt;=A403)*(Ввод!$G$12:$G$31&gt;=A403))&gt;0,1,0))</f>
        <v/>
      </c>
      <c r="F403">
        <f>IF(OR(A403="",B403=""),"",IF(E403=1,0,D403*B403/100/C403))</f>
        <v/>
      </c>
      <c r="G403">
        <f>IF(A403="","",IF(OR(B403&lt;&gt;B402,C403&lt;&gt;C402,D403&lt;&gt;D402,E403&lt;&gt;E402),G402+1,G402))</f>
        <v/>
      </c>
    </row>
    <row r="404">
      <c r="A404" s="14">
        <f>IF(OR(NOT(ISNUMBER(Ввод!$B$5)),NOT(ISNUMBER(Ввод!$B$6))),"",IF(Ввод!$B$5+402&gt;Ввод!$B$6,"",Ввод!$B$5+402))</f>
        <v/>
      </c>
      <c r="B404">
        <f>IF(A404="","",IFERROR(INDEX(Ввод!$B$12:$B$71,MATCH(A404,Ввод!$D$12:$D$71,1)),""))</f>
        <v/>
      </c>
      <c r="C404">
        <f>IF(A404="","",DATE(YEAR(A404),12,31)-DATE(YEAR(A404),1,1)+1)</f>
        <v/>
      </c>
      <c r="D404">
        <f>IF(A404="","",Ввод!$B$4-SUMIF(Оплаты!$A$6:$A$505,"&lt;"&amp;A404,Оплаты!$B$6:$B$505))</f>
        <v/>
      </c>
      <c r="E404">
        <f>IF(A404="","",IF(SUMPRODUCT((Ввод!$F$12:$F$31&lt;&gt;"")*(Ввод!$F$12:$F$31&lt;=A404)*(Ввод!$G$12:$G$31&gt;=A404))&gt;0,1,0))</f>
        <v/>
      </c>
      <c r="F404">
        <f>IF(OR(A404="",B404=""),"",IF(E404=1,0,D404*B404/100/C404))</f>
        <v/>
      </c>
      <c r="G404">
        <f>IF(A404="","",IF(OR(B404&lt;&gt;B403,C404&lt;&gt;C403,D404&lt;&gt;D403,E404&lt;&gt;E403),G403+1,G403))</f>
        <v/>
      </c>
    </row>
    <row r="405">
      <c r="A405" s="14">
        <f>IF(OR(NOT(ISNUMBER(Ввод!$B$5)),NOT(ISNUMBER(Ввод!$B$6))),"",IF(Ввод!$B$5+403&gt;Ввод!$B$6,"",Ввод!$B$5+403))</f>
        <v/>
      </c>
      <c r="B405">
        <f>IF(A405="","",IFERROR(INDEX(Ввод!$B$12:$B$71,MATCH(A405,Ввод!$D$12:$D$71,1)),""))</f>
        <v/>
      </c>
      <c r="C405">
        <f>IF(A405="","",DATE(YEAR(A405),12,31)-DATE(YEAR(A405),1,1)+1)</f>
        <v/>
      </c>
      <c r="D405">
        <f>IF(A405="","",Ввод!$B$4-SUMIF(Оплаты!$A$6:$A$505,"&lt;"&amp;A405,Оплаты!$B$6:$B$505))</f>
        <v/>
      </c>
      <c r="E405">
        <f>IF(A405="","",IF(SUMPRODUCT((Ввод!$F$12:$F$31&lt;&gt;"")*(Ввод!$F$12:$F$31&lt;=A405)*(Ввод!$G$12:$G$31&gt;=A405))&gt;0,1,0))</f>
        <v/>
      </c>
      <c r="F405">
        <f>IF(OR(A405="",B405=""),"",IF(E405=1,0,D405*B405/100/C405))</f>
        <v/>
      </c>
      <c r="G405">
        <f>IF(A405="","",IF(OR(B405&lt;&gt;B404,C405&lt;&gt;C404,D405&lt;&gt;D404,E405&lt;&gt;E404),G404+1,G404))</f>
        <v/>
      </c>
    </row>
    <row r="406">
      <c r="A406" s="14">
        <f>IF(OR(NOT(ISNUMBER(Ввод!$B$5)),NOT(ISNUMBER(Ввод!$B$6))),"",IF(Ввод!$B$5+404&gt;Ввод!$B$6,"",Ввод!$B$5+404))</f>
        <v/>
      </c>
      <c r="B406">
        <f>IF(A406="","",IFERROR(INDEX(Ввод!$B$12:$B$71,MATCH(A406,Ввод!$D$12:$D$71,1)),""))</f>
        <v/>
      </c>
      <c r="C406">
        <f>IF(A406="","",DATE(YEAR(A406),12,31)-DATE(YEAR(A406),1,1)+1)</f>
        <v/>
      </c>
      <c r="D406">
        <f>IF(A406="","",Ввод!$B$4-SUMIF(Оплаты!$A$6:$A$505,"&lt;"&amp;A406,Оплаты!$B$6:$B$505))</f>
        <v/>
      </c>
      <c r="E406">
        <f>IF(A406="","",IF(SUMPRODUCT((Ввод!$F$12:$F$31&lt;&gt;"")*(Ввод!$F$12:$F$31&lt;=A406)*(Ввод!$G$12:$G$31&gt;=A406))&gt;0,1,0))</f>
        <v/>
      </c>
      <c r="F406">
        <f>IF(OR(A406="",B406=""),"",IF(E406=1,0,D406*B406/100/C406))</f>
        <v/>
      </c>
      <c r="G406">
        <f>IF(A406="","",IF(OR(B406&lt;&gt;B405,C406&lt;&gt;C405,D406&lt;&gt;D405,E406&lt;&gt;E405),G405+1,G405))</f>
        <v/>
      </c>
    </row>
    <row r="407">
      <c r="A407" s="14">
        <f>IF(OR(NOT(ISNUMBER(Ввод!$B$5)),NOT(ISNUMBER(Ввод!$B$6))),"",IF(Ввод!$B$5+405&gt;Ввод!$B$6,"",Ввод!$B$5+405))</f>
        <v/>
      </c>
      <c r="B407">
        <f>IF(A407="","",IFERROR(INDEX(Ввод!$B$12:$B$71,MATCH(A407,Ввод!$D$12:$D$71,1)),""))</f>
        <v/>
      </c>
      <c r="C407">
        <f>IF(A407="","",DATE(YEAR(A407),12,31)-DATE(YEAR(A407),1,1)+1)</f>
        <v/>
      </c>
      <c r="D407">
        <f>IF(A407="","",Ввод!$B$4-SUMIF(Оплаты!$A$6:$A$505,"&lt;"&amp;A407,Оплаты!$B$6:$B$505))</f>
        <v/>
      </c>
      <c r="E407">
        <f>IF(A407="","",IF(SUMPRODUCT((Ввод!$F$12:$F$31&lt;&gt;"")*(Ввод!$F$12:$F$31&lt;=A407)*(Ввод!$G$12:$G$31&gt;=A407))&gt;0,1,0))</f>
        <v/>
      </c>
      <c r="F407">
        <f>IF(OR(A407="",B407=""),"",IF(E407=1,0,D407*B407/100/C407))</f>
        <v/>
      </c>
      <c r="G407">
        <f>IF(A407="","",IF(OR(B407&lt;&gt;B406,C407&lt;&gt;C406,D407&lt;&gt;D406,E407&lt;&gt;E406),G406+1,G406))</f>
        <v/>
      </c>
    </row>
    <row r="408">
      <c r="A408" s="14">
        <f>IF(OR(NOT(ISNUMBER(Ввод!$B$5)),NOT(ISNUMBER(Ввод!$B$6))),"",IF(Ввод!$B$5+406&gt;Ввод!$B$6,"",Ввод!$B$5+406))</f>
        <v/>
      </c>
      <c r="B408">
        <f>IF(A408="","",IFERROR(INDEX(Ввод!$B$12:$B$71,MATCH(A408,Ввод!$D$12:$D$71,1)),""))</f>
        <v/>
      </c>
      <c r="C408">
        <f>IF(A408="","",DATE(YEAR(A408),12,31)-DATE(YEAR(A408),1,1)+1)</f>
        <v/>
      </c>
      <c r="D408">
        <f>IF(A408="","",Ввод!$B$4-SUMIF(Оплаты!$A$6:$A$505,"&lt;"&amp;A408,Оплаты!$B$6:$B$505))</f>
        <v/>
      </c>
      <c r="E408">
        <f>IF(A408="","",IF(SUMPRODUCT((Ввод!$F$12:$F$31&lt;&gt;"")*(Ввод!$F$12:$F$31&lt;=A408)*(Ввод!$G$12:$G$31&gt;=A408))&gt;0,1,0))</f>
        <v/>
      </c>
      <c r="F408">
        <f>IF(OR(A408="",B408=""),"",IF(E408=1,0,D408*B408/100/C408))</f>
        <v/>
      </c>
      <c r="G408">
        <f>IF(A408="","",IF(OR(B408&lt;&gt;B407,C408&lt;&gt;C407,D408&lt;&gt;D407,E408&lt;&gt;E407),G407+1,G407))</f>
        <v/>
      </c>
    </row>
    <row r="409">
      <c r="A409" s="14">
        <f>IF(OR(NOT(ISNUMBER(Ввод!$B$5)),NOT(ISNUMBER(Ввод!$B$6))),"",IF(Ввод!$B$5+407&gt;Ввод!$B$6,"",Ввод!$B$5+407))</f>
        <v/>
      </c>
      <c r="B409">
        <f>IF(A409="","",IFERROR(INDEX(Ввод!$B$12:$B$71,MATCH(A409,Ввод!$D$12:$D$71,1)),""))</f>
        <v/>
      </c>
      <c r="C409">
        <f>IF(A409="","",DATE(YEAR(A409),12,31)-DATE(YEAR(A409),1,1)+1)</f>
        <v/>
      </c>
      <c r="D409">
        <f>IF(A409="","",Ввод!$B$4-SUMIF(Оплаты!$A$6:$A$505,"&lt;"&amp;A409,Оплаты!$B$6:$B$505))</f>
        <v/>
      </c>
      <c r="E409">
        <f>IF(A409="","",IF(SUMPRODUCT((Ввод!$F$12:$F$31&lt;&gt;"")*(Ввод!$F$12:$F$31&lt;=A409)*(Ввод!$G$12:$G$31&gt;=A409))&gt;0,1,0))</f>
        <v/>
      </c>
      <c r="F409">
        <f>IF(OR(A409="",B409=""),"",IF(E409=1,0,D409*B409/100/C409))</f>
        <v/>
      </c>
      <c r="G409">
        <f>IF(A409="","",IF(OR(B409&lt;&gt;B408,C409&lt;&gt;C408,D409&lt;&gt;D408,E409&lt;&gt;E408),G408+1,G408))</f>
        <v/>
      </c>
    </row>
    <row r="410">
      <c r="A410" s="14">
        <f>IF(OR(NOT(ISNUMBER(Ввод!$B$5)),NOT(ISNUMBER(Ввод!$B$6))),"",IF(Ввод!$B$5+408&gt;Ввод!$B$6,"",Ввод!$B$5+408))</f>
        <v/>
      </c>
      <c r="B410">
        <f>IF(A410="","",IFERROR(INDEX(Ввод!$B$12:$B$71,MATCH(A410,Ввод!$D$12:$D$71,1)),""))</f>
        <v/>
      </c>
      <c r="C410">
        <f>IF(A410="","",DATE(YEAR(A410),12,31)-DATE(YEAR(A410),1,1)+1)</f>
        <v/>
      </c>
      <c r="D410">
        <f>IF(A410="","",Ввод!$B$4-SUMIF(Оплаты!$A$6:$A$505,"&lt;"&amp;A410,Оплаты!$B$6:$B$505))</f>
        <v/>
      </c>
      <c r="E410">
        <f>IF(A410="","",IF(SUMPRODUCT((Ввод!$F$12:$F$31&lt;&gt;"")*(Ввод!$F$12:$F$31&lt;=A410)*(Ввод!$G$12:$G$31&gt;=A410))&gt;0,1,0))</f>
        <v/>
      </c>
      <c r="F410">
        <f>IF(OR(A410="",B410=""),"",IF(E410=1,0,D410*B410/100/C410))</f>
        <v/>
      </c>
      <c r="G410">
        <f>IF(A410="","",IF(OR(B410&lt;&gt;B409,C410&lt;&gt;C409,D410&lt;&gt;D409,E410&lt;&gt;E409),G409+1,G409))</f>
        <v/>
      </c>
    </row>
    <row r="411">
      <c r="A411" s="14">
        <f>IF(OR(NOT(ISNUMBER(Ввод!$B$5)),NOT(ISNUMBER(Ввод!$B$6))),"",IF(Ввод!$B$5+409&gt;Ввод!$B$6,"",Ввод!$B$5+409))</f>
        <v/>
      </c>
      <c r="B411">
        <f>IF(A411="","",IFERROR(INDEX(Ввод!$B$12:$B$71,MATCH(A411,Ввод!$D$12:$D$71,1)),""))</f>
        <v/>
      </c>
      <c r="C411">
        <f>IF(A411="","",DATE(YEAR(A411),12,31)-DATE(YEAR(A411),1,1)+1)</f>
        <v/>
      </c>
      <c r="D411">
        <f>IF(A411="","",Ввод!$B$4-SUMIF(Оплаты!$A$6:$A$505,"&lt;"&amp;A411,Оплаты!$B$6:$B$505))</f>
        <v/>
      </c>
      <c r="E411">
        <f>IF(A411="","",IF(SUMPRODUCT((Ввод!$F$12:$F$31&lt;&gt;"")*(Ввод!$F$12:$F$31&lt;=A411)*(Ввод!$G$12:$G$31&gt;=A411))&gt;0,1,0))</f>
        <v/>
      </c>
      <c r="F411">
        <f>IF(OR(A411="",B411=""),"",IF(E411=1,0,D411*B411/100/C411))</f>
        <v/>
      </c>
      <c r="G411">
        <f>IF(A411="","",IF(OR(B411&lt;&gt;B410,C411&lt;&gt;C410,D411&lt;&gt;D410,E411&lt;&gt;E410),G410+1,G410))</f>
        <v/>
      </c>
    </row>
    <row r="412">
      <c r="A412" s="14">
        <f>IF(OR(NOT(ISNUMBER(Ввод!$B$5)),NOT(ISNUMBER(Ввод!$B$6))),"",IF(Ввод!$B$5+410&gt;Ввод!$B$6,"",Ввод!$B$5+410))</f>
        <v/>
      </c>
      <c r="B412">
        <f>IF(A412="","",IFERROR(INDEX(Ввод!$B$12:$B$71,MATCH(A412,Ввод!$D$12:$D$71,1)),""))</f>
        <v/>
      </c>
      <c r="C412">
        <f>IF(A412="","",DATE(YEAR(A412),12,31)-DATE(YEAR(A412),1,1)+1)</f>
        <v/>
      </c>
      <c r="D412">
        <f>IF(A412="","",Ввод!$B$4-SUMIF(Оплаты!$A$6:$A$505,"&lt;"&amp;A412,Оплаты!$B$6:$B$505))</f>
        <v/>
      </c>
      <c r="E412">
        <f>IF(A412="","",IF(SUMPRODUCT((Ввод!$F$12:$F$31&lt;&gt;"")*(Ввод!$F$12:$F$31&lt;=A412)*(Ввод!$G$12:$G$31&gt;=A412))&gt;0,1,0))</f>
        <v/>
      </c>
      <c r="F412">
        <f>IF(OR(A412="",B412=""),"",IF(E412=1,0,D412*B412/100/C412))</f>
        <v/>
      </c>
      <c r="G412">
        <f>IF(A412="","",IF(OR(B412&lt;&gt;B411,C412&lt;&gt;C411,D412&lt;&gt;D411,E412&lt;&gt;E411),G411+1,G411))</f>
        <v/>
      </c>
    </row>
    <row r="413">
      <c r="A413" s="14">
        <f>IF(OR(NOT(ISNUMBER(Ввод!$B$5)),NOT(ISNUMBER(Ввод!$B$6))),"",IF(Ввод!$B$5+411&gt;Ввод!$B$6,"",Ввод!$B$5+411))</f>
        <v/>
      </c>
      <c r="B413">
        <f>IF(A413="","",IFERROR(INDEX(Ввод!$B$12:$B$71,MATCH(A413,Ввод!$D$12:$D$71,1)),""))</f>
        <v/>
      </c>
      <c r="C413">
        <f>IF(A413="","",DATE(YEAR(A413),12,31)-DATE(YEAR(A413),1,1)+1)</f>
        <v/>
      </c>
      <c r="D413">
        <f>IF(A413="","",Ввод!$B$4-SUMIF(Оплаты!$A$6:$A$505,"&lt;"&amp;A413,Оплаты!$B$6:$B$505))</f>
        <v/>
      </c>
      <c r="E413">
        <f>IF(A413="","",IF(SUMPRODUCT((Ввод!$F$12:$F$31&lt;&gt;"")*(Ввод!$F$12:$F$31&lt;=A413)*(Ввод!$G$12:$G$31&gt;=A413))&gt;0,1,0))</f>
        <v/>
      </c>
      <c r="F413">
        <f>IF(OR(A413="",B413=""),"",IF(E413=1,0,D413*B413/100/C413))</f>
        <v/>
      </c>
      <c r="G413">
        <f>IF(A413="","",IF(OR(B413&lt;&gt;B412,C413&lt;&gt;C412,D413&lt;&gt;D412,E413&lt;&gt;E412),G412+1,G412))</f>
        <v/>
      </c>
    </row>
    <row r="414">
      <c r="A414" s="14">
        <f>IF(OR(NOT(ISNUMBER(Ввод!$B$5)),NOT(ISNUMBER(Ввод!$B$6))),"",IF(Ввод!$B$5+412&gt;Ввод!$B$6,"",Ввод!$B$5+412))</f>
        <v/>
      </c>
      <c r="B414">
        <f>IF(A414="","",IFERROR(INDEX(Ввод!$B$12:$B$71,MATCH(A414,Ввод!$D$12:$D$71,1)),""))</f>
        <v/>
      </c>
      <c r="C414">
        <f>IF(A414="","",DATE(YEAR(A414),12,31)-DATE(YEAR(A414),1,1)+1)</f>
        <v/>
      </c>
      <c r="D414">
        <f>IF(A414="","",Ввод!$B$4-SUMIF(Оплаты!$A$6:$A$505,"&lt;"&amp;A414,Оплаты!$B$6:$B$505))</f>
        <v/>
      </c>
      <c r="E414">
        <f>IF(A414="","",IF(SUMPRODUCT((Ввод!$F$12:$F$31&lt;&gt;"")*(Ввод!$F$12:$F$31&lt;=A414)*(Ввод!$G$12:$G$31&gt;=A414))&gt;0,1,0))</f>
        <v/>
      </c>
      <c r="F414">
        <f>IF(OR(A414="",B414=""),"",IF(E414=1,0,D414*B414/100/C414))</f>
        <v/>
      </c>
      <c r="G414">
        <f>IF(A414="","",IF(OR(B414&lt;&gt;B413,C414&lt;&gt;C413,D414&lt;&gt;D413,E414&lt;&gt;E413),G413+1,G413))</f>
        <v/>
      </c>
    </row>
    <row r="415">
      <c r="A415" s="14">
        <f>IF(OR(NOT(ISNUMBER(Ввод!$B$5)),NOT(ISNUMBER(Ввод!$B$6))),"",IF(Ввод!$B$5+413&gt;Ввод!$B$6,"",Ввод!$B$5+413))</f>
        <v/>
      </c>
      <c r="B415">
        <f>IF(A415="","",IFERROR(INDEX(Ввод!$B$12:$B$71,MATCH(A415,Ввод!$D$12:$D$71,1)),""))</f>
        <v/>
      </c>
      <c r="C415">
        <f>IF(A415="","",DATE(YEAR(A415),12,31)-DATE(YEAR(A415),1,1)+1)</f>
        <v/>
      </c>
      <c r="D415">
        <f>IF(A415="","",Ввод!$B$4-SUMIF(Оплаты!$A$6:$A$505,"&lt;"&amp;A415,Оплаты!$B$6:$B$505))</f>
        <v/>
      </c>
      <c r="E415">
        <f>IF(A415="","",IF(SUMPRODUCT((Ввод!$F$12:$F$31&lt;&gt;"")*(Ввод!$F$12:$F$31&lt;=A415)*(Ввод!$G$12:$G$31&gt;=A415))&gt;0,1,0))</f>
        <v/>
      </c>
      <c r="F415">
        <f>IF(OR(A415="",B415=""),"",IF(E415=1,0,D415*B415/100/C415))</f>
        <v/>
      </c>
      <c r="G415">
        <f>IF(A415="","",IF(OR(B415&lt;&gt;B414,C415&lt;&gt;C414,D415&lt;&gt;D414,E415&lt;&gt;E414),G414+1,G414))</f>
        <v/>
      </c>
    </row>
    <row r="416">
      <c r="A416" s="14">
        <f>IF(OR(NOT(ISNUMBER(Ввод!$B$5)),NOT(ISNUMBER(Ввод!$B$6))),"",IF(Ввод!$B$5+414&gt;Ввод!$B$6,"",Ввод!$B$5+414))</f>
        <v/>
      </c>
      <c r="B416">
        <f>IF(A416="","",IFERROR(INDEX(Ввод!$B$12:$B$71,MATCH(A416,Ввод!$D$12:$D$71,1)),""))</f>
        <v/>
      </c>
      <c r="C416">
        <f>IF(A416="","",DATE(YEAR(A416),12,31)-DATE(YEAR(A416),1,1)+1)</f>
        <v/>
      </c>
      <c r="D416">
        <f>IF(A416="","",Ввод!$B$4-SUMIF(Оплаты!$A$6:$A$505,"&lt;"&amp;A416,Оплаты!$B$6:$B$505))</f>
        <v/>
      </c>
      <c r="E416">
        <f>IF(A416="","",IF(SUMPRODUCT((Ввод!$F$12:$F$31&lt;&gt;"")*(Ввод!$F$12:$F$31&lt;=A416)*(Ввод!$G$12:$G$31&gt;=A416))&gt;0,1,0))</f>
        <v/>
      </c>
      <c r="F416">
        <f>IF(OR(A416="",B416=""),"",IF(E416=1,0,D416*B416/100/C416))</f>
        <v/>
      </c>
      <c r="G416">
        <f>IF(A416="","",IF(OR(B416&lt;&gt;B415,C416&lt;&gt;C415,D416&lt;&gt;D415,E416&lt;&gt;E415),G415+1,G415))</f>
        <v/>
      </c>
    </row>
    <row r="417">
      <c r="A417" s="14">
        <f>IF(OR(NOT(ISNUMBER(Ввод!$B$5)),NOT(ISNUMBER(Ввод!$B$6))),"",IF(Ввод!$B$5+415&gt;Ввод!$B$6,"",Ввод!$B$5+415))</f>
        <v/>
      </c>
      <c r="B417">
        <f>IF(A417="","",IFERROR(INDEX(Ввод!$B$12:$B$71,MATCH(A417,Ввод!$D$12:$D$71,1)),""))</f>
        <v/>
      </c>
      <c r="C417">
        <f>IF(A417="","",DATE(YEAR(A417),12,31)-DATE(YEAR(A417),1,1)+1)</f>
        <v/>
      </c>
      <c r="D417">
        <f>IF(A417="","",Ввод!$B$4-SUMIF(Оплаты!$A$6:$A$505,"&lt;"&amp;A417,Оплаты!$B$6:$B$505))</f>
        <v/>
      </c>
      <c r="E417">
        <f>IF(A417="","",IF(SUMPRODUCT((Ввод!$F$12:$F$31&lt;&gt;"")*(Ввод!$F$12:$F$31&lt;=A417)*(Ввод!$G$12:$G$31&gt;=A417))&gt;0,1,0))</f>
        <v/>
      </c>
      <c r="F417">
        <f>IF(OR(A417="",B417=""),"",IF(E417=1,0,D417*B417/100/C417))</f>
        <v/>
      </c>
      <c r="G417">
        <f>IF(A417="","",IF(OR(B417&lt;&gt;B416,C417&lt;&gt;C416,D417&lt;&gt;D416,E417&lt;&gt;E416),G416+1,G416))</f>
        <v/>
      </c>
    </row>
    <row r="418">
      <c r="A418" s="14">
        <f>IF(OR(NOT(ISNUMBER(Ввод!$B$5)),NOT(ISNUMBER(Ввод!$B$6))),"",IF(Ввод!$B$5+416&gt;Ввод!$B$6,"",Ввод!$B$5+416))</f>
        <v/>
      </c>
      <c r="B418">
        <f>IF(A418="","",IFERROR(INDEX(Ввод!$B$12:$B$71,MATCH(A418,Ввод!$D$12:$D$71,1)),""))</f>
        <v/>
      </c>
      <c r="C418">
        <f>IF(A418="","",DATE(YEAR(A418),12,31)-DATE(YEAR(A418),1,1)+1)</f>
        <v/>
      </c>
      <c r="D418">
        <f>IF(A418="","",Ввод!$B$4-SUMIF(Оплаты!$A$6:$A$505,"&lt;"&amp;A418,Оплаты!$B$6:$B$505))</f>
        <v/>
      </c>
      <c r="E418">
        <f>IF(A418="","",IF(SUMPRODUCT((Ввод!$F$12:$F$31&lt;&gt;"")*(Ввод!$F$12:$F$31&lt;=A418)*(Ввод!$G$12:$G$31&gt;=A418))&gt;0,1,0))</f>
        <v/>
      </c>
      <c r="F418">
        <f>IF(OR(A418="",B418=""),"",IF(E418=1,0,D418*B418/100/C418))</f>
        <v/>
      </c>
      <c r="G418">
        <f>IF(A418="","",IF(OR(B418&lt;&gt;B417,C418&lt;&gt;C417,D418&lt;&gt;D417,E418&lt;&gt;E417),G417+1,G417))</f>
        <v/>
      </c>
    </row>
    <row r="419">
      <c r="A419" s="14">
        <f>IF(OR(NOT(ISNUMBER(Ввод!$B$5)),NOT(ISNUMBER(Ввод!$B$6))),"",IF(Ввод!$B$5+417&gt;Ввод!$B$6,"",Ввод!$B$5+417))</f>
        <v/>
      </c>
      <c r="B419">
        <f>IF(A419="","",IFERROR(INDEX(Ввод!$B$12:$B$71,MATCH(A419,Ввод!$D$12:$D$71,1)),""))</f>
        <v/>
      </c>
      <c r="C419">
        <f>IF(A419="","",DATE(YEAR(A419),12,31)-DATE(YEAR(A419),1,1)+1)</f>
        <v/>
      </c>
      <c r="D419">
        <f>IF(A419="","",Ввод!$B$4-SUMIF(Оплаты!$A$6:$A$505,"&lt;"&amp;A419,Оплаты!$B$6:$B$505))</f>
        <v/>
      </c>
      <c r="E419">
        <f>IF(A419="","",IF(SUMPRODUCT((Ввод!$F$12:$F$31&lt;&gt;"")*(Ввод!$F$12:$F$31&lt;=A419)*(Ввод!$G$12:$G$31&gt;=A419))&gt;0,1,0))</f>
        <v/>
      </c>
      <c r="F419">
        <f>IF(OR(A419="",B419=""),"",IF(E419=1,0,D419*B419/100/C419))</f>
        <v/>
      </c>
      <c r="G419">
        <f>IF(A419="","",IF(OR(B419&lt;&gt;B418,C419&lt;&gt;C418,D419&lt;&gt;D418,E419&lt;&gt;E418),G418+1,G418))</f>
        <v/>
      </c>
    </row>
    <row r="420">
      <c r="A420" s="14">
        <f>IF(OR(NOT(ISNUMBER(Ввод!$B$5)),NOT(ISNUMBER(Ввод!$B$6))),"",IF(Ввод!$B$5+418&gt;Ввод!$B$6,"",Ввод!$B$5+418))</f>
        <v/>
      </c>
      <c r="B420">
        <f>IF(A420="","",IFERROR(INDEX(Ввод!$B$12:$B$71,MATCH(A420,Ввод!$D$12:$D$71,1)),""))</f>
        <v/>
      </c>
      <c r="C420">
        <f>IF(A420="","",DATE(YEAR(A420),12,31)-DATE(YEAR(A420),1,1)+1)</f>
        <v/>
      </c>
      <c r="D420">
        <f>IF(A420="","",Ввод!$B$4-SUMIF(Оплаты!$A$6:$A$505,"&lt;"&amp;A420,Оплаты!$B$6:$B$505))</f>
        <v/>
      </c>
      <c r="E420">
        <f>IF(A420="","",IF(SUMPRODUCT((Ввод!$F$12:$F$31&lt;&gt;"")*(Ввод!$F$12:$F$31&lt;=A420)*(Ввод!$G$12:$G$31&gt;=A420))&gt;0,1,0))</f>
        <v/>
      </c>
      <c r="F420">
        <f>IF(OR(A420="",B420=""),"",IF(E420=1,0,D420*B420/100/C420))</f>
        <v/>
      </c>
      <c r="G420">
        <f>IF(A420="","",IF(OR(B420&lt;&gt;B419,C420&lt;&gt;C419,D420&lt;&gt;D419,E420&lt;&gt;E419),G419+1,G419))</f>
        <v/>
      </c>
    </row>
    <row r="421">
      <c r="A421" s="14">
        <f>IF(OR(NOT(ISNUMBER(Ввод!$B$5)),NOT(ISNUMBER(Ввод!$B$6))),"",IF(Ввод!$B$5+419&gt;Ввод!$B$6,"",Ввод!$B$5+419))</f>
        <v/>
      </c>
      <c r="B421">
        <f>IF(A421="","",IFERROR(INDEX(Ввод!$B$12:$B$71,MATCH(A421,Ввод!$D$12:$D$71,1)),""))</f>
        <v/>
      </c>
      <c r="C421">
        <f>IF(A421="","",DATE(YEAR(A421),12,31)-DATE(YEAR(A421),1,1)+1)</f>
        <v/>
      </c>
      <c r="D421">
        <f>IF(A421="","",Ввод!$B$4-SUMIF(Оплаты!$A$6:$A$505,"&lt;"&amp;A421,Оплаты!$B$6:$B$505))</f>
        <v/>
      </c>
      <c r="E421">
        <f>IF(A421="","",IF(SUMPRODUCT((Ввод!$F$12:$F$31&lt;&gt;"")*(Ввод!$F$12:$F$31&lt;=A421)*(Ввод!$G$12:$G$31&gt;=A421))&gt;0,1,0))</f>
        <v/>
      </c>
      <c r="F421">
        <f>IF(OR(A421="",B421=""),"",IF(E421=1,0,D421*B421/100/C421))</f>
        <v/>
      </c>
      <c r="G421">
        <f>IF(A421="","",IF(OR(B421&lt;&gt;B420,C421&lt;&gt;C420,D421&lt;&gt;D420,E421&lt;&gt;E420),G420+1,G420))</f>
        <v/>
      </c>
    </row>
    <row r="422">
      <c r="A422" s="14">
        <f>IF(OR(NOT(ISNUMBER(Ввод!$B$5)),NOT(ISNUMBER(Ввод!$B$6))),"",IF(Ввод!$B$5+420&gt;Ввод!$B$6,"",Ввод!$B$5+420))</f>
        <v/>
      </c>
      <c r="B422">
        <f>IF(A422="","",IFERROR(INDEX(Ввод!$B$12:$B$71,MATCH(A422,Ввод!$D$12:$D$71,1)),""))</f>
        <v/>
      </c>
      <c r="C422">
        <f>IF(A422="","",DATE(YEAR(A422),12,31)-DATE(YEAR(A422),1,1)+1)</f>
        <v/>
      </c>
      <c r="D422">
        <f>IF(A422="","",Ввод!$B$4-SUMIF(Оплаты!$A$6:$A$505,"&lt;"&amp;A422,Оплаты!$B$6:$B$505))</f>
        <v/>
      </c>
      <c r="E422">
        <f>IF(A422="","",IF(SUMPRODUCT((Ввод!$F$12:$F$31&lt;&gt;"")*(Ввод!$F$12:$F$31&lt;=A422)*(Ввод!$G$12:$G$31&gt;=A422))&gt;0,1,0))</f>
        <v/>
      </c>
      <c r="F422">
        <f>IF(OR(A422="",B422=""),"",IF(E422=1,0,D422*B422/100/C422))</f>
        <v/>
      </c>
      <c r="G422">
        <f>IF(A422="","",IF(OR(B422&lt;&gt;B421,C422&lt;&gt;C421,D422&lt;&gt;D421,E422&lt;&gt;E421),G421+1,G421))</f>
        <v/>
      </c>
    </row>
    <row r="423">
      <c r="A423" s="14">
        <f>IF(OR(NOT(ISNUMBER(Ввод!$B$5)),NOT(ISNUMBER(Ввод!$B$6))),"",IF(Ввод!$B$5+421&gt;Ввод!$B$6,"",Ввод!$B$5+421))</f>
        <v/>
      </c>
      <c r="B423">
        <f>IF(A423="","",IFERROR(INDEX(Ввод!$B$12:$B$71,MATCH(A423,Ввод!$D$12:$D$71,1)),""))</f>
        <v/>
      </c>
      <c r="C423">
        <f>IF(A423="","",DATE(YEAR(A423),12,31)-DATE(YEAR(A423),1,1)+1)</f>
        <v/>
      </c>
      <c r="D423">
        <f>IF(A423="","",Ввод!$B$4-SUMIF(Оплаты!$A$6:$A$505,"&lt;"&amp;A423,Оплаты!$B$6:$B$505))</f>
        <v/>
      </c>
      <c r="E423">
        <f>IF(A423="","",IF(SUMPRODUCT((Ввод!$F$12:$F$31&lt;&gt;"")*(Ввод!$F$12:$F$31&lt;=A423)*(Ввод!$G$12:$G$31&gt;=A423))&gt;0,1,0))</f>
        <v/>
      </c>
      <c r="F423">
        <f>IF(OR(A423="",B423=""),"",IF(E423=1,0,D423*B423/100/C423))</f>
        <v/>
      </c>
      <c r="G423">
        <f>IF(A423="","",IF(OR(B423&lt;&gt;B422,C423&lt;&gt;C422,D423&lt;&gt;D422,E423&lt;&gt;E422),G422+1,G422))</f>
        <v/>
      </c>
    </row>
    <row r="424">
      <c r="A424" s="14">
        <f>IF(OR(NOT(ISNUMBER(Ввод!$B$5)),NOT(ISNUMBER(Ввод!$B$6))),"",IF(Ввод!$B$5+422&gt;Ввод!$B$6,"",Ввод!$B$5+422))</f>
        <v/>
      </c>
      <c r="B424">
        <f>IF(A424="","",IFERROR(INDEX(Ввод!$B$12:$B$71,MATCH(A424,Ввод!$D$12:$D$71,1)),""))</f>
        <v/>
      </c>
      <c r="C424">
        <f>IF(A424="","",DATE(YEAR(A424),12,31)-DATE(YEAR(A424),1,1)+1)</f>
        <v/>
      </c>
      <c r="D424">
        <f>IF(A424="","",Ввод!$B$4-SUMIF(Оплаты!$A$6:$A$505,"&lt;"&amp;A424,Оплаты!$B$6:$B$505))</f>
        <v/>
      </c>
      <c r="E424">
        <f>IF(A424="","",IF(SUMPRODUCT((Ввод!$F$12:$F$31&lt;&gt;"")*(Ввод!$F$12:$F$31&lt;=A424)*(Ввод!$G$12:$G$31&gt;=A424))&gt;0,1,0))</f>
        <v/>
      </c>
      <c r="F424">
        <f>IF(OR(A424="",B424=""),"",IF(E424=1,0,D424*B424/100/C424))</f>
        <v/>
      </c>
      <c r="G424">
        <f>IF(A424="","",IF(OR(B424&lt;&gt;B423,C424&lt;&gt;C423,D424&lt;&gt;D423,E424&lt;&gt;E423),G423+1,G423))</f>
        <v/>
      </c>
    </row>
    <row r="425">
      <c r="A425" s="14">
        <f>IF(OR(NOT(ISNUMBER(Ввод!$B$5)),NOT(ISNUMBER(Ввод!$B$6))),"",IF(Ввод!$B$5+423&gt;Ввод!$B$6,"",Ввод!$B$5+423))</f>
        <v/>
      </c>
      <c r="B425">
        <f>IF(A425="","",IFERROR(INDEX(Ввод!$B$12:$B$71,MATCH(A425,Ввод!$D$12:$D$71,1)),""))</f>
        <v/>
      </c>
      <c r="C425">
        <f>IF(A425="","",DATE(YEAR(A425),12,31)-DATE(YEAR(A425),1,1)+1)</f>
        <v/>
      </c>
      <c r="D425">
        <f>IF(A425="","",Ввод!$B$4-SUMIF(Оплаты!$A$6:$A$505,"&lt;"&amp;A425,Оплаты!$B$6:$B$505))</f>
        <v/>
      </c>
      <c r="E425">
        <f>IF(A425="","",IF(SUMPRODUCT((Ввод!$F$12:$F$31&lt;&gt;"")*(Ввод!$F$12:$F$31&lt;=A425)*(Ввод!$G$12:$G$31&gt;=A425))&gt;0,1,0))</f>
        <v/>
      </c>
      <c r="F425">
        <f>IF(OR(A425="",B425=""),"",IF(E425=1,0,D425*B425/100/C425))</f>
        <v/>
      </c>
      <c r="G425">
        <f>IF(A425="","",IF(OR(B425&lt;&gt;B424,C425&lt;&gt;C424,D425&lt;&gt;D424,E425&lt;&gt;E424),G424+1,G424))</f>
        <v/>
      </c>
    </row>
    <row r="426">
      <c r="A426" s="14">
        <f>IF(OR(NOT(ISNUMBER(Ввод!$B$5)),NOT(ISNUMBER(Ввод!$B$6))),"",IF(Ввод!$B$5+424&gt;Ввод!$B$6,"",Ввод!$B$5+424))</f>
        <v/>
      </c>
      <c r="B426">
        <f>IF(A426="","",IFERROR(INDEX(Ввод!$B$12:$B$71,MATCH(A426,Ввод!$D$12:$D$71,1)),""))</f>
        <v/>
      </c>
      <c r="C426">
        <f>IF(A426="","",DATE(YEAR(A426),12,31)-DATE(YEAR(A426),1,1)+1)</f>
        <v/>
      </c>
      <c r="D426">
        <f>IF(A426="","",Ввод!$B$4-SUMIF(Оплаты!$A$6:$A$505,"&lt;"&amp;A426,Оплаты!$B$6:$B$505))</f>
        <v/>
      </c>
      <c r="E426">
        <f>IF(A426="","",IF(SUMPRODUCT((Ввод!$F$12:$F$31&lt;&gt;"")*(Ввод!$F$12:$F$31&lt;=A426)*(Ввод!$G$12:$G$31&gt;=A426))&gt;0,1,0))</f>
        <v/>
      </c>
      <c r="F426">
        <f>IF(OR(A426="",B426=""),"",IF(E426=1,0,D426*B426/100/C426))</f>
        <v/>
      </c>
      <c r="G426">
        <f>IF(A426="","",IF(OR(B426&lt;&gt;B425,C426&lt;&gt;C425,D426&lt;&gt;D425,E426&lt;&gt;E425),G425+1,G425))</f>
        <v/>
      </c>
    </row>
    <row r="427">
      <c r="A427" s="14">
        <f>IF(OR(NOT(ISNUMBER(Ввод!$B$5)),NOT(ISNUMBER(Ввод!$B$6))),"",IF(Ввод!$B$5+425&gt;Ввод!$B$6,"",Ввод!$B$5+425))</f>
        <v/>
      </c>
      <c r="B427">
        <f>IF(A427="","",IFERROR(INDEX(Ввод!$B$12:$B$71,MATCH(A427,Ввод!$D$12:$D$71,1)),""))</f>
        <v/>
      </c>
      <c r="C427">
        <f>IF(A427="","",DATE(YEAR(A427),12,31)-DATE(YEAR(A427),1,1)+1)</f>
        <v/>
      </c>
      <c r="D427">
        <f>IF(A427="","",Ввод!$B$4-SUMIF(Оплаты!$A$6:$A$505,"&lt;"&amp;A427,Оплаты!$B$6:$B$505))</f>
        <v/>
      </c>
      <c r="E427">
        <f>IF(A427="","",IF(SUMPRODUCT((Ввод!$F$12:$F$31&lt;&gt;"")*(Ввод!$F$12:$F$31&lt;=A427)*(Ввод!$G$12:$G$31&gt;=A427))&gt;0,1,0))</f>
        <v/>
      </c>
      <c r="F427">
        <f>IF(OR(A427="",B427=""),"",IF(E427=1,0,D427*B427/100/C427))</f>
        <v/>
      </c>
      <c r="G427">
        <f>IF(A427="","",IF(OR(B427&lt;&gt;B426,C427&lt;&gt;C426,D427&lt;&gt;D426,E427&lt;&gt;E426),G426+1,G426))</f>
        <v/>
      </c>
    </row>
    <row r="428">
      <c r="A428" s="14">
        <f>IF(OR(NOT(ISNUMBER(Ввод!$B$5)),NOT(ISNUMBER(Ввод!$B$6))),"",IF(Ввод!$B$5+426&gt;Ввод!$B$6,"",Ввод!$B$5+426))</f>
        <v/>
      </c>
      <c r="B428">
        <f>IF(A428="","",IFERROR(INDEX(Ввод!$B$12:$B$71,MATCH(A428,Ввод!$D$12:$D$71,1)),""))</f>
        <v/>
      </c>
      <c r="C428">
        <f>IF(A428="","",DATE(YEAR(A428),12,31)-DATE(YEAR(A428),1,1)+1)</f>
        <v/>
      </c>
      <c r="D428">
        <f>IF(A428="","",Ввод!$B$4-SUMIF(Оплаты!$A$6:$A$505,"&lt;"&amp;A428,Оплаты!$B$6:$B$505))</f>
        <v/>
      </c>
      <c r="E428">
        <f>IF(A428="","",IF(SUMPRODUCT((Ввод!$F$12:$F$31&lt;&gt;"")*(Ввод!$F$12:$F$31&lt;=A428)*(Ввод!$G$12:$G$31&gt;=A428))&gt;0,1,0))</f>
        <v/>
      </c>
      <c r="F428">
        <f>IF(OR(A428="",B428=""),"",IF(E428=1,0,D428*B428/100/C428))</f>
        <v/>
      </c>
      <c r="G428">
        <f>IF(A428="","",IF(OR(B428&lt;&gt;B427,C428&lt;&gt;C427,D428&lt;&gt;D427,E428&lt;&gt;E427),G427+1,G427))</f>
        <v/>
      </c>
    </row>
    <row r="429">
      <c r="A429" s="14">
        <f>IF(OR(NOT(ISNUMBER(Ввод!$B$5)),NOT(ISNUMBER(Ввод!$B$6))),"",IF(Ввод!$B$5+427&gt;Ввод!$B$6,"",Ввод!$B$5+427))</f>
        <v/>
      </c>
      <c r="B429">
        <f>IF(A429="","",IFERROR(INDEX(Ввод!$B$12:$B$71,MATCH(A429,Ввод!$D$12:$D$71,1)),""))</f>
        <v/>
      </c>
      <c r="C429">
        <f>IF(A429="","",DATE(YEAR(A429),12,31)-DATE(YEAR(A429),1,1)+1)</f>
        <v/>
      </c>
      <c r="D429">
        <f>IF(A429="","",Ввод!$B$4-SUMIF(Оплаты!$A$6:$A$505,"&lt;"&amp;A429,Оплаты!$B$6:$B$505))</f>
        <v/>
      </c>
      <c r="E429">
        <f>IF(A429="","",IF(SUMPRODUCT((Ввод!$F$12:$F$31&lt;&gt;"")*(Ввод!$F$12:$F$31&lt;=A429)*(Ввод!$G$12:$G$31&gt;=A429))&gt;0,1,0))</f>
        <v/>
      </c>
      <c r="F429">
        <f>IF(OR(A429="",B429=""),"",IF(E429=1,0,D429*B429/100/C429))</f>
        <v/>
      </c>
      <c r="G429">
        <f>IF(A429="","",IF(OR(B429&lt;&gt;B428,C429&lt;&gt;C428,D429&lt;&gt;D428,E429&lt;&gt;E428),G428+1,G428))</f>
        <v/>
      </c>
    </row>
    <row r="430">
      <c r="A430" s="14">
        <f>IF(OR(NOT(ISNUMBER(Ввод!$B$5)),NOT(ISNUMBER(Ввод!$B$6))),"",IF(Ввод!$B$5+428&gt;Ввод!$B$6,"",Ввод!$B$5+428))</f>
        <v/>
      </c>
      <c r="B430">
        <f>IF(A430="","",IFERROR(INDEX(Ввод!$B$12:$B$71,MATCH(A430,Ввод!$D$12:$D$71,1)),""))</f>
        <v/>
      </c>
      <c r="C430">
        <f>IF(A430="","",DATE(YEAR(A430),12,31)-DATE(YEAR(A430),1,1)+1)</f>
        <v/>
      </c>
      <c r="D430">
        <f>IF(A430="","",Ввод!$B$4-SUMIF(Оплаты!$A$6:$A$505,"&lt;"&amp;A430,Оплаты!$B$6:$B$505))</f>
        <v/>
      </c>
      <c r="E430">
        <f>IF(A430="","",IF(SUMPRODUCT((Ввод!$F$12:$F$31&lt;&gt;"")*(Ввод!$F$12:$F$31&lt;=A430)*(Ввод!$G$12:$G$31&gt;=A430))&gt;0,1,0))</f>
        <v/>
      </c>
      <c r="F430">
        <f>IF(OR(A430="",B430=""),"",IF(E430=1,0,D430*B430/100/C430))</f>
        <v/>
      </c>
      <c r="G430">
        <f>IF(A430="","",IF(OR(B430&lt;&gt;B429,C430&lt;&gt;C429,D430&lt;&gt;D429,E430&lt;&gt;E429),G429+1,G429))</f>
        <v/>
      </c>
    </row>
    <row r="431">
      <c r="A431" s="14">
        <f>IF(OR(NOT(ISNUMBER(Ввод!$B$5)),NOT(ISNUMBER(Ввод!$B$6))),"",IF(Ввод!$B$5+429&gt;Ввод!$B$6,"",Ввод!$B$5+429))</f>
        <v/>
      </c>
      <c r="B431">
        <f>IF(A431="","",IFERROR(INDEX(Ввод!$B$12:$B$71,MATCH(A431,Ввод!$D$12:$D$71,1)),""))</f>
        <v/>
      </c>
      <c r="C431">
        <f>IF(A431="","",DATE(YEAR(A431),12,31)-DATE(YEAR(A431),1,1)+1)</f>
        <v/>
      </c>
      <c r="D431">
        <f>IF(A431="","",Ввод!$B$4-SUMIF(Оплаты!$A$6:$A$505,"&lt;"&amp;A431,Оплаты!$B$6:$B$505))</f>
        <v/>
      </c>
      <c r="E431">
        <f>IF(A431="","",IF(SUMPRODUCT((Ввод!$F$12:$F$31&lt;&gt;"")*(Ввод!$F$12:$F$31&lt;=A431)*(Ввод!$G$12:$G$31&gt;=A431))&gt;0,1,0))</f>
        <v/>
      </c>
      <c r="F431">
        <f>IF(OR(A431="",B431=""),"",IF(E431=1,0,D431*B431/100/C431))</f>
        <v/>
      </c>
      <c r="G431">
        <f>IF(A431="","",IF(OR(B431&lt;&gt;B430,C431&lt;&gt;C430,D431&lt;&gt;D430,E431&lt;&gt;E430),G430+1,G430))</f>
        <v/>
      </c>
    </row>
    <row r="432">
      <c r="A432" s="14">
        <f>IF(OR(NOT(ISNUMBER(Ввод!$B$5)),NOT(ISNUMBER(Ввод!$B$6))),"",IF(Ввод!$B$5+430&gt;Ввод!$B$6,"",Ввод!$B$5+430))</f>
        <v/>
      </c>
      <c r="B432">
        <f>IF(A432="","",IFERROR(INDEX(Ввод!$B$12:$B$71,MATCH(A432,Ввод!$D$12:$D$71,1)),""))</f>
        <v/>
      </c>
      <c r="C432">
        <f>IF(A432="","",DATE(YEAR(A432),12,31)-DATE(YEAR(A432),1,1)+1)</f>
        <v/>
      </c>
      <c r="D432">
        <f>IF(A432="","",Ввод!$B$4-SUMIF(Оплаты!$A$6:$A$505,"&lt;"&amp;A432,Оплаты!$B$6:$B$505))</f>
        <v/>
      </c>
      <c r="E432">
        <f>IF(A432="","",IF(SUMPRODUCT((Ввод!$F$12:$F$31&lt;&gt;"")*(Ввод!$F$12:$F$31&lt;=A432)*(Ввод!$G$12:$G$31&gt;=A432))&gt;0,1,0))</f>
        <v/>
      </c>
      <c r="F432">
        <f>IF(OR(A432="",B432=""),"",IF(E432=1,0,D432*B432/100/C432))</f>
        <v/>
      </c>
      <c r="G432">
        <f>IF(A432="","",IF(OR(B432&lt;&gt;B431,C432&lt;&gt;C431,D432&lt;&gt;D431,E432&lt;&gt;E431),G431+1,G431))</f>
        <v/>
      </c>
    </row>
    <row r="433">
      <c r="A433" s="14">
        <f>IF(OR(NOT(ISNUMBER(Ввод!$B$5)),NOT(ISNUMBER(Ввод!$B$6))),"",IF(Ввод!$B$5+431&gt;Ввод!$B$6,"",Ввод!$B$5+431))</f>
        <v/>
      </c>
      <c r="B433">
        <f>IF(A433="","",IFERROR(INDEX(Ввод!$B$12:$B$71,MATCH(A433,Ввод!$D$12:$D$71,1)),""))</f>
        <v/>
      </c>
      <c r="C433">
        <f>IF(A433="","",DATE(YEAR(A433),12,31)-DATE(YEAR(A433),1,1)+1)</f>
        <v/>
      </c>
      <c r="D433">
        <f>IF(A433="","",Ввод!$B$4-SUMIF(Оплаты!$A$6:$A$505,"&lt;"&amp;A433,Оплаты!$B$6:$B$505))</f>
        <v/>
      </c>
      <c r="E433">
        <f>IF(A433="","",IF(SUMPRODUCT((Ввод!$F$12:$F$31&lt;&gt;"")*(Ввод!$F$12:$F$31&lt;=A433)*(Ввод!$G$12:$G$31&gt;=A433))&gt;0,1,0))</f>
        <v/>
      </c>
      <c r="F433">
        <f>IF(OR(A433="",B433=""),"",IF(E433=1,0,D433*B433/100/C433))</f>
        <v/>
      </c>
      <c r="G433">
        <f>IF(A433="","",IF(OR(B433&lt;&gt;B432,C433&lt;&gt;C432,D433&lt;&gt;D432,E433&lt;&gt;E432),G432+1,G432))</f>
        <v/>
      </c>
    </row>
    <row r="434">
      <c r="A434" s="14">
        <f>IF(OR(NOT(ISNUMBER(Ввод!$B$5)),NOT(ISNUMBER(Ввод!$B$6))),"",IF(Ввод!$B$5+432&gt;Ввод!$B$6,"",Ввод!$B$5+432))</f>
        <v/>
      </c>
      <c r="B434">
        <f>IF(A434="","",IFERROR(INDEX(Ввод!$B$12:$B$71,MATCH(A434,Ввод!$D$12:$D$71,1)),""))</f>
        <v/>
      </c>
      <c r="C434">
        <f>IF(A434="","",DATE(YEAR(A434),12,31)-DATE(YEAR(A434),1,1)+1)</f>
        <v/>
      </c>
      <c r="D434">
        <f>IF(A434="","",Ввод!$B$4-SUMIF(Оплаты!$A$6:$A$505,"&lt;"&amp;A434,Оплаты!$B$6:$B$505))</f>
        <v/>
      </c>
      <c r="E434">
        <f>IF(A434="","",IF(SUMPRODUCT((Ввод!$F$12:$F$31&lt;&gt;"")*(Ввод!$F$12:$F$31&lt;=A434)*(Ввод!$G$12:$G$31&gt;=A434))&gt;0,1,0))</f>
        <v/>
      </c>
      <c r="F434">
        <f>IF(OR(A434="",B434=""),"",IF(E434=1,0,D434*B434/100/C434))</f>
        <v/>
      </c>
      <c r="G434">
        <f>IF(A434="","",IF(OR(B434&lt;&gt;B433,C434&lt;&gt;C433,D434&lt;&gt;D433,E434&lt;&gt;E433),G433+1,G433))</f>
        <v/>
      </c>
    </row>
    <row r="435">
      <c r="A435" s="14">
        <f>IF(OR(NOT(ISNUMBER(Ввод!$B$5)),NOT(ISNUMBER(Ввод!$B$6))),"",IF(Ввод!$B$5+433&gt;Ввод!$B$6,"",Ввод!$B$5+433))</f>
        <v/>
      </c>
      <c r="B435">
        <f>IF(A435="","",IFERROR(INDEX(Ввод!$B$12:$B$71,MATCH(A435,Ввод!$D$12:$D$71,1)),""))</f>
        <v/>
      </c>
      <c r="C435">
        <f>IF(A435="","",DATE(YEAR(A435),12,31)-DATE(YEAR(A435),1,1)+1)</f>
        <v/>
      </c>
      <c r="D435">
        <f>IF(A435="","",Ввод!$B$4-SUMIF(Оплаты!$A$6:$A$505,"&lt;"&amp;A435,Оплаты!$B$6:$B$505))</f>
        <v/>
      </c>
      <c r="E435">
        <f>IF(A435="","",IF(SUMPRODUCT((Ввод!$F$12:$F$31&lt;&gt;"")*(Ввод!$F$12:$F$31&lt;=A435)*(Ввод!$G$12:$G$31&gt;=A435))&gt;0,1,0))</f>
        <v/>
      </c>
      <c r="F435">
        <f>IF(OR(A435="",B435=""),"",IF(E435=1,0,D435*B435/100/C435))</f>
        <v/>
      </c>
      <c r="G435">
        <f>IF(A435="","",IF(OR(B435&lt;&gt;B434,C435&lt;&gt;C434,D435&lt;&gt;D434,E435&lt;&gt;E434),G434+1,G434))</f>
        <v/>
      </c>
    </row>
    <row r="436">
      <c r="A436" s="14">
        <f>IF(OR(NOT(ISNUMBER(Ввод!$B$5)),NOT(ISNUMBER(Ввод!$B$6))),"",IF(Ввод!$B$5+434&gt;Ввод!$B$6,"",Ввод!$B$5+434))</f>
        <v/>
      </c>
      <c r="B436">
        <f>IF(A436="","",IFERROR(INDEX(Ввод!$B$12:$B$71,MATCH(A436,Ввод!$D$12:$D$71,1)),""))</f>
        <v/>
      </c>
      <c r="C436">
        <f>IF(A436="","",DATE(YEAR(A436),12,31)-DATE(YEAR(A436),1,1)+1)</f>
        <v/>
      </c>
      <c r="D436">
        <f>IF(A436="","",Ввод!$B$4-SUMIF(Оплаты!$A$6:$A$505,"&lt;"&amp;A436,Оплаты!$B$6:$B$505))</f>
        <v/>
      </c>
      <c r="E436">
        <f>IF(A436="","",IF(SUMPRODUCT((Ввод!$F$12:$F$31&lt;&gt;"")*(Ввод!$F$12:$F$31&lt;=A436)*(Ввод!$G$12:$G$31&gt;=A436))&gt;0,1,0))</f>
        <v/>
      </c>
      <c r="F436">
        <f>IF(OR(A436="",B436=""),"",IF(E436=1,0,D436*B436/100/C436))</f>
        <v/>
      </c>
      <c r="G436">
        <f>IF(A436="","",IF(OR(B436&lt;&gt;B435,C436&lt;&gt;C435,D436&lt;&gt;D435,E436&lt;&gt;E435),G435+1,G435))</f>
        <v/>
      </c>
    </row>
    <row r="437">
      <c r="A437" s="14">
        <f>IF(OR(NOT(ISNUMBER(Ввод!$B$5)),NOT(ISNUMBER(Ввод!$B$6))),"",IF(Ввод!$B$5+435&gt;Ввод!$B$6,"",Ввод!$B$5+435))</f>
        <v/>
      </c>
      <c r="B437">
        <f>IF(A437="","",IFERROR(INDEX(Ввод!$B$12:$B$71,MATCH(A437,Ввод!$D$12:$D$71,1)),""))</f>
        <v/>
      </c>
      <c r="C437">
        <f>IF(A437="","",DATE(YEAR(A437),12,31)-DATE(YEAR(A437),1,1)+1)</f>
        <v/>
      </c>
      <c r="D437">
        <f>IF(A437="","",Ввод!$B$4-SUMIF(Оплаты!$A$6:$A$505,"&lt;"&amp;A437,Оплаты!$B$6:$B$505))</f>
        <v/>
      </c>
      <c r="E437">
        <f>IF(A437="","",IF(SUMPRODUCT((Ввод!$F$12:$F$31&lt;&gt;"")*(Ввод!$F$12:$F$31&lt;=A437)*(Ввод!$G$12:$G$31&gt;=A437))&gt;0,1,0))</f>
        <v/>
      </c>
      <c r="F437">
        <f>IF(OR(A437="",B437=""),"",IF(E437=1,0,D437*B437/100/C437))</f>
        <v/>
      </c>
      <c r="G437">
        <f>IF(A437="","",IF(OR(B437&lt;&gt;B436,C437&lt;&gt;C436,D437&lt;&gt;D436,E437&lt;&gt;E436),G436+1,G436))</f>
        <v/>
      </c>
    </row>
    <row r="438">
      <c r="A438" s="14">
        <f>IF(OR(NOT(ISNUMBER(Ввод!$B$5)),NOT(ISNUMBER(Ввод!$B$6))),"",IF(Ввод!$B$5+436&gt;Ввод!$B$6,"",Ввод!$B$5+436))</f>
        <v/>
      </c>
      <c r="B438">
        <f>IF(A438="","",IFERROR(INDEX(Ввод!$B$12:$B$71,MATCH(A438,Ввод!$D$12:$D$71,1)),""))</f>
        <v/>
      </c>
      <c r="C438">
        <f>IF(A438="","",DATE(YEAR(A438),12,31)-DATE(YEAR(A438),1,1)+1)</f>
        <v/>
      </c>
      <c r="D438">
        <f>IF(A438="","",Ввод!$B$4-SUMIF(Оплаты!$A$6:$A$505,"&lt;"&amp;A438,Оплаты!$B$6:$B$505))</f>
        <v/>
      </c>
      <c r="E438">
        <f>IF(A438="","",IF(SUMPRODUCT((Ввод!$F$12:$F$31&lt;&gt;"")*(Ввод!$F$12:$F$31&lt;=A438)*(Ввод!$G$12:$G$31&gt;=A438))&gt;0,1,0))</f>
        <v/>
      </c>
      <c r="F438">
        <f>IF(OR(A438="",B438=""),"",IF(E438=1,0,D438*B438/100/C438))</f>
        <v/>
      </c>
      <c r="G438">
        <f>IF(A438="","",IF(OR(B438&lt;&gt;B437,C438&lt;&gt;C437,D438&lt;&gt;D437,E438&lt;&gt;E437),G437+1,G437))</f>
        <v/>
      </c>
    </row>
    <row r="439">
      <c r="A439" s="14">
        <f>IF(OR(NOT(ISNUMBER(Ввод!$B$5)),NOT(ISNUMBER(Ввод!$B$6))),"",IF(Ввод!$B$5+437&gt;Ввод!$B$6,"",Ввод!$B$5+437))</f>
        <v/>
      </c>
      <c r="B439">
        <f>IF(A439="","",IFERROR(INDEX(Ввод!$B$12:$B$71,MATCH(A439,Ввод!$D$12:$D$71,1)),""))</f>
        <v/>
      </c>
      <c r="C439">
        <f>IF(A439="","",DATE(YEAR(A439),12,31)-DATE(YEAR(A439),1,1)+1)</f>
        <v/>
      </c>
      <c r="D439">
        <f>IF(A439="","",Ввод!$B$4-SUMIF(Оплаты!$A$6:$A$505,"&lt;"&amp;A439,Оплаты!$B$6:$B$505))</f>
        <v/>
      </c>
      <c r="E439">
        <f>IF(A439="","",IF(SUMPRODUCT((Ввод!$F$12:$F$31&lt;&gt;"")*(Ввод!$F$12:$F$31&lt;=A439)*(Ввод!$G$12:$G$31&gt;=A439))&gt;0,1,0))</f>
        <v/>
      </c>
      <c r="F439">
        <f>IF(OR(A439="",B439=""),"",IF(E439=1,0,D439*B439/100/C439))</f>
        <v/>
      </c>
      <c r="G439">
        <f>IF(A439="","",IF(OR(B439&lt;&gt;B438,C439&lt;&gt;C438,D439&lt;&gt;D438,E439&lt;&gt;E438),G438+1,G438))</f>
        <v/>
      </c>
    </row>
    <row r="440">
      <c r="A440" s="14">
        <f>IF(OR(NOT(ISNUMBER(Ввод!$B$5)),NOT(ISNUMBER(Ввод!$B$6))),"",IF(Ввод!$B$5+438&gt;Ввод!$B$6,"",Ввод!$B$5+438))</f>
        <v/>
      </c>
      <c r="B440">
        <f>IF(A440="","",IFERROR(INDEX(Ввод!$B$12:$B$71,MATCH(A440,Ввод!$D$12:$D$71,1)),""))</f>
        <v/>
      </c>
      <c r="C440">
        <f>IF(A440="","",DATE(YEAR(A440),12,31)-DATE(YEAR(A440),1,1)+1)</f>
        <v/>
      </c>
      <c r="D440">
        <f>IF(A440="","",Ввод!$B$4-SUMIF(Оплаты!$A$6:$A$505,"&lt;"&amp;A440,Оплаты!$B$6:$B$505))</f>
        <v/>
      </c>
      <c r="E440">
        <f>IF(A440="","",IF(SUMPRODUCT((Ввод!$F$12:$F$31&lt;&gt;"")*(Ввод!$F$12:$F$31&lt;=A440)*(Ввод!$G$12:$G$31&gt;=A440))&gt;0,1,0))</f>
        <v/>
      </c>
      <c r="F440">
        <f>IF(OR(A440="",B440=""),"",IF(E440=1,0,D440*B440/100/C440))</f>
        <v/>
      </c>
      <c r="G440">
        <f>IF(A440="","",IF(OR(B440&lt;&gt;B439,C440&lt;&gt;C439,D440&lt;&gt;D439,E440&lt;&gt;E439),G439+1,G439))</f>
        <v/>
      </c>
    </row>
    <row r="441">
      <c r="A441" s="14">
        <f>IF(OR(NOT(ISNUMBER(Ввод!$B$5)),NOT(ISNUMBER(Ввод!$B$6))),"",IF(Ввод!$B$5+439&gt;Ввод!$B$6,"",Ввод!$B$5+439))</f>
        <v/>
      </c>
      <c r="B441">
        <f>IF(A441="","",IFERROR(INDEX(Ввод!$B$12:$B$71,MATCH(A441,Ввод!$D$12:$D$71,1)),""))</f>
        <v/>
      </c>
      <c r="C441">
        <f>IF(A441="","",DATE(YEAR(A441),12,31)-DATE(YEAR(A441),1,1)+1)</f>
        <v/>
      </c>
      <c r="D441">
        <f>IF(A441="","",Ввод!$B$4-SUMIF(Оплаты!$A$6:$A$505,"&lt;"&amp;A441,Оплаты!$B$6:$B$505))</f>
        <v/>
      </c>
      <c r="E441">
        <f>IF(A441="","",IF(SUMPRODUCT((Ввод!$F$12:$F$31&lt;&gt;"")*(Ввод!$F$12:$F$31&lt;=A441)*(Ввод!$G$12:$G$31&gt;=A441))&gt;0,1,0))</f>
        <v/>
      </c>
      <c r="F441">
        <f>IF(OR(A441="",B441=""),"",IF(E441=1,0,D441*B441/100/C441))</f>
        <v/>
      </c>
      <c r="G441">
        <f>IF(A441="","",IF(OR(B441&lt;&gt;B440,C441&lt;&gt;C440,D441&lt;&gt;D440,E441&lt;&gt;E440),G440+1,G440))</f>
        <v/>
      </c>
    </row>
    <row r="442">
      <c r="A442" s="14">
        <f>IF(OR(NOT(ISNUMBER(Ввод!$B$5)),NOT(ISNUMBER(Ввод!$B$6))),"",IF(Ввод!$B$5+440&gt;Ввод!$B$6,"",Ввод!$B$5+440))</f>
        <v/>
      </c>
      <c r="B442">
        <f>IF(A442="","",IFERROR(INDEX(Ввод!$B$12:$B$71,MATCH(A442,Ввод!$D$12:$D$71,1)),""))</f>
        <v/>
      </c>
      <c r="C442">
        <f>IF(A442="","",DATE(YEAR(A442),12,31)-DATE(YEAR(A442),1,1)+1)</f>
        <v/>
      </c>
      <c r="D442">
        <f>IF(A442="","",Ввод!$B$4-SUMIF(Оплаты!$A$6:$A$505,"&lt;"&amp;A442,Оплаты!$B$6:$B$505))</f>
        <v/>
      </c>
      <c r="E442">
        <f>IF(A442="","",IF(SUMPRODUCT((Ввод!$F$12:$F$31&lt;&gt;"")*(Ввод!$F$12:$F$31&lt;=A442)*(Ввод!$G$12:$G$31&gt;=A442))&gt;0,1,0))</f>
        <v/>
      </c>
      <c r="F442">
        <f>IF(OR(A442="",B442=""),"",IF(E442=1,0,D442*B442/100/C442))</f>
        <v/>
      </c>
      <c r="G442">
        <f>IF(A442="","",IF(OR(B442&lt;&gt;B441,C442&lt;&gt;C441,D442&lt;&gt;D441,E442&lt;&gt;E441),G441+1,G441))</f>
        <v/>
      </c>
    </row>
    <row r="443">
      <c r="A443" s="14">
        <f>IF(OR(NOT(ISNUMBER(Ввод!$B$5)),NOT(ISNUMBER(Ввод!$B$6))),"",IF(Ввод!$B$5+441&gt;Ввод!$B$6,"",Ввод!$B$5+441))</f>
        <v/>
      </c>
      <c r="B443">
        <f>IF(A443="","",IFERROR(INDEX(Ввод!$B$12:$B$71,MATCH(A443,Ввод!$D$12:$D$71,1)),""))</f>
        <v/>
      </c>
      <c r="C443">
        <f>IF(A443="","",DATE(YEAR(A443),12,31)-DATE(YEAR(A443),1,1)+1)</f>
        <v/>
      </c>
      <c r="D443">
        <f>IF(A443="","",Ввод!$B$4-SUMIF(Оплаты!$A$6:$A$505,"&lt;"&amp;A443,Оплаты!$B$6:$B$505))</f>
        <v/>
      </c>
      <c r="E443">
        <f>IF(A443="","",IF(SUMPRODUCT((Ввод!$F$12:$F$31&lt;&gt;"")*(Ввод!$F$12:$F$31&lt;=A443)*(Ввод!$G$12:$G$31&gt;=A443))&gt;0,1,0))</f>
        <v/>
      </c>
      <c r="F443">
        <f>IF(OR(A443="",B443=""),"",IF(E443=1,0,D443*B443/100/C443))</f>
        <v/>
      </c>
      <c r="G443">
        <f>IF(A443="","",IF(OR(B443&lt;&gt;B442,C443&lt;&gt;C442,D443&lt;&gt;D442,E443&lt;&gt;E442),G442+1,G442))</f>
        <v/>
      </c>
    </row>
    <row r="444">
      <c r="A444" s="14">
        <f>IF(OR(NOT(ISNUMBER(Ввод!$B$5)),NOT(ISNUMBER(Ввод!$B$6))),"",IF(Ввод!$B$5+442&gt;Ввод!$B$6,"",Ввод!$B$5+442))</f>
        <v/>
      </c>
      <c r="B444">
        <f>IF(A444="","",IFERROR(INDEX(Ввод!$B$12:$B$71,MATCH(A444,Ввод!$D$12:$D$71,1)),""))</f>
        <v/>
      </c>
      <c r="C444">
        <f>IF(A444="","",DATE(YEAR(A444),12,31)-DATE(YEAR(A444),1,1)+1)</f>
        <v/>
      </c>
      <c r="D444">
        <f>IF(A444="","",Ввод!$B$4-SUMIF(Оплаты!$A$6:$A$505,"&lt;"&amp;A444,Оплаты!$B$6:$B$505))</f>
        <v/>
      </c>
      <c r="E444">
        <f>IF(A444="","",IF(SUMPRODUCT((Ввод!$F$12:$F$31&lt;&gt;"")*(Ввод!$F$12:$F$31&lt;=A444)*(Ввод!$G$12:$G$31&gt;=A444))&gt;0,1,0))</f>
        <v/>
      </c>
      <c r="F444">
        <f>IF(OR(A444="",B444=""),"",IF(E444=1,0,D444*B444/100/C444))</f>
        <v/>
      </c>
      <c r="G444">
        <f>IF(A444="","",IF(OR(B444&lt;&gt;B443,C444&lt;&gt;C443,D444&lt;&gt;D443,E444&lt;&gt;E443),G443+1,G443))</f>
        <v/>
      </c>
    </row>
    <row r="445">
      <c r="A445" s="14">
        <f>IF(OR(NOT(ISNUMBER(Ввод!$B$5)),NOT(ISNUMBER(Ввод!$B$6))),"",IF(Ввод!$B$5+443&gt;Ввод!$B$6,"",Ввод!$B$5+443))</f>
        <v/>
      </c>
      <c r="B445">
        <f>IF(A445="","",IFERROR(INDEX(Ввод!$B$12:$B$71,MATCH(A445,Ввод!$D$12:$D$71,1)),""))</f>
        <v/>
      </c>
      <c r="C445">
        <f>IF(A445="","",DATE(YEAR(A445),12,31)-DATE(YEAR(A445),1,1)+1)</f>
        <v/>
      </c>
      <c r="D445">
        <f>IF(A445="","",Ввод!$B$4-SUMIF(Оплаты!$A$6:$A$505,"&lt;"&amp;A445,Оплаты!$B$6:$B$505))</f>
        <v/>
      </c>
      <c r="E445">
        <f>IF(A445="","",IF(SUMPRODUCT((Ввод!$F$12:$F$31&lt;&gt;"")*(Ввод!$F$12:$F$31&lt;=A445)*(Ввод!$G$12:$G$31&gt;=A445))&gt;0,1,0))</f>
        <v/>
      </c>
      <c r="F445">
        <f>IF(OR(A445="",B445=""),"",IF(E445=1,0,D445*B445/100/C445))</f>
        <v/>
      </c>
      <c r="G445">
        <f>IF(A445="","",IF(OR(B445&lt;&gt;B444,C445&lt;&gt;C444,D445&lt;&gt;D444,E445&lt;&gt;E444),G444+1,G444))</f>
        <v/>
      </c>
    </row>
    <row r="446">
      <c r="A446" s="14">
        <f>IF(OR(NOT(ISNUMBER(Ввод!$B$5)),NOT(ISNUMBER(Ввод!$B$6))),"",IF(Ввод!$B$5+444&gt;Ввод!$B$6,"",Ввод!$B$5+444))</f>
        <v/>
      </c>
      <c r="B446">
        <f>IF(A446="","",IFERROR(INDEX(Ввод!$B$12:$B$71,MATCH(A446,Ввод!$D$12:$D$71,1)),""))</f>
        <v/>
      </c>
      <c r="C446">
        <f>IF(A446="","",DATE(YEAR(A446),12,31)-DATE(YEAR(A446),1,1)+1)</f>
        <v/>
      </c>
      <c r="D446">
        <f>IF(A446="","",Ввод!$B$4-SUMIF(Оплаты!$A$6:$A$505,"&lt;"&amp;A446,Оплаты!$B$6:$B$505))</f>
        <v/>
      </c>
      <c r="E446">
        <f>IF(A446="","",IF(SUMPRODUCT((Ввод!$F$12:$F$31&lt;&gt;"")*(Ввод!$F$12:$F$31&lt;=A446)*(Ввод!$G$12:$G$31&gt;=A446))&gt;0,1,0))</f>
        <v/>
      </c>
      <c r="F446">
        <f>IF(OR(A446="",B446=""),"",IF(E446=1,0,D446*B446/100/C446))</f>
        <v/>
      </c>
      <c r="G446">
        <f>IF(A446="","",IF(OR(B446&lt;&gt;B445,C446&lt;&gt;C445,D446&lt;&gt;D445,E446&lt;&gt;E445),G445+1,G445))</f>
        <v/>
      </c>
    </row>
    <row r="447">
      <c r="A447" s="14">
        <f>IF(OR(NOT(ISNUMBER(Ввод!$B$5)),NOT(ISNUMBER(Ввод!$B$6))),"",IF(Ввод!$B$5+445&gt;Ввод!$B$6,"",Ввод!$B$5+445))</f>
        <v/>
      </c>
      <c r="B447">
        <f>IF(A447="","",IFERROR(INDEX(Ввод!$B$12:$B$71,MATCH(A447,Ввод!$D$12:$D$71,1)),""))</f>
        <v/>
      </c>
      <c r="C447">
        <f>IF(A447="","",DATE(YEAR(A447),12,31)-DATE(YEAR(A447),1,1)+1)</f>
        <v/>
      </c>
      <c r="D447">
        <f>IF(A447="","",Ввод!$B$4-SUMIF(Оплаты!$A$6:$A$505,"&lt;"&amp;A447,Оплаты!$B$6:$B$505))</f>
        <v/>
      </c>
      <c r="E447">
        <f>IF(A447="","",IF(SUMPRODUCT((Ввод!$F$12:$F$31&lt;&gt;"")*(Ввод!$F$12:$F$31&lt;=A447)*(Ввод!$G$12:$G$31&gt;=A447))&gt;0,1,0))</f>
        <v/>
      </c>
      <c r="F447">
        <f>IF(OR(A447="",B447=""),"",IF(E447=1,0,D447*B447/100/C447))</f>
        <v/>
      </c>
      <c r="G447">
        <f>IF(A447="","",IF(OR(B447&lt;&gt;B446,C447&lt;&gt;C446,D447&lt;&gt;D446,E447&lt;&gt;E446),G446+1,G446))</f>
        <v/>
      </c>
    </row>
    <row r="448">
      <c r="A448" s="14">
        <f>IF(OR(NOT(ISNUMBER(Ввод!$B$5)),NOT(ISNUMBER(Ввод!$B$6))),"",IF(Ввод!$B$5+446&gt;Ввод!$B$6,"",Ввод!$B$5+446))</f>
        <v/>
      </c>
      <c r="B448">
        <f>IF(A448="","",IFERROR(INDEX(Ввод!$B$12:$B$71,MATCH(A448,Ввод!$D$12:$D$71,1)),""))</f>
        <v/>
      </c>
      <c r="C448">
        <f>IF(A448="","",DATE(YEAR(A448),12,31)-DATE(YEAR(A448),1,1)+1)</f>
        <v/>
      </c>
      <c r="D448">
        <f>IF(A448="","",Ввод!$B$4-SUMIF(Оплаты!$A$6:$A$505,"&lt;"&amp;A448,Оплаты!$B$6:$B$505))</f>
        <v/>
      </c>
      <c r="E448">
        <f>IF(A448="","",IF(SUMPRODUCT((Ввод!$F$12:$F$31&lt;&gt;"")*(Ввод!$F$12:$F$31&lt;=A448)*(Ввод!$G$12:$G$31&gt;=A448))&gt;0,1,0))</f>
        <v/>
      </c>
      <c r="F448">
        <f>IF(OR(A448="",B448=""),"",IF(E448=1,0,D448*B448/100/C448))</f>
        <v/>
      </c>
      <c r="G448">
        <f>IF(A448="","",IF(OR(B448&lt;&gt;B447,C448&lt;&gt;C447,D448&lt;&gt;D447,E448&lt;&gt;E447),G447+1,G447))</f>
        <v/>
      </c>
    </row>
    <row r="449">
      <c r="A449" s="14">
        <f>IF(OR(NOT(ISNUMBER(Ввод!$B$5)),NOT(ISNUMBER(Ввод!$B$6))),"",IF(Ввод!$B$5+447&gt;Ввод!$B$6,"",Ввод!$B$5+447))</f>
        <v/>
      </c>
      <c r="B449">
        <f>IF(A449="","",IFERROR(INDEX(Ввод!$B$12:$B$71,MATCH(A449,Ввод!$D$12:$D$71,1)),""))</f>
        <v/>
      </c>
      <c r="C449">
        <f>IF(A449="","",DATE(YEAR(A449),12,31)-DATE(YEAR(A449),1,1)+1)</f>
        <v/>
      </c>
      <c r="D449">
        <f>IF(A449="","",Ввод!$B$4-SUMIF(Оплаты!$A$6:$A$505,"&lt;"&amp;A449,Оплаты!$B$6:$B$505))</f>
        <v/>
      </c>
      <c r="E449">
        <f>IF(A449="","",IF(SUMPRODUCT((Ввод!$F$12:$F$31&lt;&gt;"")*(Ввод!$F$12:$F$31&lt;=A449)*(Ввод!$G$12:$G$31&gt;=A449))&gt;0,1,0))</f>
        <v/>
      </c>
      <c r="F449">
        <f>IF(OR(A449="",B449=""),"",IF(E449=1,0,D449*B449/100/C449))</f>
        <v/>
      </c>
      <c r="G449">
        <f>IF(A449="","",IF(OR(B449&lt;&gt;B448,C449&lt;&gt;C448,D449&lt;&gt;D448,E449&lt;&gt;E448),G448+1,G448))</f>
        <v/>
      </c>
    </row>
    <row r="450">
      <c r="A450" s="14">
        <f>IF(OR(NOT(ISNUMBER(Ввод!$B$5)),NOT(ISNUMBER(Ввод!$B$6))),"",IF(Ввод!$B$5+448&gt;Ввод!$B$6,"",Ввод!$B$5+448))</f>
        <v/>
      </c>
      <c r="B450">
        <f>IF(A450="","",IFERROR(INDEX(Ввод!$B$12:$B$71,MATCH(A450,Ввод!$D$12:$D$71,1)),""))</f>
        <v/>
      </c>
      <c r="C450">
        <f>IF(A450="","",DATE(YEAR(A450),12,31)-DATE(YEAR(A450),1,1)+1)</f>
        <v/>
      </c>
      <c r="D450">
        <f>IF(A450="","",Ввод!$B$4-SUMIF(Оплаты!$A$6:$A$505,"&lt;"&amp;A450,Оплаты!$B$6:$B$505))</f>
        <v/>
      </c>
      <c r="E450">
        <f>IF(A450="","",IF(SUMPRODUCT((Ввод!$F$12:$F$31&lt;&gt;"")*(Ввод!$F$12:$F$31&lt;=A450)*(Ввод!$G$12:$G$31&gt;=A450))&gt;0,1,0))</f>
        <v/>
      </c>
      <c r="F450">
        <f>IF(OR(A450="",B450=""),"",IF(E450=1,0,D450*B450/100/C450))</f>
        <v/>
      </c>
      <c r="G450">
        <f>IF(A450="","",IF(OR(B450&lt;&gt;B449,C450&lt;&gt;C449,D450&lt;&gt;D449,E450&lt;&gt;E449),G449+1,G449))</f>
        <v/>
      </c>
    </row>
    <row r="451">
      <c r="A451" s="14">
        <f>IF(OR(NOT(ISNUMBER(Ввод!$B$5)),NOT(ISNUMBER(Ввод!$B$6))),"",IF(Ввод!$B$5+449&gt;Ввод!$B$6,"",Ввод!$B$5+449))</f>
        <v/>
      </c>
      <c r="B451">
        <f>IF(A451="","",IFERROR(INDEX(Ввод!$B$12:$B$71,MATCH(A451,Ввод!$D$12:$D$71,1)),""))</f>
        <v/>
      </c>
      <c r="C451">
        <f>IF(A451="","",DATE(YEAR(A451),12,31)-DATE(YEAR(A451),1,1)+1)</f>
        <v/>
      </c>
      <c r="D451">
        <f>IF(A451="","",Ввод!$B$4-SUMIF(Оплаты!$A$6:$A$505,"&lt;"&amp;A451,Оплаты!$B$6:$B$505))</f>
        <v/>
      </c>
      <c r="E451">
        <f>IF(A451="","",IF(SUMPRODUCT((Ввод!$F$12:$F$31&lt;&gt;"")*(Ввод!$F$12:$F$31&lt;=A451)*(Ввод!$G$12:$G$31&gt;=A451))&gt;0,1,0))</f>
        <v/>
      </c>
      <c r="F451">
        <f>IF(OR(A451="",B451=""),"",IF(E451=1,0,D451*B451/100/C451))</f>
        <v/>
      </c>
      <c r="G451">
        <f>IF(A451="","",IF(OR(B451&lt;&gt;B450,C451&lt;&gt;C450,D451&lt;&gt;D450,E451&lt;&gt;E450),G450+1,G450))</f>
        <v/>
      </c>
    </row>
    <row r="452">
      <c r="A452" s="14">
        <f>IF(OR(NOT(ISNUMBER(Ввод!$B$5)),NOT(ISNUMBER(Ввод!$B$6))),"",IF(Ввод!$B$5+450&gt;Ввод!$B$6,"",Ввод!$B$5+450))</f>
        <v/>
      </c>
      <c r="B452">
        <f>IF(A452="","",IFERROR(INDEX(Ввод!$B$12:$B$71,MATCH(A452,Ввод!$D$12:$D$71,1)),""))</f>
        <v/>
      </c>
      <c r="C452">
        <f>IF(A452="","",DATE(YEAR(A452),12,31)-DATE(YEAR(A452),1,1)+1)</f>
        <v/>
      </c>
      <c r="D452">
        <f>IF(A452="","",Ввод!$B$4-SUMIF(Оплаты!$A$6:$A$505,"&lt;"&amp;A452,Оплаты!$B$6:$B$505))</f>
        <v/>
      </c>
      <c r="E452">
        <f>IF(A452="","",IF(SUMPRODUCT((Ввод!$F$12:$F$31&lt;&gt;"")*(Ввод!$F$12:$F$31&lt;=A452)*(Ввод!$G$12:$G$31&gt;=A452))&gt;0,1,0))</f>
        <v/>
      </c>
      <c r="F452">
        <f>IF(OR(A452="",B452=""),"",IF(E452=1,0,D452*B452/100/C452))</f>
        <v/>
      </c>
      <c r="G452">
        <f>IF(A452="","",IF(OR(B452&lt;&gt;B451,C452&lt;&gt;C451,D452&lt;&gt;D451,E452&lt;&gt;E451),G451+1,G451))</f>
        <v/>
      </c>
    </row>
    <row r="453">
      <c r="A453" s="14">
        <f>IF(OR(NOT(ISNUMBER(Ввод!$B$5)),NOT(ISNUMBER(Ввод!$B$6))),"",IF(Ввод!$B$5+451&gt;Ввод!$B$6,"",Ввод!$B$5+451))</f>
        <v/>
      </c>
      <c r="B453">
        <f>IF(A453="","",IFERROR(INDEX(Ввод!$B$12:$B$71,MATCH(A453,Ввод!$D$12:$D$71,1)),""))</f>
        <v/>
      </c>
      <c r="C453">
        <f>IF(A453="","",DATE(YEAR(A453),12,31)-DATE(YEAR(A453),1,1)+1)</f>
        <v/>
      </c>
      <c r="D453">
        <f>IF(A453="","",Ввод!$B$4-SUMIF(Оплаты!$A$6:$A$505,"&lt;"&amp;A453,Оплаты!$B$6:$B$505))</f>
        <v/>
      </c>
      <c r="E453">
        <f>IF(A453="","",IF(SUMPRODUCT((Ввод!$F$12:$F$31&lt;&gt;"")*(Ввод!$F$12:$F$31&lt;=A453)*(Ввод!$G$12:$G$31&gt;=A453))&gt;0,1,0))</f>
        <v/>
      </c>
      <c r="F453">
        <f>IF(OR(A453="",B453=""),"",IF(E453=1,0,D453*B453/100/C453))</f>
        <v/>
      </c>
      <c r="G453">
        <f>IF(A453="","",IF(OR(B453&lt;&gt;B452,C453&lt;&gt;C452,D453&lt;&gt;D452,E453&lt;&gt;E452),G452+1,G452))</f>
        <v/>
      </c>
    </row>
    <row r="454">
      <c r="A454" s="14">
        <f>IF(OR(NOT(ISNUMBER(Ввод!$B$5)),NOT(ISNUMBER(Ввод!$B$6))),"",IF(Ввод!$B$5+452&gt;Ввод!$B$6,"",Ввод!$B$5+452))</f>
        <v/>
      </c>
      <c r="B454">
        <f>IF(A454="","",IFERROR(INDEX(Ввод!$B$12:$B$71,MATCH(A454,Ввод!$D$12:$D$71,1)),""))</f>
        <v/>
      </c>
      <c r="C454">
        <f>IF(A454="","",DATE(YEAR(A454),12,31)-DATE(YEAR(A454),1,1)+1)</f>
        <v/>
      </c>
      <c r="D454">
        <f>IF(A454="","",Ввод!$B$4-SUMIF(Оплаты!$A$6:$A$505,"&lt;"&amp;A454,Оплаты!$B$6:$B$505))</f>
        <v/>
      </c>
      <c r="E454">
        <f>IF(A454="","",IF(SUMPRODUCT((Ввод!$F$12:$F$31&lt;&gt;"")*(Ввод!$F$12:$F$31&lt;=A454)*(Ввод!$G$12:$G$31&gt;=A454))&gt;0,1,0))</f>
        <v/>
      </c>
      <c r="F454">
        <f>IF(OR(A454="",B454=""),"",IF(E454=1,0,D454*B454/100/C454))</f>
        <v/>
      </c>
      <c r="G454">
        <f>IF(A454="","",IF(OR(B454&lt;&gt;B453,C454&lt;&gt;C453,D454&lt;&gt;D453,E454&lt;&gt;E453),G453+1,G453))</f>
        <v/>
      </c>
    </row>
    <row r="455">
      <c r="A455" s="14">
        <f>IF(OR(NOT(ISNUMBER(Ввод!$B$5)),NOT(ISNUMBER(Ввод!$B$6))),"",IF(Ввод!$B$5+453&gt;Ввод!$B$6,"",Ввод!$B$5+453))</f>
        <v/>
      </c>
      <c r="B455">
        <f>IF(A455="","",IFERROR(INDEX(Ввод!$B$12:$B$71,MATCH(A455,Ввод!$D$12:$D$71,1)),""))</f>
        <v/>
      </c>
      <c r="C455">
        <f>IF(A455="","",DATE(YEAR(A455),12,31)-DATE(YEAR(A455),1,1)+1)</f>
        <v/>
      </c>
      <c r="D455">
        <f>IF(A455="","",Ввод!$B$4-SUMIF(Оплаты!$A$6:$A$505,"&lt;"&amp;A455,Оплаты!$B$6:$B$505))</f>
        <v/>
      </c>
      <c r="E455">
        <f>IF(A455="","",IF(SUMPRODUCT((Ввод!$F$12:$F$31&lt;&gt;"")*(Ввод!$F$12:$F$31&lt;=A455)*(Ввод!$G$12:$G$31&gt;=A455))&gt;0,1,0))</f>
        <v/>
      </c>
      <c r="F455">
        <f>IF(OR(A455="",B455=""),"",IF(E455=1,0,D455*B455/100/C455))</f>
        <v/>
      </c>
      <c r="G455">
        <f>IF(A455="","",IF(OR(B455&lt;&gt;B454,C455&lt;&gt;C454,D455&lt;&gt;D454,E455&lt;&gt;E454),G454+1,G454))</f>
        <v/>
      </c>
    </row>
    <row r="456">
      <c r="A456" s="14">
        <f>IF(OR(NOT(ISNUMBER(Ввод!$B$5)),NOT(ISNUMBER(Ввод!$B$6))),"",IF(Ввод!$B$5+454&gt;Ввод!$B$6,"",Ввод!$B$5+454))</f>
        <v/>
      </c>
      <c r="B456">
        <f>IF(A456="","",IFERROR(INDEX(Ввод!$B$12:$B$71,MATCH(A456,Ввод!$D$12:$D$71,1)),""))</f>
        <v/>
      </c>
      <c r="C456">
        <f>IF(A456="","",DATE(YEAR(A456),12,31)-DATE(YEAR(A456),1,1)+1)</f>
        <v/>
      </c>
      <c r="D456">
        <f>IF(A456="","",Ввод!$B$4-SUMIF(Оплаты!$A$6:$A$505,"&lt;"&amp;A456,Оплаты!$B$6:$B$505))</f>
        <v/>
      </c>
      <c r="E456">
        <f>IF(A456="","",IF(SUMPRODUCT((Ввод!$F$12:$F$31&lt;&gt;"")*(Ввод!$F$12:$F$31&lt;=A456)*(Ввод!$G$12:$G$31&gt;=A456))&gt;0,1,0))</f>
        <v/>
      </c>
      <c r="F456">
        <f>IF(OR(A456="",B456=""),"",IF(E456=1,0,D456*B456/100/C456))</f>
        <v/>
      </c>
      <c r="G456">
        <f>IF(A456="","",IF(OR(B456&lt;&gt;B455,C456&lt;&gt;C455,D456&lt;&gt;D455,E456&lt;&gt;E455),G455+1,G455))</f>
        <v/>
      </c>
    </row>
    <row r="457">
      <c r="A457" s="14">
        <f>IF(OR(NOT(ISNUMBER(Ввод!$B$5)),NOT(ISNUMBER(Ввод!$B$6))),"",IF(Ввод!$B$5+455&gt;Ввод!$B$6,"",Ввод!$B$5+455))</f>
        <v/>
      </c>
      <c r="B457">
        <f>IF(A457="","",IFERROR(INDEX(Ввод!$B$12:$B$71,MATCH(A457,Ввод!$D$12:$D$71,1)),""))</f>
        <v/>
      </c>
      <c r="C457">
        <f>IF(A457="","",DATE(YEAR(A457),12,31)-DATE(YEAR(A457),1,1)+1)</f>
        <v/>
      </c>
      <c r="D457">
        <f>IF(A457="","",Ввод!$B$4-SUMIF(Оплаты!$A$6:$A$505,"&lt;"&amp;A457,Оплаты!$B$6:$B$505))</f>
        <v/>
      </c>
      <c r="E457">
        <f>IF(A457="","",IF(SUMPRODUCT((Ввод!$F$12:$F$31&lt;&gt;"")*(Ввод!$F$12:$F$31&lt;=A457)*(Ввод!$G$12:$G$31&gt;=A457))&gt;0,1,0))</f>
        <v/>
      </c>
      <c r="F457">
        <f>IF(OR(A457="",B457=""),"",IF(E457=1,0,D457*B457/100/C457))</f>
        <v/>
      </c>
      <c r="G457">
        <f>IF(A457="","",IF(OR(B457&lt;&gt;B456,C457&lt;&gt;C456,D457&lt;&gt;D456,E457&lt;&gt;E456),G456+1,G456))</f>
        <v/>
      </c>
    </row>
    <row r="458">
      <c r="A458" s="14">
        <f>IF(OR(NOT(ISNUMBER(Ввод!$B$5)),NOT(ISNUMBER(Ввод!$B$6))),"",IF(Ввод!$B$5+456&gt;Ввод!$B$6,"",Ввод!$B$5+456))</f>
        <v/>
      </c>
      <c r="B458">
        <f>IF(A458="","",IFERROR(INDEX(Ввод!$B$12:$B$71,MATCH(A458,Ввод!$D$12:$D$71,1)),""))</f>
        <v/>
      </c>
      <c r="C458">
        <f>IF(A458="","",DATE(YEAR(A458),12,31)-DATE(YEAR(A458),1,1)+1)</f>
        <v/>
      </c>
      <c r="D458">
        <f>IF(A458="","",Ввод!$B$4-SUMIF(Оплаты!$A$6:$A$505,"&lt;"&amp;A458,Оплаты!$B$6:$B$505))</f>
        <v/>
      </c>
      <c r="E458">
        <f>IF(A458="","",IF(SUMPRODUCT((Ввод!$F$12:$F$31&lt;&gt;"")*(Ввод!$F$12:$F$31&lt;=A458)*(Ввод!$G$12:$G$31&gt;=A458))&gt;0,1,0))</f>
        <v/>
      </c>
      <c r="F458">
        <f>IF(OR(A458="",B458=""),"",IF(E458=1,0,D458*B458/100/C458))</f>
        <v/>
      </c>
      <c r="G458">
        <f>IF(A458="","",IF(OR(B458&lt;&gt;B457,C458&lt;&gt;C457,D458&lt;&gt;D457,E458&lt;&gt;E457),G457+1,G457))</f>
        <v/>
      </c>
    </row>
    <row r="459">
      <c r="A459" s="14">
        <f>IF(OR(NOT(ISNUMBER(Ввод!$B$5)),NOT(ISNUMBER(Ввод!$B$6))),"",IF(Ввод!$B$5+457&gt;Ввод!$B$6,"",Ввод!$B$5+457))</f>
        <v/>
      </c>
      <c r="B459">
        <f>IF(A459="","",IFERROR(INDEX(Ввод!$B$12:$B$71,MATCH(A459,Ввод!$D$12:$D$71,1)),""))</f>
        <v/>
      </c>
      <c r="C459">
        <f>IF(A459="","",DATE(YEAR(A459),12,31)-DATE(YEAR(A459),1,1)+1)</f>
        <v/>
      </c>
      <c r="D459">
        <f>IF(A459="","",Ввод!$B$4-SUMIF(Оплаты!$A$6:$A$505,"&lt;"&amp;A459,Оплаты!$B$6:$B$505))</f>
        <v/>
      </c>
      <c r="E459">
        <f>IF(A459="","",IF(SUMPRODUCT((Ввод!$F$12:$F$31&lt;&gt;"")*(Ввод!$F$12:$F$31&lt;=A459)*(Ввод!$G$12:$G$31&gt;=A459))&gt;0,1,0))</f>
        <v/>
      </c>
      <c r="F459">
        <f>IF(OR(A459="",B459=""),"",IF(E459=1,0,D459*B459/100/C459))</f>
        <v/>
      </c>
      <c r="G459">
        <f>IF(A459="","",IF(OR(B459&lt;&gt;B458,C459&lt;&gt;C458,D459&lt;&gt;D458,E459&lt;&gt;E458),G458+1,G458))</f>
        <v/>
      </c>
    </row>
    <row r="460">
      <c r="A460" s="14">
        <f>IF(OR(NOT(ISNUMBER(Ввод!$B$5)),NOT(ISNUMBER(Ввод!$B$6))),"",IF(Ввод!$B$5+458&gt;Ввод!$B$6,"",Ввод!$B$5+458))</f>
        <v/>
      </c>
      <c r="B460">
        <f>IF(A460="","",IFERROR(INDEX(Ввод!$B$12:$B$71,MATCH(A460,Ввод!$D$12:$D$71,1)),""))</f>
        <v/>
      </c>
      <c r="C460">
        <f>IF(A460="","",DATE(YEAR(A460),12,31)-DATE(YEAR(A460),1,1)+1)</f>
        <v/>
      </c>
      <c r="D460">
        <f>IF(A460="","",Ввод!$B$4-SUMIF(Оплаты!$A$6:$A$505,"&lt;"&amp;A460,Оплаты!$B$6:$B$505))</f>
        <v/>
      </c>
      <c r="E460">
        <f>IF(A460="","",IF(SUMPRODUCT((Ввод!$F$12:$F$31&lt;&gt;"")*(Ввод!$F$12:$F$31&lt;=A460)*(Ввод!$G$12:$G$31&gt;=A460))&gt;0,1,0))</f>
        <v/>
      </c>
      <c r="F460">
        <f>IF(OR(A460="",B460=""),"",IF(E460=1,0,D460*B460/100/C460))</f>
        <v/>
      </c>
      <c r="G460">
        <f>IF(A460="","",IF(OR(B460&lt;&gt;B459,C460&lt;&gt;C459,D460&lt;&gt;D459,E460&lt;&gt;E459),G459+1,G459))</f>
        <v/>
      </c>
    </row>
    <row r="461">
      <c r="A461" s="14">
        <f>IF(OR(NOT(ISNUMBER(Ввод!$B$5)),NOT(ISNUMBER(Ввод!$B$6))),"",IF(Ввод!$B$5+459&gt;Ввод!$B$6,"",Ввод!$B$5+459))</f>
        <v/>
      </c>
      <c r="B461">
        <f>IF(A461="","",IFERROR(INDEX(Ввод!$B$12:$B$71,MATCH(A461,Ввод!$D$12:$D$71,1)),""))</f>
        <v/>
      </c>
      <c r="C461">
        <f>IF(A461="","",DATE(YEAR(A461),12,31)-DATE(YEAR(A461),1,1)+1)</f>
        <v/>
      </c>
      <c r="D461">
        <f>IF(A461="","",Ввод!$B$4-SUMIF(Оплаты!$A$6:$A$505,"&lt;"&amp;A461,Оплаты!$B$6:$B$505))</f>
        <v/>
      </c>
      <c r="E461">
        <f>IF(A461="","",IF(SUMPRODUCT((Ввод!$F$12:$F$31&lt;&gt;"")*(Ввод!$F$12:$F$31&lt;=A461)*(Ввод!$G$12:$G$31&gt;=A461))&gt;0,1,0))</f>
        <v/>
      </c>
      <c r="F461">
        <f>IF(OR(A461="",B461=""),"",IF(E461=1,0,D461*B461/100/C461))</f>
        <v/>
      </c>
      <c r="G461">
        <f>IF(A461="","",IF(OR(B461&lt;&gt;B460,C461&lt;&gt;C460,D461&lt;&gt;D460,E461&lt;&gt;E460),G460+1,G460))</f>
        <v/>
      </c>
    </row>
    <row r="462">
      <c r="A462" s="14">
        <f>IF(OR(NOT(ISNUMBER(Ввод!$B$5)),NOT(ISNUMBER(Ввод!$B$6))),"",IF(Ввод!$B$5+460&gt;Ввод!$B$6,"",Ввод!$B$5+460))</f>
        <v/>
      </c>
      <c r="B462">
        <f>IF(A462="","",IFERROR(INDEX(Ввод!$B$12:$B$71,MATCH(A462,Ввод!$D$12:$D$71,1)),""))</f>
        <v/>
      </c>
      <c r="C462">
        <f>IF(A462="","",DATE(YEAR(A462),12,31)-DATE(YEAR(A462),1,1)+1)</f>
        <v/>
      </c>
      <c r="D462">
        <f>IF(A462="","",Ввод!$B$4-SUMIF(Оплаты!$A$6:$A$505,"&lt;"&amp;A462,Оплаты!$B$6:$B$505))</f>
        <v/>
      </c>
      <c r="E462">
        <f>IF(A462="","",IF(SUMPRODUCT((Ввод!$F$12:$F$31&lt;&gt;"")*(Ввод!$F$12:$F$31&lt;=A462)*(Ввод!$G$12:$G$31&gt;=A462))&gt;0,1,0))</f>
        <v/>
      </c>
      <c r="F462">
        <f>IF(OR(A462="",B462=""),"",IF(E462=1,0,D462*B462/100/C462))</f>
        <v/>
      </c>
      <c r="G462">
        <f>IF(A462="","",IF(OR(B462&lt;&gt;B461,C462&lt;&gt;C461,D462&lt;&gt;D461,E462&lt;&gt;E461),G461+1,G461))</f>
        <v/>
      </c>
    </row>
    <row r="463">
      <c r="A463" s="14">
        <f>IF(OR(NOT(ISNUMBER(Ввод!$B$5)),NOT(ISNUMBER(Ввод!$B$6))),"",IF(Ввод!$B$5+461&gt;Ввод!$B$6,"",Ввод!$B$5+461))</f>
        <v/>
      </c>
      <c r="B463">
        <f>IF(A463="","",IFERROR(INDEX(Ввод!$B$12:$B$71,MATCH(A463,Ввод!$D$12:$D$71,1)),""))</f>
        <v/>
      </c>
      <c r="C463">
        <f>IF(A463="","",DATE(YEAR(A463),12,31)-DATE(YEAR(A463),1,1)+1)</f>
        <v/>
      </c>
      <c r="D463">
        <f>IF(A463="","",Ввод!$B$4-SUMIF(Оплаты!$A$6:$A$505,"&lt;"&amp;A463,Оплаты!$B$6:$B$505))</f>
        <v/>
      </c>
      <c r="E463">
        <f>IF(A463="","",IF(SUMPRODUCT((Ввод!$F$12:$F$31&lt;&gt;"")*(Ввод!$F$12:$F$31&lt;=A463)*(Ввод!$G$12:$G$31&gt;=A463))&gt;0,1,0))</f>
        <v/>
      </c>
      <c r="F463">
        <f>IF(OR(A463="",B463=""),"",IF(E463=1,0,D463*B463/100/C463))</f>
        <v/>
      </c>
      <c r="G463">
        <f>IF(A463="","",IF(OR(B463&lt;&gt;B462,C463&lt;&gt;C462,D463&lt;&gt;D462,E463&lt;&gt;E462),G462+1,G462))</f>
        <v/>
      </c>
    </row>
    <row r="464">
      <c r="A464" s="14">
        <f>IF(OR(NOT(ISNUMBER(Ввод!$B$5)),NOT(ISNUMBER(Ввод!$B$6))),"",IF(Ввод!$B$5+462&gt;Ввод!$B$6,"",Ввод!$B$5+462))</f>
        <v/>
      </c>
      <c r="B464">
        <f>IF(A464="","",IFERROR(INDEX(Ввод!$B$12:$B$71,MATCH(A464,Ввод!$D$12:$D$71,1)),""))</f>
        <v/>
      </c>
      <c r="C464">
        <f>IF(A464="","",DATE(YEAR(A464),12,31)-DATE(YEAR(A464),1,1)+1)</f>
        <v/>
      </c>
      <c r="D464">
        <f>IF(A464="","",Ввод!$B$4-SUMIF(Оплаты!$A$6:$A$505,"&lt;"&amp;A464,Оплаты!$B$6:$B$505))</f>
        <v/>
      </c>
      <c r="E464">
        <f>IF(A464="","",IF(SUMPRODUCT((Ввод!$F$12:$F$31&lt;&gt;"")*(Ввод!$F$12:$F$31&lt;=A464)*(Ввод!$G$12:$G$31&gt;=A464))&gt;0,1,0))</f>
        <v/>
      </c>
      <c r="F464">
        <f>IF(OR(A464="",B464=""),"",IF(E464=1,0,D464*B464/100/C464))</f>
        <v/>
      </c>
      <c r="G464">
        <f>IF(A464="","",IF(OR(B464&lt;&gt;B463,C464&lt;&gt;C463,D464&lt;&gt;D463,E464&lt;&gt;E463),G463+1,G463))</f>
        <v/>
      </c>
    </row>
    <row r="465">
      <c r="A465" s="14">
        <f>IF(OR(NOT(ISNUMBER(Ввод!$B$5)),NOT(ISNUMBER(Ввод!$B$6))),"",IF(Ввод!$B$5+463&gt;Ввод!$B$6,"",Ввод!$B$5+463))</f>
        <v/>
      </c>
      <c r="B465">
        <f>IF(A465="","",IFERROR(INDEX(Ввод!$B$12:$B$71,MATCH(A465,Ввод!$D$12:$D$71,1)),""))</f>
        <v/>
      </c>
      <c r="C465">
        <f>IF(A465="","",DATE(YEAR(A465),12,31)-DATE(YEAR(A465),1,1)+1)</f>
        <v/>
      </c>
      <c r="D465">
        <f>IF(A465="","",Ввод!$B$4-SUMIF(Оплаты!$A$6:$A$505,"&lt;"&amp;A465,Оплаты!$B$6:$B$505))</f>
        <v/>
      </c>
      <c r="E465">
        <f>IF(A465="","",IF(SUMPRODUCT((Ввод!$F$12:$F$31&lt;&gt;"")*(Ввод!$F$12:$F$31&lt;=A465)*(Ввод!$G$12:$G$31&gt;=A465))&gt;0,1,0))</f>
        <v/>
      </c>
      <c r="F465">
        <f>IF(OR(A465="",B465=""),"",IF(E465=1,0,D465*B465/100/C465))</f>
        <v/>
      </c>
      <c r="G465">
        <f>IF(A465="","",IF(OR(B465&lt;&gt;B464,C465&lt;&gt;C464,D465&lt;&gt;D464,E465&lt;&gt;E464),G464+1,G464))</f>
        <v/>
      </c>
    </row>
    <row r="466">
      <c r="A466" s="14">
        <f>IF(OR(NOT(ISNUMBER(Ввод!$B$5)),NOT(ISNUMBER(Ввод!$B$6))),"",IF(Ввод!$B$5+464&gt;Ввод!$B$6,"",Ввод!$B$5+464))</f>
        <v/>
      </c>
      <c r="B466">
        <f>IF(A466="","",IFERROR(INDEX(Ввод!$B$12:$B$71,MATCH(A466,Ввод!$D$12:$D$71,1)),""))</f>
        <v/>
      </c>
      <c r="C466">
        <f>IF(A466="","",DATE(YEAR(A466),12,31)-DATE(YEAR(A466),1,1)+1)</f>
        <v/>
      </c>
      <c r="D466">
        <f>IF(A466="","",Ввод!$B$4-SUMIF(Оплаты!$A$6:$A$505,"&lt;"&amp;A466,Оплаты!$B$6:$B$505))</f>
        <v/>
      </c>
      <c r="E466">
        <f>IF(A466="","",IF(SUMPRODUCT((Ввод!$F$12:$F$31&lt;&gt;"")*(Ввод!$F$12:$F$31&lt;=A466)*(Ввод!$G$12:$G$31&gt;=A466))&gt;0,1,0))</f>
        <v/>
      </c>
      <c r="F466">
        <f>IF(OR(A466="",B466=""),"",IF(E466=1,0,D466*B466/100/C466))</f>
        <v/>
      </c>
      <c r="G466">
        <f>IF(A466="","",IF(OR(B466&lt;&gt;B465,C466&lt;&gt;C465,D466&lt;&gt;D465,E466&lt;&gt;E465),G465+1,G465))</f>
        <v/>
      </c>
    </row>
    <row r="467">
      <c r="A467" s="14">
        <f>IF(OR(NOT(ISNUMBER(Ввод!$B$5)),NOT(ISNUMBER(Ввод!$B$6))),"",IF(Ввод!$B$5+465&gt;Ввод!$B$6,"",Ввод!$B$5+465))</f>
        <v/>
      </c>
      <c r="B467">
        <f>IF(A467="","",IFERROR(INDEX(Ввод!$B$12:$B$71,MATCH(A467,Ввод!$D$12:$D$71,1)),""))</f>
        <v/>
      </c>
      <c r="C467">
        <f>IF(A467="","",DATE(YEAR(A467),12,31)-DATE(YEAR(A467),1,1)+1)</f>
        <v/>
      </c>
      <c r="D467">
        <f>IF(A467="","",Ввод!$B$4-SUMIF(Оплаты!$A$6:$A$505,"&lt;"&amp;A467,Оплаты!$B$6:$B$505))</f>
        <v/>
      </c>
      <c r="E467">
        <f>IF(A467="","",IF(SUMPRODUCT((Ввод!$F$12:$F$31&lt;&gt;"")*(Ввод!$F$12:$F$31&lt;=A467)*(Ввод!$G$12:$G$31&gt;=A467))&gt;0,1,0))</f>
        <v/>
      </c>
      <c r="F467">
        <f>IF(OR(A467="",B467=""),"",IF(E467=1,0,D467*B467/100/C467))</f>
        <v/>
      </c>
      <c r="G467">
        <f>IF(A467="","",IF(OR(B467&lt;&gt;B466,C467&lt;&gt;C466,D467&lt;&gt;D466,E467&lt;&gt;E466),G466+1,G466))</f>
        <v/>
      </c>
    </row>
    <row r="468">
      <c r="A468" s="14">
        <f>IF(OR(NOT(ISNUMBER(Ввод!$B$5)),NOT(ISNUMBER(Ввод!$B$6))),"",IF(Ввод!$B$5+466&gt;Ввод!$B$6,"",Ввод!$B$5+466))</f>
        <v/>
      </c>
      <c r="B468">
        <f>IF(A468="","",IFERROR(INDEX(Ввод!$B$12:$B$71,MATCH(A468,Ввод!$D$12:$D$71,1)),""))</f>
        <v/>
      </c>
      <c r="C468">
        <f>IF(A468="","",DATE(YEAR(A468),12,31)-DATE(YEAR(A468),1,1)+1)</f>
        <v/>
      </c>
      <c r="D468">
        <f>IF(A468="","",Ввод!$B$4-SUMIF(Оплаты!$A$6:$A$505,"&lt;"&amp;A468,Оплаты!$B$6:$B$505))</f>
        <v/>
      </c>
      <c r="E468">
        <f>IF(A468="","",IF(SUMPRODUCT((Ввод!$F$12:$F$31&lt;&gt;"")*(Ввод!$F$12:$F$31&lt;=A468)*(Ввод!$G$12:$G$31&gt;=A468))&gt;0,1,0))</f>
        <v/>
      </c>
      <c r="F468">
        <f>IF(OR(A468="",B468=""),"",IF(E468=1,0,D468*B468/100/C468))</f>
        <v/>
      </c>
      <c r="G468">
        <f>IF(A468="","",IF(OR(B468&lt;&gt;B467,C468&lt;&gt;C467,D468&lt;&gt;D467,E468&lt;&gt;E467),G467+1,G467))</f>
        <v/>
      </c>
    </row>
    <row r="469">
      <c r="A469" s="14">
        <f>IF(OR(NOT(ISNUMBER(Ввод!$B$5)),NOT(ISNUMBER(Ввод!$B$6))),"",IF(Ввод!$B$5+467&gt;Ввод!$B$6,"",Ввод!$B$5+467))</f>
        <v/>
      </c>
      <c r="B469">
        <f>IF(A469="","",IFERROR(INDEX(Ввод!$B$12:$B$71,MATCH(A469,Ввод!$D$12:$D$71,1)),""))</f>
        <v/>
      </c>
      <c r="C469">
        <f>IF(A469="","",DATE(YEAR(A469),12,31)-DATE(YEAR(A469),1,1)+1)</f>
        <v/>
      </c>
      <c r="D469">
        <f>IF(A469="","",Ввод!$B$4-SUMIF(Оплаты!$A$6:$A$505,"&lt;"&amp;A469,Оплаты!$B$6:$B$505))</f>
        <v/>
      </c>
      <c r="E469">
        <f>IF(A469="","",IF(SUMPRODUCT((Ввод!$F$12:$F$31&lt;&gt;"")*(Ввод!$F$12:$F$31&lt;=A469)*(Ввод!$G$12:$G$31&gt;=A469))&gt;0,1,0))</f>
        <v/>
      </c>
      <c r="F469">
        <f>IF(OR(A469="",B469=""),"",IF(E469=1,0,D469*B469/100/C469))</f>
        <v/>
      </c>
      <c r="G469">
        <f>IF(A469="","",IF(OR(B469&lt;&gt;B468,C469&lt;&gt;C468,D469&lt;&gt;D468,E469&lt;&gt;E468),G468+1,G468))</f>
        <v/>
      </c>
    </row>
    <row r="470">
      <c r="A470" s="14">
        <f>IF(OR(NOT(ISNUMBER(Ввод!$B$5)),NOT(ISNUMBER(Ввод!$B$6))),"",IF(Ввод!$B$5+468&gt;Ввод!$B$6,"",Ввод!$B$5+468))</f>
        <v/>
      </c>
      <c r="B470">
        <f>IF(A470="","",IFERROR(INDEX(Ввод!$B$12:$B$71,MATCH(A470,Ввод!$D$12:$D$71,1)),""))</f>
        <v/>
      </c>
      <c r="C470">
        <f>IF(A470="","",DATE(YEAR(A470),12,31)-DATE(YEAR(A470),1,1)+1)</f>
        <v/>
      </c>
      <c r="D470">
        <f>IF(A470="","",Ввод!$B$4-SUMIF(Оплаты!$A$6:$A$505,"&lt;"&amp;A470,Оплаты!$B$6:$B$505))</f>
        <v/>
      </c>
      <c r="E470">
        <f>IF(A470="","",IF(SUMPRODUCT((Ввод!$F$12:$F$31&lt;&gt;"")*(Ввод!$F$12:$F$31&lt;=A470)*(Ввод!$G$12:$G$31&gt;=A470))&gt;0,1,0))</f>
        <v/>
      </c>
      <c r="F470">
        <f>IF(OR(A470="",B470=""),"",IF(E470=1,0,D470*B470/100/C470))</f>
        <v/>
      </c>
      <c r="G470">
        <f>IF(A470="","",IF(OR(B470&lt;&gt;B469,C470&lt;&gt;C469,D470&lt;&gt;D469,E470&lt;&gt;E469),G469+1,G469))</f>
        <v/>
      </c>
    </row>
    <row r="471">
      <c r="A471" s="14">
        <f>IF(OR(NOT(ISNUMBER(Ввод!$B$5)),NOT(ISNUMBER(Ввод!$B$6))),"",IF(Ввод!$B$5+469&gt;Ввод!$B$6,"",Ввод!$B$5+469))</f>
        <v/>
      </c>
      <c r="B471">
        <f>IF(A471="","",IFERROR(INDEX(Ввод!$B$12:$B$71,MATCH(A471,Ввод!$D$12:$D$71,1)),""))</f>
        <v/>
      </c>
      <c r="C471">
        <f>IF(A471="","",DATE(YEAR(A471),12,31)-DATE(YEAR(A471),1,1)+1)</f>
        <v/>
      </c>
      <c r="D471">
        <f>IF(A471="","",Ввод!$B$4-SUMIF(Оплаты!$A$6:$A$505,"&lt;"&amp;A471,Оплаты!$B$6:$B$505))</f>
        <v/>
      </c>
      <c r="E471">
        <f>IF(A471="","",IF(SUMPRODUCT((Ввод!$F$12:$F$31&lt;&gt;"")*(Ввод!$F$12:$F$31&lt;=A471)*(Ввод!$G$12:$G$31&gt;=A471))&gt;0,1,0))</f>
        <v/>
      </c>
      <c r="F471">
        <f>IF(OR(A471="",B471=""),"",IF(E471=1,0,D471*B471/100/C471))</f>
        <v/>
      </c>
      <c r="G471">
        <f>IF(A471="","",IF(OR(B471&lt;&gt;B470,C471&lt;&gt;C470,D471&lt;&gt;D470,E471&lt;&gt;E470),G470+1,G470))</f>
        <v/>
      </c>
    </row>
    <row r="472">
      <c r="A472" s="14">
        <f>IF(OR(NOT(ISNUMBER(Ввод!$B$5)),NOT(ISNUMBER(Ввод!$B$6))),"",IF(Ввод!$B$5+470&gt;Ввод!$B$6,"",Ввод!$B$5+470))</f>
        <v/>
      </c>
      <c r="B472">
        <f>IF(A472="","",IFERROR(INDEX(Ввод!$B$12:$B$71,MATCH(A472,Ввод!$D$12:$D$71,1)),""))</f>
        <v/>
      </c>
      <c r="C472">
        <f>IF(A472="","",DATE(YEAR(A472),12,31)-DATE(YEAR(A472),1,1)+1)</f>
        <v/>
      </c>
      <c r="D472">
        <f>IF(A472="","",Ввод!$B$4-SUMIF(Оплаты!$A$6:$A$505,"&lt;"&amp;A472,Оплаты!$B$6:$B$505))</f>
        <v/>
      </c>
      <c r="E472">
        <f>IF(A472="","",IF(SUMPRODUCT((Ввод!$F$12:$F$31&lt;&gt;"")*(Ввод!$F$12:$F$31&lt;=A472)*(Ввод!$G$12:$G$31&gt;=A472))&gt;0,1,0))</f>
        <v/>
      </c>
      <c r="F472">
        <f>IF(OR(A472="",B472=""),"",IF(E472=1,0,D472*B472/100/C472))</f>
        <v/>
      </c>
      <c r="G472">
        <f>IF(A472="","",IF(OR(B472&lt;&gt;B471,C472&lt;&gt;C471,D472&lt;&gt;D471,E472&lt;&gt;E471),G471+1,G471))</f>
        <v/>
      </c>
    </row>
    <row r="473">
      <c r="A473" s="14">
        <f>IF(OR(NOT(ISNUMBER(Ввод!$B$5)),NOT(ISNUMBER(Ввод!$B$6))),"",IF(Ввод!$B$5+471&gt;Ввод!$B$6,"",Ввод!$B$5+471))</f>
        <v/>
      </c>
      <c r="B473">
        <f>IF(A473="","",IFERROR(INDEX(Ввод!$B$12:$B$71,MATCH(A473,Ввод!$D$12:$D$71,1)),""))</f>
        <v/>
      </c>
      <c r="C473">
        <f>IF(A473="","",DATE(YEAR(A473),12,31)-DATE(YEAR(A473),1,1)+1)</f>
        <v/>
      </c>
      <c r="D473">
        <f>IF(A473="","",Ввод!$B$4-SUMIF(Оплаты!$A$6:$A$505,"&lt;"&amp;A473,Оплаты!$B$6:$B$505))</f>
        <v/>
      </c>
      <c r="E473">
        <f>IF(A473="","",IF(SUMPRODUCT((Ввод!$F$12:$F$31&lt;&gt;"")*(Ввод!$F$12:$F$31&lt;=A473)*(Ввод!$G$12:$G$31&gt;=A473))&gt;0,1,0))</f>
        <v/>
      </c>
      <c r="F473">
        <f>IF(OR(A473="",B473=""),"",IF(E473=1,0,D473*B473/100/C473))</f>
        <v/>
      </c>
      <c r="G473">
        <f>IF(A473="","",IF(OR(B473&lt;&gt;B472,C473&lt;&gt;C472,D473&lt;&gt;D472,E473&lt;&gt;E472),G472+1,G472))</f>
        <v/>
      </c>
    </row>
    <row r="474">
      <c r="A474" s="14">
        <f>IF(OR(NOT(ISNUMBER(Ввод!$B$5)),NOT(ISNUMBER(Ввод!$B$6))),"",IF(Ввод!$B$5+472&gt;Ввод!$B$6,"",Ввод!$B$5+472))</f>
        <v/>
      </c>
      <c r="B474">
        <f>IF(A474="","",IFERROR(INDEX(Ввод!$B$12:$B$71,MATCH(A474,Ввод!$D$12:$D$71,1)),""))</f>
        <v/>
      </c>
      <c r="C474">
        <f>IF(A474="","",DATE(YEAR(A474),12,31)-DATE(YEAR(A474),1,1)+1)</f>
        <v/>
      </c>
      <c r="D474">
        <f>IF(A474="","",Ввод!$B$4-SUMIF(Оплаты!$A$6:$A$505,"&lt;"&amp;A474,Оплаты!$B$6:$B$505))</f>
        <v/>
      </c>
      <c r="E474">
        <f>IF(A474="","",IF(SUMPRODUCT((Ввод!$F$12:$F$31&lt;&gt;"")*(Ввод!$F$12:$F$31&lt;=A474)*(Ввод!$G$12:$G$31&gt;=A474))&gt;0,1,0))</f>
        <v/>
      </c>
      <c r="F474">
        <f>IF(OR(A474="",B474=""),"",IF(E474=1,0,D474*B474/100/C474))</f>
        <v/>
      </c>
      <c r="G474">
        <f>IF(A474="","",IF(OR(B474&lt;&gt;B473,C474&lt;&gt;C473,D474&lt;&gt;D473,E474&lt;&gt;E473),G473+1,G473))</f>
        <v/>
      </c>
    </row>
    <row r="475">
      <c r="A475" s="14">
        <f>IF(OR(NOT(ISNUMBER(Ввод!$B$5)),NOT(ISNUMBER(Ввод!$B$6))),"",IF(Ввод!$B$5+473&gt;Ввод!$B$6,"",Ввод!$B$5+473))</f>
        <v/>
      </c>
      <c r="B475">
        <f>IF(A475="","",IFERROR(INDEX(Ввод!$B$12:$B$71,MATCH(A475,Ввод!$D$12:$D$71,1)),""))</f>
        <v/>
      </c>
      <c r="C475">
        <f>IF(A475="","",DATE(YEAR(A475),12,31)-DATE(YEAR(A475),1,1)+1)</f>
        <v/>
      </c>
      <c r="D475">
        <f>IF(A475="","",Ввод!$B$4-SUMIF(Оплаты!$A$6:$A$505,"&lt;"&amp;A475,Оплаты!$B$6:$B$505))</f>
        <v/>
      </c>
      <c r="E475">
        <f>IF(A475="","",IF(SUMPRODUCT((Ввод!$F$12:$F$31&lt;&gt;"")*(Ввод!$F$12:$F$31&lt;=A475)*(Ввод!$G$12:$G$31&gt;=A475))&gt;0,1,0))</f>
        <v/>
      </c>
      <c r="F475">
        <f>IF(OR(A475="",B475=""),"",IF(E475=1,0,D475*B475/100/C475))</f>
        <v/>
      </c>
      <c r="G475">
        <f>IF(A475="","",IF(OR(B475&lt;&gt;B474,C475&lt;&gt;C474,D475&lt;&gt;D474,E475&lt;&gt;E474),G474+1,G474))</f>
        <v/>
      </c>
    </row>
    <row r="476">
      <c r="A476" s="14">
        <f>IF(OR(NOT(ISNUMBER(Ввод!$B$5)),NOT(ISNUMBER(Ввод!$B$6))),"",IF(Ввод!$B$5+474&gt;Ввод!$B$6,"",Ввод!$B$5+474))</f>
        <v/>
      </c>
      <c r="B476">
        <f>IF(A476="","",IFERROR(INDEX(Ввод!$B$12:$B$71,MATCH(A476,Ввод!$D$12:$D$71,1)),""))</f>
        <v/>
      </c>
      <c r="C476">
        <f>IF(A476="","",DATE(YEAR(A476),12,31)-DATE(YEAR(A476),1,1)+1)</f>
        <v/>
      </c>
      <c r="D476">
        <f>IF(A476="","",Ввод!$B$4-SUMIF(Оплаты!$A$6:$A$505,"&lt;"&amp;A476,Оплаты!$B$6:$B$505))</f>
        <v/>
      </c>
      <c r="E476">
        <f>IF(A476="","",IF(SUMPRODUCT((Ввод!$F$12:$F$31&lt;&gt;"")*(Ввод!$F$12:$F$31&lt;=A476)*(Ввод!$G$12:$G$31&gt;=A476))&gt;0,1,0))</f>
        <v/>
      </c>
      <c r="F476">
        <f>IF(OR(A476="",B476=""),"",IF(E476=1,0,D476*B476/100/C476))</f>
        <v/>
      </c>
      <c r="G476">
        <f>IF(A476="","",IF(OR(B476&lt;&gt;B475,C476&lt;&gt;C475,D476&lt;&gt;D475,E476&lt;&gt;E475),G475+1,G475))</f>
        <v/>
      </c>
    </row>
    <row r="477">
      <c r="A477" s="14">
        <f>IF(OR(NOT(ISNUMBER(Ввод!$B$5)),NOT(ISNUMBER(Ввод!$B$6))),"",IF(Ввод!$B$5+475&gt;Ввод!$B$6,"",Ввод!$B$5+475))</f>
        <v/>
      </c>
      <c r="B477">
        <f>IF(A477="","",IFERROR(INDEX(Ввод!$B$12:$B$71,MATCH(A477,Ввод!$D$12:$D$71,1)),""))</f>
        <v/>
      </c>
      <c r="C477">
        <f>IF(A477="","",DATE(YEAR(A477),12,31)-DATE(YEAR(A477),1,1)+1)</f>
        <v/>
      </c>
      <c r="D477">
        <f>IF(A477="","",Ввод!$B$4-SUMIF(Оплаты!$A$6:$A$505,"&lt;"&amp;A477,Оплаты!$B$6:$B$505))</f>
        <v/>
      </c>
      <c r="E477">
        <f>IF(A477="","",IF(SUMPRODUCT((Ввод!$F$12:$F$31&lt;&gt;"")*(Ввод!$F$12:$F$31&lt;=A477)*(Ввод!$G$12:$G$31&gt;=A477))&gt;0,1,0))</f>
        <v/>
      </c>
      <c r="F477">
        <f>IF(OR(A477="",B477=""),"",IF(E477=1,0,D477*B477/100/C477))</f>
        <v/>
      </c>
      <c r="G477">
        <f>IF(A477="","",IF(OR(B477&lt;&gt;B476,C477&lt;&gt;C476,D477&lt;&gt;D476,E477&lt;&gt;E476),G476+1,G476))</f>
        <v/>
      </c>
    </row>
    <row r="478">
      <c r="A478" s="14">
        <f>IF(OR(NOT(ISNUMBER(Ввод!$B$5)),NOT(ISNUMBER(Ввод!$B$6))),"",IF(Ввод!$B$5+476&gt;Ввод!$B$6,"",Ввод!$B$5+476))</f>
        <v/>
      </c>
      <c r="B478">
        <f>IF(A478="","",IFERROR(INDEX(Ввод!$B$12:$B$71,MATCH(A478,Ввод!$D$12:$D$71,1)),""))</f>
        <v/>
      </c>
      <c r="C478">
        <f>IF(A478="","",DATE(YEAR(A478),12,31)-DATE(YEAR(A478),1,1)+1)</f>
        <v/>
      </c>
      <c r="D478">
        <f>IF(A478="","",Ввод!$B$4-SUMIF(Оплаты!$A$6:$A$505,"&lt;"&amp;A478,Оплаты!$B$6:$B$505))</f>
        <v/>
      </c>
      <c r="E478">
        <f>IF(A478="","",IF(SUMPRODUCT((Ввод!$F$12:$F$31&lt;&gt;"")*(Ввод!$F$12:$F$31&lt;=A478)*(Ввод!$G$12:$G$31&gt;=A478))&gt;0,1,0))</f>
        <v/>
      </c>
      <c r="F478">
        <f>IF(OR(A478="",B478=""),"",IF(E478=1,0,D478*B478/100/C478))</f>
        <v/>
      </c>
      <c r="G478">
        <f>IF(A478="","",IF(OR(B478&lt;&gt;B477,C478&lt;&gt;C477,D478&lt;&gt;D477,E478&lt;&gt;E477),G477+1,G477))</f>
        <v/>
      </c>
    </row>
    <row r="479">
      <c r="A479" s="14">
        <f>IF(OR(NOT(ISNUMBER(Ввод!$B$5)),NOT(ISNUMBER(Ввод!$B$6))),"",IF(Ввод!$B$5+477&gt;Ввод!$B$6,"",Ввод!$B$5+477))</f>
        <v/>
      </c>
      <c r="B479">
        <f>IF(A479="","",IFERROR(INDEX(Ввод!$B$12:$B$71,MATCH(A479,Ввод!$D$12:$D$71,1)),""))</f>
        <v/>
      </c>
      <c r="C479">
        <f>IF(A479="","",DATE(YEAR(A479),12,31)-DATE(YEAR(A479),1,1)+1)</f>
        <v/>
      </c>
      <c r="D479">
        <f>IF(A479="","",Ввод!$B$4-SUMIF(Оплаты!$A$6:$A$505,"&lt;"&amp;A479,Оплаты!$B$6:$B$505))</f>
        <v/>
      </c>
      <c r="E479">
        <f>IF(A479="","",IF(SUMPRODUCT((Ввод!$F$12:$F$31&lt;&gt;"")*(Ввод!$F$12:$F$31&lt;=A479)*(Ввод!$G$12:$G$31&gt;=A479))&gt;0,1,0))</f>
        <v/>
      </c>
      <c r="F479">
        <f>IF(OR(A479="",B479=""),"",IF(E479=1,0,D479*B479/100/C479))</f>
        <v/>
      </c>
      <c r="G479">
        <f>IF(A479="","",IF(OR(B479&lt;&gt;B478,C479&lt;&gt;C478,D479&lt;&gt;D478,E479&lt;&gt;E478),G478+1,G478))</f>
        <v/>
      </c>
    </row>
    <row r="480">
      <c r="A480" s="14">
        <f>IF(OR(NOT(ISNUMBER(Ввод!$B$5)),NOT(ISNUMBER(Ввод!$B$6))),"",IF(Ввод!$B$5+478&gt;Ввод!$B$6,"",Ввод!$B$5+478))</f>
        <v/>
      </c>
      <c r="B480">
        <f>IF(A480="","",IFERROR(INDEX(Ввод!$B$12:$B$71,MATCH(A480,Ввод!$D$12:$D$71,1)),""))</f>
        <v/>
      </c>
      <c r="C480">
        <f>IF(A480="","",DATE(YEAR(A480),12,31)-DATE(YEAR(A480),1,1)+1)</f>
        <v/>
      </c>
      <c r="D480">
        <f>IF(A480="","",Ввод!$B$4-SUMIF(Оплаты!$A$6:$A$505,"&lt;"&amp;A480,Оплаты!$B$6:$B$505))</f>
        <v/>
      </c>
      <c r="E480">
        <f>IF(A480="","",IF(SUMPRODUCT((Ввод!$F$12:$F$31&lt;&gt;"")*(Ввод!$F$12:$F$31&lt;=A480)*(Ввод!$G$12:$G$31&gt;=A480))&gt;0,1,0))</f>
        <v/>
      </c>
      <c r="F480">
        <f>IF(OR(A480="",B480=""),"",IF(E480=1,0,D480*B480/100/C480))</f>
        <v/>
      </c>
      <c r="G480">
        <f>IF(A480="","",IF(OR(B480&lt;&gt;B479,C480&lt;&gt;C479,D480&lt;&gt;D479,E480&lt;&gt;E479),G479+1,G479))</f>
        <v/>
      </c>
    </row>
    <row r="481">
      <c r="A481" s="14">
        <f>IF(OR(NOT(ISNUMBER(Ввод!$B$5)),NOT(ISNUMBER(Ввод!$B$6))),"",IF(Ввод!$B$5+479&gt;Ввод!$B$6,"",Ввод!$B$5+479))</f>
        <v/>
      </c>
      <c r="B481">
        <f>IF(A481="","",IFERROR(INDEX(Ввод!$B$12:$B$71,MATCH(A481,Ввод!$D$12:$D$71,1)),""))</f>
        <v/>
      </c>
      <c r="C481">
        <f>IF(A481="","",DATE(YEAR(A481),12,31)-DATE(YEAR(A481),1,1)+1)</f>
        <v/>
      </c>
      <c r="D481">
        <f>IF(A481="","",Ввод!$B$4-SUMIF(Оплаты!$A$6:$A$505,"&lt;"&amp;A481,Оплаты!$B$6:$B$505))</f>
        <v/>
      </c>
      <c r="E481">
        <f>IF(A481="","",IF(SUMPRODUCT((Ввод!$F$12:$F$31&lt;&gt;"")*(Ввод!$F$12:$F$31&lt;=A481)*(Ввод!$G$12:$G$31&gt;=A481))&gt;0,1,0))</f>
        <v/>
      </c>
      <c r="F481">
        <f>IF(OR(A481="",B481=""),"",IF(E481=1,0,D481*B481/100/C481))</f>
        <v/>
      </c>
      <c r="G481">
        <f>IF(A481="","",IF(OR(B481&lt;&gt;B480,C481&lt;&gt;C480,D481&lt;&gt;D480,E481&lt;&gt;E480),G480+1,G480))</f>
        <v/>
      </c>
    </row>
    <row r="482">
      <c r="A482" s="14">
        <f>IF(OR(NOT(ISNUMBER(Ввод!$B$5)),NOT(ISNUMBER(Ввод!$B$6))),"",IF(Ввод!$B$5+480&gt;Ввод!$B$6,"",Ввод!$B$5+480))</f>
        <v/>
      </c>
      <c r="B482">
        <f>IF(A482="","",IFERROR(INDEX(Ввод!$B$12:$B$71,MATCH(A482,Ввод!$D$12:$D$71,1)),""))</f>
        <v/>
      </c>
      <c r="C482">
        <f>IF(A482="","",DATE(YEAR(A482),12,31)-DATE(YEAR(A482),1,1)+1)</f>
        <v/>
      </c>
      <c r="D482">
        <f>IF(A482="","",Ввод!$B$4-SUMIF(Оплаты!$A$6:$A$505,"&lt;"&amp;A482,Оплаты!$B$6:$B$505))</f>
        <v/>
      </c>
      <c r="E482">
        <f>IF(A482="","",IF(SUMPRODUCT((Ввод!$F$12:$F$31&lt;&gt;"")*(Ввод!$F$12:$F$31&lt;=A482)*(Ввод!$G$12:$G$31&gt;=A482))&gt;0,1,0))</f>
        <v/>
      </c>
      <c r="F482">
        <f>IF(OR(A482="",B482=""),"",IF(E482=1,0,D482*B482/100/C482))</f>
        <v/>
      </c>
      <c r="G482">
        <f>IF(A482="","",IF(OR(B482&lt;&gt;B481,C482&lt;&gt;C481,D482&lt;&gt;D481,E482&lt;&gt;E481),G481+1,G481))</f>
        <v/>
      </c>
    </row>
    <row r="483">
      <c r="A483" s="14">
        <f>IF(OR(NOT(ISNUMBER(Ввод!$B$5)),NOT(ISNUMBER(Ввод!$B$6))),"",IF(Ввод!$B$5+481&gt;Ввод!$B$6,"",Ввод!$B$5+481))</f>
        <v/>
      </c>
      <c r="B483">
        <f>IF(A483="","",IFERROR(INDEX(Ввод!$B$12:$B$71,MATCH(A483,Ввод!$D$12:$D$71,1)),""))</f>
        <v/>
      </c>
      <c r="C483">
        <f>IF(A483="","",DATE(YEAR(A483),12,31)-DATE(YEAR(A483),1,1)+1)</f>
        <v/>
      </c>
      <c r="D483">
        <f>IF(A483="","",Ввод!$B$4-SUMIF(Оплаты!$A$6:$A$505,"&lt;"&amp;A483,Оплаты!$B$6:$B$505))</f>
        <v/>
      </c>
      <c r="E483">
        <f>IF(A483="","",IF(SUMPRODUCT((Ввод!$F$12:$F$31&lt;&gt;"")*(Ввод!$F$12:$F$31&lt;=A483)*(Ввод!$G$12:$G$31&gt;=A483))&gt;0,1,0))</f>
        <v/>
      </c>
      <c r="F483">
        <f>IF(OR(A483="",B483=""),"",IF(E483=1,0,D483*B483/100/C483))</f>
        <v/>
      </c>
      <c r="G483">
        <f>IF(A483="","",IF(OR(B483&lt;&gt;B482,C483&lt;&gt;C482,D483&lt;&gt;D482,E483&lt;&gt;E482),G482+1,G482))</f>
        <v/>
      </c>
    </row>
    <row r="484">
      <c r="A484" s="14">
        <f>IF(OR(NOT(ISNUMBER(Ввод!$B$5)),NOT(ISNUMBER(Ввод!$B$6))),"",IF(Ввод!$B$5+482&gt;Ввод!$B$6,"",Ввод!$B$5+482))</f>
        <v/>
      </c>
      <c r="B484">
        <f>IF(A484="","",IFERROR(INDEX(Ввод!$B$12:$B$71,MATCH(A484,Ввод!$D$12:$D$71,1)),""))</f>
        <v/>
      </c>
      <c r="C484">
        <f>IF(A484="","",DATE(YEAR(A484),12,31)-DATE(YEAR(A484),1,1)+1)</f>
        <v/>
      </c>
      <c r="D484">
        <f>IF(A484="","",Ввод!$B$4-SUMIF(Оплаты!$A$6:$A$505,"&lt;"&amp;A484,Оплаты!$B$6:$B$505))</f>
        <v/>
      </c>
      <c r="E484">
        <f>IF(A484="","",IF(SUMPRODUCT((Ввод!$F$12:$F$31&lt;&gt;"")*(Ввод!$F$12:$F$31&lt;=A484)*(Ввод!$G$12:$G$31&gt;=A484))&gt;0,1,0))</f>
        <v/>
      </c>
      <c r="F484">
        <f>IF(OR(A484="",B484=""),"",IF(E484=1,0,D484*B484/100/C484))</f>
        <v/>
      </c>
      <c r="G484">
        <f>IF(A484="","",IF(OR(B484&lt;&gt;B483,C484&lt;&gt;C483,D484&lt;&gt;D483,E484&lt;&gt;E483),G483+1,G483))</f>
        <v/>
      </c>
    </row>
    <row r="485">
      <c r="A485" s="14">
        <f>IF(OR(NOT(ISNUMBER(Ввод!$B$5)),NOT(ISNUMBER(Ввод!$B$6))),"",IF(Ввод!$B$5+483&gt;Ввод!$B$6,"",Ввод!$B$5+483))</f>
        <v/>
      </c>
      <c r="B485">
        <f>IF(A485="","",IFERROR(INDEX(Ввод!$B$12:$B$71,MATCH(A485,Ввод!$D$12:$D$71,1)),""))</f>
        <v/>
      </c>
      <c r="C485">
        <f>IF(A485="","",DATE(YEAR(A485),12,31)-DATE(YEAR(A485),1,1)+1)</f>
        <v/>
      </c>
      <c r="D485">
        <f>IF(A485="","",Ввод!$B$4-SUMIF(Оплаты!$A$6:$A$505,"&lt;"&amp;A485,Оплаты!$B$6:$B$505))</f>
        <v/>
      </c>
      <c r="E485">
        <f>IF(A485="","",IF(SUMPRODUCT((Ввод!$F$12:$F$31&lt;&gt;"")*(Ввод!$F$12:$F$31&lt;=A485)*(Ввод!$G$12:$G$31&gt;=A485))&gt;0,1,0))</f>
        <v/>
      </c>
      <c r="F485">
        <f>IF(OR(A485="",B485=""),"",IF(E485=1,0,D485*B485/100/C485))</f>
        <v/>
      </c>
      <c r="G485">
        <f>IF(A485="","",IF(OR(B485&lt;&gt;B484,C485&lt;&gt;C484,D485&lt;&gt;D484,E485&lt;&gt;E484),G484+1,G484))</f>
        <v/>
      </c>
    </row>
    <row r="486">
      <c r="A486" s="14">
        <f>IF(OR(NOT(ISNUMBER(Ввод!$B$5)),NOT(ISNUMBER(Ввод!$B$6))),"",IF(Ввод!$B$5+484&gt;Ввод!$B$6,"",Ввод!$B$5+484))</f>
        <v/>
      </c>
      <c r="B486">
        <f>IF(A486="","",IFERROR(INDEX(Ввод!$B$12:$B$71,MATCH(A486,Ввод!$D$12:$D$71,1)),""))</f>
        <v/>
      </c>
      <c r="C486">
        <f>IF(A486="","",DATE(YEAR(A486),12,31)-DATE(YEAR(A486),1,1)+1)</f>
        <v/>
      </c>
      <c r="D486">
        <f>IF(A486="","",Ввод!$B$4-SUMIF(Оплаты!$A$6:$A$505,"&lt;"&amp;A486,Оплаты!$B$6:$B$505))</f>
        <v/>
      </c>
      <c r="E486">
        <f>IF(A486="","",IF(SUMPRODUCT((Ввод!$F$12:$F$31&lt;&gt;"")*(Ввод!$F$12:$F$31&lt;=A486)*(Ввод!$G$12:$G$31&gt;=A486))&gt;0,1,0))</f>
        <v/>
      </c>
      <c r="F486">
        <f>IF(OR(A486="",B486=""),"",IF(E486=1,0,D486*B486/100/C486))</f>
        <v/>
      </c>
      <c r="G486">
        <f>IF(A486="","",IF(OR(B486&lt;&gt;B485,C486&lt;&gt;C485,D486&lt;&gt;D485,E486&lt;&gt;E485),G485+1,G485))</f>
        <v/>
      </c>
    </row>
    <row r="487">
      <c r="A487" s="14">
        <f>IF(OR(NOT(ISNUMBER(Ввод!$B$5)),NOT(ISNUMBER(Ввод!$B$6))),"",IF(Ввод!$B$5+485&gt;Ввод!$B$6,"",Ввод!$B$5+485))</f>
        <v/>
      </c>
      <c r="B487">
        <f>IF(A487="","",IFERROR(INDEX(Ввод!$B$12:$B$71,MATCH(A487,Ввод!$D$12:$D$71,1)),""))</f>
        <v/>
      </c>
      <c r="C487">
        <f>IF(A487="","",DATE(YEAR(A487),12,31)-DATE(YEAR(A487),1,1)+1)</f>
        <v/>
      </c>
      <c r="D487">
        <f>IF(A487="","",Ввод!$B$4-SUMIF(Оплаты!$A$6:$A$505,"&lt;"&amp;A487,Оплаты!$B$6:$B$505))</f>
        <v/>
      </c>
      <c r="E487">
        <f>IF(A487="","",IF(SUMPRODUCT((Ввод!$F$12:$F$31&lt;&gt;"")*(Ввод!$F$12:$F$31&lt;=A487)*(Ввод!$G$12:$G$31&gt;=A487))&gt;0,1,0))</f>
        <v/>
      </c>
      <c r="F487">
        <f>IF(OR(A487="",B487=""),"",IF(E487=1,0,D487*B487/100/C487))</f>
        <v/>
      </c>
      <c r="G487">
        <f>IF(A487="","",IF(OR(B487&lt;&gt;B486,C487&lt;&gt;C486,D487&lt;&gt;D486,E487&lt;&gt;E486),G486+1,G486))</f>
        <v/>
      </c>
    </row>
    <row r="488">
      <c r="A488" s="14">
        <f>IF(OR(NOT(ISNUMBER(Ввод!$B$5)),NOT(ISNUMBER(Ввод!$B$6))),"",IF(Ввод!$B$5+486&gt;Ввод!$B$6,"",Ввод!$B$5+486))</f>
        <v/>
      </c>
      <c r="B488">
        <f>IF(A488="","",IFERROR(INDEX(Ввод!$B$12:$B$71,MATCH(A488,Ввод!$D$12:$D$71,1)),""))</f>
        <v/>
      </c>
      <c r="C488">
        <f>IF(A488="","",DATE(YEAR(A488),12,31)-DATE(YEAR(A488),1,1)+1)</f>
        <v/>
      </c>
      <c r="D488">
        <f>IF(A488="","",Ввод!$B$4-SUMIF(Оплаты!$A$6:$A$505,"&lt;"&amp;A488,Оплаты!$B$6:$B$505))</f>
        <v/>
      </c>
      <c r="E488">
        <f>IF(A488="","",IF(SUMPRODUCT((Ввод!$F$12:$F$31&lt;&gt;"")*(Ввод!$F$12:$F$31&lt;=A488)*(Ввод!$G$12:$G$31&gt;=A488))&gt;0,1,0))</f>
        <v/>
      </c>
      <c r="F488">
        <f>IF(OR(A488="",B488=""),"",IF(E488=1,0,D488*B488/100/C488))</f>
        <v/>
      </c>
      <c r="G488">
        <f>IF(A488="","",IF(OR(B488&lt;&gt;B487,C488&lt;&gt;C487,D488&lt;&gt;D487,E488&lt;&gt;E487),G487+1,G487))</f>
        <v/>
      </c>
    </row>
    <row r="489">
      <c r="A489" s="14">
        <f>IF(OR(NOT(ISNUMBER(Ввод!$B$5)),NOT(ISNUMBER(Ввод!$B$6))),"",IF(Ввод!$B$5+487&gt;Ввод!$B$6,"",Ввод!$B$5+487))</f>
        <v/>
      </c>
      <c r="B489">
        <f>IF(A489="","",IFERROR(INDEX(Ввод!$B$12:$B$71,MATCH(A489,Ввод!$D$12:$D$71,1)),""))</f>
        <v/>
      </c>
      <c r="C489">
        <f>IF(A489="","",DATE(YEAR(A489),12,31)-DATE(YEAR(A489),1,1)+1)</f>
        <v/>
      </c>
      <c r="D489">
        <f>IF(A489="","",Ввод!$B$4-SUMIF(Оплаты!$A$6:$A$505,"&lt;"&amp;A489,Оплаты!$B$6:$B$505))</f>
        <v/>
      </c>
      <c r="E489">
        <f>IF(A489="","",IF(SUMPRODUCT((Ввод!$F$12:$F$31&lt;&gt;"")*(Ввод!$F$12:$F$31&lt;=A489)*(Ввод!$G$12:$G$31&gt;=A489))&gt;0,1,0))</f>
        <v/>
      </c>
      <c r="F489">
        <f>IF(OR(A489="",B489=""),"",IF(E489=1,0,D489*B489/100/C489))</f>
        <v/>
      </c>
      <c r="G489">
        <f>IF(A489="","",IF(OR(B489&lt;&gt;B488,C489&lt;&gt;C488,D489&lt;&gt;D488,E489&lt;&gt;E488),G488+1,G488))</f>
        <v/>
      </c>
    </row>
    <row r="490">
      <c r="A490" s="14">
        <f>IF(OR(NOT(ISNUMBER(Ввод!$B$5)),NOT(ISNUMBER(Ввод!$B$6))),"",IF(Ввод!$B$5+488&gt;Ввод!$B$6,"",Ввод!$B$5+488))</f>
        <v/>
      </c>
      <c r="B490">
        <f>IF(A490="","",IFERROR(INDEX(Ввод!$B$12:$B$71,MATCH(A490,Ввод!$D$12:$D$71,1)),""))</f>
        <v/>
      </c>
      <c r="C490">
        <f>IF(A490="","",DATE(YEAR(A490),12,31)-DATE(YEAR(A490),1,1)+1)</f>
        <v/>
      </c>
      <c r="D490">
        <f>IF(A490="","",Ввод!$B$4-SUMIF(Оплаты!$A$6:$A$505,"&lt;"&amp;A490,Оплаты!$B$6:$B$505))</f>
        <v/>
      </c>
      <c r="E490">
        <f>IF(A490="","",IF(SUMPRODUCT((Ввод!$F$12:$F$31&lt;&gt;"")*(Ввод!$F$12:$F$31&lt;=A490)*(Ввод!$G$12:$G$31&gt;=A490))&gt;0,1,0))</f>
        <v/>
      </c>
      <c r="F490">
        <f>IF(OR(A490="",B490=""),"",IF(E490=1,0,D490*B490/100/C490))</f>
        <v/>
      </c>
      <c r="G490">
        <f>IF(A490="","",IF(OR(B490&lt;&gt;B489,C490&lt;&gt;C489,D490&lt;&gt;D489,E490&lt;&gt;E489),G489+1,G489))</f>
        <v/>
      </c>
    </row>
    <row r="491">
      <c r="A491" s="14">
        <f>IF(OR(NOT(ISNUMBER(Ввод!$B$5)),NOT(ISNUMBER(Ввод!$B$6))),"",IF(Ввод!$B$5+489&gt;Ввод!$B$6,"",Ввод!$B$5+489))</f>
        <v/>
      </c>
      <c r="B491">
        <f>IF(A491="","",IFERROR(INDEX(Ввод!$B$12:$B$71,MATCH(A491,Ввод!$D$12:$D$71,1)),""))</f>
        <v/>
      </c>
      <c r="C491">
        <f>IF(A491="","",DATE(YEAR(A491),12,31)-DATE(YEAR(A491),1,1)+1)</f>
        <v/>
      </c>
      <c r="D491">
        <f>IF(A491="","",Ввод!$B$4-SUMIF(Оплаты!$A$6:$A$505,"&lt;"&amp;A491,Оплаты!$B$6:$B$505))</f>
        <v/>
      </c>
      <c r="E491">
        <f>IF(A491="","",IF(SUMPRODUCT((Ввод!$F$12:$F$31&lt;&gt;"")*(Ввод!$F$12:$F$31&lt;=A491)*(Ввод!$G$12:$G$31&gt;=A491))&gt;0,1,0))</f>
        <v/>
      </c>
      <c r="F491">
        <f>IF(OR(A491="",B491=""),"",IF(E491=1,0,D491*B491/100/C491))</f>
        <v/>
      </c>
      <c r="G491">
        <f>IF(A491="","",IF(OR(B491&lt;&gt;B490,C491&lt;&gt;C490,D491&lt;&gt;D490,E491&lt;&gt;E490),G490+1,G490))</f>
        <v/>
      </c>
    </row>
    <row r="492">
      <c r="A492" s="14">
        <f>IF(OR(NOT(ISNUMBER(Ввод!$B$5)),NOT(ISNUMBER(Ввод!$B$6))),"",IF(Ввод!$B$5+490&gt;Ввод!$B$6,"",Ввод!$B$5+490))</f>
        <v/>
      </c>
      <c r="B492">
        <f>IF(A492="","",IFERROR(INDEX(Ввод!$B$12:$B$71,MATCH(A492,Ввод!$D$12:$D$71,1)),""))</f>
        <v/>
      </c>
      <c r="C492">
        <f>IF(A492="","",DATE(YEAR(A492),12,31)-DATE(YEAR(A492),1,1)+1)</f>
        <v/>
      </c>
      <c r="D492">
        <f>IF(A492="","",Ввод!$B$4-SUMIF(Оплаты!$A$6:$A$505,"&lt;"&amp;A492,Оплаты!$B$6:$B$505))</f>
        <v/>
      </c>
      <c r="E492">
        <f>IF(A492="","",IF(SUMPRODUCT((Ввод!$F$12:$F$31&lt;&gt;"")*(Ввод!$F$12:$F$31&lt;=A492)*(Ввод!$G$12:$G$31&gt;=A492))&gt;0,1,0))</f>
        <v/>
      </c>
      <c r="F492">
        <f>IF(OR(A492="",B492=""),"",IF(E492=1,0,D492*B492/100/C492))</f>
        <v/>
      </c>
      <c r="G492">
        <f>IF(A492="","",IF(OR(B492&lt;&gt;B491,C492&lt;&gt;C491,D492&lt;&gt;D491,E492&lt;&gt;E491),G491+1,G491))</f>
        <v/>
      </c>
    </row>
    <row r="493">
      <c r="A493" s="14">
        <f>IF(OR(NOT(ISNUMBER(Ввод!$B$5)),NOT(ISNUMBER(Ввод!$B$6))),"",IF(Ввод!$B$5+491&gt;Ввод!$B$6,"",Ввод!$B$5+491))</f>
        <v/>
      </c>
      <c r="B493">
        <f>IF(A493="","",IFERROR(INDEX(Ввод!$B$12:$B$71,MATCH(A493,Ввод!$D$12:$D$71,1)),""))</f>
        <v/>
      </c>
      <c r="C493">
        <f>IF(A493="","",DATE(YEAR(A493),12,31)-DATE(YEAR(A493),1,1)+1)</f>
        <v/>
      </c>
      <c r="D493">
        <f>IF(A493="","",Ввод!$B$4-SUMIF(Оплаты!$A$6:$A$505,"&lt;"&amp;A493,Оплаты!$B$6:$B$505))</f>
        <v/>
      </c>
      <c r="E493">
        <f>IF(A493="","",IF(SUMPRODUCT((Ввод!$F$12:$F$31&lt;&gt;"")*(Ввод!$F$12:$F$31&lt;=A493)*(Ввод!$G$12:$G$31&gt;=A493))&gt;0,1,0))</f>
        <v/>
      </c>
      <c r="F493">
        <f>IF(OR(A493="",B493=""),"",IF(E493=1,0,D493*B493/100/C493))</f>
        <v/>
      </c>
      <c r="G493">
        <f>IF(A493="","",IF(OR(B493&lt;&gt;B492,C493&lt;&gt;C492,D493&lt;&gt;D492,E493&lt;&gt;E492),G492+1,G492))</f>
        <v/>
      </c>
    </row>
    <row r="494">
      <c r="A494" s="14">
        <f>IF(OR(NOT(ISNUMBER(Ввод!$B$5)),NOT(ISNUMBER(Ввод!$B$6))),"",IF(Ввод!$B$5+492&gt;Ввод!$B$6,"",Ввод!$B$5+492))</f>
        <v/>
      </c>
      <c r="B494">
        <f>IF(A494="","",IFERROR(INDEX(Ввод!$B$12:$B$71,MATCH(A494,Ввод!$D$12:$D$71,1)),""))</f>
        <v/>
      </c>
      <c r="C494">
        <f>IF(A494="","",DATE(YEAR(A494),12,31)-DATE(YEAR(A494),1,1)+1)</f>
        <v/>
      </c>
      <c r="D494">
        <f>IF(A494="","",Ввод!$B$4-SUMIF(Оплаты!$A$6:$A$505,"&lt;"&amp;A494,Оплаты!$B$6:$B$505))</f>
        <v/>
      </c>
      <c r="E494">
        <f>IF(A494="","",IF(SUMPRODUCT((Ввод!$F$12:$F$31&lt;&gt;"")*(Ввод!$F$12:$F$31&lt;=A494)*(Ввод!$G$12:$G$31&gt;=A494))&gt;0,1,0))</f>
        <v/>
      </c>
      <c r="F494">
        <f>IF(OR(A494="",B494=""),"",IF(E494=1,0,D494*B494/100/C494))</f>
        <v/>
      </c>
      <c r="G494">
        <f>IF(A494="","",IF(OR(B494&lt;&gt;B493,C494&lt;&gt;C493,D494&lt;&gt;D493,E494&lt;&gt;E493),G493+1,G493))</f>
        <v/>
      </c>
    </row>
    <row r="495">
      <c r="A495" s="14">
        <f>IF(OR(NOT(ISNUMBER(Ввод!$B$5)),NOT(ISNUMBER(Ввод!$B$6))),"",IF(Ввод!$B$5+493&gt;Ввод!$B$6,"",Ввод!$B$5+493))</f>
        <v/>
      </c>
      <c r="B495">
        <f>IF(A495="","",IFERROR(INDEX(Ввод!$B$12:$B$71,MATCH(A495,Ввод!$D$12:$D$71,1)),""))</f>
        <v/>
      </c>
      <c r="C495">
        <f>IF(A495="","",DATE(YEAR(A495),12,31)-DATE(YEAR(A495),1,1)+1)</f>
        <v/>
      </c>
      <c r="D495">
        <f>IF(A495="","",Ввод!$B$4-SUMIF(Оплаты!$A$6:$A$505,"&lt;"&amp;A495,Оплаты!$B$6:$B$505))</f>
        <v/>
      </c>
      <c r="E495">
        <f>IF(A495="","",IF(SUMPRODUCT((Ввод!$F$12:$F$31&lt;&gt;"")*(Ввод!$F$12:$F$31&lt;=A495)*(Ввод!$G$12:$G$31&gt;=A495))&gt;0,1,0))</f>
        <v/>
      </c>
      <c r="F495">
        <f>IF(OR(A495="",B495=""),"",IF(E495=1,0,D495*B495/100/C495))</f>
        <v/>
      </c>
      <c r="G495">
        <f>IF(A495="","",IF(OR(B495&lt;&gt;B494,C495&lt;&gt;C494,D495&lt;&gt;D494,E495&lt;&gt;E494),G494+1,G494))</f>
        <v/>
      </c>
    </row>
    <row r="496">
      <c r="A496" s="14">
        <f>IF(OR(NOT(ISNUMBER(Ввод!$B$5)),NOT(ISNUMBER(Ввод!$B$6))),"",IF(Ввод!$B$5+494&gt;Ввод!$B$6,"",Ввод!$B$5+494))</f>
        <v/>
      </c>
      <c r="B496">
        <f>IF(A496="","",IFERROR(INDEX(Ввод!$B$12:$B$71,MATCH(A496,Ввод!$D$12:$D$71,1)),""))</f>
        <v/>
      </c>
      <c r="C496">
        <f>IF(A496="","",DATE(YEAR(A496),12,31)-DATE(YEAR(A496),1,1)+1)</f>
        <v/>
      </c>
      <c r="D496">
        <f>IF(A496="","",Ввод!$B$4-SUMIF(Оплаты!$A$6:$A$505,"&lt;"&amp;A496,Оплаты!$B$6:$B$505))</f>
        <v/>
      </c>
      <c r="E496">
        <f>IF(A496="","",IF(SUMPRODUCT((Ввод!$F$12:$F$31&lt;&gt;"")*(Ввод!$F$12:$F$31&lt;=A496)*(Ввод!$G$12:$G$31&gt;=A496))&gt;0,1,0))</f>
        <v/>
      </c>
      <c r="F496">
        <f>IF(OR(A496="",B496=""),"",IF(E496=1,0,D496*B496/100/C496))</f>
        <v/>
      </c>
      <c r="G496">
        <f>IF(A496="","",IF(OR(B496&lt;&gt;B495,C496&lt;&gt;C495,D496&lt;&gt;D495,E496&lt;&gt;E495),G495+1,G495))</f>
        <v/>
      </c>
    </row>
    <row r="497">
      <c r="A497" s="14">
        <f>IF(OR(NOT(ISNUMBER(Ввод!$B$5)),NOT(ISNUMBER(Ввод!$B$6))),"",IF(Ввод!$B$5+495&gt;Ввод!$B$6,"",Ввод!$B$5+495))</f>
        <v/>
      </c>
      <c r="B497">
        <f>IF(A497="","",IFERROR(INDEX(Ввод!$B$12:$B$71,MATCH(A497,Ввод!$D$12:$D$71,1)),""))</f>
        <v/>
      </c>
      <c r="C497">
        <f>IF(A497="","",DATE(YEAR(A497),12,31)-DATE(YEAR(A497),1,1)+1)</f>
        <v/>
      </c>
      <c r="D497">
        <f>IF(A497="","",Ввод!$B$4-SUMIF(Оплаты!$A$6:$A$505,"&lt;"&amp;A497,Оплаты!$B$6:$B$505))</f>
        <v/>
      </c>
      <c r="E497">
        <f>IF(A497="","",IF(SUMPRODUCT((Ввод!$F$12:$F$31&lt;&gt;"")*(Ввод!$F$12:$F$31&lt;=A497)*(Ввод!$G$12:$G$31&gt;=A497))&gt;0,1,0))</f>
        <v/>
      </c>
      <c r="F497">
        <f>IF(OR(A497="",B497=""),"",IF(E497=1,0,D497*B497/100/C497))</f>
        <v/>
      </c>
      <c r="G497">
        <f>IF(A497="","",IF(OR(B497&lt;&gt;B496,C497&lt;&gt;C496,D497&lt;&gt;D496,E497&lt;&gt;E496),G496+1,G496))</f>
        <v/>
      </c>
    </row>
    <row r="498">
      <c r="A498" s="14">
        <f>IF(OR(NOT(ISNUMBER(Ввод!$B$5)),NOT(ISNUMBER(Ввод!$B$6))),"",IF(Ввод!$B$5+496&gt;Ввод!$B$6,"",Ввод!$B$5+496))</f>
        <v/>
      </c>
      <c r="B498">
        <f>IF(A498="","",IFERROR(INDEX(Ввод!$B$12:$B$71,MATCH(A498,Ввод!$D$12:$D$71,1)),""))</f>
        <v/>
      </c>
      <c r="C498">
        <f>IF(A498="","",DATE(YEAR(A498),12,31)-DATE(YEAR(A498),1,1)+1)</f>
        <v/>
      </c>
      <c r="D498">
        <f>IF(A498="","",Ввод!$B$4-SUMIF(Оплаты!$A$6:$A$505,"&lt;"&amp;A498,Оплаты!$B$6:$B$505))</f>
        <v/>
      </c>
      <c r="E498">
        <f>IF(A498="","",IF(SUMPRODUCT((Ввод!$F$12:$F$31&lt;&gt;"")*(Ввод!$F$12:$F$31&lt;=A498)*(Ввод!$G$12:$G$31&gt;=A498))&gt;0,1,0))</f>
        <v/>
      </c>
      <c r="F498">
        <f>IF(OR(A498="",B498=""),"",IF(E498=1,0,D498*B498/100/C498))</f>
        <v/>
      </c>
      <c r="G498">
        <f>IF(A498="","",IF(OR(B498&lt;&gt;B497,C498&lt;&gt;C497,D498&lt;&gt;D497,E498&lt;&gt;E497),G497+1,G497))</f>
        <v/>
      </c>
    </row>
    <row r="499">
      <c r="A499" s="14">
        <f>IF(OR(NOT(ISNUMBER(Ввод!$B$5)),NOT(ISNUMBER(Ввод!$B$6))),"",IF(Ввод!$B$5+497&gt;Ввод!$B$6,"",Ввод!$B$5+497))</f>
        <v/>
      </c>
      <c r="B499">
        <f>IF(A499="","",IFERROR(INDEX(Ввод!$B$12:$B$71,MATCH(A499,Ввод!$D$12:$D$71,1)),""))</f>
        <v/>
      </c>
      <c r="C499">
        <f>IF(A499="","",DATE(YEAR(A499),12,31)-DATE(YEAR(A499),1,1)+1)</f>
        <v/>
      </c>
      <c r="D499">
        <f>IF(A499="","",Ввод!$B$4-SUMIF(Оплаты!$A$6:$A$505,"&lt;"&amp;A499,Оплаты!$B$6:$B$505))</f>
        <v/>
      </c>
      <c r="E499">
        <f>IF(A499="","",IF(SUMPRODUCT((Ввод!$F$12:$F$31&lt;&gt;"")*(Ввод!$F$12:$F$31&lt;=A499)*(Ввод!$G$12:$G$31&gt;=A499))&gt;0,1,0))</f>
        <v/>
      </c>
      <c r="F499">
        <f>IF(OR(A499="",B499=""),"",IF(E499=1,0,D499*B499/100/C499))</f>
        <v/>
      </c>
      <c r="G499">
        <f>IF(A499="","",IF(OR(B499&lt;&gt;B498,C499&lt;&gt;C498,D499&lt;&gt;D498,E499&lt;&gt;E498),G498+1,G498))</f>
        <v/>
      </c>
    </row>
    <row r="500">
      <c r="A500" s="14">
        <f>IF(OR(NOT(ISNUMBER(Ввод!$B$5)),NOT(ISNUMBER(Ввод!$B$6))),"",IF(Ввод!$B$5+498&gt;Ввод!$B$6,"",Ввод!$B$5+498))</f>
        <v/>
      </c>
      <c r="B500">
        <f>IF(A500="","",IFERROR(INDEX(Ввод!$B$12:$B$71,MATCH(A500,Ввод!$D$12:$D$71,1)),""))</f>
        <v/>
      </c>
      <c r="C500">
        <f>IF(A500="","",DATE(YEAR(A500),12,31)-DATE(YEAR(A500),1,1)+1)</f>
        <v/>
      </c>
      <c r="D500">
        <f>IF(A500="","",Ввод!$B$4-SUMIF(Оплаты!$A$6:$A$505,"&lt;"&amp;A500,Оплаты!$B$6:$B$505))</f>
        <v/>
      </c>
      <c r="E500">
        <f>IF(A500="","",IF(SUMPRODUCT((Ввод!$F$12:$F$31&lt;&gt;"")*(Ввод!$F$12:$F$31&lt;=A500)*(Ввод!$G$12:$G$31&gt;=A500))&gt;0,1,0))</f>
        <v/>
      </c>
      <c r="F500">
        <f>IF(OR(A500="",B500=""),"",IF(E500=1,0,D500*B500/100/C500))</f>
        <v/>
      </c>
      <c r="G500">
        <f>IF(A500="","",IF(OR(B500&lt;&gt;B499,C500&lt;&gt;C499,D500&lt;&gt;D499,E500&lt;&gt;E499),G499+1,G499))</f>
        <v/>
      </c>
    </row>
    <row r="501">
      <c r="A501" s="14">
        <f>IF(OR(NOT(ISNUMBER(Ввод!$B$5)),NOT(ISNUMBER(Ввод!$B$6))),"",IF(Ввод!$B$5+499&gt;Ввод!$B$6,"",Ввод!$B$5+499))</f>
        <v/>
      </c>
      <c r="B501">
        <f>IF(A501="","",IFERROR(INDEX(Ввод!$B$12:$B$71,MATCH(A501,Ввод!$D$12:$D$71,1)),""))</f>
        <v/>
      </c>
      <c r="C501">
        <f>IF(A501="","",DATE(YEAR(A501),12,31)-DATE(YEAR(A501),1,1)+1)</f>
        <v/>
      </c>
      <c r="D501">
        <f>IF(A501="","",Ввод!$B$4-SUMIF(Оплаты!$A$6:$A$505,"&lt;"&amp;A501,Оплаты!$B$6:$B$505))</f>
        <v/>
      </c>
      <c r="E501">
        <f>IF(A501="","",IF(SUMPRODUCT((Ввод!$F$12:$F$31&lt;&gt;"")*(Ввод!$F$12:$F$31&lt;=A501)*(Ввод!$G$12:$G$31&gt;=A501))&gt;0,1,0))</f>
        <v/>
      </c>
      <c r="F501">
        <f>IF(OR(A501="",B501=""),"",IF(E501=1,0,D501*B501/100/C501))</f>
        <v/>
      </c>
      <c r="G501">
        <f>IF(A501="","",IF(OR(B501&lt;&gt;B500,C501&lt;&gt;C500,D501&lt;&gt;D500,E501&lt;&gt;E500),G500+1,G500))</f>
        <v/>
      </c>
    </row>
    <row r="502">
      <c r="A502" s="14">
        <f>IF(OR(NOT(ISNUMBER(Ввод!$B$5)),NOT(ISNUMBER(Ввод!$B$6))),"",IF(Ввод!$B$5+500&gt;Ввод!$B$6,"",Ввод!$B$5+500))</f>
        <v/>
      </c>
      <c r="B502">
        <f>IF(A502="","",IFERROR(INDEX(Ввод!$B$12:$B$71,MATCH(A502,Ввод!$D$12:$D$71,1)),""))</f>
        <v/>
      </c>
      <c r="C502">
        <f>IF(A502="","",DATE(YEAR(A502),12,31)-DATE(YEAR(A502),1,1)+1)</f>
        <v/>
      </c>
      <c r="D502">
        <f>IF(A502="","",Ввод!$B$4-SUMIF(Оплаты!$A$6:$A$505,"&lt;"&amp;A502,Оплаты!$B$6:$B$505))</f>
        <v/>
      </c>
      <c r="E502">
        <f>IF(A502="","",IF(SUMPRODUCT((Ввод!$F$12:$F$31&lt;&gt;"")*(Ввод!$F$12:$F$31&lt;=A502)*(Ввод!$G$12:$G$31&gt;=A502))&gt;0,1,0))</f>
        <v/>
      </c>
      <c r="F502">
        <f>IF(OR(A502="",B502=""),"",IF(E502=1,0,D502*B502/100/C502))</f>
        <v/>
      </c>
      <c r="G502">
        <f>IF(A502="","",IF(OR(B502&lt;&gt;B501,C502&lt;&gt;C501,D502&lt;&gt;D501,E502&lt;&gt;E501),G501+1,G501))</f>
        <v/>
      </c>
    </row>
    <row r="503">
      <c r="A503" s="14">
        <f>IF(OR(NOT(ISNUMBER(Ввод!$B$5)),NOT(ISNUMBER(Ввод!$B$6))),"",IF(Ввод!$B$5+501&gt;Ввод!$B$6,"",Ввод!$B$5+501))</f>
        <v/>
      </c>
      <c r="B503">
        <f>IF(A503="","",IFERROR(INDEX(Ввод!$B$12:$B$71,MATCH(A503,Ввод!$D$12:$D$71,1)),""))</f>
        <v/>
      </c>
      <c r="C503">
        <f>IF(A503="","",DATE(YEAR(A503),12,31)-DATE(YEAR(A503),1,1)+1)</f>
        <v/>
      </c>
      <c r="D503">
        <f>IF(A503="","",Ввод!$B$4-SUMIF(Оплаты!$A$6:$A$505,"&lt;"&amp;A503,Оплаты!$B$6:$B$505))</f>
        <v/>
      </c>
      <c r="E503">
        <f>IF(A503="","",IF(SUMPRODUCT((Ввод!$F$12:$F$31&lt;&gt;"")*(Ввод!$F$12:$F$31&lt;=A503)*(Ввод!$G$12:$G$31&gt;=A503))&gt;0,1,0))</f>
        <v/>
      </c>
      <c r="F503">
        <f>IF(OR(A503="",B503=""),"",IF(E503=1,0,D503*B503/100/C503))</f>
        <v/>
      </c>
      <c r="G503">
        <f>IF(A503="","",IF(OR(B503&lt;&gt;B502,C503&lt;&gt;C502,D503&lt;&gt;D502,E503&lt;&gt;E502),G502+1,G502))</f>
        <v/>
      </c>
    </row>
    <row r="504">
      <c r="A504" s="14">
        <f>IF(OR(NOT(ISNUMBER(Ввод!$B$5)),NOT(ISNUMBER(Ввод!$B$6))),"",IF(Ввод!$B$5+502&gt;Ввод!$B$6,"",Ввод!$B$5+502))</f>
        <v/>
      </c>
      <c r="B504">
        <f>IF(A504="","",IFERROR(INDEX(Ввод!$B$12:$B$71,MATCH(A504,Ввод!$D$12:$D$71,1)),""))</f>
        <v/>
      </c>
      <c r="C504">
        <f>IF(A504="","",DATE(YEAR(A504),12,31)-DATE(YEAR(A504),1,1)+1)</f>
        <v/>
      </c>
      <c r="D504">
        <f>IF(A504="","",Ввод!$B$4-SUMIF(Оплаты!$A$6:$A$505,"&lt;"&amp;A504,Оплаты!$B$6:$B$505))</f>
        <v/>
      </c>
      <c r="E504">
        <f>IF(A504="","",IF(SUMPRODUCT((Ввод!$F$12:$F$31&lt;&gt;"")*(Ввод!$F$12:$F$31&lt;=A504)*(Ввод!$G$12:$G$31&gt;=A504))&gt;0,1,0))</f>
        <v/>
      </c>
      <c r="F504">
        <f>IF(OR(A504="",B504=""),"",IF(E504=1,0,D504*B504/100/C504))</f>
        <v/>
      </c>
      <c r="G504">
        <f>IF(A504="","",IF(OR(B504&lt;&gt;B503,C504&lt;&gt;C503,D504&lt;&gt;D503,E504&lt;&gt;E503),G503+1,G503))</f>
        <v/>
      </c>
    </row>
    <row r="505">
      <c r="A505" s="14">
        <f>IF(OR(NOT(ISNUMBER(Ввод!$B$5)),NOT(ISNUMBER(Ввод!$B$6))),"",IF(Ввод!$B$5+503&gt;Ввод!$B$6,"",Ввод!$B$5+503))</f>
        <v/>
      </c>
      <c r="B505">
        <f>IF(A505="","",IFERROR(INDEX(Ввод!$B$12:$B$71,MATCH(A505,Ввод!$D$12:$D$71,1)),""))</f>
        <v/>
      </c>
      <c r="C505">
        <f>IF(A505="","",DATE(YEAR(A505),12,31)-DATE(YEAR(A505),1,1)+1)</f>
        <v/>
      </c>
      <c r="D505">
        <f>IF(A505="","",Ввод!$B$4-SUMIF(Оплаты!$A$6:$A$505,"&lt;"&amp;A505,Оплаты!$B$6:$B$505))</f>
        <v/>
      </c>
      <c r="E505">
        <f>IF(A505="","",IF(SUMPRODUCT((Ввод!$F$12:$F$31&lt;&gt;"")*(Ввод!$F$12:$F$31&lt;=A505)*(Ввод!$G$12:$G$31&gt;=A505))&gt;0,1,0))</f>
        <v/>
      </c>
      <c r="F505">
        <f>IF(OR(A505="",B505=""),"",IF(E505=1,0,D505*B505/100/C505))</f>
        <v/>
      </c>
      <c r="G505">
        <f>IF(A505="","",IF(OR(B505&lt;&gt;B504,C505&lt;&gt;C504,D505&lt;&gt;D504,E505&lt;&gt;E504),G504+1,G504))</f>
        <v/>
      </c>
    </row>
    <row r="506">
      <c r="A506" s="14">
        <f>IF(OR(NOT(ISNUMBER(Ввод!$B$5)),NOT(ISNUMBER(Ввод!$B$6))),"",IF(Ввод!$B$5+504&gt;Ввод!$B$6,"",Ввод!$B$5+504))</f>
        <v/>
      </c>
      <c r="B506">
        <f>IF(A506="","",IFERROR(INDEX(Ввод!$B$12:$B$71,MATCH(A506,Ввод!$D$12:$D$71,1)),""))</f>
        <v/>
      </c>
      <c r="C506">
        <f>IF(A506="","",DATE(YEAR(A506),12,31)-DATE(YEAR(A506),1,1)+1)</f>
        <v/>
      </c>
      <c r="D506">
        <f>IF(A506="","",Ввод!$B$4-SUMIF(Оплаты!$A$6:$A$505,"&lt;"&amp;A506,Оплаты!$B$6:$B$505))</f>
        <v/>
      </c>
      <c r="E506">
        <f>IF(A506="","",IF(SUMPRODUCT((Ввод!$F$12:$F$31&lt;&gt;"")*(Ввод!$F$12:$F$31&lt;=A506)*(Ввод!$G$12:$G$31&gt;=A506))&gt;0,1,0))</f>
        <v/>
      </c>
      <c r="F506">
        <f>IF(OR(A506="",B506=""),"",IF(E506=1,0,D506*B506/100/C506))</f>
        <v/>
      </c>
      <c r="G506">
        <f>IF(A506="","",IF(OR(B506&lt;&gt;B505,C506&lt;&gt;C505,D506&lt;&gt;D505,E506&lt;&gt;E505),G505+1,G505))</f>
        <v/>
      </c>
    </row>
    <row r="507">
      <c r="A507" s="14">
        <f>IF(OR(NOT(ISNUMBER(Ввод!$B$5)),NOT(ISNUMBER(Ввод!$B$6))),"",IF(Ввод!$B$5+505&gt;Ввод!$B$6,"",Ввод!$B$5+505))</f>
        <v/>
      </c>
      <c r="B507">
        <f>IF(A507="","",IFERROR(INDEX(Ввод!$B$12:$B$71,MATCH(A507,Ввод!$D$12:$D$71,1)),""))</f>
        <v/>
      </c>
      <c r="C507">
        <f>IF(A507="","",DATE(YEAR(A507),12,31)-DATE(YEAR(A507),1,1)+1)</f>
        <v/>
      </c>
      <c r="D507">
        <f>IF(A507="","",Ввод!$B$4-SUMIF(Оплаты!$A$6:$A$505,"&lt;"&amp;A507,Оплаты!$B$6:$B$505))</f>
        <v/>
      </c>
      <c r="E507">
        <f>IF(A507="","",IF(SUMPRODUCT((Ввод!$F$12:$F$31&lt;&gt;"")*(Ввод!$F$12:$F$31&lt;=A507)*(Ввод!$G$12:$G$31&gt;=A507))&gt;0,1,0))</f>
        <v/>
      </c>
      <c r="F507">
        <f>IF(OR(A507="",B507=""),"",IF(E507=1,0,D507*B507/100/C507))</f>
        <v/>
      </c>
      <c r="G507">
        <f>IF(A507="","",IF(OR(B507&lt;&gt;B506,C507&lt;&gt;C506,D507&lt;&gt;D506,E507&lt;&gt;E506),G506+1,G506))</f>
        <v/>
      </c>
    </row>
    <row r="508">
      <c r="A508" s="14">
        <f>IF(OR(NOT(ISNUMBER(Ввод!$B$5)),NOT(ISNUMBER(Ввод!$B$6))),"",IF(Ввод!$B$5+506&gt;Ввод!$B$6,"",Ввод!$B$5+506))</f>
        <v/>
      </c>
      <c r="B508">
        <f>IF(A508="","",IFERROR(INDEX(Ввод!$B$12:$B$71,MATCH(A508,Ввод!$D$12:$D$71,1)),""))</f>
        <v/>
      </c>
      <c r="C508">
        <f>IF(A508="","",DATE(YEAR(A508),12,31)-DATE(YEAR(A508),1,1)+1)</f>
        <v/>
      </c>
      <c r="D508">
        <f>IF(A508="","",Ввод!$B$4-SUMIF(Оплаты!$A$6:$A$505,"&lt;"&amp;A508,Оплаты!$B$6:$B$505))</f>
        <v/>
      </c>
      <c r="E508">
        <f>IF(A508="","",IF(SUMPRODUCT((Ввод!$F$12:$F$31&lt;&gt;"")*(Ввод!$F$12:$F$31&lt;=A508)*(Ввод!$G$12:$G$31&gt;=A508))&gt;0,1,0))</f>
        <v/>
      </c>
      <c r="F508">
        <f>IF(OR(A508="",B508=""),"",IF(E508=1,0,D508*B508/100/C508))</f>
        <v/>
      </c>
      <c r="G508">
        <f>IF(A508="","",IF(OR(B508&lt;&gt;B507,C508&lt;&gt;C507,D508&lt;&gt;D507,E508&lt;&gt;E507),G507+1,G507))</f>
        <v/>
      </c>
    </row>
    <row r="509">
      <c r="A509" s="14">
        <f>IF(OR(NOT(ISNUMBER(Ввод!$B$5)),NOT(ISNUMBER(Ввод!$B$6))),"",IF(Ввод!$B$5+507&gt;Ввод!$B$6,"",Ввод!$B$5+507))</f>
        <v/>
      </c>
      <c r="B509">
        <f>IF(A509="","",IFERROR(INDEX(Ввод!$B$12:$B$71,MATCH(A509,Ввод!$D$12:$D$71,1)),""))</f>
        <v/>
      </c>
      <c r="C509">
        <f>IF(A509="","",DATE(YEAR(A509),12,31)-DATE(YEAR(A509),1,1)+1)</f>
        <v/>
      </c>
      <c r="D509">
        <f>IF(A509="","",Ввод!$B$4-SUMIF(Оплаты!$A$6:$A$505,"&lt;"&amp;A509,Оплаты!$B$6:$B$505))</f>
        <v/>
      </c>
      <c r="E509">
        <f>IF(A509="","",IF(SUMPRODUCT((Ввод!$F$12:$F$31&lt;&gt;"")*(Ввод!$F$12:$F$31&lt;=A509)*(Ввод!$G$12:$G$31&gt;=A509))&gt;0,1,0))</f>
        <v/>
      </c>
      <c r="F509">
        <f>IF(OR(A509="",B509=""),"",IF(E509=1,0,D509*B509/100/C509))</f>
        <v/>
      </c>
      <c r="G509">
        <f>IF(A509="","",IF(OR(B509&lt;&gt;B508,C509&lt;&gt;C508,D509&lt;&gt;D508,E509&lt;&gt;E508),G508+1,G508))</f>
        <v/>
      </c>
    </row>
    <row r="510">
      <c r="A510" s="14">
        <f>IF(OR(NOT(ISNUMBER(Ввод!$B$5)),NOT(ISNUMBER(Ввод!$B$6))),"",IF(Ввод!$B$5+508&gt;Ввод!$B$6,"",Ввод!$B$5+508))</f>
        <v/>
      </c>
      <c r="B510">
        <f>IF(A510="","",IFERROR(INDEX(Ввод!$B$12:$B$71,MATCH(A510,Ввод!$D$12:$D$71,1)),""))</f>
        <v/>
      </c>
      <c r="C510">
        <f>IF(A510="","",DATE(YEAR(A510),12,31)-DATE(YEAR(A510),1,1)+1)</f>
        <v/>
      </c>
      <c r="D510">
        <f>IF(A510="","",Ввод!$B$4-SUMIF(Оплаты!$A$6:$A$505,"&lt;"&amp;A510,Оплаты!$B$6:$B$505))</f>
        <v/>
      </c>
      <c r="E510">
        <f>IF(A510="","",IF(SUMPRODUCT((Ввод!$F$12:$F$31&lt;&gt;"")*(Ввод!$F$12:$F$31&lt;=A510)*(Ввод!$G$12:$G$31&gt;=A510))&gt;0,1,0))</f>
        <v/>
      </c>
      <c r="F510">
        <f>IF(OR(A510="",B510=""),"",IF(E510=1,0,D510*B510/100/C510))</f>
        <v/>
      </c>
      <c r="G510">
        <f>IF(A510="","",IF(OR(B510&lt;&gt;B509,C510&lt;&gt;C509,D510&lt;&gt;D509,E510&lt;&gt;E509),G509+1,G509))</f>
        <v/>
      </c>
    </row>
    <row r="511">
      <c r="A511" s="14">
        <f>IF(OR(NOT(ISNUMBER(Ввод!$B$5)),NOT(ISNUMBER(Ввод!$B$6))),"",IF(Ввод!$B$5+509&gt;Ввод!$B$6,"",Ввод!$B$5+509))</f>
        <v/>
      </c>
      <c r="B511">
        <f>IF(A511="","",IFERROR(INDEX(Ввод!$B$12:$B$71,MATCH(A511,Ввод!$D$12:$D$71,1)),""))</f>
        <v/>
      </c>
      <c r="C511">
        <f>IF(A511="","",DATE(YEAR(A511),12,31)-DATE(YEAR(A511),1,1)+1)</f>
        <v/>
      </c>
      <c r="D511">
        <f>IF(A511="","",Ввод!$B$4-SUMIF(Оплаты!$A$6:$A$505,"&lt;"&amp;A511,Оплаты!$B$6:$B$505))</f>
        <v/>
      </c>
      <c r="E511">
        <f>IF(A511="","",IF(SUMPRODUCT((Ввод!$F$12:$F$31&lt;&gt;"")*(Ввод!$F$12:$F$31&lt;=A511)*(Ввод!$G$12:$G$31&gt;=A511))&gt;0,1,0))</f>
        <v/>
      </c>
      <c r="F511">
        <f>IF(OR(A511="",B511=""),"",IF(E511=1,0,D511*B511/100/C511))</f>
        <v/>
      </c>
      <c r="G511">
        <f>IF(A511="","",IF(OR(B511&lt;&gt;B510,C511&lt;&gt;C510,D511&lt;&gt;D510,E511&lt;&gt;E510),G510+1,G510))</f>
        <v/>
      </c>
    </row>
    <row r="512">
      <c r="A512" s="14">
        <f>IF(OR(NOT(ISNUMBER(Ввод!$B$5)),NOT(ISNUMBER(Ввод!$B$6))),"",IF(Ввод!$B$5+510&gt;Ввод!$B$6,"",Ввод!$B$5+510))</f>
        <v/>
      </c>
      <c r="B512">
        <f>IF(A512="","",IFERROR(INDEX(Ввод!$B$12:$B$71,MATCH(A512,Ввод!$D$12:$D$71,1)),""))</f>
        <v/>
      </c>
      <c r="C512">
        <f>IF(A512="","",DATE(YEAR(A512),12,31)-DATE(YEAR(A512),1,1)+1)</f>
        <v/>
      </c>
      <c r="D512">
        <f>IF(A512="","",Ввод!$B$4-SUMIF(Оплаты!$A$6:$A$505,"&lt;"&amp;A512,Оплаты!$B$6:$B$505))</f>
        <v/>
      </c>
      <c r="E512">
        <f>IF(A512="","",IF(SUMPRODUCT((Ввод!$F$12:$F$31&lt;&gt;"")*(Ввод!$F$12:$F$31&lt;=A512)*(Ввод!$G$12:$G$31&gt;=A512))&gt;0,1,0))</f>
        <v/>
      </c>
      <c r="F512">
        <f>IF(OR(A512="",B512=""),"",IF(E512=1,0,D512*B512/100/C512))</f>
        <v/>
      </c>
      <c r="G512">
        <f>IF(A512="","",IF(OR(B512&lt;&gt;B511,C512&lt;&gt;C511,D512&lt;&gt;D511,E512&lt;&gt;E511),G511+1,G511))</f>
        <v/>
      </c>
    </row>
    <row r="513">
      <c r="A513" s="14">
        <f>IF(OR(NOT(ISNUMBER(Ввод!$B$5)),NOT(ISNUMBER(Ввод!$B$6))),"",IF(Ввод!$B$5+511&gt;Ввод!$B$6,"",Ввод!$B$5+511))</f>
        <v/>
      </c>
      <c r="B513">
        <f>IF(A513="","",IFERROR(INDEX(Ввод!$B$12:$B$71,MATCH(A513,Ввод!$D$12:$D$71,1)),""))</f>
        <v/>
      </c>
      <c r="C513">
        <f>IF(A513="","",DATE(YEAR(A513),12,31)-DATE(YEAR(A513),1,1)+1)</f>
        <v/>
      </c>
      <c r="D513">
        <f>IF(A513="","",Ввод!$B$4-SUMIF(Оплаты!$A$6:$A$505,"&lt;"&amp;A513,Оплаты!$B$6:$B$505))</f>
        <v/>
      </c>
      <c r="E513">
        <f>IF(A513="","",IF(SUMPRODUCT((Ввод!$F$12:$F$31&lt;&gt;"")*(Ввод!$F$12:$F$31&lt;=A513)*(Ввод!$G$12:$G$31&gt;=A513))&gt;0,1,0))</f>
        <v/>
      </c>
      <c r="F513">
        <f>IF(OR(A513="",B513=""),"",IF(E513=1,0,D513*B513/100/C513))</f>
        <v/>
      </c>
      <c r="G513">
        <f>IF(A513="","",IF(OR(B513&lt;&gt;B512,C513&lt;&gt;C512,D513&lt;&gt;D512,E513&lt;&gt;E512),G512+1,G512))</f>
        <v/>
      </c>
    </row>
    <row r="514">
      <c r="A514" s="14">
        <f>IF(OR(NOT(ISNUMBER(Ввод!$B$5)),NOT(ISNUMBER(Ввод!$B$6))),"",IF(Ввод!$B$5+512&gt;Ввод!$B$6,"",Ввод!$B$5+512))</f>
        <v/>
      </c>
      <c r="B514">
        <f>IF(A514="","",IFERROR(INDEX(Ввод!$B$12:$B$71,MATCH(A514,Ввод!$D$12:$D$71,1)),""))</f>
        <v/>
      </c>
      <c r="C514">
        <f>IF(A514="","",DATE(YEAR(A514),12,31)-DATE(YEAR(A514),1,1)+1)</f>
        <v/>
      </c>
      <c r="D514">
        <f>IF(A514="","",Ввод!$B$4-SUMIF(Оплаты!$A$6:$A$505,"&lt;"&amp;A514,Оплаты!$B$6:$B$505))</f>
        <v/>
      </c>
      <c r="E514">
        <f>IF(A514="","",IF(SUMPRODUCT((Ввод!$F$12:$F$31&lt;&gt;"")*(Ввод!$F$12:$F$31&lt;=A514)*(Ввод!$G$12:$G$31&gt;=A514))&gt;0,1,0))</f>
        <v/>
      </c>
      <c r="F514">
        <f>IF(OR(A514="",B514=""),"",IF(E514=1,0,D514*B514/100/C514))</f>
        <v/>
      </c>
      <c r="G514">
        <f>IF(A514="","",IF(OR(B514&lt;&gt;B513,C514&lt;&gt;C513,D514&lt;&gt;D513,E514&lt;&gt;E513),G513+1,G513))</f>
        <v/>
      </c>
    </row>
    <row r="515">
      <c r="A515" s="14">
        <f>IF(OR(NOT(ISNUMBER(Ввод!$B$5)),NOT(ISNUMBER(Ввод!$B$6))),"",IF(Ввод!$B$5+513&gt;Ввод!$B$6,"",Ввод!$B$5+513))</f>
        <v/>
      </c>
      <c r="B515">
        <f>IF(A515="","",IFERROR(INDEX(Ввод!$B$12:$B$71,MATCH(A515,Ввод!$D$12:$D$71,1)),""))</f>
        <v/>
      </c>
      <c r="C515">
        <f>IF(A515="","",DATE(YEAR(A515),12,31)-DATE(YEAR(A515),1,1)+1)</f>
        <v/>
      </c>
      <c r="D515">
        <f>IF(A515="","",Ввод!$B$4-SUMIF(Оплаты!$A$6:$A$505,"&lt;"&amp;A515,Оплаты!$B$6:$B$505))</f>
        <v/>
      </c>
      <c r="E515">
        <f>IF(A515="","",IF(SUMPRODUCT((Ввод!$F$12:$F$31&lt;&gt;"")*(Ввод!$F$12:$F$31&lt;=A515)*(Ввод!$G$12:$G$31&gt;=A515))&gt;0,1,0))</f>
        <v/>
      </c>
      <c r="F515">
        <f>IF(OR(A515="",B515=""),"",IF(E515=1,0,D515*B515/100/C515))</f>
        <v/>
      </c>
      <c r="G515">
        <f>IF(A515="","",IF(OR(B515&lt;&gt;B514,C515&lt;&gt;C514,D515&lt;&gt;D514,E515&lt;&gt;E514),G514+1,G514))</f>
        <v/>
      </c>
    </row>
    <row r="516">
      <c r="A516" s="14">
        <f>IF(OR(NOT(ISNUMBER(Ввод!$B$5)),NOT(ISNUMBER(Ввод!$B$6))),"",IF(Ввод!$B$5+514&gt;Ввод!$B$6,"",Ввод!$B$5+514))</f>
        <v/>
      </c>
      <c r="B516">
        <f>IF(A516="","",IFERROR(INDEX(Ввод!$B$12:$B$71,MATCH(A516,Ввод!$D$12:$D$71,1)),""))</f>
        <v/>
      </c>
      <c r="C516">
        <f>IF(A516="","",DATE(YEAR(A516),12,31)-DATE(YEAR(A516),1,1)+1)</f>
        <v/>
      </c>
      <c r="D516">
        <f>IF(A516="","",Ввод!$B$4-SUMIF(Оплаты!$A$6:$A$505,"&lt;"&amp;A516,Оплаты!$B$6:$B$505))</f>
        <v/>
      </c>
      <c r="E516">
        <f>IF(A516="","",IF(SUMPRODUCT((Ввод!$F$12:$F$31&lt;&gt;"")*(Ввод!$F$12:$F$31&lt;=A516)*(Ввод!$G$12:$G$31&gt;=A516))&gt;0,1,0))</f>
        <v/>
      </c>
      <c r="F516">
        <f>IF(OR(A516="",B516=""),"",IF(E516=1,0,D516*B516/100/C516))</f>
        <v/>
      </c>
      <c r="G516">
        <f>IF(A516="","",IF(OR(B516&lt;&gt;B515,C516&lt;&gt;C515,D516&lt;&gt;D515,E516&lt;&gt;E515),G515+1,G515))</f>
        <v/>
      </c>
    </row>
    <row r="517">
      <c r="A517" s="14">
        <f>IF(OR(NOT(ISNUMBER(Ввод!$B$5)),NOT(ISNUMBER(Ввод!$B$6))),"",IF(Ввод!$B$5+515&gt;Ввод!$B$6,"",Ввод!$B$5+515))</f>
        <v/>
      </c>
      <c r="B517">
        <f>IF(A517="","",IFERROR(INDEX(Ввод!$B$12:$B$71,MATCH(A517,Ввод!$D$12:$D$71,1)),""))</f>
        <v/>
      </c>
      <c r="C517">
        <f>IF(A517="","",DATE(YEAR(A517),12,31)-DATE(YEAR(A517),1,1)+1)</f>
        <v/>
      </c>
      <c r="D517">
        <f>IF(A517="","",Ввод!$B$4-SUMIF(Оплаты!$A$6:$A$505,"&lt;"&amp;A517,Оплаты!$B$6:$B$505))</f>
        <v/>
      </c>
      <c r="E517">
        <f>IF(A517="","",IF(SUMPRODUCT((Ввод!$F$12:$F$31&lt;&gt;"")*(Ввод!$F$12:$F$31&lt;=A517)*(Ввод!$G$12:$G$31&gt;=A517))&gt;0,1,0))</f>
        <v/>
      </c>
      <c r="F517">
        <f>IF(OR(A517="",B517=""),"",IF(E517=1,0,D517*B517/100/C517))</f>
        <v/>
      </c>
      <c r="G517">
        <f>IF(A517="","",IF(OR(B517&lt;&gt;B516,C517&lt;&gt;C516,D517&lt;&gt;D516,E517&lt;&gt;E516),G516+1,G516))</f>
        <v/>
      </c>
    </row>
    <row r="518">
      <c r="A518" s="14">
        <f>IF(OR(NOT(ISNUMBER(Ввод!$B$5)),NOT(ISNUMBER(Ввод!$B$6))),"",IF(Ввод!$B$5+516&gt;Ввод!$B$6,"",Ввод!$B$5+516))</f>
        <v/>
      </c>
      <c r="B518">
        <f>IF(A518="","",IFERROR(INDEX(Ввод!$B$12:$B$71,MATCH(A518,Ввод!$D$12:$D$71,1)),""))</f>
        <v/>
      </c>
      <c r="C518">
        <f>IF(A518="","",DATE(YEAR(A518),12,31)-DATE(YEAR(A518),1,1)+1)</f>
        <v/>
      </c>
      <c r="D518">
        <f>IF(A518="","",Ввод!$B$4-SUMIF(Оплаты!$A$6:$A$505,"&lt;"&amp;A518,Оплаты!$B$6:$B$505))</f>
        <v/>
      </c>
      <c r="E518">
        <f>IF(A518="","",IF(SUMPRODUCT((Ввод!$F$12:$F$31&lt;&gt;"")*(Ввод!$F$12:$F$31&lt;=A518)*(Ввод!$G$12:$G$31&gt;=A518))&gt;0,1,0))</f>
        <v/>
      </c>
      <c r="F518">
        <f>IF(OR(A518="",B518=""),"",IF(E518=1,0,D518*B518/100/C518))</f>
        <v/>
      </c>
      <c r="G518">
        <f>IF(A518="","",IF(OR(B518&lt;&gt;B517,C518&lt;&gt;C517,D518&lt;&gt;D517,E518&lt;&gt;E517),G517+1,G517))</f>
        <v/>
      </c>
    </row>
    <row r="519">
      <c r="A519" s="14">
        <f>IF(OR(NOT(ISNUMBER(Ввод!$B$5)),NOT(ISNUMBER(Ввод!$B$6))),"",IF(Ввод!$B$5+517&gt;Ввод!$B$6,"",Ввод!$B$5+517))</f>
        <v/>
      </c>
      <c r="B519">
        <f>IF(A519="","",IFERROR(INDEX(Ввод!$B$12:$B$71,MATCH(A519,Ввод!$D$12:$D$71,1)),""))</f>
        <v/>
      </c>
      <c r="C519">
        <f>IF(A519="","",DATE(YEAR(A519),12,31)-DATE(YEAR(A519),1,1)+1)</f>
        <v/>
      </c>
      <c r="D519">
        <f>IF(A519="","",Ввод!$B$4-SUMIF(Оплаты!$A$6:$A$505,"&lt;"&amp;A519,Оплаты!$B$6:$B$505))</f>
        <v/>
      </c>
      <c r="E519">
        <f>IF(A519="","",IF(SUMPRODUCT((Ввод!$F$12:$F$31&lt;&gt;"")*(Ввод!$F$12:$F$31&lt;=A519)*(Ввод!$G$12:$G$31&gt;=A519))&gt;0,1,0))</f>
        <v/>
      </c>
      <c r="F519">
        <f>IF(OR(A519="",B519=""),"",IF(E519=1,0,D519*B519/100/C519))</f>
        <v/>
      </c>
      <c r="G519">
        <f>IF(A519="","",IF(OR(B519&lt;&gt;B518,C519&lt;&gt;C518,D519&lt;&gt;D518,E519&lt;&gt;E518),G518+1,G518))</f>
        <v/>
      </c>
    </row>
    <row r="520">
      <c r="A520" s="14">
        <f>IF(OR(NOT(ISNUMBER(Ввод!$B$5)),NOT(ISNUMBER(Ввод!$B$6))),"",IF(Ввод!$B$5+518&gt;Ввод!$B$6,"",Ввод!$B$5+518))</f>
        <v/>
      </c>
      <c r="B520">
        <f>IF(A520="","",IFERROR(INDEX(Ввод!$B$12:$B$71,MATCH(A520,Ввод!$D$12:$D$71,1)),""))</f>
        <v/>
      </c>
      <c r="C520">
        <f>IF(A520="","",DATE(YEAR(A520),12,31)-DATE(YEAR(A520),1,1)+1)</f>
        <v/>
      </c>
      <c r="D520">
        <f>IF(A520="","",Ввод!$B$4-SUMIF(Оплаты!$A$6:$A$505,"&lt;"&amp;A520,Оплаты!$B$6:$B$505))</f>
        <v/>
      </c>
      <c r="E520">
        <f>IF(A520="","",IF(SUMPRODUCT((Ввод!$F$12:$F$31&lt;&gt;"")*(Ввод!$F$12:$F$31&lt;=A520)*(Ввод!$G$12:$G$31&gt;=A520))&gt;0,1,0))</f>
        <v/>
      </c>
      <c r="F520">
        <f>IF(OR(A520="",B520=""),"",IF(E520=1,0,D520*B520/100/C520))</f>
        <v/>
      </c>
      <c r="G520">
        <f>IF(A520="","",IF(OR(B520&lt;&gt;B519,C520&lt;&gt;C519,D520&lt;&gt;D519,E520&lt;&gt;E519),G519+1,G519))</f>
        <v/>
      </c>
    </row>
    <row r="521">
      <c r="A521" s="14">
        <f>IF(OR(NOT(ISNUMBER(Ввод!$B$5)),NOT(ISNUMBER(Ввод!$B$6))),"",IF(Ввод!$B$5+519&gt;Ввод!$B$6,"",Ввод!$B$5+519))</f>
        <v/>
      </c>
      <c r="B521">
        <f>IF(A521="","",IFERROR(INDEX(Ввод!$B$12:$B$71,MATCH(A521,Ввод!$D$12:$D$71,1)),""))</f>
        <v/>
      </c>
      <c r="C521">
        <f>IF(A521="","",DATE(YEAR(A521),12,31)-DATE(YEAR(A521),1,1)+1)</f>
        <v/>
      </c>
      <c r="D521">
        <f>IF(A521="","",Ввод!$B$4-SUMIF(Оплаты!$A$6:$A$505,"&lt;"&amp;A521,Оплаты!$B$6:$B$505))</f>
        <v/>
      </c>
      <c r="E521">
        <f>IF(A521="","",IF(SUMPRODUCT((Ввод!$F$12:$F$31&lt;&gt;"")*(Ввод!$F$12:$F$31&lt;=A521)*(Ввод!$G$12:$G$31&gt;=A521))&gt;0,1,0))</f>
        <v/>
      </c>
      <c r="F521">
        <f>IF(OR(A521="",B521=""),"",IF(E521=1,0,D521*B521/100/C521))</f>
        <v/>
      </c>
      <c r="G521">
        <f>IF(A521="","",IF(OR(B521&lt;&gt;B520,C521&lt;&gt;C520,D521&lt;&gt;D520,E521&lt;&gt;E520),G520+1,G520))</f>
        <v/>
      </c>
    </row>
    <row r="522">
      <c r="A522" s="14">
        <f>IF(OR(NOT(ISNUMBER(Ввод!$B$5)),NOT(ISNUMBER(Ввод!$B$6))),"",IF(Ввод!$B$5+520&gt;Ввод!$B$6,"",Ввод!$B$5+520))</f>
        <v/>
      </c>
      <c r="B522">
        <f>IF(A522="","",IFERROR(INDEX(Ввод!$B$12:$B$71,MATCH(A522,Ввод!$D$12:$D$71,1)),""))</f>
        <v/>
      </c>
      <c r="C522">
        <f>IF(A522="","",DATE(YEAR(A522),12,31)-DATE(YEAR(A522),1,1)+1)</f>
        <v/>
      </c>
      <c r="D522">
        <f>IF(A522="","",Ввод!$B$4-SUMIF(Оплаты!$A$6:$A$505,"&lt;"&amp;A522,Оплаты!$B$6:$B$505))</f>
        <v/>
      </c>
      <c r="E522">
        <f>IF(A522="","",IF(SUMPRODUCT((Ввод!$F$12:$F$31&lt;&gt;"")*(Ввод!$F$12:$F$31&lt;=A522)*(Ввод!$G$12:$G$31&gt;=A522))&gt;0,1,0))</f>
        <v/>
      </c>
      <c r="F522">
        <f>IF(OR(A522="",B522=""),"",IF(E522=1,0,D522*B522/100/C522))</f>
        <v/>
      </c>
      <c r="G522">
        <f>IF(A522="","",IF(OR(B522&lt;&gt;B521,C522&lt;&gt;C521,D522&lt;&gt;D521,E522&lt;&gt;E521),G521+1,G521))</f>
        <v/>
      </c>
    </row>
    <row r="523">
      <c r="A523" s="14">
        <f>IF(OR(NOT(ISNUMBER(Ввод!$B$5)),NOT(ISNUMBER(Ввод!$B$6))),"",IF(Ввод!$B$5+521&gt;Ввод!$B$6,"",Ввод!$B$5+521))</f>
        <v/>
      </c>
      <c r="B523">
        <f>IF(A523="","",IFERROR(INDEX(Ввод!$B$12:$B$71,MATCH(A523,Ввод!$D$12:$D$71,1)),""))</f>
        <v/>
      </c>
      <c r="C523">
        <f>IF(A523="","",DATE(YEAR(A523),12,31)-DATE(YEAR(A523),1,1)+1)</f>
        <v/>
      </c>
      <c r="D523">
        <f>IF(A523="","",Ввод!$B$4-SUMIF(Оплаты!$A$6:$A$505,"&lt;"&amp;A523,Оплаты!$B$6:$B$505))</f>
        <v/>
      </c>
      <c r="E523">
        <f>IF(A523="","",IF(SUMPRODUCT((Ввод!$F$12:$F$31&lt;&gt;"")*(Ввод!$F$12:$F$31&lt;=A523)*(Ввод!$G$12:$G$31&gt;=A523))&gt;0,1,0))</f>
        <v/>
      </c>
      <c r="F523">
        <f>IF(OR(A523="",B523=""),"",IF(E523=1,0,D523*B523/100/C523))</f>
        <v/>
      </c>
      <c r="G523">
        <f>IF(A523="","",IF(OR(B523&lt;&gt;B522,C523&lt;&gt;C522,D523&lt;&gt;D522,E523&lt;&gt;E522),G522+1,G522))</f>
        <v/>
      </c>
    </row>
    <row r="524">
      <c r="A524" s="14">
        <f>IF(OR(NOT(ISNUMBER(Ввод!$B$5)),NOT(ISNUMBER(Ввод!$B$6))),"",IF(Ввод!$B$5+522&gt;Ввод!$B$6,"",Ввод!$B$5+522))</f>
        <v/>
      </c>
      <c r="B524">
        <f>IF(A524="","",IFERROR(INDEX(Ввод!$B$12:$B$71,MATCH(A524,Ввод!$D$12:$D$71,1)),""))</f>
        <v/>
      </c>
      <c r="C524">
        <f>IF(A524="","",DATE(YEAR(A524),12,31)-DATE(YEAR(A524),1,1)+1)</f>
        <v/>
      </c>
      <c r="D524">
        <f>IF(A524="","",Ввод!$B$4-SUMIF(Оплаты!$A$6:$A$505,"&lt;"&amp;A524,Оплаты!$B$6:$B$505))</f>
        <v/>
      </c>
      <c r="E524">
        <f>IF(A524="","",IF(SUMPRODUCT((Ввод!$F$12:$F$31&lt;&gt;"")*(Ввод!$F$12:$F$31&lt;=A524)*(Ввод!$G$12:$G$31&gt;=A524))&gt;0,1,0))</f>
        <v/>
      </c>
      <c r="F524">
        <f>IF(OR(A524="",B524=""),"",IF(E524=1,0,D524*B524/100/C524))</f>
        <v/>
      </c>
      <c r="G524">
        <f>IF(A524="","",IF(OR(B524&lt;&gt;B523,C524&lt;&gt;C523,D524&lt;&gt;D523,E524&lt;&gt;E523),G523+1,G523))</f>
        <v/>
      </c>
    </row>
    <row r="525">
      <c r="A525" s="14">
        <f>IF(OR(NOT(ISNUMBER(Ввод!$B$5)),NOT(ISNUMBER(Ввод!$B$6))),"",IF(Ввод!$B$5+523&gt;Ввод!$B$6,"",Ввод!$B$5+523))</f>
        <v/>
      </c>
      <c r="B525">
        <f>IF(A525="","",IFERROR(INDEX(Ввод!$B$12:$B$71,MATCH(A525,Ввод!$D$12:$D$71,1)),""))</f>
        <v/>
      </c>
      <c r="C525">
        <f>IF(A525="","",DATE(YEAR(A525),12,31)-DATE(YEAR(A525),1,1)+1)</f>
        <v/>
      </c>
      <c r="D525">
        <f>IF(A525="","",Ввод!$B$4-SUMIF(Оплаты!$A$6:$A$505,"&lt;"&amp;A525,Оплаты!$B$6:$B$505))</f>
        <v/>
      </c>
      <c r="E525">
        <f>IF(A525="","",IF(SUMPRODUCT((Ввод!$F$12:$F$31&lt;&gt;"")*(Ввод!$F$12:$F$31&lt;=A525)*(Ввод!$G$12:$G$31&gt;=A525))&gt;0,1,0))</f>
        <v/>
      </c>
      <c r="F525">
        <f>IF(OR(A525="",B525=""),"",IF(E525=1,0,D525*B525/100/C525))</f>
        <v/>
      </c>
      <c r="G525">
        <f>IF(A525="","",IF(OR(B525&lt;&gt;B524,C525&lt;&gt;C524,D525&lt;&gt;D524,E525&lt;&gt;E524),G524+1,G524))</f>
        <v/>
      </c>
    </row>
    <row r="526">
      <c r="A526" s="14">
        <f>IF(OR(NOT(ISNUMBER(Ввод!$B$5)),NOT(ISNUMBER(Ввод!$B$6))),"",IF(Ввод!$B$5+524&gt;Ввод!$B$6,"",Ввод!$B$5+524))</f>
        <v/>
      </c>
      <c r="B526">
        <f>IF(A526="","",IFERROR(INDEX(Ввод!$B$12:$B$71,MATCH(A526,Ввод!$D$12:$D$71,1)),""))</f>
        <v/>
      </c>
      <c r="C526">
        <f>IF(A526="","",DATE(YEAR(A526),12,31)-DATE(YEAR(A526),1,1)+1)</f>
        <v/>
      </c>
      <c r="D526">
        <f>IF(A526="","",Ввод!$B$4-SUMIF(Оплаты!$A$6:$A$505,"&lt;"&amp;A526,Оплаты!$B$6:$B$505))</f>
        <v/>
      </c>
      <c r="E526">
        <f>IF(A526="","",IF(SUMPRODUCT((Ввод!$F$12:$F$31&lt;&gt;"")*(Ввод!$F$12:$F$31&lt;=A526)*(Ввод!$G$12:$G$31&gt;=A526))&gt;0,1,0))</f>
        <v/>
      </c>
      <c r="F526">
        <f>IF(OR(A526="",B526=""),"",IF(E526=1,0,D526*B526/100/C526))</f>
        <v/>
      </c>
      <c r="G526">
        <f>IF(A526="","",IF(OR(B526&lt;&gt;B525,C526&lt;&gt;C525,D526&lt;&gt;D525,E526&lt;&gt;E525),G525+1,G525))</f>
        <v/>
      </c>
    </row>
    <row r="527">
      <c r="A527" s="14">
        <f>IF(OR(NOT(ISNUMBER(Ввод!$B$5)),NOT(ISNUMBER(Ввод!$B$6))),"",IF(Ввод!$B$5+525&gt;Ввод!$B$6,"",Ввод!$B$5+525))</f>
        <v/>
      </c>
      <c r="B527">
        <f>IF(A527="","",IFERROR(INDEX(Ввод!$B$12:$B$71,MATCH(A527,Ввод!$D$12:$D$71,1)),""))</f>
        <v/>
      </c>
      <c r="C527">
        <f>IF(A527="","",DATE(YEAR(A527),12,31)-DATE(YEAR(A527),1,1)+1)</f>
        <v/>
      </c>
      <c r="D527">
        <f>IF(A527="","",Ввод!$B$4-SUMIF(Оплаты!$A$6:$A$505,"&lt;"&amp;A527,Оплаты!$B$6:$B$505))</f>
        <v/>
      </c>
      <c r="E527">
        <f>IF(A527="","",IF(SUMPRODUCT((Ввод!$F$12:$F$31&lt;&gt;"")*(Ввод!$F$12:$F$31&lt;=A527)*(Ввод!$G$12:$G$31&gt;=A527))&gt;0,1,0))</f>
        <v/>
      </c>
      <c r="F527">
        <f>IF(OR(A527="",B527=""),"",IF(E527=1,0,D527*B527/100/C527))</f>
        <v/>
      </c>
      <c r="G527">
        <f>IF(A527="","",IF(OR(B527&lt;&gt;B526,C527&lt;&gt;C526,D527&lt;&gt;D526,E527&lt;&gt;E526),G526+1,G526))</f>
        <v/>
      </c>
    </row>
    <row r="528">
      <c r="A528" s="14">
        <f>IF(OR(NOT(ISNUMBER(Ввод!$B$5)),NOT(ISNUMBER(Ввод!$B$6))),"",IF(Ввод!$B$5+526&gt;Ввод!$B$6,"",Ввод!$B$5+526))</f>
        <v/>
      </c>
      <c r="B528">
        <f>IF(A528="","",IFERROR(INDEX(Ввод!$B$12:$B$71,MATCH(A528,Ввод!$D$12:$D$71,1)),""))</f>
        <v/>
      </c>
      <c r="C528">
        <f>IF(A528="","",DATE(YEAR(A528),12,31)-DATE(YEAR(A528),1,1)+1)</f>
        <v/>
      </c>
      <c r="D528">
        <f>IF(A528="","",Ввод!$B$4-SUMIF(Оплаты!$A$6:$A$505,"&lt;"&amp;A528,Оплаты!$B$6:$B$505))</f>
        <v/>
      </c>
      <c r="E528">
        <f>IF(A528="","",IF(SUMPRODUCT((Ввод!$F$12:$F$31&lt;&gt;"")*(Ввод!$F$12:$F$31&lt;=A528)*(Ввод!$G$12:$G$31&gt;=A528))&gt;0,1,0))</f>
        <v/>
      </c>
      <c r="F528">
        <f>IF(OR(A528="",B528=""),"",IF(E528=1,0,D528*B528/100/C528))</f>
        <v/>
      </c>
      <c r="G528">
        <f>IF(A528="","",IF(OR(B528&lt;&gt;B527,C528&lt;&gt;C527,D528&lt;&gt;D527,E528&lt;&gt;E527),G527+1,G527))</f>
        <v/>
      </c>
    </row>
    <row r="529">
      <c r="A529" s="14">
        <f>IF(OR(NOT(ISNUMBER(Ввод!$B$5)),NOT(ISNUMBER(Ввод!$B$6))),"",IF(Ввод!$B$5+527&gt;Ввод!$B$6,"",Ввод!$B$5+527))</f>
        <v/>
      </c>
      <c r="B529">
        <f>IF(A529="","",IFERROR(INDEX(Ввод!$B$12:$B$71,MATCH(A529,Ввод!$D$12:$D$71,1)),""))</f>
        <v/>
      </c>
      <c r="C529">
        <f>IF(A529="","",DATE(YEAR(A529),12,31)-DATE(YEAR(A529),1,1)+1)</f>
        <v/>
      </c>
      <c r="D529">
        <f>IF(A529="","",Ввод!$B$4-SUMIF(Оплаты!$A$6:$A$505,"&lt;"&amp;A529,Оплаты!$B$6:$B$505))</f>
        <v/>
      </c>
      <c r="E529">
        <f>IF(A529="","",IF(SUMPRODUCT((Ввод!$F$12:$F$31&lt;&gt;"")*(Ввод!$F$12:$F$31&lt;=A529)*(Ввод!$G$12:$G$31&gt;=A529))&gt;0,1,0))</f>
        <v/>
      </c>
      <c r="F529">
        <f>IF(OR(A529="",B529=""),"",IF(E529=1,0,D529*B529/100/C529))</f>
        <v/>
      </c>
      <c r="G529">
        <f>IF(A529="","",IF(OR(B529&lt;&gt;B528,C529&lt;&gt;C528,D529&lt;&gt;D528,E529&lt;&gt;E528),G528+1,G528))</f>
        <v/>
      </c>
    </row>
    <row r="530">
      <c r="A530" s="14">
        <f>IF(OR(NOT(ISNUMBER(Ввод!$B$5)),NOT(ISNUMBER(Ввод!$B$6))),"",IF(Ввод!$B$5+528&gt;Ввод!$B$6,"",Ввод!$B$5+528))</f>
        <v/>
      </c>
      <c r="B530">
        <f>IF(A530="","",IFERROR(INDEX(Ввод!$B$12:$B$71,MATCH(A530,Ввод!$D$12:$D$71,1)),""))</f>
        <v/>
      </c>
      <c r="C530">
        <f>IF(A530="","",DATE(YEAR(A530),12,31)-DATE(YEAR(A530),1,1)+1)</f>
        <v/>
      </c>
      <c r="D530">
        <f>IF(A530="","",Ввод!$B$4-SUMIF(Оплаты!$A$6:$A$505,"&lt;"&amp;A530,Оплаты!$B$6:$B$505))</f>
        <v/>
      </c>
      <c r="E530">
        <f>IF(A530="","",IF(SUMPRODUCT((Ввод!$F$12:$F$31&lt;&gt;"")*(Ввод!$F$12:$F$31&lt;=A530)*(Ввод!$G$12:$G$31&gt;=A530))&gt;0,1,0))</f>
        <v/>
      </c>
      <c r="F530">
        <f>IF(OR(A530="",B530=""),"",IF(E530=1,0,D530*B530/100/C530))</f>
        <v/>
      </c>
      <c r="G530">
        <f>IF(A530="","",IF(OR(B530&lt;&gt;B529,C530&lt;&gt;C529,D530&lt;&gt;D529,E530&lt;&gt;E529),G529+1,G529))</f>
        <v/>
      </c>
    </row>
    <row r="531">
      <c r="A531" s="14">
        <f>IF(OR(NOT(ISNUMBER(Ввод!$B$5)),NOT(ISNUMBER(Ввод!$B$6))),"",IF(Ввод!$B$5+529&gt;Ввод!$B$6,"",Ввод!$B$5+529))</f>
        <v/>
      </c>
      <c r="B531">
        <f>IF(A531="","",IFERROR(INDEX(Ввод!$B$12:$B$71,MATCH(A531,Ввод!$D$12:$D$71,1)),""))</f>
        <v/>
      </c>
      <c r="C531">
        <f>IF(A531="","",DATE(YEAR(A531),12,31)-DATE(YEAR(A531),1,1)+1)</f>
        <v/>
      </c>
      <c r="D531">
        <f>IF(A531="","",Ввод!$B$4-SUMIF(Оплаты!$A$6:$A$505,"&lt;"&amp;A531,Оплаты!$B$6:$B$505))</f>
        <v/>
      </c>
      <c r="E531">
        <f>IF(A531="","",IF(SUMPRODUCT((Ввод!$F$12:$F$31&lt;&gt;"")*(Ввод!$F$12:$F$31&lt;=A531)*(Ввод!$G$12:$G$31&gt;=A531))&gt;0,1,0))</f>
        <v/>
      </c>
      <c r="F531">
        <f>IF(OR(A531="",B531=""),"",IF(E531=1,0,D531*B531/100/C531))</f>
        <v/>
      </c>
      <c r="G531">
        <f>IF(A531="","",IF(OR(B531&lt;&gt;B530,C531&lt;&gt;C530,D531&lt;&gt;D530,E531&lt;&gt;E530),G530+1,G530))</f>
        <v/>
      </c>
    </row>
    <row r="532">
      <c r="A532" s="14">
        <f>IF(OR(NOT(ISNUMBER(Ввод!$B$5)),NOT(ISNUMBER(Ввод!$B$6))),"",IF(Ввод!$B$5+530&gt;Ввод!$B$6,"",Ввод!$B$5+530))</f>
        <v/>
      </c>
      <c r="B532">
        <f>IF(A532="","",IFERROR(INDEX(Ввод!$B$12:$B$71,MATCH(A532,Ввод!$D$12:$D$71,1)),""))</f>
        <v/>
      </c>
      <c r="C532">
        <f>IF(A532="","",DATE(YEAR(A532),12,31)-DATE(YEAR(A532),1,1)+1)</f>
        <v/>
      </c>
      <c r="D532">
        <f>IF(A532="","",Ввод!$B$4-SUMIF(Оплаты!$A$6:$A$505,"&lt;"&amp;A532,Оплаты!$B$6:$B$505))</f>
        <v/>
      </c>
      <c r="E532">
        <f>IF(A532="","",IF(SUMPRODUCT((Ввод!$F$12:$F$31&lt;&gt;"")*(Ввод!$F$12:$F$31&lt;=A532)*(Ввод!$G$12:$G$31&gt;=A532))&gt;0,1,0))</f>
        <v/>
      </c>
      <c r="F532">
        <f>IF(OR(A532="",B532=""),"",IF(E532=1,0,D532*B532/100/C532))</f>
        <v/>
      </c>
      <c r="G532">
        <f>IF(A532="","",IF(OR(B532&lt;&gt;B531,C532&lt;&gt;C531,D532&lt;&gt;D531,E532&lt;&gt;E531),G531+1,G531))</f>
        <v/>
      </c>
    </row>
    <row r="533">
      <c r="A533" s="14">
        <f>IF(OR(NOT(ISNUMBER(Ввод!$B$5)),NOT(ISNUMBER(Ввод!$B$6))),"",IF(Ввод!$B$5+531&gt;Ввод!$B$6,"",Ввод!$B$5+531))</f>
        <v/>
      </c>
      <c r="B533">
        <f>IF(A533="","",IFERROR(INDEX(Ввод!$B$12:$B$71,MATCH(A533,Ввод!$D$12:$D$71,1)),""))</f>
        <v/>
      </c>
      <c r="C533">
        <f>IF(A533="","",DATE(YEAR(A533),12,31)-DATE(YEAR(A533),1,1)+1)</f>
        <v/>
      </c>
      <c r="D533">
        <f>IF(A533="","",Ввод!$B$4-SUMIF(Оплаты!$A$6:$A$505,"&lt;"&amp;A533,Оплаты!$B$6:$B$505))</f>
        <v/>
      </c>
      <c r="E533">
        <f>IF(A533="","",IF(SUMPRODUCT((Ввод!$F$12:$F$31&lt;&gt;"")*(Ввод!$F$12:$F$31&lt;=A533)*(Ввод!$G$12:$G$31&gt;=A533))&gt;0,1,0))</f>
        <v/>
      </c>
      <c r="F533">
        <f>IF(OR(A533="",B533=""),"",IF(E533=1,0,D533*B533/100/C533))</f>
        <v/>
      </c>
      <c r="G533">
        <f>IF(A533="","",IF(OR(B533&lt;&gt;B532,C533&lt;&gt;C532,D533&lt;&gt;D532,E533&lt;&gt;E532),G532+1,G532))</f>
        <v/>
      </c>
    </row>
    <row r="534">
      <c r="A534" s="14">
        <f>IF(OR(NOT(ISNUMBER(Ввод!$B$5)),NOT(ISNUMBER(Ввод!$B$6))),"",IF(Ввод!$B$5+532&gt;Ввод!$B$6,"",Ввод!$B$5+532))</f>
        <v/>
      </c>
      <c r="B534">
        <f>IF(A534="","",IFERROR(INDEX(Ввод!$B$12:$B$71,MATCH(A534,Ввод!$D$12:$D$71,1)),""))</f>
        <v/>
      </c>
      <c r="C534">
        <f>IF(A534="","",DATE(YEAR(A534),12,31)-DATE(YEAR(A534),1,1)+1)</f>
        <v/>
      </c>
      <c r="D534">
        <f>IF(A534="","",Ввод!$B$4-SUMIF(Оплаты!$A$6:$A$505,"&lt;"&amp;A534,Оплаты!$B$6:$B$505))</f>
        <v/>
      </c>
      <c r="E534">
        <f>IF(A534="","",IF(SUMPRODUCT((Ввод!$F$12:$F$31&lt;&gt;"")*(Ввод!$F$12:$F$31&lt;=A534)*(Ввод!$G$12:$G$31&gt;=A534))&gt;0,1,0))</f>
        <v/>
      </c>
      <c r="F534">
        <f>IF(OR(A534="",B534=""),"",IF(E534=1,0,D534*B534/100/C534))</f>
        <v/>
      </c>
      <c r="G534">
        <f>IF(A534="","",IF(OR(B534&lt;&gt;B533,C534&lt;&gt;C533,D534&lt;&gt;D533,E534&lt;&gt;E533),G533+1,G533))</f>
        <v/>
      </c>
    </row>
    <row r="535">
      <c r="A535" s="14">
        <f>IF(OR(NOT(ISNUMBER(Ввод!$B$5)),NOT(ISNUMBER(Ввод!$B$6))),"",IF(Ввод!$B$5+533&gt;Ввод!$B$6,"",Ввод!$B$5+533))</f>
        <v/>
      </c>
      <c r="B535">
        <f>IF(A535="","",IFERROR(INDEX(Ввод!$B$12:$B$71,MATCH(A535,Ввод!$D$12:$D$71,1)),""))</f>
        <v/>
      </c>
      <c r="C535">
        <f>IF(A535="","",DATE(YEAR(A535),12,31)-DATE(YEAR(A535),1,1)+1)</f>
        <v/>
      </c>
      <c r="D535">
        <f>IF(A535="","",Ввод!$B$4-SUMIF(Оплаты!$A$6:$A$505,"&lt;"&amp;A535,Оплаты!$B$6:$B$505))</f>
        <v/>
      </c>
      <c r="E535">
        <f>IF(A535="","",IF(SUMPRODUCT((Ввод!$F$12:$F$31&lt;&gt;"")*(Ввод!$F$12:$F$31&lt;=A535)*(Ввод!$G$12:$G$31&gt;=A535))&gt;0,1,0))</f>
        <v/>
      </c>
      <c r="F535">
        <f>IF(OR(A535="",B535=""),"",IF(E535=1,0,D535*B535/100/C535))</f>
        <v/>
      </c>
      <c r="G535">
        <f>IF(A535="","",IF(OR(B535&lt;&gt;B534,C535&lt;&gt;C534,D535&lt;&gt;D534,E535&lt;&gt;E534),G534+1,G534))</f>
        <v/>
      </c>
    </row>
    <row r="536">
      <c r="A536" s="14">
        <f>IF(OR(NOT(ISNUMBER(Ввод!$B$5)),NOT(ISNUMBER(Ввод!$B$6))),"",IF(Ввод!$B$5+534&gt;Ввод!$B$6,"",Ввод!$B$5+534))</f>
        <v/>
      </c>
      <c r="B536">
        <f>IF(A536="","",IFERROR(INDEX(Ввод!$B$12:$B$71,MATCH(A536,Ввод!$D$12:$D$71,1)),""))</f>
        <v/>
      </c>
      <c r="C536">
        <f>IF(A536="","",DATE(YEAR(A536),12,31)-DATE(YEAR(A536),1,1)+1)</f>
        <v/>
      </c>
      <c r="D536">
        <f>IF(A536="","",Ввод!$B$4-SUMIF(Оплаты!$A$6:$A$505,"&lt;"&amp;A536,Оплаты!$B$6:$B$505))</f>
        <v/>
      </c>
      <c r="E536">
        <f>IF(A536="","",IF(SUMPRODUCT((Ввод!$F$12:$F$31&lt;&gt;"")*(Ввод!$F$12:$F$31&lt;=A536)*(Ввод!$G$12:$G$31&gt;=A536))&gt;0,1,0))</f>
        <v/>
      </c>
      <c r="F536">
        <f>IF(OR(A536="",B536=""),"",IF(E536=1,0,D536*B536/100/C536))</f>
        <v/>
      </c>
      <c r="G536">
        <f>IF(A536="","",IF(OR(B536&lt;&gt;B535,C536&lt;&gt;C535,D536&lt;&gt;D535,E536&lt;&gt;E535),G535+1,G535))</f>
        <v/>
      </c>
    </row>
    <row r="537">
      <c r="A537" s="14">
        <f>IF(OR(NOT(ISNUMBER(Ввод!$B$5)),NOT(ISNUMBER(Ввод!$B$6))),"",IF(Ввод!$B$5+535&gt;Ввод!$B$6,"",Ввод!$B$5+535))</f>
        <v/>
      </c>
      <c r="B537">
        <f>IF(A537="","",IFERROR(INDEX(Ввод!$B$12:$B$71,MATCH(A537,Ввод!$D$12:$D$71,1)),""))</f>
        <v/>
      </c>
      <c r="C537">
        <f>IF(A537="","",DATE(YEAR(A537),12,31)-DATE(YEAR(A537),1,1)+1)</f>
        <v/>
      </c>
      <c r="D537">
        <f>IF(A537="","",Ввод!$B$4-SUMIF(Оплаты!$A$6:$A$505,"&lt;"&amp;A537,Оплаты!$B$6:$B$505))</f>
        <v/>
      </c>
      <c r="E537">
        <f>IF(A537="","",IF(SUMPRODUCT((Ввод!$F$12:$F$31&lt;&gt;"")*(Ввод!$F$12:$F$31&lt;=A537)*(Ввод!$G$12:$G$31&gt;=A537))&gt;0,1,0))</f>
        <v/>
      </c>
      <c r="F537">
        <f>IF(OR(A537="",B537=""),"",IF(E537=1,0,D537*B537/100/C537))</f>
        <v/>
      </c>
      <c r="G537">
        <f>IF(A537="","",IF(OR(B537&lt;&gt;B536,C537&lt;&gt;C536,D537&lt;&gt;D536,E537&lt;&gt;E536),G536+1,G536))</f>
        <v/>
      </c>
    </row>
    <row r="538">
      <c r="A538" s="14">
        <f>IF(OR(NOT(ISNUMBER(Ввод!$B$5)),NOT(ISNUMBER(Ввод!$B$6))),"",IF(Ввод!$B$5+536&gt;Ввод!$B$6,"",Ввод!$B$5+536))</f>
        <v/>
      </c>
      <c r="B538">
        <f>IF(A538="","",IFERROR(INDEX(Ввод!$B$12:$B$71,MATCH(A538,Ввод!$D$12:$D$71,1)),""))</f>
        <v/>
      </c>
      <c r="C538">
        <f>IF(A538="","",DATE(YEAR(A538),12,31)-DATE(YEAR(A538),1,1)+1)</f>
        <v/>
      </c>
      <c r="D538">
        <f>IF(A538="","",Ввод!$B$4-SUMIF(Оплаты!$A$6:$A$505,"&lt;"&amp;A538,Оплаты!$B$6:$B$505))</f>
        <v/>
      </c>
      <c r="E538">
        <f>IF(A538="","",IF(SUMPRODUCT((Ввод!$F$12:$F$31&lt;&gt;"")*(Ввод!$F$12:$F$31&lt;=A538)*(Ввод!$G$12:$G$31&gt;=A538))&gt;0,1,0))</f>
        <v/>
      </c>
      <c r="F538">
        <f>IF(OR(A538="",B538=""),"",IF(E538=1,0,D538*B538/100/C538))</f>
        <v/>
      </c>
      <c r="G538">
        <f>IF(A538="","",IF(OR(B538&lt;&gt;B537,C538&lt;&gt;C537,D538&lt;&gt;D537,E538&lt;&gt;E537),G537+1,G537))</f>
        <v/>
      </c>
    </row>
    <row r="539">
      <c r="A539" s="14">
        <f>IF(OR(NOT(ISNUMBER(Ввод!$B$5)),NOT(ISNUMBER(Ввод!$B$6))),"",IF(Ввод!$B$5+537&gt;Ввод!$B$6,"",Ввод!$B$5+537))</f>
        <v/>
      </c>
      <c r="B539">
        <f>IF(A539="","",IFERROR(INDEX(Ввод!$B$12:$B$71,MATCH(A539,Ввод!$D$12:$D$71,1)),""))</f>
        <v/>
      </c>
      <c r="C539">
        <f>IF(A539="","",DATE(YEAR(A539),12,31)-DATE(YEAR(A539),1,1)+1)</f>
        <v/>
      </c>
      <c r="D539">
        <f>IF(A539="","",Ввод!$B$4-SUMIF(Оплаты!$A$6:$A$505,"&lt;"&amp;A539,Оплаты!$B$6:$B$505))</f>
        <v/>
      </c>
      <c r="E539">
        <f>IF(A539="","",IF(SUMPRODUCT((Ввод!$F$12:$F$31&lt;&gt;"")*(Ввод!$F$12:$F$31&lt;=A539)*(Ввод!$G$12:$G$31&gt;=A539))&gt;0,1,0))</f>
        <v/>
      </c>
      <c r="F539">
        <f>IF(OR(A539="",B539=""),"",IF(E539=1,0,D539*B539/100/C539))</f>
        <v/>
      </c>
      <c r="G539">
        <f>IF(A539="","",IF(OR(B539&lt;&gt;B538,C539&lt;&gt;C538,D539&lt;&gt;D538,E539&lt;&gt;E538),G538+1,G538))</f>
        <v/>
      </c>
    </row>
    <row r="540">
      <c r="A540" s="14">
        <f>IF(OR(NOT(ISNUMBER(Ввод!$B$5)),NOT(ISNUMBER(Ввод!$B$6))),"",IF(Ввод!$B$5+538&gt;Ввод!$B$6,"",Ввод!$B$5+538))</f>
        <v/>
      </c>
      <c r="B540">
        <f>IF(A540="","",IFERROR(INDEX(Ввод!$B$12:$B$71,MATCH(A540,Ввод!$D$12:$D$71,1)),""))</f>
        <v/>
      </c>
      <c r="C540">
        <f>IF(A540="","",DATE(YEAR(A540),12,31)-DATE(YEAR(A540),1,1)+1)</f>
        <v/>
      </c>
      <c r="D540">
        <f>IF(A540="","",Ввод!$B$4-SUMIF(Оплаты!$A$6:$A$505,"&lt;"&amp;A540,Оплаты!$B$6:$B$505))</f>
        <v/>
      </c>
      <c r="E540">
        <f>IF(A540="","",IF(SUMPRODUCT((Ввод!$F$12:$F$31&lt;&gt;"")*(Ввод!$F$12:$F$31&lt;=A540)*(Ввод!$G$12:$G$31&gt;=A540))&gt;0,1,0))</f>
        <v/>
      </c>
      <c r="F540">
        <f>IF(OR(A540="",B540=""),"",IF(E540=1,0,D540*B540/100/C540))</f>
        <v/>
      </c>
      <c r="G540">
        <f>IF(A540="","",IF(OR(B540&lt;&gt;B539,C540&lt;&gt;C539,D540&lt;&gt;D539,E540&lt;&gt;E539),G539+1,G539))</f>
        <v/>
      </c>
    </row>
    <row r="541">
      <c r="A541" s="14">
        <f>IF(OR(NOT(ISNUMBER(Ввод!$B$5)),NOT(ISNUMBER(Ввод!$B$6))),"",IF(Ввод!$B$5+539&gt;Ввод!$B$6,"",Ввод!$B$5+539))</f>
        <v/>
      </c>
      <c r="B541">
        <f>IF(A541="","",IFERROR(INDEX(Ввод!$B$12:$B$71,MATCH(A541,Ввод!$D$12:$D$71,1)),""))</f>
        <v/>
      </c>
      <c r="C541">
        <f>IF(A541="","",DATE(YEAR(A541),12,31)-DATE(YEAR(A541),1,1)+1)</f>
        <v/>
      </c>
      <c r="D541">
        <f>IF(A541="","",Ввод!$B$4-SUMIF(Оплаты!$A$6:$A$505,"&lt;"&amp;A541,Оплаты!$B$6:$B$505))</f>
        <v/>
      </c>
      <c r="E541">
        <f>IF(A541="","",IF(SUMPRODUCT((Ввод!$F$12:$F$31&lt;&gt;"")*(Ввод!$F$12:$F$31&lt;=A541)*(Ввод!$G$12:$G$31&gt;=A541))&gt;0,1,0))</f>
        <v/>
      </c>
      <c r="F541">
        <f>IF(OR(A541="",B541=""),"",IF(E541=1,0,D541*B541/100/C541))</f>
        <v/>
      </c>
      <c r="G541">
        <f>IF(A541="","",IF(OR(B541&lt;&gt;B540,C541&lt;&gt;C540,D541&lt;&gt;D540,E541&lt;&gt;E540),G540+1,G540))</f>
        <v/>
      </c>
    </row>
    <row r="542">
      <c r="A542" s="14">
        <f>IF(OR(NOT(ISNUMBER(Ввод!$B$5)),NOT(ISNUMBER(Ввод!$B$6))),"",IF(Ввод!$B$5+540&gt;Ввод!$B$6,"",Ввод!$B$5+540))</f>
        <v/>
      </c>
      <c r="B542">
        <f>IF(A542="","",IFERROR(INDEX(Ввод!$B$12:$B$71,MATCH(A542,Ввод!$D$12:$D$71,1)),""))</f>
        <v/>
      </c>
      <c r="C542">
        <f>IF(A542="","",DATE(YEAR(A542),12,31)-DATE(YEAR(A542),1,1)+1)</f>
        <v/>
      </c>
      <c r="D542">
        <f>IF(A542="","",Ввод!$B$4-SUMIF(Оплаты!$A$6:$A$505,"&lt;"&amp;A542,Оплаты!$B$6:$B$505))</f>
        <v/>
      </c>
      <c r="E542">
        <f>IF(A542="","",IF(SUMPRODUCT((Ввод!$F$12:$F$31&lt;&gt;"")*(Ввод!$F$12:$F$31&lt;=A542)*(Ввод!$G$12:$G$31&gt;=A542))&gt;0,1,0))</f>
        <v/>
      </c>
      <c r="F542">
        <f>IF(OR(A542="",B542=""),"",IF(E542=1,0,D542*B542/100/C542))</f>
        <v/>
      </c>
      <c r="G542">
        <f>IF(A542="","",IF(OR(B542&lt;&gt;B541,C542&lt;&gt;C541,D542&lt;&gt;D541,E542&lt;&gt;E541),G541+1,G541))</f>
        <v/>
      </c>
    </row>
    <row r="543">
      <c r="A543" s="14">
        <f>IF(OR(NOT(ISNUMBER(Ввод!$B$5)),NOT(ISNUMBER(Ввод!$B$6))),"",IF(Ввод!$B$5+541&gt;Ввод!$B$6,"",Ввод!$B$5+541))</f>
        <v/>
      </c>
      <c r="B543">
        <f>IF(A543="","",IFERROR(INDEX(Ввод!$B$12:$B$71,MATCH(A543,Ввод!$D$12:$D$71,1)),""))</f>
        <v/>
      </c>
      <c r="C543">
        <f>IF(A543="","",DATE(YEAR(A543),12,31)-DATE(YEAR(A543),1,1)+1)</f>
        <v/>
      </c>
      <c r="D543">
        <f>IF(A543="","",Ввод!$B$4-SUMIF(Оплаты!$A$6:$A$505,"&lt;"&amp;A543,Оплаты!$B$6:$B$505))</f>
        <v/>
      </c>
      <c r="E543">
        <f>IF(A543="","",IF(SUMPRODUCT((Ввод!$F$12:$F$31&lt;&gt;"")*(Ввод!$F$12:$F$31&lt;=A543)*(Ввод!$G$12:$G$31&gt;=A543))&gt;0,1,0))</f>
        <v/>
      </c>
      <c r="F543">
        <f>IF(OR(A543="",B543=""),"",IF(E543=1,0,D543*B543/100/C543))</f>
        <v/>
      </c>
      <c r="G543">
        <f>IF(A543="","",IF(OR(B543&lt;&gt;B542,C543&lt;&gt;C542,D543&lt;&gt;D542,E543&lt;&gt;E542),G542+1,G542))</f>
        <v/>
      </c>
    </row>
    <row r="544">
      <c r="A544" s="14">
        <f>IF(OR(NOT(ISNUMBER(Ввод!$B$5)),NOT(ISNUMBER(Ввод!$B$6))),"",IF(Ввод!$B$5+542&gt;Ввод!$B$6,"",Ввод!$B$5+542))</f>
        <v/>
      </c>
      <c r="B544">
        <f>IF(A544="","",IFERROR(INDEX(Ввод!$B$12:$B$71,MATCH(A544,Ввод!$D$12:$D$71,1)),""))</f>
        <v/>
      </c>
      <c r="C544">
        <f>IF(A544="","",DATE(YEAR(A544),12,31)-DATE(YEAR(A544),1,1)+1)</f>
        <v/>
      </c>
      <c r="D544">
        <f>IF(A544="","",Ввод!$B$4-SUMIF(Оплаты!$A$6:$A$505,"&lt;"&amp;A544,Оплаты!$B$6:$B$505))</f>
        <v/>
      </c>
      <c r="E544">
        <f>IF(A544="","",IF(SUMPRODUCT((Ввод!$F$12:$F$31&lt;&gt;"")*(Ввод!$F$12:$F$31&lt;=A544)*(Ввод!$G$12:$G$31&gt;=A544))&gt;0,1,0))</f>
        <v/>
      </c>
      <c r="F544">
        <f>IF(OR(A544="",B544=""),"",IF(E544=1,0,D544*B544/100/C544))</f>
        <v/>
      </c>
      <c r="G544">
        <f>IF(A544="","",IF(OR(B544&lt;&gt;B543,C544&lt;&gt;C543,D544&lt;&gt;D543,E544&lt;&gt;E543),G543+1,G543))</f>
        <v/>
      </c>
    </row>
    <row r="545">
      <c r="A545" s="14">
        <f>IF(OR(NOT(ISNUMBER(Ввод!$B$5)),NOT(ISNUMBER(Ввод!$B$6))),"",IF(Ввод!$B$5+543&gt;Ввод!$B$6,"",Ввод!$B$5+543))</f>
        <v/>
      </c>
      <c r="B545">
        <f>IF(A545="","",IFERROR(INDEX(Ввод!$B$12:$B$71,MATCH(A545,Ввод!$D$12:$D$71,1)),""))</f>
        <v/>
      </c>
      <c r="C545">
        <f>IF(A545="","",DATE(YEAR(A545),12,31)-DATE(YEAR(A545),1,1)+1)</f>
        <v/>
      </c>
      <c r="D545">
        <f>IF(A545="","",Ввод!$B$4-SUMIF(Оплаты!$A$6:$A$505,"&lt;"&amp;A545,Оплаты!$B$6:$B$505))</f>
        <v/>
      </c>
      <c r="E545">
        <f>IF(A545="","",IF(SUMPRODUCT((Ввод!$F$12:$F$31&lt;&gt;"")*(Ввод!$F$12:$F$31&lt;=A545)*(Ввод!$G$12:$G$31&gt;=A545))&gt;0,1,0))</f>
        <v/>
      </c>
      <c r="F545">
        <f>IF(OR(A545="",B545=""),"",IF(E545=1,0,D545*B545/100/C545))</f>
        <v/>
      </c>
      <c r="G545">
        <f>IF(A545="","",IF(OR(B545&lt;&gt;B544,C545&lt;&gt;C544,D545&lt;&gt;D544,E545&lt;&gt;E544),G544+1,G544))</f>
        <v/>
      </c>
    </row>
    <row r="546">
      <c r="A546" s="14">
        <f>IF(OR(NOT(ISNUMBER(Ввод!$B$5)),NOT(ISNUMBER(Ввод!$B$6))),"",IF(Ввод!$B$5+544&gt;Ввод!$B$6,"",Ввод!$B$5+544))</f>
        <v/>
      </c>
      <c r="B546">
        <f>IF(A546="","",IFERROR(INDEX(Ввод!$B$12:$B$71,MATCH(A546,Ввод!$D$12:$D$71,1)),""))</f>
        <v/>
      </c>
      <c r="C546">
        <f>IF(A546="","",DATE(YEAR(A546),12,31)-DATE(YEAR(A546),1,1)+1)</f>
        <v/>
      </c>
      <c r="D546">
        <f>IF(A546="","",Ввод!$B$4-SUMIF(Оплаты!$A$6:$A$505,"&lt;"&amp;A546,Оплаты!$B$6:$B$505))</f>
        <v/>
      </c>
      <c r="E546">
        <f>IF(A546="","",IF(SUMPRODUCT((Ввод!$F$12:$F$31&lt;&gt;"")*(Ввод!$F$12:$F$31&lt;=A546)*(Ввод!$G$12:$G$31&gt;=A546))&gt;0,1,0))</f>
        <v/>
      </c>
      <c r="F546">
        <f>IF(OR(A546="",B546=""),"",IF(E546=1,0,D546*B546/100/C546))</f>
        <v/>
      </c>
      <c r="G546">
        <f>IF(A546="","",IF(OR(B546&lt;&gt;B545,C546&lt;&gt;C545,D546&lt;&gt;D545,E546&lt;&gt;E545),G545+1,G545))</f>
        <v/>
      </c>
    </row>
    <row r="547">
      <c r="A547" s="14">
        <f>IF(OR(NOT(ISNUMBER(Ввод!$B$5)),NOT(ISNUMBER(Ввод!$B$6))),"",IF(Ввод!$B$5+545&gt;Ввод!$B$6,"",Ввод!$B$5+545))</f>
        <v/>
      </c>
      <c r="B547">
        <f>IF(A547="","",IFERROR(INDEX(Ввод!$B$12:$B$71,MATCH(A547,Ввод!$D$12:$D$71,1)),""))</f>
        <v/>
      </c>
      <c r="C547">
        <f>IF(A547="","",DATE(YEAR(A547),12,31)-DATE(YEAR(A547),1,1)+1)</f>
        <v/>
      </c>
      <c r="D547">
        <f>IF(A547="","",Ввод!$B$4-SUMIF(Оплаты!$A$6:$A$505,"&lt;"&amp;A547,Оплаты!$B$6:$B$505))</f>
        <v/>
      </c>
      <c r="E547">
        <f>IF(A547="","",IF(SUMPRODUCT((Ввод!$F$12:$F$31&lt;&gt;"")*(Ввод!$F$12:$F$31&lt;=A547)*(Ввод!$G$12:$G$31&gt;=A547))&gt;0,1,0))</f>
        <v/>
      </c>
      <c r="F547">
        <f>IF(OR(A547="",B547=""),"",IF(E547=1,0,D547*B547/100/C547))</f>
        <v/>
      </c>
      <c r="G547">
        <f>IF(A547="","",IF(OR(B547&lt;&gt;B546,C547&lt;&gt;C546,D547&lt;&gt;D546,E547&lt;&gt;E546),G546+1,G546))</f>
        <v/>
      </c>
    </row>
    <row r="548">
      <c r="A548" s="14">
        <f>IF(OR(NOT(ISNUMBER(Ввод!$B$5)),NOT(ISNUMBER(Ввод!$B$6))),"",IF(Ввод!$B$5+546&gt;Ввод!$B$6,"",Ввод!$B$5+546))</f>
        <v/>
      </c>
      <c r="B548">
        <f>IF(A548="","",IFERROR(INDEX(Ввод!$B$12:$B$71,MATCH(A548,Ввод!$D$12:$D$71,1)),""))</f>
        <v/>
      </c>
      <c r="C548">
        <f>IF(A548="","",DATE(YEAR(A548),12,31)-DATE(YEAR(A548),1,1)+1)</f>
        <v/>
      </c>
      <c r="D548">
        <f>IF(A548="","",Ввод!$B$4-SUMIF(Оплаты!$A$6:$A$505,"&lt;"&amp;A548,Оплаты!$B$6:$B$505))</f>
        <v/>
      </c>
      <c r="E548">
        <f>IF(A548="","",IF(SUMPRODUCT((Ввод!$F$12:$F$31&lt;&gt;"")*(Ввод!$F$12:$F$31&lt;=A548)*(Ввод!$G$12:$G$31&gt;=A548))&gt;0,1,0))</f>
        <v/>
      </c>
      <c r="F548">
        <f>IF(OR(A548="",B548=""),"",IF(E548=1,0,D548*B548/100/C548))</f>
        <v/>
      </c>
      <c r="G548">
        <f>IF(A548="","",IF(OR(B548&lt;&gt;B547,C548&lt;&gt;C547,D548&lt;&gt;D547,E548&lt;&gt;E547),G547+1,G547))</f>
        <v/>
      </c>
    </row>
    <row r="549">
      <c r="A549" s="14">
        <f>IF(OR(NOT(ISNUMBER(Ввод!$B$5)),NOT(ISNUMBER(Ввод!$B$6))),"",IF(Ввод!$B$5+547&gt;Ввод!$B$6,"",Ввод!$B$5+547))</f>
        <v/>
      </c>
      <c r="B549">
        <f>IF(A549="","",IFERROR(INDEX(Ввод!$B$12:$B$71,MATCH(A549,Ввод!$D$12:$D$71,1)),""))</f>
        <v/>
      </c>
      <c r="C549">
        <f>IF(A549="","",DATE(YEAR(A549),12,31)-DATE(YEAR(A549),1,1)+1)</f>
        <v/>
      </c>
      <c r="D549">
        <f>IF(A549="","",Ввод!$B$4-SUMIF(Оплаты!$A$6:$A$505,"&lt;"&amp;A549,Оплаты!$B$6:$B$505))</f>
        <v/>
      </c>
      <c r="E549">
        <f>IF(A549="","",IF(SUMPRODUCT((Ввод!$F$12:$F$31&lt;&gt;"")*(Ввод!$F$12:$F$31&lt;=A549)*(Ввод!$G$12:$G$31&gt;=A549))&gt;0,1,0))</f>
        <v/>
      </c>
      <c r="F549">
        <f>IF(OR(A549="",B549=""),"",IF(E549=1,0,D549*B549/100/C549))</f>
        <v/>
      </c>
      <c r="G549">
        <f>IF(A549="","",IF(OR(B549&lt;&gt;B548,C549&lt;&gt;C548,D549&lt;&gt;D548,E549&lt;&gt;E548),G548+1,G548))</f>
        <v/>
      </c>
    </row>
    <row r="550">
      <c r="A550" s="14">
        <f>IF(OR(NOT(ISNUMBER(Ввод!$B$5)),NOT(ISNUMBER(Ввод!$B$6))),"",IF(Ввод!$B$5+548&gt;Ввод!$B$6,"",Ввод!$B$5+548))</f>
        <v/>
      </c>
      <c r="B550">
        <f>IF(A550="","",IFERROR(INDEX(Ввод!$B$12:$B$71,MATCH(A550,Ввод!$D$12:$D$71,1)),""))</f>
        <v/>
      </c>
      <c r="C550">
        <f>IF(A550="","",DATE(YEAR(A550),12,31)-DATE(YEAR(A550),1,1)+1)</f>
        <v/>
      </c>
      <c r="D550">
        <f>IF(A550="","",Ввод!$B$4-SUMIF(Оплаты!$A$6:$A$505,"&lt;"&amp;A550,Оплаты!$B$6:$B$505))</f>
        <v/>
      </c>
      <c r="E550">
        <f>IF(A550="","",IF(SUMPRODUCT((Ввод!$F$12:$F$31&lt;&gt;"")*(Ввод!$F$12:$F$31&lt;=A550)*(Ввод!$G$12:$G$31&gt;=A550))&gt;0,1,0))</f>
        <v/>
      </c>
      <c r="F550">
        <f>IF(OR(A550="",B550=""),"",IF(E550=1,0,D550*B550/100/C550))</f>
        <v/>
      </c>
      <c r="G550">
        <f>IF(A550="","",IF(OR(B550&lt;&gt;B549,C550&lt;&gt;C549,D550&lt;&gt;D549,E550&lt;&gt;E549),G549+1,G549))</f>
        <v/>
      </c>
    </row>
    <row r="551">
      <c r="A551" s="14">
        <f>IF(OR(NOT(ISNUMBER(Ввод!$B$5)),NOT(ISNUMBER(Ввод!$B$6))),"",IF(Ввод!$B$5+549&gt;Ввод!$B$6,"",Ввод!$B$5+549))</f>
        <v/>
      </c>
      <c r="B551">
        <f>IF(A551="","",IFERROR(INDEX(Ввод!$B$12:$B$71,MATCH(A551,Ввод!$D$12:$D$71,1)),""))</f>
        <v/>
      </c>
      <c r="C551">
        <f>IF(A551="","",DATE(YEAR(A551),12,31)-DATE(YEAR(A551),1,1)+1)</f>
        <v/>
      </c>
      <c r="D551">
        <f>IF(A551="","",Ввод!$B$4-SUMIF(Оплаты!$A$6:$A$505,"&lt;"&amp;A551,Оплаты!$B$6:$B$505))</f>
        <v/>
      </c>
      <c r="E551">
        <f>IF(A551="","",IF(SUMPRODUCT((Ввод!$F$12:$F$31&lt;&gt;"")*(Ввод!$F$12:$F$31&lt;=A551)*(Ввод!$G$12:$G$31&gt;=A551))&gt;0,1,0))</f>
        <v/>
      </c>
      <c r="F551">
        <f>IF(OR(A551="",B551=""),"",IF(E551=1,0,D551*B551/100/C551))</f>
        <v/>
      </c>
      <c r="G551">
        <f>IF(A551="","",IF(OR(B551&lt;&gt;B550,C551&lt;&gt;C550,D551&lt;&gt;D550,E551&lt;&gt;E550),G550+1,G550))</f>
        <v/>
      </c>
    </row>
    <row r="552">
      <c r="A552" s="14">
        <f>IF(OR(NOT(ISNUMBER(Ввод!$B$5)),NOT(ISNUMBER(Ввод!$B$6))),"",IF(Ввод!$B$5+550&gt;Ввод!$B$6,"",Ввод!$B$5+550))</f>
        <v/>
      </c>
      <c r="B552">
        <f>IF(A552="","",IFERROR(INDEX(Ввод!$B$12:$B$71,MATCH(A552,Ввод!$D$12:$D$71,1)),""))</f>
        <v/>
      </c>
      <c r="C552">
        <f>IF(A552="","",DATE(YEAR(A552),12,31)-DATE(YEAR(A552),1,1)+1)</f>
        <v/>
      </c>
      <c r="D552">
        <f>IF(A552="","",Ввод!$B$4-SUMIF(Оплаты!$A$6:$A$505,"&lt;"&amp;A552,Оплаты!$B$6:$B$505))</f>
        <v/>
      </c>
      <c r="E552">
        <f>IF(A552="","",IF(SUMPRODUCT((Ввод!$F$12:$F$31&lt;&gt;"")*(Ввод!$F$12:$F$31&lt;=A552)*(Ввод!$G$12:$G$31&gt;=A552))&gt;0,1,0))</f>
        <v/>
      </c>
      <c r="F552">
        <f>IF(OR(A552="",B552=""),"",IF(E552=1,0,D552*B552/100/C552))</f>
        <v/>
      </c>
      <c r="G552">
        <f>IF(A552="","",IF(OR(B552&lt;&gt;B551,C552&lt;&gt;C551,D552&lt;&gt;D551,E552&lt;&gt;E551),G551+1,G551))</f>
        <v/>
      </c>
    </row>
    <row r="553">
      <c r="A553" s="14">
        <f>IF(OR(NOT(ISNUMBER(Ввод!$B$5)),NOT(ISNUMBER(Ввод!$B$6))),"",IF(Ввод!$B$5+551&gt;Ввод!$B$6,"",Ввод!$B$5+551))</f>
        <v/>
      </c>
      <c r="B553">
        <f>IF(A553="","",IFERROR(INDEX(Ввод!$B$12:$B$71,MATCH(A553,Ввод!$D$12:$D$71,1)),""))</f>
        <v/>
      </c>
      <c r="C553">
        <f>IF(A553="","",DATE(YEAR(A553),12,31)-DATE(YEAR(A553),1,1)+1)</f>
        <v/>
      </c>
      <c r="D553">
        <f>IF(A553="","",Ввод!$B$4-SUMIF(Оплаты!$A$6:$A$505,"&lt;"&amp;A553,Оплаты!$B$6:$B$505))</f>
        <v/>
      </c>
      <c r="E553">
        <f>IF(A553="","",IF(SUMPRODUCT((Ввод!$F$12:$F$31&lt;&gt;"")*(Ввод!$F$12:$F$31&lt;=A553)*(Ввод!$G$12:$G$31&gt;=A553))&gt;0,1,0))</f>
        <v/>
      </c>
      <c r="F553">
        <f>IF(OR(A553="",B553=""),"",IF(E553=1,0,D553*B553/100/C553))</f>
        <v/>
      </c>
      <c r="G553">
        <f>IF(A553="","",IF(OR(B553&lt;&gt;B552,C553&lt;&gt;C552,D553&lt;&gt;D552,E553&lt;&gt;E552),G552+1,G552))</f>
        <v/>
      </c>
    </row>
    <row r="554">
      <c r="A554" s="14">
        <f>IF(OR(NOT(ISNUMBER(Ввод!$B$5)),NOT(ISNUMBER(Ввод!$B$6))),"",IF(Ввод!$B$5+552&gt;Ввод!$B$6,"",Ввод!$B$5+552))</f>
        <v/>
      </c>
      <c r="B554">
        <f>IF(A554="","",IFERROR(INDEX(Ввод!$B$12:$B$71,MATCH(A554,Ввод!$D$12:$D$71,1)),""))</f>
        <v/>
      </c>
      <c r="C554">
        <f>IF(A554="","",DATE(YEAR(A554),12,31)-DATE(YEAR(A554),1,1)+1)</f>
        <v/>
      </c>
      <c r="D554">
        <f>IF(A554="","",Ввод!$B$4-SUMIF(Оплаты!$A$6:$A$505,"&lt;"&amp;A554,Оплаты!$B$6:$B$505))</f>
        <v/>
      </c>
      <c r="E554">
        <f>IF(A554="","",IF(SUMPRODUCT((Ввод!$F$12:$F$31&lt;&gt;"")*(Ввод!$F$12:$F$31&lt;=A554)*(Ввод!$G$12:$G$31&gt;=A554))&gt;0,1,0))</f>
        <v/>
      </c>
      <c r="F554">
        <f>IF(OR(A554="",B554=""),"",IF(E554=1,0,D554*B554/100/C554))</f>
        <v/>
      </c>
      <c r="G554">
        <f>IF(A554="","",IF(OR(B554&lt;&gt;B553,C554&lt;&gt;C553,D554&lt;&gt;D553,E554&lt;&gt;E553),G553+1,G553))</f>
        <v/>
      </c>
    </row>
    <row r="555">
      <c r="A555" s="14">
        <f>IF(OR(NOT(ISNUMBER(Ввод!$B$5)),NOT(ISNUMBER(Ввод!$B$6))),"",IF(Ввод!$B$5+553&gt;Ввод!$B$6,"",Ввод!$B$5+553))</f>
        <v/>
      </c>
      <c r="B555">
        <f>IF(A555="","",IFERROR(INDEX(Ввод!$B$12:$B$71,MATCH(A555,Ввод!$D$12:$D$71,1)),""))</f>
        <v/>
      </c>
      <c r="C555">
        <f>IF(A555="","",DATE(YEAR(A555),12,31)-DATE(YEAR(A555),1,1)+1)</f>
        <v/>
      </c>
      <c r="D555">
        <f>IF(A555="","",Ввод!$B$4-SUMIF(Оплаты!$A$6:$A$505,"&lt;"&amp;A555,Оплаты!$B$6:$B$505))</f>
        <v/>
      </c>
      <c r="E555">
        <f>IF(A555="","",IF(SUMPRODUCT((Ввод!$F$12:$F$31&lt;&gt;"")*(Ввод!$F$12:$F$31&lt;=A555)*(Ввод!$G$12:$G$31&gt;=A555))&gt;0,1,0))</f>
        <v/>
      </c>
      <c r="F555">
        <f>IF(OR(A555="",B555=""),"",IF(E555=1,0,D555*B555/100/C555))</f>
        <v/>
      </c>
      <c r="G555">
        <f>IF(A555="","",IF(OR(B555&lt;&gt;B554,C555&lt;&gt;C554,D555&lt;&gt;D554,E555&lt;&gt;E554),G554+1,G554))</f>
        <v/>
      </c>
    </row>
    <row r="556">
      <c r="A556" s="14">
        <f>IF(OR(NOT(ISNUMBER(Ввод!$B$5)),NOT(ISNUMBER(Ввод!$B$6))),"",IF(Ввод!$B$5+554&gt;Ввод!$B$6,"",Ввод!$B$5+554))</f>
        <v/>
      </c>
      <c r="B556">
        <f>IF(A556="","",IFERROR(INDEX(Ввод!$B$12:$B$71,MATCH(A556,Ввод!$D$12:$D$71,1)),""))</f>
        <v/>
      </c>
      <c r="C556">
        <f>IF(A556="","",DATE(YEAR(A556),12,31)-DATE(YEAR(A556),1,1)+1)</f>
        <v/>
      </c>
      <c r="D556">
        <f>IF(A556="","",Ввод!$B$4-SUMIF(Оплаты!$A$6:$A$505,"&lt;"&amp;A556,Оплаты!$B$6:$B$505))</f>
        <v/>
      </c>
      <c r="E556">
        <f>IF(A556="","",IF(SUMPRODUCT((Ввод!$F$12:$F$31&lt;&gt;"")*(Ввод!$F$12:$F$31&lt;=A556)*(Ввод!$G$12:$G$31&gt;=A556))&gt;0,1,0))</f>
        <v/>
      </c>
      <c r="F556">
        <f>IF(OR(A556="",B556=""),"",IF(E556=1,0,D556*B556/100/C556))</f>
        <v/>
      </c>
      <c r="G556">
        <f>IF(A556="","",IF(OR(B556&lt;&gt;B555,C556&lt;&gt;C555,D556&lt;&gt;D555,E556&lt;&gt;E555),G555+1,G555))</f>
        <v/>
      </c>
    </row>
    <row r="557">
      <c r="A557" s="14">
        <f>IF(OR(NOT(ISNUMBER(Ввод!$B$5)),NOT(ISNUMBER(Ввод!$B$6))),"",IF(Ввод!$B$5+555&gt;Ввод!$B$6,"",Ввод!$B$5+555))</f>
        <v/>
      </c>
      <c r="B557">
        <f>IF(A557="","",IFERROR(INDEX(Ввод!$B$12:$B$71,MATCH(A557,Ввод!$D$12:$D$71,1)),""))</f>
        <v/>
      </c>
      <c r="C557">
        <f>IF(A557="","",DATE(YEAR(A557),12,31)-DATE(YEAR(A557),1,1)+1)</f>
        <v/>
      </c>
      <c r="D557">
        <f>IF(A557="","",Ввод!$B$4-SUMIF(Оплаты!$A$6:$A$505,"&lt;"&amp;A557,Оплаты!$B$6:$B$505))</f>
        <v/>
      </c>
      <c r="E557">
        <f>IF(A557="","",IF(SUMPRODUCT((Ввод!$F$12:$F$31&lt;&gt;"")*(Ввод!$F$12:$F$31&lt;=A557)*(Ввод!$G$12:$G$31&gt;=A557))&gt;0,1,0))</f>
        <v/>
      </c>
      <c r="F557">
        <f>IF(OR(A557="",B557=""),"",IF(E557=1,0,D557*B557/100/C557))</f>
        <v/>
      </c>
      <c r="G557">
        <f>IF(A557="","",IF(OR(B557&lt;&gt;B556,C557&lt;&gt;C556,D557&lt;&gt;D556,E557&lt;&gt;E556),G556+1,G556))</f>
        <v/>
      </c>
    </row>
    <row r="558">
      <c r="A558" s="14">
        <f>IF(OR(NOT(ISNUMBER(Ввод!$B$5)),NOT(ISNUMBER(Ввод!$B$6))),"",IF(Ввод!$B$5+556&gt;Ввод!$B$6,"",Ввод!$B$5+556))</f>
        <v/>
      </c>
      <c r="B558">
        <f>IF(A558="","",IFERROR(INDEX(Ввод!$B$12:$B$71,MATCH(A558,Ввод!$D$12:$D$71,1)),""))</f>
        <v/>
      </c>
      <c r="C558">
        <f>IF(A558="","",DATE(YEAR(A558),12,31)-DATE(YEAR(A558),1,1)+1)</f>
        <v/>
      </c>
      <c r="D558">
        <f>IF(A558="","",Ввод!$B$4-SUMIF(Оплаты!$A$6:$A$505,"&lt;"&amp;A558,Оплаты!$B$6:$B$505))</f>
        <v/>
      </c>
      <c r="E558">
        <f>IF(A558="","",IF(SUMPRODUCT((Ввод!$F$12:$F$31&lt;&gt;"")*(Ввод!$F$12:$F$31&lt;=A558)*(Ввод!$G$12:$G$31&gt;=A558))&gt;0,1,0))</f>
        <v/>
      </c>
      <c r="F558">
        <f>IF(OR(A558="",B558=""),"",IF(E558=1,0,D558*B558/100/C558))</f>
        <v/>
      </c>
      <c r="G558">
        <f>IF(A558="","",IF(OR(B558&lt;&gt;B557,C558&lt;&gt;C557,D558&lt;&gt;D557,E558&lt;&gt;E557),G557+1,G557))</f>
        <v/>
      </c>
    </row>
    <row r="559">
      <c r="A559" s="14">
        <f>IF(OR(NOT(ISNUMBER(Ввод!$B$5)),NOT(ISNUMBER(Ввод!$B$6))),"",IF(Ввод!$B$5+557&gt;Ввод!$B$6,"",Ввод!$B$5+557))</f>
        <v/>
      </c>
      <c r="B559">
        <f>IF(A559="","",IFERROR(INDEX(Ввод!$B$12:$B$71,MATCH(A559,Ввод!$D$12:$D$71,1)),""))</f>
        <v/>
      </c>
      <c r="C559">
        <f>IF(A559="","",DATE(YEAR(A559),12,31)-DATE(YEAR(A559),1,1)+1)</f>
        <v/>
      </c>
      <c r="D559">
        <f>IF(A559="","",Ввод!$B$4-SUMIF(Оплаты!$A$6:$A$505,"&lt;"&amp;A559,Оплаты!$B$6:$B$505))</f>
        <v/>
      </c>
      <c r="E559">
        <f>IF(A559="","",IF(SUMPRODUCT((Ввод!$F$12:$F$31&lt;&gt;"")*(Ввод!$F$12:$F$31&lt;=A559)*(Ввод!$G$12:$G$31&gt;=A559))&gt;0,1,0))</f>
        <v/>
      </c>
      <c r="F559">
        <f>IF(OR(A559="",B559=""),"",IF(E559=1,0,D559*B559/100/C559))</f>
        <v/>
      </c>
      <c r="G559">
        <f>IF(A559="","",IF(OR(B559&lt;&gt;B558,C559&lt;&gt;C558,D559&lt;&gt;D558,E559&lt;&gt;E558),G558+1,G558))</f>
        <v/>
      </c>
    </row>
    <row r="560">
      <c r="A560" s="14">
        <f>IF(OR(NOT(ISNUMBER(Ввод!$B$5)),NOT(ISNUMBER(Ввод!$B$6))),"",IF(Ввод!$B$5+558&gt;Ввод!$B$6,"",Ввод!$B$5+558))</f>
        <v/>
      </c>
      <c r="B560">
        <f>IF(A560="","",IFERROR(INDEX(Ввод!$B$12:$B$71,MATCH(A560,Ввод!$D$12:$D$71,1)),""))</f>
        <v/>
      </c>
      <c r="C560">
        <f>IF(A560="","",DATE(YEAR(A560),12,31)-DATE(YEAR(A560),1,1)+1)</f>
        <v/>
      </c>
      <c r="D560">
        <f>IF(A560="","",Ввод!$B$4-SUMIF(Оплаты!$A$6:$A$505,"&lt;"&amp;A560,Оплаты!$B$6:$B$505))</f>
        <v/>
      </c>
      <c r="E560">
        <f>IF(A560="","",IF(SUMPRODUCT((Ввод!$F$12:$F$31&lt;&gt;"")*(Ввод!$F$12:$F$31&lt;=A560)*(Ввод!$G$12:$G$31&gt;=A560))&gt;0,1,0))</f>
        <v/>
      </c>
      <c r="F560">
        <f>IF(OR(A560="",B560=""),"",IF(E560=1,0,D560*B560/100/C560))</f>
        <v/>
      </c>
      <c r="G560">
        <f>IF(A560="","",IF(OR(B560&lt;&gt;B559,C560&lt;&gt;C559,D560&lt;&gt;D559,E560&lt;&gt;E559),G559+1,G559))</f>
        <v/>
      </c>
    </row>
    <row r="561">
      <c r="A561" s="14">
        <f>IF(OR(NOT(ISNUMBER(Ввод!$B$5)),NOT(ISNUMBER(Ввод!$B$6))),"",IF(Ввод!$B$5+559&gt;Ввод!$B$6,"",Ввод!$B$5+559))</f>
        <v/>
      </c>
      <c r="B561">
        <f>IF(A561="","",IFERROR(INDEX(Ввод!$B$12:$B$71,MATCH(A561,Ввод!$D$12:$D$71,1)),""))</f>
        <v/>
      </c>
      <c r="C561">
        <f>IF(A561="","",DATE(YEAR(A561),12,31)-DATE(YEAR(A561),1,1)+1)</f>
        <v/>
      </c>
      <c r="D561">
        <f>IF(A561="","",Ввод!$B$4-SUMIF(Оплаты!$A$6:$A$505,"&lt;"&amp;A561,Оплаты!$B$6:$B$505))</f>
        <v/>
      </c>
      <c r="E561">
        <f>IF(A561="","",IF(SUMPRODUCT((Ввод!$F$12:$F$31&lt;&gt;"")*(Ввод!$F$12:$F$31&lt;=A561)*(Ввод!$G$12:$G$31&gt;=A561))&gt;0,1,0))</f>
        <v/>
      </c>
      <c r="F561">
        <f>IF(OR(A561="",B561=""),"",IF(E561=1,0,D561*B561/100/C561))</f>
        <v/>
      </c>
      <c r="G561">
        <f>IF(A561="","",IF(OR(B561&lt;&gt;B560,C561&lt;&gt;C560,D561&lt;&gt;D560,E561&lt;&gt;E560),G560+1,G560))</f>
        <v/>
      </c>
    </row>
    <row r="562">
      <c r="A562" s="14">
        <f>IF(OR(NOT(ISNUMBER(Ввод!$B$5)),NOT(ISNUMBER(Ввод!$B$6))),"",IF(Ввод!$B$5+560&gt;Ввод!$B$6,"",Ввод!$B$5+560))</f>
        <v/>
      </c>
      <c r="B562">
        <f>IF(A562="","",IFERROR(INDEX(Ввод!$B$12:$B$71,MATCH(A562,Ввод!$D$12:$D$71,1)),""))</f>
        <v/>
      </c>
      <c r="C562">
        <f>IF(A562="","",DATE(YEAR(A562),12,31)-DATE(YEAR(A562),1,1)+1)</f>
        <v/>
      </c>
      <c r="D562">
        <f>IF(A562="","",Ввод!$B$4-SUMIF(Оплаты!$A$6:$A$505,"&lt;"&amp;A562,Оплаты!$B$6:$B$505))</f>
        <v/>
      </c>
      <c r="E562">
        <f>IF(A562="","",IF(SUMPRODUCT((Ввод!$F$12:$F$31&lt;&gt;"")*(Ввод!$F$12:$F$31&lt;=A562)*(Ввод!$G$12:$G$31&gt;=A562))&gt;0,1,0))</f>
        <v/>
      </c>
      <c r="F562">
        <f>IF(OR(A562="",B562=""),"",IF(E562=1,0,D562*B562/100/C562))</f>
        <v/>
      </c>
      <c r="G562">
        <f>IF(A562="","",IF(OR(B562&lt;&gt;B561,C562&lt;&gt;C561,D562&lt;&gt;D561,E562&lt;&gt;E561),G561+1,G561))</f>
        <v/>
      </c>
    </row>
    <row r="563">
      <c r="A563" s="14">
        <f>IF(OR(NOT(ISNUMBER(Ввод!$B$5)),NOT(ISNUMBER(Ввод!$B$6))),"",IF(Ввод!$B$5+561&gt;Ввод!$B$6,"",Ввод!$B$5+561))</f>
        <v/>
      </c>
      <c r="B563">
        <f>IF(A563="","",IFERROR(INDEX(Ввод!$B$12:$B$71,MATCH(A563,Ввод!$D$12:$D$71,1)),""))</f>
        <v/>
      </c>
      <c r="C563">
        <f>IF(A563="","",DATE(YEAR(A563),12,31)-DATE(YEAR(A563),1,1)+1)</f>
        <v/>
      </c>
      <c r="D563">
        <f>IF(A563="","",Ввод!$B$4-SUMIF(Оплаты!$A$6:$A$505,"&lt;"&amp;A563,Оплаты!$B$6:$B$505))</f>
        <v/>
      </c>
      <c r="E563">
        <f>IF(A563="","",IF(SUMPRODUCT((Ввод!$F$12:$F$31&lt;&gt;"")*(Ввод!$F$12:$F$31&lt;=A563)*(Ввод!$G$12:$G$31&gt;=A563))&gt;0,1,0))</f>
        <v/>
      </c>
      <c r="F563">
        <f>IF(OR(A563="",B563=""),"",IF(E563=1,0,D563*B563/100/C563))</f>
        <v/>
      </c>
      <c r="G563">
        <f>IF(A563="","",IF(OR(B563&lt;&gt;B562,C563&lt;&gt;C562,D563&lt;&gt;D562,E563&lt;&gt;E562),G562+1,G562))</f>
        <v/>
      </c>
    </row>
    <row r="564">
      <c r="A564" s="14">
        <f>IF(OR(NOT(ISNUMBER(Ввод!$B$5)),NOT(ISNUMBER(Ввод!$B$6))),"",IF(Ввод!$B$5+562&gt;Ввод!$B$6,"",Ввод!$B$5+562))</f>
        <v/>
      </c>
      <c r="B564">
        <f>IF(A564="","",IFERROR(INDEX(Ввод!$B$12:$B$71,MATCH(A564,Ввод!$D$12:$D$71,1)),""))</f>
        <v/>
      </c>
      <c r="C564">
        <f>IF(A564="","",DATE(YEAR(A564),12,31)-DATE(YEAR(A564),1,1)+1)</f>
        <v/>
      </c>
      <c r="D564">
        <f>IF(A564="","",Ввод!$B$4-SUMIF(Оплаты!$A$6:$A$505,"&lt;"&amp;A564,Оплаты!$B$6:$B$505))</f>
        <v/>
      </c>
      <c r="E564">
        <f>IF(A564="","",IF(SUMPRODUCT((Ввод!$F$12:$F$31&lt;&gt;"")*(Ввод!$F$12:$F$31&lt;=A564)*(Ввод!$G$12:$G$31&gt;=A564))&gt;0,1,0))</f>
        <v/>
      </c>
      <c r="F564">
        <f>IF(OR(A564="",B564=""),"",IF(E564=1,0,D564*B564/100/C564))</f>
        <v/>
      </c>
      <c r="G564">
        <f>IF(A564="","",IF(OR(B564&lt;&gt;B563,C564&lt;&gt;C563,D564&lt;&gt;D563,E564&lt;&gt;E563),G563+1,G563))</f>
        <v/>
      </c>
    </row>
    <row r="565">
      <c r="A565" s="14">
        <f>IF(OR(NOT(ISNUMBER(Ввод!$B$5)),NOT(ISNUMBER(Ввод!$B$6))),"",IF(Ввод!$B$5+563&gt;Ввод!$B$6,"",Ввод!$B$5+563))</f>
        <v/>
      </c>
      <c r="B565">
        <f>IF(A565="","",IFERROR(INDEX(Ввод!$B$12:$B$71,MATCH(A565,Ввод!$D$12:$D$71,1)),""))</f>
        <v/>
      </c>
      <c r="C565">
        <f>IF(A565="","",DATE(YEAR(A565),12,31)-DATE(YEAR(A565),1,1)+1)</f>
        <v/>
      </c>
      <c r="D565">
        <f>IF(A565="","",Ввод!$B$4-SUMIF(Оплаты!$A$6:$A$505,"&lt;"&amp;A565,Оплаты!$B$6:$B$505))</f>
        <v/>
      </c>
      <c r="E565">
        <f>IF(A565="","",IF(SUMPRODUCT((Ввод!$F$12:$F$31&lt;&gt;"")*(Ввод!$F$12:$F$31&lt;=A565)*(Ввод!$G$12:$G$31&gt;=A565))&gt;0,1,0))</f>
        <v/>
      </c>
      <c r="F565">
        <f>IF(OR(A565="",B565=""),"",IF(E565=1,0,D565*B565/100/C565))</f>
        <v/>
      </c>
      <c r="G565">
        <f>IF(A565="","",IF(OR(B565&lt;&gt;B564,C565&lt;&gt;C564,D565&lt;&gt;D564,E565&lt;&gt;E564),G564+1,G564))</f>
        <v/>
      </c>
    </row>
    <row r="566">
      <c r="A566" s="14">
        <f>IF(OR(NOT(ISNUMBER(Ввод!$B$5)),NOT(ISNUMBER(Ввод!$B$6))),"",IF(Ввод!$B$5+564&gt;Ввод!$B$6,"",Ввод!$B$5+564))</f>
        <v/>
      </c>
      <c r="B566">
        <f>IF(A566="","",IFERROR(INDEX(Ввод!$B$12:$B$71,MATCH(A566,Ввод!$D$12:$D$71,1)),""))</f>
        <v/>
      </c>
      <c r="C566">
        <f>IF(A566="","",DATE(YEAR(A566),12,31)-DATE(YEAR(A566),1,1)+1)</f>
        <v/>
      </c>
      <c r="D566">
        <f>IF(A566="","",Ввод!$B$4-SUMIF(Оплаты!$A$6:$A$505,"&lt;"&amp;A566,Оплаты!$B$6:$B$505))</f>
        <v/>
      </c>
      <c r="E566">
        <f>IF(A566="","",IF(SUMPRODUCT((Ввод!$F$12:$F$31&lt;&gt;"")*(Ввод!$F$12:$F$31&lt;=A566)*(Ввод!$G$12:$G$31&gt;=A566))&gt;0,1,0))</f>
        <v/>
      </c>
      <c r="F566">
        <f>IF(OR(A566="",B566=""),"",IF(E566=1,0,D566*B566/100/C566))</f>
        <v/>
      </c>
      <c r="G566">
        <f>IF(A566="","",IF(OR(B566&lt;&gt;B565,C566&lt;&gt;C565,D566&lt;&gt;D565,E566&lt;&gt;E565),G565+1,G565))</f>
        <v/>
      </c>
    </row>
    <row r="567">
      <c r="A567" s="14">
        <f>IF(OR(NOT(ISNUMBER(Ввод!$B$5)),NOT(ISNUMBER(Ввод!$B$6))),"",IF(Ввод!$B$5+565&gt;Ввод!$B$6,"",Ввод!$B$5+565))</f>
        <v/>
      </c>
      <c r="B567">
        <f>IF(A567="","",IFERROR(INDEX(Ввод!$B$12:$B$71,MATCH(A567,Ввод!$D$12:$D$71,1)),""))</f>
        <v/>
      </c>
      <c r="C567">
        <f>IF(A567="","",DATE(YEAR(A567),12,31)-DATE(YEAR(A567),1,1)+1)</f>
        <v/>
      </c>
      <c r="D567">
        <f>IF(A567="","",Ввод!$B$4-SUMIF(Оплаты!$A$6:$A$505,"&lt;"&amp;A567,Оплаты!$B$6:$B$505))</f>
        <v/>
      </c>
      <c r="E567">
        <f>IF(A567="","",IF(SUMPRODUCT((Ввод!$F$12:$F$31&lt;&gt;"")*(Ввод!$F$12:$F$31&lt;=A567)*(Ввод!$G$12:$G$31&gt;=A567))&gt;0,1,0))</f>
        <v/>
      </c>
      <c r="F567">
        <f>IF(OR(A567="",B567=""),"",IF(E567=1,0,D567*B567/100/C567))</f>
        <v/>
      </c>
      <c r="G567">
        <f>IF(A567="","",IF(OR(B567&lt;&gt;B566,C567&lt;&gt;C566,D567&lt;&gt;D566,E567&lt;&gt;E566),G566+1,G566))</f>
        <v/>
      </c>
    </row>
    <row r="568">
      <c r="A568" s="14">
        <f>IF(OR(NOT(ISNUMBER(Ввод!$B$5)),NOT(ISNUMBER(Ввод!$B$6))),"",IF(Ввод!$B$5+566&gt;Ввод!$B$6,"",Ввод!$B$5+566))</f>
        <v/>
      </c>
      <c r="B568">
        <f>IF(A568="","",IFERROR(INDEX(Ввод!$B$12:$B$71,MATCH(A568,Ввод!$D$12:$D$71,1)),""))</f>
        <v/>
      </c>
      <c r="C568">
        <f>IF(A568="","",DATE(YEAR(A568),12,31)-DATE(YEAR(A568),1,1)+1)</f>
        <v/>
      </c>
      <c r="D568">
        <f>IF(A568="","",Ввод!$B$4-SUMIF(Оплаты!$A$6:$A$505,"&lt;"&amp;A568,Оплаты!$B$6:$B$505))</f>
        <v/>
      </c>
      <c r="E568">
        <f>IF(A568="","",IF(SUMPRODUCT((Ввод!$F$12:$F$31&lt;&gt;"")*(Ввод!$F$12:$F$31&lt;=A568)*(Ввод!$G$12:$G$31&gt;=A568))&gt;0,1,0))</f>
        <v/>
      </c>
      <c r="F568">
        <f>IF(OR(A568="",B568=""),"",IF(E568=1,0,D568*B568/100/C568))</f>
        <v/>
      </c>
      <c r="G568">
        <f>IF(A568="","",IF(OR(B568&lt;&gt;B567,C568&lt;&gt;C567,D568&lt;&gt;D567,E568&lt;&gt;E567),G567+1,G567))</f>
        <v/>
      </c>
    </row>
    <row r="569">
      <c r="A569" s="14">
        <f>IF(OR(NOT(ISNUMBER(Ввод!$B$5)),NOT(ISNUMBER(Ввод!$B$6))),"",IF(Ввод!$B$5+567&gt;Ввод!$B$6,"",Ввод!$B$5+567))</f>
        <v/>
      </c>
      <c r="B569">
        <f>IF(A569="","",IFERROR(INDEX(Ввод!$B$12:$B$71,MATCH(A569,Ввод!$D$12:$D$71,1)),""))</f>
        <v/>
      </c>
      <c r="C569">
        <f>IF(A569="","",DATE(YEAR(A569),12,31)-DATE(YEAR(A569),1,1)+1)</f>
        <v/>
      </c>
      <c r="D569">
        <f>IF(A569="","",Ввод!$B$4-SUMIF(Оплаты!$A$6:$A$505,"&lt;"&amp;A569,Оплаты!$B$6:$B$505))</f>
        <v/>
      </c>
      <c r="E569">
        <f>IF(A569="","",IF(SUMPRODUCT((Ввод!$F$12:$F$31&lt;&gt;"")*(Ввод!$F$12:$F$31&lt;=A569)*(Ввод!$G$12:$G$31&gt;=A569))&gt;0,1,0))</f>
        <v/>
      </c>
      <c r="F569">
        <f>IF(OR(A569="",B569=""),"",IF(E569=1,0,D569*B569/100/C569))</f>
        <v/>
      </c>
      <c r="G569">
        <f>IF(A569="","",IF(OR(B569&lt;&gt;B568,C569&lt;&gt;C568,D569&lt;&gt;D568,E569&lt;&gt;E568),G568+1,G568))</f>
        <v/>
      </c>
    </row>
    <row r="570">
      <c r="A570" s="14">
        <f>IF(OR(NOT(ISNUMBER(Ввод!$B$5)),NOT(ISNUMBER(Ввод!$B$6))),"",IF(Ввод!$B$5+568&gt;Ввод!$B$6,"",Ввод!$B$5+568))</f>
        <v/>
      </c>
      <c r="B570">
        <f>IF(A570="","",IFERROR(INDEX(Ввод!$B$12:$B$71,MATCH(A570,Ввод!$D$12:$D$71,1)),""))</f>
        <v/>
      </c>
      <c r="C570">
        <f>IF(A570="","",DATE(YEAR(A570),12,31)-DATE(YEAR(A570),1,1)+1)</f>
        <v/>
      </c>
      <c r="D570">
        <f>IF(A570="","",Ввод!$B$4-SUMIF(Оплаты!$A$6:$A$505,"&lt;"&amp;A570,Оплаты!$B$6:$B$505))</f>
        <v/>
      </c>
      <c r="E570">
        <f>IF(A570="","",IF(SUMPRODUCT((Ввод!$F$12:$F$31&lt;&gt;"")*(Ввод!$F$12:$F$31&lt;=A570)*(Ввод!$G$12:$G$31&gt;=A570))&gt;0,1,0))</f>
        <v/>
      </c>
      <c r="F570">
        <f>IF(OR(A570="",B570=""),"",IF(E570=1,0,D570*B570/100/C570))</f>
        <v/>
      </c>
      <c r="G570">
        <f>IF(A570="","",IF(OR(B570&lt;&gt;B569,C570&lt;&gt;C569,D570&lt;&gt;D569,E570&lt;&gt;E569),G569+1,G569))</f>
        <v/>
      </c>
    </row>
    <row r="571">
      <c r="A571" s="14">
        <f>IF(OR(NOT(ISNUMBER(Ввод!$B$5)),NOT(ISNUMBER(Ввод!$B$6))),"",IF(Ввод!$B$5+569&gt;Ввод!$B$6,"",Ввод!$B$5+569))</f>
        <v/>
      </c>
      <c r="B571">
        <f>IF(A571="","",IFERROR(INDEX(Ввод!$B$12:$B$71,MATCH(A571,Ввод!$D$12:$D$71,1)),""))</f>
        <v/>
      </c>
      <c r="C571">
        <f>IF(A571="","",DATE(YEAR(A571),12,31)-DATE(YEAR(A571),1,1)+1)</f>
        <v/>
      </c>
      <c r="D571">
        <f>IF(A571="","",Ввод!$B$4-SUMIF(Оплаты!$A$6:$A$505,"&lt;"&amp;A571,Оплаты!$B$6:$B$505))</f>
        <v/>
      </c>
      <c r="E571">
        <f>IF(A571="","",IF(SUMPRODUCT((Ввод!$F$12:$F$31&lt;&gt;"")*(Ввод!$F$12:$F$31&lt;=A571)*(Ввод!$G$12:$G$31&gt;=A571))&gt;0,1,0))</f>
        <v/>
      </c>
      <c r="F571">
        <f>IF(OR(A571="",B571=""),"",IF(E571=1,0,D571*B571/100/C571))</f>
        <v/>
      </c>
      <c r="G571">
        <f>IF(A571="","",IF(OR(B571&lt;&gt;B570,C571&lt;&gt;C570,D571&lt;&gt;D570,E571&lt;&gt;E570),G570+1,G570))</f>
        <v/>
      </c>
    </row>
    <row r="572">
      <c r="A572" s="14">
        <f>IF(OR(NOT(ISNUMBER(Ввод!$B$5)),NOT(ISNUMBER(Ввод!$B$6))),"",IF(Ввод!$B$5+570&gt;Ввод!$B$6,"",Ввод!$B$5+570))</f>
        <v/>
      </c>
      <c r="B572">
        <f>IF(A572="","",IFERROR(INDEX(Ввод!$B$12:$B$71,MATCH(A572,Ввод!$D$12:$D$71,1)),""))</f>
        <v/>
      </c>
      <c r="C572">
        <f>IF(A572="","",DATE(YEAR(A572),12,31)-DATE(YEAR(A572),1,1)+1)</f>
        <v/>
      </c>
      <c r="D572">
        <f>IF(A572="","",Ввод!$B$4-SUMIF(Оплаты!$A$6:$A$505,"&lt;"&amp;A572,Оплаты!$B$6:$B$505))</f>
        <v/>
      </c>
      <c r="E572">
        <f>IF(A572="","",IF(SUMPRODUCT((Ввод!$F$12:$F$31&lt;&gt;"")*(Ввод!$F$12:$F$31&lt;=A572)*(Ввод!$G$12:$G$31&gt;=A572))&gt;0,1,0))</f>
        <v/>
      </c>
      <c r="F572">
        <f>IF(OR(A572="",B572=""),"",IF(E572=1,0,D572*B572/100/C572))</f>
        <v/>
      </c>
      <c r="G572">
        <f>IF(A572="","",IF(OR(B572&lt;&gt;B571,C572&lt;&gt;C571,D572&lt;&gt;D571,E572&lt;&gt;E571),G571+1,G571))</f>
        <v/>
      </c>
    </row>
    <row r="573">
      <c r="A573" s="14">
        <f>IF(OR(NOT(ISNUMBER(Ввод!$B$5)),NOT(ISNUMBER(Ввод!$B$6))),"",IF(Ввод!$B$5+571&gt;Ввод!$B$6,"",Ввод!$B$5+571))</f>
        <v/>
      </c>
      <c r="B573">
        <f>IF(A573="","",IFERROR(INDEX(Ввод!$B$12:$B$71,MATCH(A573,Ввод!$D$12:$D$71,1)),""))</f>
        <v/>
      </c>
      <c r="C573">
        <f>IF(A573="","",DATE(YEAR(A573),12,31)-DATE(YEAR(A573),1,1)+1)</f>
        <v/>
      </c>
      <c r="D573">
        <f>IF(A573="","",Ввод!$B$4-SUMIF(Оплаты!$A$6:$A$505,"&lt;"&amp;A573,Оплаты!$B$6:$B$505))</f>
        <v/>
      </c>
      <c r="E573">
        <f>IF(A573="","",IF(SUMPRODUCT((Ввод!$F$12:$F$31&lt;&gt;"")*(Ввод!$F$12:$F$31&lt;=A573)*(Ввод!$G$12:$G$31&gt;=A573))&gt;0,1,0))</f>
        <v/>
      </c>
      <c r="F573">
        <f>IF(OR(A573="",B573=""),"",IF(E573=1,0,D573*B573/100/C573))</f>
        <v/>
      </c>
      <c r="G573">
        <f>IF(A573="","",IF(OR(B573&lt;&gt;B572,C573&lt;&gt;C572,D573&lt;&gt;D572,E573&lt;&gt;E572),G572+1,G572))</f>
        <v/>
      </c>
    </row>
    <row r="574">
      <c r="A574" s="14">
        <f>IF(OR(NOT(ISNUMBER(Ввод!$B$5)),NOT(ISNUMBER(Ввод!$B$6))),"",IF(Ввод!$B$5+572&gt;Ввод!$B$6,"",Ввод!$B$5+572))</f>
        <v/>
      </c>
      <c r="B574">
        <f>IF(A574="","",IFERROR(INDEX(Ввод!$B$12:$B$71,MATCH(A574,Ввод!$D$12:$D$71,1)),""))</f>
        <v/>
      </c>
      <c r="C574">
        <f>IF(A574="","",DATE(YEAR(A574),12,31)-DATE(YEAR(A574),1,1)+1)</f>
        <v/>
      </c>
      <c r="D574">
        <f>IF(A574="","",Ввод!$B$4-SUMIF(Оплаты!$A$6:$A$505,"&lt;"&amp;A574,Оплаты!$B$6:$B$505))</f>
        <v/>
      </c>
      <c r="E574">
        <f>IF(A574="","",IF(SUMPRODUCT((Ввод!$F$12:$F$31&lt;&gt;"")*(Ввод!$F$12:$F$31&lt;=A574)*(Ввод!$G$12:$G$31&gt;=A574))&gt;0,1,0))</f>
        <v/>
      </c>
      <c r="F574">
        <f>IF(OR(A574="",B574=""),"",IF(E574=1,0,D574*B574/100/C574))</f>
        <v/>
      </c>
      <c r="G574">
        <f>IF(A574="","",IF(OR(B574&lt;&gt;B573,C574&lt;&gt;C573,D574&lt;&gt;D573,E574&lt;&gt;E573),G573+1,G573))</f>
        <v/>
      </c>
    </row>
    <row r="575">
      <c r="A575" s="14">
        <f>IF(OR(NOT(ISNUMBER(Ввод!$B$5)),NOT(ISNUMBER(Ввод!$B$6))),"",IF(Ввод!$B$5+573&gt;Ввод!$B$6,"",Ввод!$B$5+573))</f>
        <v/>
      </c>
      <c r="B575">
        <f>IF(A575="","",IFERROR(INDEX(Ввод!$B$12:$B$71,MATCH(A575,Ввод!$D$12:$D$71,1)),""))</f>
        <v/>
      </c>
      <c r="C575">
        <f>IF(A575="","",DATE(YEAR(A575),12,31)-DATE(YEAR(A575),1,1)+1)</f>
        <v/>
      </c>
      <c r="D575">
        <f>IF(A575="","",Ввод!$B$4-SUMIF(Оплаты!$A$6:$A$505,"&lt;"&amp;A575,Оплаты!$B$6:$B$505))</f>
        <v/>
      </c>
      <c r="E575">
        <f>IF(A575="","",IF(SUMPRODUCT((Ввод!$F$12:$F$31&lt;&gt;"")*(Ввод!$F$12:$F$31&lt;=A575)*(Ввод!$G$12:$G$31&gt;=A575))&gt;0,1,0))</f>
        <v/>
      </c>
      <c r="F575">
        <f>IF(OR(A575="",B575=""),"",IF(E575=1,0,D575*B575/100/C575))</f>
        <v/>
      </c>
      <c r="G575">
        <f>IF(A575="","",IF(OR(B575&lt;&gt;B574,C575&lt;&gt;C574,D575&lt;&gt;D574,E575&lt;&gt;E574),G574+1,G574))</f>
        <v/>
      </c>
    </row>
    <row r="576">
      <c r="A576" s="14">
        <f>IF(OR(NOT(ISNUMBER(Ввод!$B$5)),NOT(ISNUMBER(Ввод!$B$6))),"",IF(Ввод!$B$5+574&gt;Ввод!$B$6,"",Ввод!$B$5+574))</f>
        <v/>
      </c>
      <c r="B576">
        <f>IF(A576="","",IFERROR(INDEX(Ввод!$B$12:$B$71,MATCH(A576,Ввод!$D$12:$D$71,1)),""))</f>
        <v/>
      </c>
      <c r="C576">
        <f>IF(A576="","",DATE(YEAR(A576),12,31)-DATE(YEAR(A576),1,1)+1)</f>
        <v/>
      </c>
      <c r="D576">
        <f>IF(A576="","",Ввод!$B$4-SUMIF(Оплаты!$A$6:$A$505,"&lt;"&amp;A576,Оплаты!$B$6:$B$505))</f>
        <v/>
      </c>
      <c r="E576">
        <f>IF(A576="","",IF(SUMPRODUCT((Ввод!$F$12:$F$31&lt;&gt;"")*(Ввод!$F$12:$F$31&lt;=A576)*(Ввод!$G$12:$G$31&gt;=A576))&gt;0,1,0))</f>
        <v/>
      </c>
      <c r="F576">
        <f>IF(OR(A576="",B576=""),"",IF(E576=1,0,D576*B576/100/C576))</f>
        <v/>
      </c>
      <c r="G576">
        <f>IF(A576="","",IF(OR(B576&lt;&gt;B575,C576&lt;&gt;C575,D576&lt;&gt;D575,E576&lt;&gt;E575),G575+1,G575))</f>
        <v/>
      </c>
    </row>
    <row r="577">
      <c r="A577" s="14">
        <f>IF(OR(NOT(ISNUMBER(Ввод!$B$5)),NOT(ISNUMBER(Ввод!$B$6))),"",IF(Ввод!$B$5+575&gt;Ввод!$B$6,"",Ввод!$B$5+575))</f>
        <v/>
      </c>
      <c r="B577">
        <f>IF(A577="","",IFERROR(INDEX(Ввод!$B$12:$B$71,MATCH(A577,Ввод!$D$12:$D$71,1)),""))</f>
        <v/>
      </c>
      <c r="C577">
        <f>IF(A577="","",DATE(YEAR(A577),12,31)-DATE(YEAR(A577),1,1)+1)</f>
        <v/>
      </c>
      <c r="D577">
        <f>IF(A577="","",Ввод!$B$4-SUMIF(Оплаты!$A$6:$A$505,"&lt;"&amp;A577,Оплаты!$B$6:$B$505))</f>
        <v/>
      </c>
      <c r="E577">
        <f>IF(A577="","",IF(SUMPRODUCT((Ввод!$F$12:$F$31&lt;&gt;"")*(Ввод!$F$12:$F$31&lt;=A577)*(Ввод!$G$12:$G$31&gt;=A577))&gt;0,1,0))</f>
        <v/>
      </c>
      <c r="F577">
        <f>IF(OR(A577="",B577=""),"",IF(E577=1,0,D577*B577/100/C577))</f>
        <v/>
      </c>
      <c r="G577">
        <f>IF(A577="","",IF(OR(B577&lt;&gt;B576,C577&lt;&gt;C576,D577&lt;&gt;D576,E577&lt;&gt;E576),G576+1,G576))</f>
        <v/>
      </c>
    </row>
    <row r="578">
      <c r="A578" s="14">
        <f>IF(OR(NOT(ISNUMBER(Ввод!$B$5)),NOT(ISNUMBER(Ввод!$B$6))),"",IF(Ввод!$B$5+576&gt;Ввод!$B$6,"",Ввод!$B$5+576))</f>
        <v/>
      </c>
      <c r="B578">
        <f>IF(A578="","",IFERROR(INDEX(Ввод!$B$12:$B$71,MATCH(A578,Ввод!$D$12:$D$71,1)),""))</f>
        <v/>
      </c>
      <c r="C578">
        <f>IF(A578="","",DATE(YEAR(A578),12,31)-DATE(YEAR(A578),1,1)+1)</f>
        <v/>
      </c>
      <c r="D578">
        <f>IF(A578="","",Ввод!$B$4-SUMIF(Оплаты!$A$6:$A$505,"&lt;"&amp;A578,Оплаты!$B$6:$B$505))</f>
        <v/>
      </c>
      <c r="E578">
        <f>IF(A578="","",IF(SUMPRODUCT((Ввод!$F$12:$F$31&lt;&gt;"")*(Ввод!$F$12:$F$31&lt;=A578)*(Ввод!$G$12:$G$31&gt;=A578))&gt;0,1,0))</f>
        <v/>
      </c>
      <c r="F578">
        <f>IF(OR(A578="",B578=""),"",IF(E578=1,0,D578*B578/100/C578))</f>
        <v/>
      </c>
      <c r="G578">
        <f>IF(A578="","",IF(OR(B578&lt;&gt;B577,C578&lt;&gt;C577,D578&lt;&gt;D577,E578&lt;&gt;E577),G577+1,G577))</f>
        <v/>
      </c>
    </row>
    <row r="579">
      <c r="A579" s="14">
        <f>IF(OR(NOT(ISNUMBER(Ввод!$B$5)),NOT(ISNUMBER(Ввод!$B$6))),"",IF(Ввод!$B$5+577&gt;Ввод!$B$6,"",Ввод!$B$5+577))</f>
        <v/>
      </c>
      <c r="B579">
        <f>IF(A579="","",IFERROR(INDEX(Ввод!$B$12:$B$71,MATCH(A579,Ввод!$D$12:$D$71,1)),""))</f>
        <v/>
      </c>
      <c r="C579">
        <f>IF(A579="","",DATE(YEAR(A579),12,31)-DATE(YEAR(A579),1,1)+1)</f>
        <v/>
      </c>
      <c r="D579">
        <f>IF(A579="","",Ввод!$B$4-SUMIF(Оплаты!$A$6:$A$505,"&lt;"&amp;A579,Оплаты!$B$6:$B$505))</f>
        <v/>
      </c>
      <c r="E579">
        <f>IF(A579="","",IF(SUMPRODUCT((Ввод!$F$12:$F$31&lt;&gt;"")*(Ввод!$F$12:$F$31&lt;=A579)*(Ввод!$G$12:$G$31&gt;=A579))&gt;0,1,0))</f>
        <v/>
      </c>
      <c r="F579">
        <f>IF(OR(A579="",B579=""),"",IF(E579=1,0,D579*B579/100/C579))</f>
        <v/>
      </c>
      <c r="G579">
        <f>IF(A579="","",IF(OR(B579&lt;&gt;B578,C579&lt;&gt;C578,D579&lt;&gt;D578,E579&lt;&gt;E578),G578+1,G578))</f>
        <v/>
      </c>
    </row>
    <row r="580">
      <c r="A580" s="14">
        <f>IF(OR(NOT(ISNUMBER(Ввод!$B$5)),NOT(ISNUMBER(Ввод!$B$6))),"",IF(Ввод!$B$5+578&gt;Ввод!$B$6,"",Ввод!$B$5+578))</f>
        <v/>
      </c>
      <c r="B580">
        <f>IF(A580="","",IFERROR(INDEX(Ввод!$B$12:$B$71,MATCH(A580,Ввод!$D$12:$D$71,1)),""))</f>
        <v/>
      </c>
      <c r="C580">
        <f>IF(A580="","",DATE(YEAR(A580),12,31)-DATE(YEAR(A580),1,1)+1)</f>
        <v/>
      </c>
      <c r="D580">
        <f>IF(A580="","",Ввод!$B$4-SUMIF(Оплаты!$A$6:$A$505,"&lt;"&amp;A580,Оплаты!$B$6:$B$505))</f>
        <v/>
      </c>
      <c r="E580">
        <f>IF(A580="","",IF(SUMPRODUCT((Ввод!$F$12:$F$31&lt;&gt;"")*(Ввод!$F$12:$F$31&lt;=A580)*(Ввод!$G$12:$G$31&gt;=A580))&gt;0,1,0))</f>
        <v/>
      </c>
      <c r="F580">
        <f>IF(OR(A580="",B580=""),"",IF(E580=1,0,D580*B580/100/C580))</f>
        <v/>
      </c>
      <c r="G580">
        <f>IF(A580="","",IF(OR(B580&lt;&gt;B579,C580&lt;&gt;C579,D580&lt;&gt;D579,E580&lt;&gt;E579),G579+1,G579))</f>
        <v/>
      </c>
    </row>
    <row r="581">
      <c r="A581" s="14">
        <f>IF(OR(NOT(ISNUMBER(Ввод!$B$5)),NOT(ISNUMBER(Ввод!$B$6))),"",IF(Ввод!$B$5+579&gt;Ввод!$B$6,"",Ввод!$B$5+579))</f>
        <v/>
      </c>
      <c r="B581">
        <f>IF(A581="","",IFERROR(INDEX(Ввод!$B$12:$B$71,MATCH(A581,Ввод!$D$12:$D$71,1)),""))</f>
        <v/>
      </c>
      <c r="C581">
        <f>IF(A581="","",DATE(YEAR(A581),12,31)-DATE(YEAR(A581),1,1)+1)</f>
        <v/>
      </c>
      <c r="D581">
        <f>IF(A581="","",Ввод!$B$4-SUMIF(Оплаты!$A$6:$A$505,"&lt;"&amp;A581,Оплаты!$B$6:$B$505))</f>
        <v/>
      </c>
      <c r="E581">
        <f>IF(A581="","",IF(SUMPRODUCT((Ввод!$F$12:$F$31&lt;&gt;"")*(Ввод!$F$12:$F$31&lt;=A581)*(Ввод!$G$12:$G$31&gt;=A581))&gt;0,1,0))</f>
        <v/>
      </c>
      <c r="F581">
        <f>IF(OR(A581="",B581=""),"",IF(E581=1,0,D581*B581/100/C581))</f>
        <v/>
      </c>
      <c r="G581">
        <f>IF(A581="","",IF(OR(B581&lt;&gt;B580,C581&lt;&gt;C580,D581&lt;&gt;D580,E581&lt;&gt;E580),G580+1,G580))</f>
        <v/>
      </c>
    </row>
    <row r="582">
      <c r="A582" s="14">
        <f>IF(OR(NOT(ISNUMBER(Ввод!$B$5)),NOT(ISNUMBER(Ввод!$B$6))),"",IF(Ввод!$B$5+580&gt;Ввод!$B$6,"",Ввод!$B$5+580))</f>
        <v/>
      </c>
      <c r="B582">
        <f>IF(A582="","",IFERROR(INDEX(Ввод!$B$12:$B$71,MATCH(A582,Ввод!$D$12:$D$71,1)),""))</f>
        <v/>
      </c>
      <c r="C582">
        <f>IF(A582="","",DATE(YEAR(A582),12,31)-DATE(YEAR(A582),1,1)+1)</f>
        <v/>
      </c>
      <c r="D582">
        <f>IF(A582="","",Ввод!$B$4-SUMIF(Оплаты!$A$6:$A$505,"&lt;"&amp;A582,Оплаты!$B$6:$B$505))</f>
        <v/>
      </c>
      <c r="E582">
        <f>IF(A582="","",IF(SUMPRODUCT((Ввод!$F$12:$F$31&lt;&gt;"")*(Ввод!$F$12:$F$31&lt;=A582)*(Ввод!$G$12:$G$31&gt;=A582))&gt;0,1,0))</f>
        <v/>
      </c>
      <c r="F582">
        <f>IF(OR(A582="",B582=""),"",IF(E582=1,0,D582*B582/100/C582))</f>
        <v/>
      </c>
      <c r="G582">
        <f>IF(A582="","",IF(OR(B582&lt;&gt;B581,C582&lt;&gt;C581,D582&lt;&gt;D581,E582&lt;&gt;E581),G581+1,G581))</f>
        <v/>
      </c>
    </row>
    <row r="583">
      <c r="A583" s="14">
        <f>IF(OR(NOT(ISNUMBER(Ввод!$B$5)),NOT(ISNUMBER(Ввод!$B$6))),"",IF(Ввод!$B$5+581&gt;Ввод!$B$6,"",Ввод!$B$5+581))</f>
        <v/>
      </c>
      <c r="B583">
        <f>IF(A583="","",IFERROR(INDEX(Ввод!$B$12:$B$71,MATCH(A583,Ввод!$D$12:$D$71,1)),""))</f>
        <v/>
      </c>
      <c r="C583">
        <f>IF(A583="","",DATE(YEAR(A583),12,31)-DATE(YEAR(A583),1,1)+1)</f>
        <v/>
      </c>
      <c r="D583">
        <f>IF(A583="","",Ввод!$B$4-SUMIF(Оплаты!$A$6:$A$505,"&lt;"&amp;A583,Оплаты!$B$6:$B$505))</f>
        <v/>
      </c>
      <c r="E583">
        <f>IF(A583="","",IF(SUMPRODUCT((Ввод!$F$12:$F$31&lt;&gt;"")*(Ввод!$F$12:$F$31&lt;=A583)*(Ввод!$G$12:$G$31&gt;=A583))&gt;0,1,0))</f>
        <v/>
      </c>
      <c r="F583">
        <f>IF(OR(A583="",B583=""),"",IF(E583=1,0,D583*B583/100/C583))</f>
        <v/>
      </c>
      <c r="G583">
        <f>IF(A583="","",IF(OR(B583&lt;&gt;B582,C583&lt;&gt;C582,D583&lt;&gt;D582,E583&lt;&gt;E582),G582+1,G582))</f>
        <v/>
      </c>
    </row>
    <row r="584">
      <c r="A584" s="14">
        <f>IF(OR(NOT(ISNUMBER(Ввод!$B$5)),NOT(ISNUMBER(Ввод!$B$6))),"",IF(Ввод!$B$5+582&gt;Ввод!$B$6,"",Ввод!$B$5+582))</f>
        <v/>
      </c>
      <c r="B584">
        <f>IF(A584="","",IFERROR(INDEX(Ввод!$B$12:$B$71,MATCH(A584,Ввод!$D$12:$D$71,1)),""))</f>
        <v/>
      </c>
      <c r="C584">
        <f>IF(A584="","",DATE(YEAR(A584),12,31)-DATE(YEAR(A584),1,1)+1)</f>
        <v/>
      </c>
      <c r="D584">
        <f>IF(A584="","",Ввод!$B$4-SUMIF(Оплаты!$A$6:$A$505,"&lt;"&amp;A584,Оплаты!$B$6:$B$505))</f>
        <v/>
      </c>
      <c r="E584">
        <f>IF(A584="","",IF(SUMPRODUCT((Ввод!$F$12:$F$31&lt;&gt;"")*(Ввод!$F$12:$F$31&lt;=A584)*(Ввод!$G$12:$G$31&gt;=A584))&gt;0,1,0))</f>
        <v/>
      </c>
      <c r="F584">
        <f>IF(OR(A584="",B584=""),"",IF(E584=1,0,D584*B584/100/C584))</f>
        <v/>
      </c>
      <c r="G584">
        <f>IF(A584="","",IF(OR(B584&lt;&gt;B583,C584&lt;&gt;C583,D584&lt;&gt;D583,E584&lt;&gt;E583),G583+1,G583))</f>
        <v/>
      </c>
    </row>
    <row r="585">
      <c r="A585" s="14">
        <f>IF(OR(NOT(ISNUMBER(Ввод!$B$5)),NOT(ISNUMBER(Ввод!$B$6))),"",IF(Ввод!$B$5+583&gt;Ввод!$B$6,"",Ввод!$B$5+583))</f>
        <v/>
      </c>
      <c r="B585">
        <f>IF(A585="","",IFERROR(INDEX(Ввод!$B$12:$B$71,MATCH(A585,Ввод!$D$12:$D$71,1)),""))</f>
        <v/>
      </c>
      <c r="C585">
        <f>IF(A585="","",DATE(YEAR(A585),12,31)-DATE(YEAR(A585),1,1)+1)</f>
        <v/>
      </c>
      <c r="D585">
        <f>IF(A585="","",Ввод!$B$4-SUMIF(Оплаты!$A$6:$A$505,"&lt;"&amp;A585,Оплаты!$B$6:$B$505))</f>
        <v/>
      </c>
      <c r="E585">
        <f>IF(A585="","",IF(SUMPRODUCT((Ввод!$F$12:$F$31&lt;&gt;"")*(Ввод!$F$12:$F$31&lt;=A585)*(Ввод!$G$12:$G$31&gt;=A585))&gt;0,1,0))</f>
        <v/>
      </c>
      <c r="F585">
        <f>IF(OR(A585="",B585=""),"",IF(E585=1,0,D585*B585/100/C585))</f>
        <v/>
      </c>
      <c r="G585">
        <f>IF(A585="","",IF(OR(B585&lt;&gt;B584,C585&lt;&gt;C584,D585&lt;&gt;D584,E585&lt;&gt;E584),G584+1,G584))</f>
        <v/>
      </c>
    </row>
    <row r="586">
      <c r="A586" s="14">
        <f>IF(OR(NOT(ISNUMBER(Ввод!$B$5)),NOT(ISNUMBER(Ввод!$B$6))),"",IF(Ввод!$B$5+584&gt;Ввод!$B$6,"",Ввод!$B$5+584))</f>
        <v/>
      </c>
      <c r="B586">
        <f>IF(A586="","",IFERROR(INDEX(Ввод!$B$12:$B$71,MATCH(A586,Ввод!$D$12:$D$71,1)),""))</f>
        <v/>
      </c>
      <c r="C586">
        <f>IF(A586="","",DATE(YEAR(A586),12,31)-DATE(YEAR(A586),1,1)+1)</f>
        <v/>
      </c>
      <c r="D586">
        <f>IF(A586="","",Ввод!$B$4-SUMIF(Оплаты!$A$6:$A$505,"&lt;"&amp;A586,Оплаты!$B$6:$B$505))</f>
        <v/>
      </c>
      <c r="E586">
        <f>IF(A586="","",IF(SUMPRODUCT((Ввод!$F$12:$F$31&lt;&gt;"")*(Ввод!$F$12:$F$31&lt;=A586)*(Ввод!$G$12:$G$31&gt;=A586))&gt;0,1,0))</f>
        <v/>
      </c>
      <c r="F586">
        <f>IF(OR(A586="",B586=""),"",IF(E586=1,0,D586*B586/100/C586))</f>
        <v/>
      </c>
      <c r="G586">
        <f>IF(A586="","",IF(OR(B586&lt;&gt;B585,C586&lt;&gt;C585,D586&lt;&gt;D585,E586&lt;&gt;E585),G585+1,G585))</f>
        <v/>
      </c>
    </row>
    <row r="587">
      <c r="A587" s="14">
        <f>IF(OR(NOT(ISNUMBER(Ввод!$B$5)),NOT(ISNUMBER(Ввод!$B$6))),"",IF(Ввод!$B$5+585&gt;Ввод!$B$6,"",Ввод!$B$5+585))</f>
        <v/>
      </c>
      <c r="B587">
        <f>IF(A587="","",IFERROR(INDEX(Ввод!$B$12:$B$71,MATCH(A587,Ввод!$D$12:$D$71,1)),""))</f>
        <v/>
      </c>
      <c r="C587">
        <f>IF(A587="","",DATE(YEAR(A587),12,31)-DATE(YEAR(A587),1,1)+1)</f>
        <v/>
      </c>
      <c r="D587">
        <f>IF(A587="","",Ввод!$B$4-SUMIF(Оплаты!$A$6:$A$505,"&lt;"&amp;A587,Оплаты!$B$6:$B$505))</f>
        <v/>
      </c>
      <c r="E587">
        <f>IF(A587="","",IF(SUMPRODUCT((Ввод!$F$12:$F$31&lt;&gt;"")*(Ввод!$F$12:$F$31&lt;=A587)*(Ввод!$G$12:$G$31&gt;=A587))&gt;0,1,0))</f>
        <v/>
      </c>
      <c r="F587">
        <f>IF(OR(A587="",B587=""),"",IF(E587=1,0,D587*B587/100/C587))</f>
        <v/>
      </c>
      <c r="G587">
        <f>IF(A587="","",IF(OR(B587&lt;&gt;B586,C587&lt;&gt;C586,D587&lt;&gt;D586,E587&lt;&gt;E586),G586+1,G586))</f>
        <v/>
      </c>
    </row>
    <row r="588">
      <c r="A588" s="14">
        <f>IF(OR(NOT(ISNUMBER(Ввод!$B$5)),NOT(ISNUMBER(Ввод!$B$6))),"",IF(Ввод!$B$5+586&gt;Ввод!$B$6,"",Ввод!$B$5+586))</f>
        <v/>
      </c>
      <c r="B588">
        <f>IF(A588="","",IFERROR(INDEX(Ввод!$B$12:$B$71,MATCH(A588,Ввод!$D$12:$D$71,1)),""))</f>
        <v/>
      </c>
      <c r="C588">
        <f>IF(A588="","",DATE(YEAR(A588),12,31)-DATE(YEAR(A588),1,1)+1)</f>
        <v/>
      </c>
      <c r="D588">
        <f>IF(A588="","",Ввод!$B$4-SUMIF(Оплаты!$A$6:$A$505,"&lt;"&amp;A588,Оплаты!$B$6:$B$505))</f>
        <v/>
      </c>
      <c r="E588">
        <f>IF(A588="","",IF(SUMPRODUCT((Ввод!$F$12:$F$31&lt;&gt;"")*(Ввод!$F$12:$F$31&lt;=A588)*(Ввод!$G$12:$G$31&gt;=A588))&gt;0,1,0))</f>
        <v/>
      </c>
      <c r="F588">
        <f>IF(OR(A588="",B588=""),"",IF(E588=1,0,D588*B588/100/C588))</f>
        <v/>
      </c>
      <c r="G588">
        <f>IF(A588="","",IF(OR(B588&lt;&gt;B587,C588&lt;&gt;C587,D588&lt;&gt;D587,E588&lt;&gt;E587),G587+1,G587))</f>
        <v/>
      </c>
    </row>
    <row r="589">
      <c r="A589" s="14">
        <f>IF(OR(NOT(ISNUMBER(Ввод!$B$5)),NOT(ISNUMBER(Ввод!$B$6))),"",IF(Ввод!$B$5+587&gt;Ввод!$B$6,"",Ввод!$B$5+587))</f>
        <v/>
      </c>
      <c r="B589">
        <f>IF(A589="","",IFERROR(INDEX(Ввод!$B$12:$B$71,MATCH(A589,Ввод!$D$12:$D$71,1)),""))</f>
        <v/>
      </c>
      <c r="C589">
        <f>IF(A589="","",DATE(YEAR(A589),12,31)-DATE(YEAR(A589),1,1)+1)</f>
        <v/>
      </c>
      <c r="D589">
        <f>IF(A589="","",Ввод!$B$4-SUMIF(Оплаты!$A$6:$A$505,"&lt;"&amp;A589,Оплаты!$B$6:$B$505))</f>
        <v/>
      </c>
      <c r="E589">
        <f>IF(A589="","",IF(SUMPRODUCT((Ввод!$F$12:$F$31&lt;&gt;"")*(Ввод!$F$12:$F$31&lt;=A589)*(Ввод!$G$12:$G$31&gt;=A589))&gt;0,1,0))</f>
        <v/>
      </c>
      <c r="F589">
        <f>IF(OR(A589="",B589=""),"",IF(E589=1,0,D589*B589/100/C589))</f>
        <v/>
      </c>
      <c r="G589">
        <f>IF(A589="","",IF(OR(B589&lt;&gt;B588,C589&lt;&gt;C588,D589&lt;&gt;D588,E589&lt;&gt;E588),G588+1,G588))</f>
        <v/>
      </c>
    </row>
    <row r="590">
      <c r="A590" s="14">
        <f>IF(OR(NOT(ISNUMBER(Ввод!$B$5)),NOT(ISNUMBER(Ввод!$B$6))),"",IF(Ввод!$B$5+588&gt;Ввод!$B$6,"",Ввод!$B$5+588))</f>
        <v/>
      </c>
      <c r="B590">
        <f>IF(A590="","",IFERROR(INDEX(Ввод!$B$12:$B$71,MATCH(A590,Ввод!$D$12:$D$71,1)),""))</f>
        <v/>
      </c>
      <c r="C590">
        <f>IF(A590="","",DATE(YEAR(A590),12,31)-DATE(YEAR(A590),1,1)+1)</f>
        <v/>
      </c>
      <c r="D590">
        <f>IF(A590="","",Ввод!$B$4-SUMIF(Оплаты!$A$6:$A$505,"&lt;"&amp;A590,Оплаты!$B$6:$B$505))</f>
        <v/>
      </c>
      <c r="E590">
        <f>IF(A590="","",IF(SUMPRODUCT((Ввод!$F$12:$F$31&lt;&gt;"")*(Ввод!$F$12:$F$31&lt;=A590)*(Ввод!$G$12:$G$31&gt;=A590))&gt;0,1,0))</f>
        <v/>
      </c>
      <c r="F590">
        <f>IF(OR(A590="",B590=""),"",IF(E590=1,0,D590*B590/100/C590))</f>
        <v/>
      </c>
      <c r="G590">
        <f>IF(A590="","",IF(OR(B590&lt;&gt;B589,C590&lt;&gt;C589,D590&lt;&gt;D589,E590&lt;&gt;E589),G589+1,G589))</f>
        <v/>
      </c>
    </row>
    <row r="591">
      <c r="A591" s="14">
        <f>IF(OR(NOT(ISNUMBER(Ввод!$B$5)),NOT(ISNUMBER(Ввод!$B$6))),"",IF(Ввод!$B$5+589&gt;Ввод!$B$6,"",Ввод!$B$5+589))</f>
        <v/>
      </c>
      <c r="B591">
        <f>IF(A591="","",IFERROR(INDEX(Ввод!$B$12:$B$71,MATCH(A591,Ввод!$D$12:$D$71,1)),""))</f>
        <v/>
      </c>
      <c r="C591">
        <f>IF(A591="","",DATE(YEAR(A591),12,31)-DATE(YEAR(A591),1,1)+1)</f>
        <v/>
      </c>
      <c r="D591">
        <f>IF(A591="","",Ввод!$B$4-SUMIF(Оплаты!$A$6:$A$505,"&lt;"&amp;A591,Оплаты!$B$6:$B$505))</f>
        <v/>
      </c>
      <c r="E591">
        <f>IF(A591="","",IF(SUMPRODUCT((Ввод!$F$12:$F$31&lt;&gt;"")*(Ввод!$F$12:$F$31&lt;=A591)*(Ввод!$G$12:$G$31&gt;=A591))&gt;0,1,0))</f>
        <v/>
      </c>
      <c r="F591">
        <f>IF(OR(A591="",B591=""),"",IF(E591=1,0,D591*B591/100/C591))</f>
        <v/>
      </c>
      <c r="G591">
        <f>IF(A591="","",IF(OR(B591&lt;&gt;B590,C591&lt;&gt;C590,D591&lt;&gt;D590,E591&lt;&gt;E590),G590+1,G590))</f>
        <v/>
      </c>
    </row>
    <row r="592">
      <c r="A592" s="14">
        <f>IF(OR(NOT(ISNUMBER(Ввод!$B$5)),NOT(ISNUMBER(Ввод!$B$6))),"",IF(Ввод!$B$5+590&gt;Ввод!$B$6,"",Ввод!$B$5+590))</f>
        <v/>
      </c>
      <c r="B592">
        <f>IF(A592="","",IFERROR(INDEX(Ввод!$B$12:$B$71,MATCH(A592,Ввод!$D$12:$D$71,1)),""))</f>
        <v/>
      </c>
      <c r="C592">
        <f>IF(A592="","",DATE(YEAR(A592),12,31)-DATE(YEAR(A592),1,1)+1)</f>
        <v/>
      </c>
      <c r="D592">
        <f>IF(A592="","",Ввод!$B$4-SUMIF(Оплаты!$A$6:$A$505,"&lt;"&amp;A592,Оплаты!$B$6:$B$505))</f>
        <v/>
      </c>
      <c r="E592">
        <f>IF(A592="","",IF(SUMPRODUCT((Ввод!$F$12:$F$31&lt;&gt;"")*(Ввод!$F$12:$F$31&lt;=A592)*(Ввод!$G$12:$G$31&gt;=A592))&gt;0,1,0))</f>
        <v/>
      </c>
      <c r="F592">
        <f>IF(OR(A592="",B592=""),"",IF(E592=1,0,D592*B592/100/C592))</f>
        <v/>
      </c>
      <c r="G592">
        <f>IF(A592="","",IF(OR(B592&lt;&gt;B591,C592&lt;&gt;C591,D592&lt;&gt;D591,E592&lt;&gt;E591),G591+1,G591))</f>
        <v/>
      </c>
    </row>
    <row r="593">
      <c r="A593" s="14">
        <f>IF(OR(NOT(ISNUMBER(Ввод!$B$5)),NOT(ISNUMBER(Ввод!$B$6))),"",IF(Ввод!$B$5+591&gt;Ввод!$B$6,"",Ввод!$B$5+591))</f>
        <v/>
      </c>
      <c r="B593">
        <f>IF(A593="","",IFERROR(INDEX(Ввод!$B$12:$B$71,MATCH(A593,Ввод!$D$12:$D$71,1)),""))</f>
        <v/>
      </c>
      <c r="C593">
        <f>IF(A593="","",DATE(YEAR(A593),12,31)-DATE(YEAR(A593),1,1)+1)</f>
        <v/>
      </c>
      <c r="D593">
        <f>IF(A593="","",Ввод!$B$4-SUMIF(Оплаты!$A$6:$A$505,"&lt;"&amp;A593,Оплаты!$B$6:$B$505))</f>
        <v/>
      </c>
      <c r="E593">
        <f>IF(A593="","",IF(SUMPRODUCT((Ввод!$F$12:$F$31&lt;&gt;"")*(Ввод!$F$12:$F$31&lt;=A593)*(Ввод!$G$12:$G$31&gt;=A593))&gt;0,1,0))</f>
        <v/>
      </c>
      <c r="F593">
        <f>IF(OR(A593="",B593=""),"",IF(E593=1,0,D593*B593/100/C593))</f>
        <v/>
      </c>
      <c r="G593">
        <f>IF(A593="","",IF(OR(B593&lt;&gt;B592,C593&lt;&gt;C592,D593&lt;&gt;D592,E593&lt;&gt;E592),G592+1,G592))</f>
        <v/>
      </c>
    </row>
    <row r="594">
      <c r="A594" s="14">
        <f>IF(OR(NOT(ISNUMBER(Ввод!$B$5)),NOT(ISNUMBER(Ввод!$B$6))),"",IF(Ввод!$B$5+592&gt;Ввод!$B$6,"",Ввод!$B$5+592))</f>
        <v/>
      </c>
      <c r="B594">
        <f>IF(A594="","",IFERROR(INDEX(Ввод!$B$12:$B$71,MATCH(A594,Ввод!$D$12:$D$71,1)),""))</f>
        <v/>
      </c>
      <c r="C594">
        <f>IF(A594="","",DATE(YEAR(A594),12,31)-DATE(YEAR(A594),1,1)+1)</f>
        <v/>
      </c>
      <c r="D594">
        <f>IF(A594="","",Ввод!$B$4-SUMIF(Оплаты!$A$6:$A$505,"&lt;"&amp;A594,Оплаты!$B$6:$B$505))</f>
        <v/>
      </c>
      <c r="E594">
        <f>IF(A594="","",IF(SUMPRODUCT((Ввод!$F$12:$F$31&lt;&gt;"")*(Ввод!$F$12:$F$31&lt;=A594)*(Ввод!$G$12:$G$31&gt;=A594))&gt;0,1,0))</f>
        <v/>
      </c>
      <c r="F594">
        <f>IF(OR(A594="",B594=""),"",IF(E594=1,0,D594*B594/100/C594))</f>
        <v/>
      </c>
      <c r="G594">
        <f>IF(A594="","",IF(OR(B594&lt;&gt;B593,C594&lt;&gt;C593,D594&lt;&gt;D593,E594&lt;&gt;E593),G593+1,G593))</f>
        <v/>
      </c>
    </row>
    <row r="595">
      <c r="A595" s="14">
        <f>IF(OR(NOT(ISNUMBER(Ввод!$B$5)),NOT(ISNUMBER(Ввод!$B$6))),"",IF(Ввод!$B$5+593&gt;Ввод!$B$6,"",Ввод!$B$5+593))</f>
        <v/>
      </c>
      <c r="B595">
        <f>IF(A595="","",IFERROR(INDEX(Ввод!$B$12:$B$71,MATCH(A595,Ввод!$D$12:$D$71,1)),""))</f>
        <v/>
      </c>
      <c r="C595">
        <f>IF(A595="","",DATE(YEAR(A595),12,31)-DATE(YEAR(A595),1,1)+1)</f>
        <v/>
      </c>
      <c r="D595">
        <f>IF(A595="","",Ввод!$B$4-SUMIF(Оплаты!$A$6:$A$505,"&lt;"&amp;A595,Оплаты!$B$6:$B$505))</f>
        <v/>
      </c>
      <c r="E595">
        <f>IF(A595="","",IF(SUMPRODUCT((Ввод!$F$12:$F$31&lt;&gt;"")*(Ввод!$F$12:$F$31&lt;=A595)*(Ввод!$G$12:$G$31&gt;=A595))&gt;0,1,0))</f>
        <v/>
      </c>
      <c r="F595">
        <f>IF(OR(A595="",B595=""),"",IF(E595=1,0,D595*B595/100/C595))</f>
        <v/>
      </c>
      <c r="G595">
        <f>IF(A595="","",IF(OR(B595&lt;&gt;B594,C595&lt;&gt;C594,D595&lt;&gt;D594,E595&lt;&gt;E594),G594+1,G594))</f>
        <v/>
      </c>
    </row>
    <row r="596">
      <c r="A596" s="14">
        <f>IF(OR(NOT(ISNUMBER(Ввод!$B$5)),NOT(ISNUMBER(Ввод!$B$6))),"",IF(Ввод!$B$5+594&gt;Ввод!$B$6,"",Ввод!$B$5+594))</f>
        <v/>
      </c>
      <c r="B596">
        <f>IF(A596="","",IFERROR(INDEX(Ввод!$B$12:$B$71,MATCH(A596,Ввод!$D$12:$D$71,1)),""))</f>
        <v/>
      </c>
      <c r="C596">
        <f>IF(A596="","",DATE(YEAR(A596),12,31)-DATE(YEAR(A596),1,1)+1)</f>
        <v/>
      </c>
      <c r="D596">
        <f>IF(A596="","",Ввод!$B$4-SUMIF(Оплаты!$A$6:$A$505,"&lt;"&amp;A596,Оплаты!$B$6:$B$505))</f>
        <v/>
      </c>
      <c r="E596">
        <f>IF(A596="","",IF(SUMPRODUCT((Ввод!$F$12:$F$31&lt;&gt;"")*(Ввод!$F$12:$F$31&lt;=A596)*(Ввод!$G$12:$G$31&gt;=A596))&gt;0,1,0))</f>
        <v/>
      </c>
      <c r="F596">
        <f>IF(OR(A596="",B596=""),"",IF(E596=1,0,D596*B596/100/C596))</f>
        <v/>
      </c>
      <c r="G596">
        <f>IF(A596="","",IF(OR(B596&lt;&gt;B595,C596&lt;&gt;C595,D596&lt;&gt;D595,E596&lt;&gt;E595),G595+1,G595))</f>
        <v/>
      </c>
    </row>
    <row r="597">
      <c r="A597" s="14">
        <f>IF(OR(NOT(ISNUMBER(Ввод!$B$5)),NOT(ISNUMBER(Ввод!$B$6))),"",IF(Ввод!$B$5+595&gt;Ввод!$B$6,"",Ввод!$B$5+595))</f>
        <v/>
      </c>
      <c r="B597">
        <f>IF(A597="","",IFERROR(INDEX(Ввод!$B$12:$B$71,MATCH(A597,Ввод!$D$12:$D$71,1)),""))</f>
        <v/>
      </c>
      <c r="C597">
        <f>IF(A597="","",DATE(YEAR(A597),12,31)-DATE(YEAR(A597),1,1)+1)</f>
        <v/>
      </c>
      <c r="D597">
        <f>IF(A597="","",Ввод!$B$4-SUMIF(Оплаты!$A$6:$A$505,"&lt;"&amp;A597,Оплаты!$B$6:$B$505))</f>
        <v/>
      </c>
      <c r="E597">
        <f>IF(A597="","",IF(SUMPRODUCT((Ввод!$F$12:$F$31&lt;&gt;"")*(Ввод!$F$12:$F$31&lt;=A597)*(Ввод!$G$12:$G$31&gt;=A597))&gt;0,1,0))</f>
        <v/>
      </c>
      <c r="F597">
        <f>IF(OR(A597="",B597=""),"",IF(E597=1,0,D597*B597/100/C597))</f>
        <v/>
      </c>
      <c r="G597">
        <f>IF(A597="","",IF(OR(B597&lt;&gt;B596,C597&lt;&gt;C596,D597&lt;&gt;D596,E597&lt;&gt;E596),G596+1,G596))</f>
        <v/>
      </c>
    </row>
    <row r="598">
      <c r="A598" s="14">
        <f>IF(OR(NOT(ISNUMBER(Ввод!$B$5)),NOT(ISNUMBER(Ввод!$B$6))),"",IF(Ввод!$B$5+596&gt;Ввод!$B$6,"",Ввод!$B$5+596))</f>
        <v/>
      </c>
      <c r="B598">
        <f>IF(A598="","",IFERROR(INDEX(Ввод!$B$12:$B$71,MATCH(A598,Ввод!$D$12:$D$71,1)),""))</f>
        <v/>
      </c>
      <c r="C598">
        <f>IF(A598="","",DATE(YEAR(A598),12,31)-DATE(YEAR(A598),1,1)+1)</f>
        <v/>
      </c>
      <c r="D598">
        <f>IF(A598="","",Ввод!$B$4-SUMIF(Оплаты!$A$6:$A$505,"&lt;"&amp;A598,Оплаты!$B$6:$B$505))</f>
        <v/>
      </c>
      <c r="E598">
        <f>IF(A598="","",IF(SUMPRODUCT((Ввод!$F$12:$F$31&lt;&gt;"")*(Ввод!$F$12:$F$31&lt;=A598)*(Ввод!$G$12:$G$31&gt;=A598))&gt;0,1,0))</f>
        <v/>
      </c>
      <c r="F598">
        <f>IF(OR(A598="",B598=""),"",IF(E598=1,0,D598*B598/100/C598))</f>
        <v/>
      </c>
      <c r="G598">
        <f>IF(A598="","",IF(OR(B598&lt;&gt;B597,C598&lt;&gt;C597,D598&lt;&gt;D597,E598&lt;&gt;E597),G597+1,G597))</f>
        <v/>
      </c>
    </row>
    <row r="599">
      <c r="A599" s="14">
        <f>IF(OR(NOT(ISNUMBER(Ввод!$B$5)),NOT(ISNUMBER(Ввод!$B$6))),"",IF(Ввод!$B$5+597&gt;Ввод!$B$6,"",Ввод!$B$5+597))</f>
        <v/>
      </c>
      <c r="B599">
        <f>IF(A599="","",IFERROR(INDEX(Ввод!$B$12:$B$71,MATCH(A599,Ввод!$D$12:$D$71,1)),""))</f>
        <v/>
      </c>
      <c r="C599">
        <f>IF(A599="","",DATE(YEAR(A599),12,31)-DATE(YEAR(A599),1,1)+1)</f>
        <v/>
      </c>
      <c r="D599">
        <f>IF(A599="","",Ввод!$B$4-SUMIF(Оплаты!$A$6:$A$505,"&lt;"&amp;A599,Оплаты!$B$6:$B$505))</f>
        <v/>
      </c>
      <c r="E599">
        <f>IF(A599="","",IF(SUMPRODUCT((Ввод!$F$12:$F$31&lt;&gt;"")*(Ввод!$F$12:$F$31&lt;=A599)*(Ввод!$G$12:$G$31&gt;=A599))&gt;0,1,0))</f>
        <v/>
      </c>
      <c r="F599">
        <f>IF(OR(A599="",B599=""),"",IF(E599=1,0,D599*B599/100/C599))</f>
        <v/>
      </c>
      <c r="G599">
        <f>IF(A599="","",IF(OR(B599&lt;&gt;B598,C599&lt;&gt;C598,D599&lt;&gt;D598,E599&lt;&gt;E598),G598+1,G598))</f>
        <v/>
      </c>
    </row>
    <row r="600">
      <c r="A600" s="14">
        <f>IF(OR(NOT(ISNUMBER(Ввод!$B$5)),NOT(ISNUMBER(Ввод!$B$6))),"",IF(Ввод!$B$5+598&gt;Ввод!$B$6,"",Ввод!$B$5+598))</f>
        <v/>
      </c>
      <c r="B600">
        <f>IF(A600="","",IFERROR(INDEX(Ввод!$B$12:$B$71,MATCH(A600,Ввод!$D$12:$D$71,1)),""))</f>
        <v/>
      </c>
      <c r="C600">
        <f>IF(A600="","",DATE(YEAR(A600),12,31)-DATE(YEAR(A600),1,1)+1)</f>
        <v/>
      </c>
      <c r="D600">
        <f>IF(A600="","",Ввод!$B$4-SUMIF(Оплаты!$A$6:$A$505,"&lt;"&amp;A600,Оплаты!$B$6:$B$505))</f>
        <v/>
      </c>
      <c r="E600">
        <f>IF(A600="","",IF(SUMPRODUCT((Ввод!$F$12:$F$31&lt;&gt;"")*(Ввод!$F$12:$F$31&lt;=A600)*(Ввод!$G$12:$G$31&gt;=A600))&gt;0,1,0))</f>
        <v/>
      </c>
      <c r="F600">
        <f>IF(OR(A600="",B600=""),"",IF(E600=1,0,D600*B600/100/C600))</f>
        <v/>
      </c>
      <c r="G600">
        <f>IF(A600="","",IF(OR(B600&lt;&gt;B599,C600&lt;&gt;C599,D600&lt;&gt;D599,E600&lt;&gt;E599),G599+1,G599))</f>
        <v/>
      </c>
    </row>
    <row r="601">
      <c r="A601" s="14">
        <f>IF(OR(NOT(ISNUMBER(Ввод!$B$5)),NOT(ISNUMBER(Ввод!$B$6))),"",IF(Ввод!$B$5+599&gt;Ввод!$B$6,"",Ввод!$B$5+599))</f>
        <v/>
      </c>
      <c r="B601">
        <f>IF(A601="","",IFERROR(INDEX(Ввод!$B$12:$B$71,MATCH(A601,Ввод!$D$12:$D$71,1)),""))</f>
        <v/>
      </c>
      <c r="C601">
        <f>IF(A601="","",DATE(YEAR(A601),12,31)-DATE(YEAR(A601),1,1)+1)</f>
        <v/>
      </c>
      <c r="D601">
        <f>IF(A601="","",Ввод!$B$4-SUMIF(Оплаты!$A$6:$A$505,"&lt;"&amp;A601,Оплаты!$B$6:$B$505))</f>
        <v/>
      </c>
      <c r="E601">
        <f>IF(A601="","",IF(SUMPRODUCT((Ввод!$F$12:$F$31&lt;&gt;"")*(Ввод!$F$12:$F$31&lt;=A601)*(Ввод!$G$12:$G$31&gt;=A601))&gt;0,1,0))</f>
        <v/>
      </c>
      <c r="F601">
        <f>IF(OR(A601="",B601=""),"",IF(E601=1,0,D601*B601/100/C601))</f>
        <v/>
      </c>
      <c r="G601">
        <f>IF(A601="","",IF(OR(B601&lt;&gt;B600,C601&lt;&gt;C600,D601&lt;&gt;D600,E601&lt;&gt;E600),G600+1,G600))</f>
        <v/>
      </c>
    </row>
    <row r="602">
      <c r="A602" s="14">
        <f>IF(OR(NOT(ISNUMBER(Ввод!$B$5)),NOT(ISNUMBER(Ввод!$B$6))),"",IF(Ввод!$B$5+600&gt;Ввод!$B$6,"",Ввод!$B$5+600))</f>
        <v/>
      </c>
      <c r="B602">
        <f>IF(A602="","",IFERROR(INDEX(Ввод!$B$12:$B$71,MATCH(A602,Ввод!$D$12:$D$71,1)),""))</f>
        <v/>
      </c>
      <c r="C602">
        <f>IF(A602="","",DATE(YEAR(A602),12,31)-DATE(YEAR(A602),1,1)+1)</f>
        <v/>
      </c>
      <c r="D602">
        <f>IF(A602="","",Ввод!$B$4-SUMIF(Оплаты!$A$6:$A$505,"&lt;"&amp;A602,Оплаты!$B$6:$B$505))</f>
        <v/>
      </c>
      <c r="E602">
        <f>IF(A602="","",IF(SUMPRODUCT((Ввод!$F$12:$F$31&lt;&gt;"")*(Ввод!$F$12:$F$31&lt;=A602)*(Ввод!$G$12:$G$31&gt;=A602))&gt;0,1,0))</f>
        <v/>
      </c>
      <c r="F602">
        <f>IF(OR(A602="",B602=""),"",IF(E602=1,0,D602*B602/100/C602))</f>
        <v/>
      </c>
      <c r="G602">
        <f>IF(A602="","",IF(OR(B602&lt;&gt;B601,C602&lt;&gt;C601,D602&lt;&gt;D601,E602&lt;&gt;E601),G601+1,G601))</f>
        <v/>
      </c>
    </row>
    <row r="603">
      <c r="A603" s="14">
        <f>IF(OR(NOT(ISNUMBER(Ввод!$B$5)),NOT(ISNUMBER(Ввод!$B$6))),"",IF(Ввод!$B$5+601&gt;Ввод!$B$6,"",Ввод!$B$5+601))</f>
        <v/>
      </c>
      <c r="B603">
        <f>IF(A603="","",IFERROR(INDEX(Ввод!$B$12:$B$71,MATCH(A603,Ввод!$D$12:$D$71,1)),""))</f>
        <v/>
      </c>
      <c r="C603">
        <f>IF(A603="","",DATE(YEAR(A603),12,31)-DATE(YEAR(A603),1,1)+1)</f>
        <v/>
      </c>
      <c r="D603">
        <f>IF(A603="","",Ввод!$B$4-SUMIF(Оплаты!$A$6:$A$505,"&lt;"&amp;A603,Оплаты!$B$6:$B$505))</f>
        <v/>
      </c>
      <c r="E603">
        <f>IF(A603="","",IF(SUMPRODUCT((Ввод!$F$12:$F$31&lt;&gt;"")*(Ввод!$F$12:$F$31&lt;=A603)*(Ввод!$G$12:$G$31&gt;=A603))&gt;0,1,0))</f>
        <v/>
      </c>
      <c r="F603">
        <f>IF(OR(A603="",B603=""),"",IF(E603=1,0,D603*B603/100/C603))</f>
        <v/>
      </c>
      <c r="G603">
        <f>IF(A603="","",IF(OR(B603&lt;&gt;B602,C603&lt;&gt;C602,D603&lt;&gt;D602,E603&lt;&gt;E602),G602+1,G602))</f>
        <v/>
      </c>
    </row>
    <row r="604">
      <c r="A604" s="14">
        <f>IF(OR(NOT(ISNUMBER(Ввод!$B$5)),NOT(ISNUMBER(Ввод!$B$6))),"",IF(Ввод!$B$5+602&gt;Ввод!$B$6,"",Ввод!$B$5+602))</f>
        <v/>
      </c>
      <c r="B604">
        <f>IF(A604="","",IFERROR(INDEX(Ввод!$B$12:$B$71,MATCH(A604,Ввод!$D$12:$D$71,1)),""))</f>
        <v/>
      </c>
      <c r="C604">
        <f>IF(A604="","",DATE(YEAR(A604),12,31)-DATE(YEAR(A604),1,1)+1)</f>
        <v/>
      </c>
      <c r="D604">
        <f>IF(A604="","",Ввод!$B$4-SUMIF(Оплаты!$A$6:$A$505,"&lt;"&amp;A604,Оплаты!$B$6:$B$505))</f>
        <v/>
      </c>
      <c r="E604">
        <f>IF(A604="","",IF(SUMPRODUCT((Ввод!$F$12:$F$31&lt;&gt;"")*(Ввод!$F$12:$F$31&lt;=A604)*(Ввод!$G$12:$G$31&gt;=A604))&gt;0,1,0))</f>
        <v/>
      </c>
      <c r="F604">
        <f>IF(OR(A604="",B604=""),"",IF(E604=1,0,D604*B604/100/C604))</f>
        <v/>
      </c>
      <c r="G604">
        <f>IF(A604="","",IF(OR(B604&lt;&gt;B603,C604&lt;&gt;C603,D604&lt;&gt;D603,E604&lt;&gt;E603),G603+1,G603))</f>
        <v/>
      </c>
    </row>
    <row r="605">
      <c r="A605" s="14">
        <f>IF(OR(NOT(ISNUMBER(Ввод!$B$5)),NOT(ISNUMBER(Ввод!$B$6))),"",IF(Ввод!$B$5+603&gt;Ввод!$B$6,"",Ввод!$B$5+603))</f>
        <v/>
      </c>
      <c r="B605">
        <f>IF(A605="","",IFERROR(INDEX(Ввод!$B$12:$B$71,MATCH(A605,Ввод!$D$12:$D$71,1)),""))</f>
        <v/>
      </c>
      <c r="C605">
        <f>IF(A605="","",DATE(YEAR(A605),12,31)-DATE(YEAR(A605),1,1)+1)</f>
        <v/>
      </c>
      <c r="D605">
        <f>IF(A605="","",Ввод!$B$4-SUMIF(Оплаты!$A$6:$A$505,"&lt;"&amp;A605,Оплаты!$B$6:$B$505))</f>
        <v/>
      </c>
      <c r="E605">
        <f>IF(A605="","",IF(SUMPRODUCT((Ввод!$F$12:$F$31&lt;&gt;"")*(Ввод!$F$12:$F$31&lt;=A605)*(Ввод!$G$12:$G$31&gt;=A605))&gt;0,1,0))</f>
        <v/>
      </c>
      <c r="F605">
        <f>IF(OR(A605="",B605=""),"",IF(E605=1,0,D605*B605/100/C605))</f>
        <v/>
      </c>
      <c r="G605">
        <f>IF(A605="","",IF(OR(B605&lt;&gt;B604,C605&lt;&gt;C604,D605&lt;&gt;D604,E605&lt;&gt;E604),G604+1,G604))</f>
        <v/>
      </c>
    </row>
    <row r="606">
      <c r="A606" s="14">
        <f>IF(OR(NOT(ISNUMBER(Ввод!$B$5)),NOT(ISNUMBER(Ввод!$B$6))),"",IF(Ввод!$B$5+604&gt;Ввод!$B$6,"",Ввод!$B$5+604))</f>
        <v/>
      </c>
      <c r="B606">
        <f>IF(A606="","",IFERROR(INDEX(Ввод!$B$12:$B$71,MATCH(A606,Ввод!$D$12:$D$71,1)),""))</f>
        <v/>
      </c>
      <c r="C606">
        <f>IF(A606="","",DATE(YEAR(A606),12,31)-DATE(YEAR(A606),1,1)+1)</f>
        <v/>
      </c>
      <c r="D606">
        <f>IF(A606="","",Ввод!$B$4-SUMIF(Оплаты!$A$6:$A$505,"&lt;"&amp;A606,Оплаты!$B$6:$B$505))</f>
        <v/>
      </c>
      <c r="E606">
        <f>IF(A606="","",IF(SUMPRODUCT((Ввод!$F$12:$F$31&lt;&gt;"")*(Ввод!$F$12:$F$31&lt;=A606)*(Ввод!$G$12:$G$31&gt;=A606))&gt;0,1,0))</f>
        <v/>
      </c>
      <c r="F606">
        <f>IF(OR(A606="",B606=""),"",IF(E606=1,0,D606*B606/100/C606))</f>
        <v/>
      </c>
      <c r="G606">
        <f>IF(A606="","",IF(OR(B606&lt;&gt;B605,C606&lt;&gt;C605,D606&lt;&gt;D605,E606&lt;&gt;E605),G605+1,G605))</f>
        <v/>
      </c>
    </row>
    <row r="607">
      <c r="A607" s="14">
        <f>IF(OR(NOT(ISNUMBER(Ввод!$B$5)),NOT(ISNUMBER(Ввод!$B$6))),"",IF(Ввод!$B$5+605&gt;Ввод!$B$6,"",Ввод!$B$5+605))</f>
        <v/>
      </c>
      <c r="B607">
        <f>IF(A607="","",IFERROR(INDEX(Ввод!$B$12:$B$71,MATCH(A607,Ввод!$D$12:$D$71,1)),""))</f>
        <v/>
      </c>
      <c r="C607">
        <f>IF(A607="","",DATE(YEAR(A607),12,31)-DATE(YEAR(A607),1,1)+1)</f>
        <v/>
      </c>
      <c r="D607">
        <f>IF(A607="","",Ввод!$B$4-SUMIF(Оплаты!$A$6:$A$505,"&lt;"&amp;A607,Оплаты!$B$6:$B$505))</f>
        <v/>
      </c>
      <c r="E607">
        <f>IF(A607="","",IF(SUMPRODUCT((Ввод!$F$12:$F$31&lt;&gt;"")*(Ввод!$F$12:$F$31&lt;=A607)*(Ввод!$G$12:$G$31&gt;=A607))&gt;0,1,0))</f>
        <v/>
      </c>
      <c r="F607">
        <f>IF(OR(A607="",B607=""),"",IF(E607=1,0,D607*B607/100/C607))</f>
        <v/>
      </c>
      <c r="G607">
        <f>IF(A607="","",IF(OR(B607&lt;&gt;B606,C607&lt;&gt;C606,D607&lt;&gt;D606,E607&lt;&gt;E606),G606+1,G606))</f>
        <v/>
      </c>
    </row>
    <row r="608">
      <c r="A608" s="14">
        <f>IF(OR(NOT(ISNUMBER(Ввод!$B$5)),NOT(ISNUMBER(Ввод!$B$6))),"",IF(Ввод!$B$5+606&gt;Ввод!$B$6,"",Ввод!$B$5+606))</f>
        <v/>
      </c>
      <c r="B608">
        <f>IF(A608="","",IFERROR(INDEX(Ввод!$B$12:$B$71,MATCH(A608,Ввод!$D$12:$D$71,1)),""))</f>
        <v/>
      </c>
      <c r="C608">
        <f>IF(A608="","",DATE(YEAR(A608),12,31)-DATE(YEAR(A608),1,1)+1)</f>
        <v/>
      </c>
      <c r="D608">
        <f>IF(A608="","",Ввод!$B$4-SUMIF(Оплаты!$A$6:$A$505,"&lt;"&amp;A608,Оплаты!$B$6:$B$505))</f>
        <v/>
      </c>
      <c r="E608">
        <f>IF(A608="","",IF(SUMPRODUCT((Ввод!$F$12:$F$31&lt;&gt;"")*(Ввод!$F$12:$F$31&lt;=A608)*(Ввод!$G$12:$G$31&gt;=A608))&gt;0,1,0))</f>
        <v/>
      </c>
      <c r="F608">
        <f>IF(OR(A608="",B608=""),"",IF(E608=1,0,D608*B608/100/C608))</f>
        <v/>
      </c>
      <c r="G608">
        <f>IF(A608="","",IF(OR(B608&lt;&gt;B607,C608&lt;&gt;C607,D608&lt;&gt;D607,E608&lt;&gt;E607),G607+1,G607))</f>
        <v/>
      </c>
    </row>
    <row r="609">
      <c r="A609" s="14">
        <f>IF(OR(NOT(ISNUMBER(Ввод!$B$5)),NOT(ISNUMBER(Ввод!$B$6))),"",IF(Ввод!$B$5+607&gt;Ввод!$B$6,"",Ввод!$B$5+607))</f>
        <v/>
      </c>
      <c r="B609">
        <f>IF(A609="","",IFERROR(INDEX(Ввод!$B$12:$B$71,MATCH(A609,Ввод!$D$12:$D$71,1)),""))</f>
        <v/>
      </c>
      <c r="C609">
        <f>IF(A609="","",DATE(YEAR(A609),12,31)-DATE(YEAR(A609),1,1)+1)</f>
        <v/>
      </c>
      <c r="D609">
        <f>IF(A609="","",Ввод!$B$4-SUMIF(Оплаты!$A$6:$A$505,"&lt;"&amp;A609,Оплаты!$B$6:$B$505))</f>
        <v/>
      </c>
      <c r="E609">
        <f>IF(A609="","",IF(SUMPRODUCT((Ввод!$F$12:$F$31&lt;&gt;"")*(Ввод!$F$12:$F$31&lt;=A609)*(Ввод!$G$12:$G$31&gt;=A609))&gt;0,1,0))</f>
        <v/>
      </c>
      <c r="F609">
        <f>IF(OR(A609="",B609=""),"",IF(E609=1,0,D609*B609/100/C609))</f>
        <v/>
      </c>
      <c r="G609">
        <f>IF(A609="","",IF(OR(B609&lt;&gt;B608,C609&lt;&gt;C608,D609&lt;&gt;D608,E609&lt;&gt;E608),G608+1,G608))</f>
        <v/>
      </c>
    </row>
    <row r="610">
      <c r="A610" s="14">
        <f>IF(OR(NOT(ISNUMBER(Ввод!$B$5)),NOT(ISNUMBER(Ввод!$B$6))),"",IF(Ввод!$B$5+608&gt;Ввод!$B$6,"",Ввод!$B$5+608))</f>
        <v/>
      </c>
      <c r="B610">
        <f>IF(A610="","",IFERROR(INDEX(Ввод!$B$12:$B$71,MATCH(A610,Ввод!$D$12:$D$71,1)),""))</f>
        <v/>
      </c>
      <c r="C610">
        <f>IF(A610="","",DATE(YEAR(A610),12,31)-DATE(YEAR(A610),1,1)+1)</f>
        <v/>
      </c>
      <c r="D610">
        <f>IF(A610="","",Ввод!$B$4-SUMIF(Оплаты!$A$6:$A$505,"&lt;"&amp;A610,Оплаты!$B$6:$B$505))</f>
        <v/>
      </c>
      <c r="E610">
        <f>IF(A610="","",IF(SUMPRODUCT((Ввод!$F$12:$F$31&lt;&gt;"")*(Ввод!$F$12:$F$31&lt;=A610)*(Ввод!$G$12:$G$31&gt;=A610))&gt;0,1,0))</f>
        <v/>
      </c>
      <c r="F610">
        <f>IF(OR(A610="",B610=""),"",IF(E610=1,0,D610*B610/100/C610))</f>
        <v/>
      </c>
      <c r="G610">
        <f>IF(A610="","",IF(OR(B610&lt;&gt;B609,C610&lt;&gt;C609,D610&lt;&gt;D609,E610&lt;&gt;E609),G609+1,G609))</f>
        <v/>
      </c>
    </row>
    <row r="611">
      <c r="A611" s="14">
        <f>IF(OR(NOT(ISNUMBER(Ввод!$B$5)),NOT(ISNUMBER(Ввод!$B$6))),"",IF(Ввод!$B$5+609&gt;Ввод!$B$6,"",Ввод!$B$5+609))</f>
        <v/>
      </c>
      <c r="B611">
        <f>IF(A611="","",IFERROR(INDEX(Ввод!$B$12:$B$71,MATCH(A611,Ввод!$D$12:$D$71,1)),""))</f>
        <v/>
      </c>
      <c r="C611">
        <f>IF(A611="","",DATE(YEAR(A611),12,31)-DATE(YEAR(A611),1,1)+1)</f>
        <v/>
      </c>
      <c r="D611">
        <f>IF(A611="","",Ввод!$B$4-SUMIF(Оплаты!$A$6:$A$505,"&lt;"&amp;A611,Оплаты!$B$6:$B$505))</f>
        <v/>
      </c>
      <c r="E611">
        <f>IF(A611="","",IF(SUMPRODUCT((Ввод!$F$12:$F$31&lt;&gt;"")*(Ввод!$F$12:$F$31&lt;=A611)*(Ввод!$G$12:$G$31&gt;=A611))&gt;0,1,0))</f>
        <v/>
      </c>
      <c r="F611">
        <f>IF(OR(A611="",B611=""),"",IF(E611=1,0,D611*B611/100/C611))</f>
        <v/>
      </c>
      <c r="G611">
        <f>IF(A611="","",IF(OR(B611&lt;&gt;B610,C611&lt;&gt;C610,D611&lt;&gt;D610,E611&lt;&gt;E610),G610+1,G610))</f>
        <v/>
      </c>
    </row>
    <row r="612">
      <c r="A612" s="14">
        <f>IF(OR(NOT(ISNUMBER(Ввод!$B$5)),NOT(ISNUMBER(Ввод!$B$6))),"",IF(Ввод!$B$5+610&gt;Ввод!$B$6,"",Ввод!$B$5+610))</f>
        <v/>
      </c>
      <c r="B612">
        <f>IF(A612="","",IFERROR(INDEX(Ввод!$B$12:$B$71,MATCH(A612,Ввод!$D$12:$D$71,1)),""))</f>
        <v/>
      </c>
      <c r="C612">
        <f>IF(A612="","",DATE(YEAR(A612),12,31)-DATE(YEAR(A612),1,1)+1)</f>
        <v/>
      </c>
      <c r="D612">
        <f>IF(A612="","",Ввод!$B$4-SUMIF(Оплаты!$A$6:$A$505,"&lt;"&amp;A612,Оплаты!$B$6:$B$505))</f>
        <v/>
      </c>
      <c r="E612">
        <f>IF(A612="","",IF(SUMPRODUCT((Ввод!$F$12:$F$31&lt;&gt;"")*(Ввод!$F$12:$F$31&lt;=A612)*(Ввод!$G$12:$G$31&gt;=A612))&gt;0,1,0))</f>
        <v/>
      </c>
      <c r="F612">
        <f>IF(OR(A612="",B612=""),"",IF(E612=1,0,D612*B612/100/C612))</f>
        <v/>
      </c>
      <c r="G612">
        <f>IF(A612="","",IF(OR(B612&lt;&gt;B611,C612&lt;&gt;C611,D612&lt;&gt;D611,E612&lt;&gt;E611),G611+1,G611))</f>
        <v/>
      </c>
    </row>
    <row r="613">
      <c r="A613" s="14">
        <f>IF(OR(NOT(ISNUMBER(Ввод!$B$5)),NOT(ISNUMBER(Ввод!$B$6))),"",IF(Ввод!$B$5+611&gt;Ввод!$B$6,"",Ввод!$B$5+611))</f>
        <v/>
      </c>
      <c r="B613">
        <f>IF(A613="","",IFERROR(INDEX(Ввод!$B$12:$B$71,MATCH(A613,Ввод!$D$12:$D$71,1)),""))</f>
        <v/>
      </c>
      <c r="C613">
        <f>IF(A613="","",DATE(YEAR(A613),12,31)-DATE(YEAR(A613),1,1)+1)</f>
        <v/>
      </c>
      <c r="D613">
        <f>IF(A613="","",Ввод!$B$4-SUMIF(Оплаты!$A$6:$A$505,"&lt;"&amp;A613,Оплаты!$B$6:$B$505))</f>
        <v/>
      </c>
      <c r="E613">
        <f>IF(A613="","",IF(SUMPRODUCT((Ввод!$F$12:$F$31&lt;&gt;"")*(Ввод!$F$12:$F$31&lt;=A613)*(Ввод!$G$12:$G$31&gt;=A613))&gt;0,1,0))</f>
        <v/>
      </c>
      <c r="F613">
        <f>IF(OR(A613="",B613=""),"",IF(E613=1,0,D613*B613/100/C613))</f>
        <v/>
      </c>
      <c r="G613">
        <f>IF(A613="","",IF(OR(B613&lt;&gt;B612,C613&lt;&gt;C612,D613&lt;&gt;D612,E613&lt;&gt;E612),G612+1,G612))</f>
        <v/>
      </c>
    </row>
    <row r="614">
      <c r="A614" s="14">
        <f>IF(OR(NOT(ISNUMBER(Ввод!$B$5)),NOT(ISNUMBER(Ввод!$B$6))),"",IF(Ввод!$B$5+612&gt;Ввод!$B$6,"",Ввод!$B$5+612))</f>
        <v/>
      </c>
      <c r="B614">
        <f>IF(A614="","",IFERROR(INDEX(Ввод!$B$12:$B$71,MATCH(A614,Ввод!$D$12:$D$71,1)),""))</f>
        <v/>
      </c>
      <c r="C614">
        <f>IF(A614="","",DATE(YEAR(A614),12,31)-DATE(YEAR(A614),1,1)+1)</f>
        <v/>
      </c>
      <c r="D614">
        <f>IF(A614="","",Ввод!$B$4-SUMIF(Оплаты!$A$6:$A$505,"&lt;"&amp;A614,Оплаты!$B$6:$B$505))</f>
        <v/>
      </c>
      <c r="E614">
        <f>IF(A614="","",IF(SUMPRODUCT((Ввод!$F$12:$F$31&lt;&gt;"")*(Ввод!$F$12:$F$31&lt;=A614)*(Ввод!$G$12:$G$31&gt;=A614))&gt;0,1,0))</f>
        <v/>
      </c>
      <c r="F614">
        <f>IF(OR(A614="",B614=""),"",IF(E614=1,0,D614*B614/100/C614))</f>
        <v/>
      </c>
      <c r="G614">
        <f>IF(A614="","",IF(OR(B614&lt;&gt;B613,C614&lt;&gt;C613,D614&lt;&gt;D613,E614&lt;&gt;E613),G613+1,G613))</f>
        <v/>
      </c>
    </row>
    <row r="615">
      <c r="A615" s="14">
        <f>IF(OR(NOT(ISNUMBER(Ввод!$B$5)),NOT(ISNUMBER(Ввод!$B$6))),"",IF(Ввод!$B$5+613&gt;Ввод!$B$6,"",Ввод!$B$5+613))</f>
        <v/>
      </c>
      <c r="B615">
        <f>IF(A615="","",IFERROR(INDEX(Ввод!$B$12:$B$71,MATCH(A615,Ввод!$D$12:$D$71,1)),""))</f>
        <v/>
      </c>
      <c r="C615">
        <f>IF(A615="","",DATE(YEAR(A615),12,31)-DATE(YEAR(A615),1,1)+1)</f>
        <v/>
      </c>
      <c r="D615">
        <f>IF(A615="","",Ввод!$B$4-SUMIF(Оплаты!$A$6:$A$505,"&lt;"&amp;A615,Оплаты!$B$6:$B$505))</f>
        <v/>
      </c>
      <c r="E615">
        <f>IF(A615="","",IF(SUMPRODUCT((Ввод!$F$12:$F$31&lt;&gt;"")*(Ввод!$F$12:$F$31&lt;=A615)*(Ввод!$G$12:$G$31&gt;=A615))&gt;0,1,0))</f>
        <v/>
      </c>
      <c r="F615">
        <f>IF(OR(A615="",B615=""),"",IF(E615=1,0,D615*B615/100/C615))</f>
        <v/>
      </c>
      <c r="G615">
        <f>IF(A615="","",IF(OR(B615&lt;&gt;B614,C615&lt;&gt;C614,D615&lt;&gt;D614,E615&lt;&gt;E614),G614+1,G614))</f>
        <v/>
      </c>
    </row>
    <row r="616">
      <c r="A616" s="14">
        <f>IF(OR(NOT(ISNUMBER(Ввод!$B$5)),NOT(ISNUMBER(Ввод!$B$6))),"",IF(Ввод!$B$5+614&gt;Ввод!$B$6,"",Ввод!$B$5+614))</f>
        <v/>
      </c>
      <c r="B616">
        <f>IF(A616="","",IFERROR(INDEX(Ввод!$B$12:$B$71,MATCH(A616,Ввод!$D$12:$D$71,1)),""))</f>
        <v/>
      </c>
      <c r="C616">
        <f>IF(A616="","",DATE(YEAR(A616),12,31)-DATE(YEAR(A616),1,1)+1)</f>
        <v/>
      </c>
      <c r="D616">
        <f>IF(A616="","",Ввод!$B$4-SUMIF(Оплаты!$A$6:$A$505,"&lt;"&amp;A616,Оплаты!$B$6:$B$505))</f>
        <v/>
      </c>
      <c r="E616">
        <f>IF(A616="","",IF(SUMPRODUCT((Ввод!$F$12:$F$31&lt;&gt;"")*(Ввод!$F$12:$F$31&lt;=A616)*(Ввод!$G$12:$G$31&gt;=A616))&gt;0,1,0))</f>
        <v/>
      </c>
      <c r="F616">
        <f>IF(OR(A616="",B616=""),"",IF(E616=1,0,D616*B616/100/C616))</f>
        <v/>
      </c>
      <c r="G616">
        <f>IF(A616="","",IF(OR(B616&lt;&gt;B615,C616&lt;&gt;C615,D616&lt;&gt;D615,E616&lt;&gt;E615),G615+1,G615))</f>
        <v/>
      </c>
    </row>
    <row r="617">
      <c r="A617" s="14">
        <f>IF(OR(NOT(ISNUMBER(Ввод!$B$5)),NOT(ISNUMBER(Ввод!$B$6))),"",IF(Ввод!$B$5+615&gt;Ввод!$B$6,"",Ввод!$B$5+615))</f>
        <v/>
      </c>
      <c r="B617">
        <f>IF(A617="","",IFERROR(INDEX(Ввод!$B$12:$B$71,MATCH(A617,Ввод!$D$12:$D$71,1)),""))</f>
        <v/>
      </c>
      <c r="C617">
        <f>IF(A617="","",DATE(YEAR(A617),12,31)-DATE(YEAR(A617),1,1)+1)</f>
        <v/>
      </c>
      <c r="D617">
        <f>IF(A617="","",Ввод!$B$4-SUMIF(Оплаты!$A$6:$A$505,"&lt;"&amp;A617,Оплаты!$B$6:$B$505))</f>
        <v/>
      </c>
      <c r="E617">
        <f>IF(A617="","",IF(SUMPRODUCT((Ввод!$F$12:$F$31&lt;&gt;"")*(Ввод!$F$12:$F$31&lt;=A617)*(Ввод!$G$12:$G$31&gt;=A617))&gt;0,1,0))</f>
        <v/>
      </c>
      <c r="F617">
        <f>IF(OR(A617="",B617=""),"",IF(E617=1,0,D617*B617/100/C617))</f>
        <v/>
      </c>
      <c r="G617">
        <f>IF(A617="","",IF(OR(B617&lt;&gt;B616,C617&lt;&gt;C616,D617&lt;&gt;D616,E617&lt;&gt;E616),G616+1,G616))</f>
        <v/>
      </c>
    </row>
    <row r="618">
      <c r="A618" s="14">
        <f>IF(OR(NOT(ISNUMBER(Ввод!$B$5)),NOT(ISNUMBER(Ввод!$B$6))),"",IF(Ввод!$B$5+616&gt;Ввод!$B$6,"",Ввод!$B$5+616))</f>
        <v/>
      </c>
      <c r="B618">
        <f>IF(A618="","",IFERROR(INDEX(Ввод!$B$12:$B$71,MATCH(A618,Ввод!$D$12:$D$71,1)),""))</f>
        <v/>
      </c>
      <c r="C618">
        <f>IF(A618="","",DATE(YEAR(A618),12,31)-DATE(YEAR(A618),1,1)+1)</f>
        <v/>
      </c>
      <c r="D618">
        <f>IF(A618="","",Ввод!$B$4-SUMIF(Оплаты!$A$6:$A$505,"&lt;"&amp;A618,Оплаты!$B$6:$B$505))</f>
        <v/>
      </c>
      <c r="E618">
        <f>IF(A618="","",IF(SUMPRODUCT((Ввод!$F$12:$F$31&lt;&gt;"")*(Ввод!$F$12:$F$31&lt;=A618)*(Ввод!$G$12:$G$31&gt;=A618))&gt;0,1,0))</f>
        <v/>
      </c>
      <c r="F618">
        <f>IF(OR(A618="",B618=""),"",IF(E618=1,0,D618*B618/100/C618))</f>
        <v/>
      </c>
      <c r="G618">
        <f>IF(A618="","",IF(OR(B618&lt;&gt;B617,C618&lt;&gt;C617,D618&lt;&gt;D617,E618&lt;&gt;E617),G617+1,G617))</f>
        <v/>
      </c>
    </row>
    <row r="619">
      <c r="A619" s="14">
        <f>IF(OR(NOT(ISNUMBER(Ввод!$B$5)),NOT(ISNUMBER(Ввод!$B$6))),"",IF(Ввод!$B$5+617&gt;Ввод!$B$6,"",Ввод!$B$5+617))</f>
        <v/>
      </c>
      <c r="B619">
        <f>IF(A619="","",IFERROR(INDEX(Ввод!$B$12:$B$71,MATCH(A619,Ввод!$D$12:$D$71,1)),""))</f>
        <v/>
      </c>
      <c r="C619">
        <f>IF(A619="","",DATE(YEAR(A619),12,31)-DATE(YEAR(A619),1,1)+1)</f>
        <v/>
      </c>
      <c r="D619">
        <f>IF(A619="","",Ввод!$B$4-SUMIF(Оплаты!$A$6:$A$505,"&lt;"&amp;A619,Оплаты!$B$6:$B$505))</f>
        <v/>
      </c>
      <c r="E619">
        <f>IF(A619="","",IF(SUMPRODUCT((Ввод!$F$12:$F$31&lt;&gt;"")*(Ввод!$F$12:$F$31&lt;=A619)*(Ввод!$G$12:$G$31&gt;=A619))&gt;0,1,0))</f>
        <v/>
      </c>
      <c r="F619">
        <f>IF(OR(A619="",B619=""),"",IF(E619=1,0,D619*B619/100/C619))</f>
        <v/>
      </c>
      <c r="G619">
        <f>IF(A619="","",IF(OR(B619&lt;&gt;B618,C619&lt;&gt;C618,D619&lt;&gt;D618,E619&lt;&gt;E618),G618+1,G618))</f>
        <v/>
      </c>
    </row>
    <row r="620">
      <c r="A620" s="14">
        <f>IF(OR(NOT(ISNUMBER(Ввод!$B$5)),NOT(ISNUMBER(Ввод!$B$6))),"",IF(Ввод!$B$5+618&gt;Ввод!$B$6,"",Ввод!$B$5+618))</f>
        <v/>
      </c>
      <c r="B620">
        <f>IF(A620="","",IFERROR(INDEX(Ввод!$B$12:$B$71,MATCH(A620,Ввод!$D$12:$D$71,1)),""))</f>
        <v/>
      </c>
      <c r="C620">
        <f>IF(A620="","",DATE(YEAR(A620),12,31)-DATE(YEAR(A620),1,1)+1)</f>
        <v/>
      </c>
      <c r="D620">
        <f>IF(A620="","",Ввод!$B$4-SUMIF(Оплаты!$A$6:$A$505,"&lt;"&amp;A620,Оплаты!$B$6:$B$505))</f>
        <v/>
      </c>
      <c r="E620">
        <f>IF(A620="","",IF(SUMPRODUCT((Ввод!$F$12:$F$31&lt;&gt;"")*(Ввод!$F$12:$F$31&lt;=A620)*(Ввод!$G$12:$G$31&gt;=A620))&gt;0,1,0))</f>
        <v/>
      </c>
      <c r="F620">
        <f>IF(OR(A620="",B620=""),"",IF(E620=1,0,D620*B620/100/C620))</f>
        <v/>
      </c>
      <c r="G620">
        <f>IF(A620="","",IF(OR(B620&lt;&gt;B619,C620&lt;&gt;C619,D620&lt;&gt;D619,E620&lt;&gt;E619),G619+1,G619))</f>
        <v/>
      </c>
    </row>
    <row r="621">
      <c r="A621" s="14">
        <f>IF(OR(NOT(ISNUMBER(Ввод!$B$5)),NOT(ISNUMBER(Ввод!$B$6))),"",IF(Ввод!$B$5+619&gt;Ввод!$B$6,"",Ввод!$B$5+619))</f>
        <v/>
      </c>
      <c r="B621">
        <f>IF(A621="","",IFERROR(INDEX(Ввод!$B$12:$B$71,MATCH(A621,Ввод!$D$12:$D$71,1)),""))</f>
        <v/>
      </c>
      <c r="C621">
        <f>IF(A621="","",DATE(YEAR(A621),12,31)-DATE(YEAR(A621),1,1)+1)</f>
        <v/>
      </c>
      <c r="D621">
        <f>IF(A621="","",Ввод!$B$4-SUMIF(Оплаты!$A$6:$A$505,"&lt;"&amp;A621,Оплаты!$B$6:$B$505))</f>
        <v/>
      </c>
      <c r="E621">
        <f>IF(A621="","",IF(SUMPRODUCT((Ввод!$F$12:$F$31&lt;&gt;"")*(Ввод!$F$12:$F$31&lt;=A621)*(Ввод!$G$12:$G$31&gt;=A621))&gt;0,1,0))</f>
        <v/>
      </c>
      <c r="F621">
        <f>IF(OR(A621="",B621=""),"",IF(E621=1,0,D621*B621/100/C621))</f>
        <v/>
      </c>
      <c r="G621">
        <f>IF(A621="","",IF(OR(B621&lt;&gt;B620,C621&lt;&gt;C620,D621&lt;&gt;D620,E621&lt;&gt;E620),G620+1,G620))</f>
        <v/>
      </c>
    </row>
    <row r="622">
      <c r="A622" s="14">
        <f>IF(OR(NOT(ISNUMBER(Ввод!$B$5)),NOT(ISNUMBER(Ввод!$B$6))),"",IF(Ввод!$B$5+620&gt;Ввод!$B$6,"",Ввод!$B$5+620))</f>
        <v/>
      </c>
      <c r="B622">
        <f>IF(A622="","",IFERROR(INDEX(Ввод!$B$12:$B$71,MATCH(A622,Ввод!$D$12:$D$71,1)),""))</f>
        <v/>
      </c>
      <c r="C622">
        <f>IF(A622="","",DATE(YEAR(A622),12,31)-DATE(YEAR(A622),1,1)+1)</f>
        <v/>
      </c>
      <c r="D622">
        <f>IF(A622="","",Ввод!$B$4-SUMIF(Оплаты!$A$6:$A$505,"&lt;"&amp;A622,Оплаты!$B$6:$B$505))</f>
        <v/>
      </c>
      <c r="E622">
        <f>IF(A622="","",IF(SUMPRODUCT((Ввод!$F$12:$F$31&lt;&gt;"")*(Ввод!$F$12:$F$31&lt;=A622)*(Ввод!$G$12:$G$31&gt;=A622))&gt;0,1,0))</f>
        <v/>
      </c>
      <c r="F622">
        <f>IF(OR(A622="",B622=""),"",IF(E622=1,0,D622*B622/100/C622))</f>
        <v/>
      </c>
      <c r="G622">
        <f>IF(A622="","",IF(OR(B622&lt;&gt;B621,C622&lt;&gt;C621,D622&lt;&gt;D621,E622&lt;&gt;E621),G621+1,G621))</f>
        <v/>
      </c>
    </row>
    <row r="623">
      <c r="A623" s="14">
        <f>IF(OR(NOT(ISNUMBER(Ввод!$B$5)),NOT(ISNUMBER(Ввод!$B$6))),"",IF(Ввод!$B$5+621&gt;Ввод!$B$6,"",Ввод!$B$5+621))</f>
        <v/>
      </c>
      <c r="B623">
        <f>IF(A623="","",IFERROR(INDEX(Ввод!$B$12:$B$71,MATCH(A623,Ввод!$D$12:$D$71,1)),""))</f>
        <v/>
      </c>
      <c r="C623">
        <f>IF(A623="","",DATE(YEAR(A623),12,31)-DATE(YEAR(A623),1,1)+1)</f>
        <v/>
      </c>
      <c r="D623">
        <f>IF(A623="","",Ввод!$B$4-SUMIF(Оплаты!$A$6:$A$505,"&lt;"&amp;A623,Оплаты!$B$6:$B$505))</f>
        <v/>
      </c>
      <c r="E623">
        <f>IF(A623="","",IF(SUMPRODUCT((Ввод!$F$12:$F$31&lt;&gt;"")*(Ввод!$F$12:$F$31&lt;=A623)*(Ввод!$G$12:$G$31&gt;=A623))&gt;0,1,0))</f>
        <v/>
      </c>
      <c r="F623">
        <f>IF(OR(A623="",B623=""),"",IF(E623=1,0,D623*B623/100/C623))</f>
        <v/>
      </c>
      <c r="G623">
        <f>IF(A623="","",IF(OR(B623&lt;&gt;B622,C623&lt;&gt;C622,D623&lt;&gt;D622,E623&lt;&gt;E622),G622+1,G622))</f>
        <v/>
      </c>
    </row>
    <row r="624">
      <c r="A624" s="14">
        <f>IF(OR(NOT(ISNUMBER(Ввод!$B$5)),NOT(ISNUMBER(Ввод!$B$6))),"",IF(Ввод!$B$5+622&gt;Ввод!$B$6,"",Ввод!$B$5+622))</f>
        <v/>
      </c>
      <c r="B624">
        <f>IF(A624="","",IFERROR(INDEX(Ввод!$B$12:$B$71,MATCH(A624,Ввод!$D$12:$D$71,1)),""))</f>
        <v/>
      </c>
      <c r="C624">
        <f>IF(A624="","",DATE(YEAR(A624),12,31)-DATE(YEAR(A624),1,1)+1)</f>
        <v/>
      </c>
      <c r="D624">
        <f>IF(A624="","",Ввод!$B$4-SUMIF(Оплаты!$A$6:$A$505,"&lt;"&amp;A624,Оплаты!$B$6:$B$505))</f>
        <v/>
      </c>
      <c r="E624">
        <f>IF(A624="","",IF(SUMPRODUCT((Ввод!$F$12:$F$31&lt;&gt;"")*(Ввод!$F$12:$F$31&lt;=A624)*(Ввод!$G$12:$G$31&gt;=A624))&gt;0,1,0))</f>
        <v/>
      </c>
      <c r="F624">
        <f>IF(OR(A624="",B624=""),"",IF(E624=1,0,D624*B624/100/C624))</f>
        <v/>
      </c>
      <c r="G624">
        <f>IF(A624="","",IF(OR(B624&lt;&gt;B623,C624&lt;&gt;C623,D624&lt;&gt;D623,E624&lt;&gt;E623),G623+1,G623))</f>
        <v/>
      </c>
    </row>
    <row r="625">
      <c r="A625" s="14">
        <f>IF(OR(NOT(ISNUMBER(Ввод!$B$5)),NOT(ISNUMBER(Ввод!$B$6))),"",IF(Ввод!$B$5+623&gt;Ввод!$B$6,"",Ввод!$B$5+623))</f>
        <v/>
      </c>
      <c r="B625">
        <f>IF(A625="","",IFERROR(INDEX(Ввод!$B$12:$B$71,MATCH(A625,Ввод!$D$12:$D$71,1)),""))</f>
        <v/>
      </c>
      <c r="C625">
        <f>IF(A625="","",DATE(YEAR(A625),12,31)-DATE(YEAR(A625),1,1)+1)</f>
        <v/>
      </c>
      <c r="D625">
        <f>IF(A625="","",Ввод!$B$4-SUMIF(Оплаты!$A$6:$A$505,"&lt;"&amp;A625,Оплаты!$B$6:$B$505))</f>
        <v/>
      </c>
      <c r="E625">
        <f>IF(A625="","",IF(SUMPRODUCT((Ввод!$F$12:$F$31&lt;&gt;"")*(Ввод!$F$12:$F$31&lt;=A625)*(Ввод!$G$12:$G$31&gt;=A625))&gt;0,1,0))</f>
        <v/>
      </c>
      <c r="F625">
        <f>IF(OR(A625="",B625=""),"",IF(E625=1,0,D625*B625/100/C625))</f>
        <v/>
      </c>
      <c r="G625">
        <f>IF(A625="","",IF(OR(B625&lt;&gt;B624,C625&lt;&gt;C624,D625&lt;&gt;D624,E625&lt;&gt;E624),G624+1,G624))</f>
        <v/>
      </c>
    </row>
    <row r="626">
      <c r="A626" s="14">
        <f>IF(OR(NOT(ISNUMBER(Ввод!$B$5)),NOT(ISNUMBER(Ввод!$B$6))),"",IF(Ввод!$B$5+624&gt;Ввод!$B$6,"",Ввод!$B$5+624))</f>
        <v/>
      </c>
      <c r="B626">
        <f>IF(A626="","",IFERROR(INDEX(Ввод!$B$12:$B$71,MATCH(A626,Ввод!$D$12:$D$71,1)),""))</f>
        <v/>
      </c>
      <c r="C626">
        <f>IF(A626="","",DATE(YEAR(A626),12,31)-DATE(YEAR(A626),1,1)+1)</f>
        <v/>
      </c>
      <c r="D626">
        <f>IF(A626="","",Ввод!$B$4-SUMIF(Оплаты!$A$6:$A$505,"&lt;"&amp;A626,Оплаты!$B$6:$B$505))</f>
        <v/>
      </c>
      <c r="E626">
        <f>IF(A626="","",IF(SUMPRODUCT((Ввод!$F$12:$F$31&lt;&gt;"")*(Ввод!$F$12:$F$31&lt;=A626)*(Ввод!$G$12:$G$31&gt;=A626))&gt;0,1,0))</f>
        <v/>
      </c>
      <c r="F626">
        <f>IF(OR(A626="",B626=""),"",IF(E626=1,0,D626*B626/100/C626))</f>
        <v/>
      </c>
      <c r="G626">
        <f>IF(A626="","",IF(OR(B626&lt;&gt;B625,C626&lt;&gt;C625,D626&lt;&gt;D625,E626&lt;&gt;E625),G625+1,G625))</f>
        <v/>
      </c>
    </row>
    <row r="627">
      <c r="A627" s="14">
        <f>IF(OR(NOT(ISNUMBER(Ввод!$B$5)),NOT(ISNUMBER(Ввод!$B$6))),"",IF(Ввод!$B$5+625&gt;Ввод!$B$6,"",Ввод!$B$5+625))</f>
        <v/>
      </c>
      <c r="B627">
        <f>IF(A627="","",IFERROR(INDEX(Ввод!$B$12:$B$71,MATCH(A627,Ввод!$D$12:$D$71,1)),""))</f>
        <v/>
      </c>
      <c r="C627">
        <f>IF(A627="","",DATE(YEAR(A627),12,31)-DATE(YEAR(A627),1,1)+1)</f>
        <v/>
      </c>
      <c r="D627">
        <f>IF(A627="","",Ввод!$B$4-SUMIF(Оплаты!$A$6:$A$505,"&lt;"&amp;A627,Оплаты!$B$6:$B$505))</f>
        <v/>
      </c>
      <c r="E627">
        <f>IF(A627="","",IF(SUMPRODUCT((Ввод!$F$12:$F$31&lt;&gt;"")*(Ввод!$F$12:$F$31&lt;=A627)*(Ввод!$G$12:$G$31&gt;=A627))&gt;0,1,0))</f>
        <v/>
      </c>
      <c r="F627">
        <f>IF(OR(A627="",B627=""),"",IF(E627=1,0,D627*B627/100/C627))</f>
        <v/>
      </c>
      <c r="G627">
        <f>IF(A627="","",IF(OR(B627&lt;&gt;B626,C627&lt;&gt;C626,D627&lt;&gt;D626,E627&lt;&gt;E626),G626+1,G626))</f>
        <v/>
      </c>
    </row>
    <row r="628">
      <c r="A628" s="14">
        <f>IF(OR(NOT(ISNUMBER(Ввод!$B$5)),NOT(ISNUMBER(Ввод!$B$6))),"",IF(Ввод!$B$5+626&gt;Ввод!$B$6,"",Ввод!$B$5+626))</f>
        <v/>
      </c>
      <c r="B628">
        <f>IF(A628="","",IFERROR(INDEX(Ввод!$B$12:$B$71,MATCH(A628,Ввод!$D$12:$D$71,1)),""))</f>
        <v/>
      </c>
      <c r="C628">
        <f>IF(A628="","",DATE(YEAR(A628),12,31)-DATE(YEAR(A628),1,1)+1)</f>
        <v/>
      </c>
      <c r="D628">
        <f>IF(A628="","",Ввод!$B$4-SUMIF(Оплаты!$A$6:$A$505,"&lt;"&amp;A628,Оплаты!$B$6:$B$505))</f>
        <v/>
      </c>
      <c r="E628">
        <f>IF(A628="","",IF(SUMPRODUCT((Ввод!$F$12:$F$31&lt;&gt;"")*(Ввод!$F$12:$F$31&lt;=A628)*(Ввод!$G$12:$G$31&gt;=A628))&gt;0,1,0))</f>
        <v/>
      </c>
      <c r="F628">
        <f>IF(OR(A628="",B628=""),"",IF(E628=1,0,D628*B628/100/C628))</f>
        <v/>
      </c>
      <c r="G628">
        <f>IF(A628="","",IF(OR(B628&lt;&gt;B627,C628&lt;&gt;C627,D628&lt;&gt;D627,E628&lt;&gt;E627),G627+1,G627))</f>
        <v/>
      </c>
    </row>
    <row r="629">
      <c r="A629" s="14">
        <f>IF(OR(NOT(ISNUMBER(Ввод!$B$5)),NOT(ISNUMBER(Ввод!$B$6))),"",IF(Ввод!$B$5+627&gt;Ввод!$B$6,"",Ввод!$B$5+627))</f>
        <v/>
      </c>
      <c r="B629">
        <f>IF(A629="","",IFERROR(INDEX(Ввод!$B$12:$B$71,MATCH(A629,Ввод!$D$12:$D$71,1)),""))</f>
        <v/>
      </c>
      <c r="C629">
        <f>IF(A629="","",DATE(YEAR(A629),12,31)-DATE(YEAR(A629),1,1)+1)</f>
        <v/>
      </c>
      <c r="D629">
        <f>IF(A629="","",Ввод!$B$4-SUMIF(Оплаты!$A$6:$A$505,"&lt;"&amp;A629,Оплаты!$B$6:$B$505))</f>
        <v/>
      </c>
      <c r="E629">
        <f>IF(A629="","",IF(SUMPRODUCT((Ввод!$F$12:$F$31&lt;&gt;"")*(Ввод!$F$12:$F$31&lt;=A629)*(Ввод!$G$12:$G$31&gt;=A629))&gt;0,1,0))</f>
        <v/>
      </c>
      <c r="F629">
        <f>IF(OR(A629="",B629=""),"",IF(E629=1,0,D629*B629/100/C629))</f>
        <v/>
      </c>
      <c r="G629">
        <f>IF(A629="","",IF(OR(B629&lt;&gt;B628,C629&lt;&gt;C628,D629&lt;&gt;D628,E629&lt;&gt;E628),G628+1,G628))</f>
        <v/>
      </c>
    </row>
    <row r="630">
      <c r="A630" s="14">
        <f>IF(OR(NOT(ISNUMBER(Ввод!$B$5)),NOT(ISNUMBER(Ввод!$B$6))),"",IF(Ввод!$B$5+628&gt;Ввод!$B$6,"",Ввод!$B$5+628))</f>
        <v/>
      </c>
      <c r="B630">
        <f>IF(A630="","",IFERROR(INDEX(Ввод!$B$12:$B$71,MATCH(A630,Ввод!$D$12:$D$71,1)),""))</f>
        <v/>
      </c>
      <c r="C630">
        <f>IF(A630="","",DATE(YEAR(A630),12,31)-DATE(YEAR(A630),1,1)+1)</f>
        <v/>
      </c>
      <c r="D630">
        <f>IF(A630="","",Ввод!$B$4-SUMIF(Оплаты!$A$6:$A$505,"&lt;"&amp;A630,Оплаты!$B$6:$B$505))</f>
        <v/>
      </c>
      <c r="E630">
        <f>IF(A630="","",IF(SUMPRODUCT((Ввод!$F$12:$F$31&lt;&gt;"")*(Ввод!$F$12:$F$31&lt;=A630)*(Ввод!$G$12:$G$31&gt;=A630))&gt;0,1,0))</f>
        <v/>
      </c>
      <c r="F630">
        <f>IF(OR(A630="",B630=""),"",IF(E630=1,0,D630*B630/100/C630))</f>
        <v/>
      </c>
      <c r="G630">
        <f>IF(A630="","",IF(OR(B630&lt;&gt;B629,C630&lt;&gt;C629,D630&lt;&gt;D629,E630&lt;&gt;E629),G629+1,G629))</f>
        <v/>
      </c>
    </row>
    <row r="631">
      <c r="A631" s="14">
        <f>IF(OR(NOT(ISNUMBER(Ввод!$B$5)),NOT(ISNUMBER(Ввод!$B$6))),"",IF(Ввод!$B$5+629&gt;Ввод!$B$6,"",Ввод!$B$5+629))</f>
        <v/>
      </c>
      <c r="B631">
        <f>IF(A631="","",IFERROR(INDEX(Ввод!$B$12:$B$71,MATCH(A631,Ввод!$D$12:$D$71,1)),""))</f>
        <v/>
      </c>
      <c r="C631">
        <f>IF(A631="","",DATE(YEAR(A631),12,31)-DATE(YEAR(A631),1,1)+1)</f>
        <v/>
      </c>
      <c r="D631">
        <f>IF(A631="","",Ввод!$B$4-SUMIF(Оплаты!$A$6:$A$505,"&lt;"&amp;A631,Оплаты!$B$6:$B$505))</f>
        <v/>
      </c>
      <c r="E631">
        <f>IF(A631="","",IF(SUMPRODUCT((Ввод!$F$12:$F$31&lt;&gt;"")*(Ввод!$F$12:$F$31&lt;=A631)*(Ввод!$G$12:$G$31&gt;=A631))&gt;0,1,0))</f>
        <v/>
      </c>
      <c r="F631">
        <f>IF(OR(A631="",B631=""),"",IF(E631=1,0,D631*B631/100/C631))</f>
        <v/>
      </c>
      <c r="G631">
        <f>IF(A631="","",IF(OR(B631&lt;&gt;B630,C631&lt;&gt;C630,D631&lt;&gt;D630,E631&lt;&gt;E630),G630+1,G630))</f>
        <v/>
      </c>
    </row>
    <row r="632">
      <c r="A632" s="14">
        <f>IF(OR(NOT(ISNUMBER(Ввод!$B$5)),NOT(ISNUMBER(Ввод!$B$6))),"",IF(Ввод!$B$5+630&gt;Ввод!$B$6,"",Ввод!$B$5+630))</f>
        <v/>
      </c>
      <c r="B632">
        <f>IF(A632="","",IFERROR(INDEX(Ввод!$B$12:$B$71,MATCH(A632,Ввод!$D$12:$D$71,1)),""))</f>
        <v/>
      </c>
      <c r="C632">
        <f>IF(A632="","",DATE(YEAR(A632),12,31)-DATE(YEAR(A632),1,1)+1)</f>
        <v/>
      </c>
      <c r="D632">
        <f>IF(A632="","",Ввод!$B$4-SUMIF(Оплаты!$A$6:$A$505,"&lt;"&amp;A632,Оплаты!$B$6:$B$505))</f>
        <v/>
      </c>
      <c r="E632">
        <f>IF(A632="","",IF(SUMPRODUCT((Ввод!$F$12:$F$31&lt;&gt;"")*(Ввод!$F$12:$F$31&lt;=A632)*(Ввод!$G$12:$G$31&gt;=A632))&gt;0,1,0))</f>
        <v/>
      </c>
      <c r="F632">
        <f>IF(OR(A632="",B632=""),"",IF(E632=1,0,D632*B632/100/C632))</f>
        <v/>
      </c>
      <c r="G632">
        <f>IF(A632="","",IF(OR(B632&lt;&gt;B631,C632&lt;&gt;C631,D632&lt;&gt;D631,E632&lt;&gt;E631),G631+1,G631))</f>
        <v/>
      </c>
    </row>
    <row r="633">
      <c r="A633" s="14">
        <f>IF(OR(NOT(ISNUMBER(Ввод!$B$5)),NOT(ISNUMBER(Ввод!$B$6))),"",IF(Ввод!$B$5+631&gt;Ввод!$B$6,"",Ввод!$B$5+631))</f>
        <v/>
      </c>
      <c r="B633">
        <f>IF(A633="","",IFERROR(INDEX(Ввод!$B$12:$B$71,MATCH(A633,Ввод!$D$12:$D$71,1)),""))</f>
        <v/>
      </c>
      <c r="C633">
        <f>IF(A633="","",DATE(YEAR(A633),12,31)-DATE(YEAR(A633),1,1)+1)</f>
        <v/>
      </c>
      <c r="D633">
        <f>IF(A633="","",Ввод!$B$4-SUMIF(Оплаты!$A$6:$A$505,"&lt;"&amp;A633,Оплаты!$B$6:$B$505))</f>
        <v/>
      </c>
      <c r="E633">
        <f>IF(A633="","",IF(SUMPRODUCT((Ввод!$F$12:$F$31&lt;&gt;"")*(Ввод!$F$12:$F$31&lt;=A633)*(Ввод!$G$12:$G$31&gt;=A633))&gt;0,1,0))</f>
        <v/>
      </c>
      <c r="F633">
        <f>IF(OR(A633="",B633=""),"",IF(E633=1,0,D633*B633/100/C633))</f>
        <v/>
      </c>
      <c r="G633">
        <f>IF(A633="","",IF(OR(B633&lt;&gt;B632,C633&lt;&gt;C632,D633&lt;&gt;D632,E633&lt;&gt;E632),G632+1,G632))</f>
        <v/>
      </c>
    </row>
    <row r="634">
      <c r="A634" s="14">
        <f>IF(OR(NOT(ISNUMBER(Ввод!$B$5)),NOT(ISNUMBER(Ввод!$B$6))),"",IF(Ввод!$B$5+632&gt;Ввод!$B$6,"",Ввод!$B$5+632))</f>
        <v/>
      </c>
      <c r="B634">
        <f>IF(A634="","",IFERROR(INDEX(Ввод!$B$12:$B$71,MATCH(A634,Ввод!$D$12:$D$71,1)),""))</f>
        <v/>
      </c>
      <c r="C634">
        <f>IF(A634="","",DATE(YEAR(A634),12,31)-DATE(YEAR(A634),1,1)+1)</f>
        <v/>
      </c>
      <c r="D634">
        <f>IF(A634="","",Ввод!$B$4-SUMIF(Оплаты!$A$6:$A$505,"&lt;"&amp;A634,Оплаты!$B$6:$B$505))</f>
        <v/>
      </c>
      <c r="E634">
        <f>IF(A634="","",IF(SUMPRODUCT((Ввод!$F$12:$F$31&lt;&gt;"")*(Ввод!$F$12:$F$31&lt;=A634)*(Ввод!$G$12:$G$31&gt;=A634))&gt;0,1,0))</f>
        <v/>
      </c>
      <c r="F634">
        <f>IF(OR(A634="",B634=""),"",IF(E634=1,0,D634*B634/100/C634))</f>
        <v/>
      </c>
      <c r="G634">
        <f>IF(A634="","",IF(OR(B634&lt;&gt;B633,C634&lt;&gt;C633,D634&lt;&gt;D633,E634&lt;&gt;E633),G633+1,G633))</f>
        <v/>
      </c>
    </row>
    <row r="635">
      <c r="A635" s="14">
        <f>IF(OR(NOT(ISNUMBER(Ввод!$B$5)),NOT(ISNUMBER(Ввод!$B$6))),"",IF(Ввод!$B$5+633&gt;Ввод!$B$6,"",Ввод!$B$5+633))</f>
        <v/>
      </c>
      <c r="B635">
        <f>IF(A635="","",IFERROR(INDEX(Ввод!$B$12:$B$71,MATCH(A635,Ввод!$D$12:$D$71,1)),""))</f>
        <v/>
      </c>
      <c r="C635">
        <f>IF(A635="","",DATE(YEAR(A635),12,31)-DATE(YEAR(A635),1,1)+1)</f>
        <v/>
      </c>
      <c r="D635">
        <f>IF(A635="","",Ввод!$B$4-SUMIF(Оплаты!$A$6:$A$505,"&lt;"&amp;A635,Оплаты!$B$6:$B$505))</f>
        <v/>
      </c>
      <c r="E635">
        <f>IF(A635="","",IF(SUMPRODUCT((Ввод!$F$12:$F$31&lt;&gt;"")*(Ввод!$F$12:$F$31&lt;=A635)*(Ввод!$G$12:$G$31&gt;=A635))&gt;0,1,0))</f>
        <v/>
      </c>
      <c r="F635">
        <f>IF(OR(A635="",B635=""),"",IF(E635=1,0,D635*B635/100/C635))</f>
        <v/>
      </c>
      <c r="G635">
        <f>IF(A635="","",IF(OR(B635&lt;&gt;B634,C635&lt;&gt;C634,D635&lt;&gt;D634,E635&lt;&gt;E634),G634+1,G634))</f>
        <v/>
      </c>
    </row>
    <row r="636">
      <c r="A636" s="14">
        <f>IF(OR(NOT(ISNUMBER(Ввод!$B$5)),NOT(ISNUMBER(Ввод!$B$6))),"",IF(Ввод!$B$5+634&gt;Ввод!$B$6,"",Ввод!$B$5+634))</f>
        <v/>
      </c>
      <c r="B636">
        <f>IF(A636="","",IFERROR(INDEX(Ввод!$B$12:$B$71,MATCH(A636,Ввод!$D$12:$D$71,1)),""))</f>
        <v/>
      </c>
      <c r="C636">
        <f>IF(A636="","",DATE(YEAR(A636),12,31)-DATE(YEAR(A636),1,1)+1)</f>
        <v/>
      </c>
      <c r="D636">
        <f>IF(A636="","",Ввод!$B$4-SUMIF(Оплаты!$A$6:$A$505,"&lt;"&amp;A636,Оплаты!$B$6:$B$505))</f>
        <v/>
      </c>
      <c r="E636">
        <f>IF(A636="","",IF(SUMPRODUCT((Ввод!$F$12:$F$31&lt;&gt;"")*(Ввод!$F$12:$F$31&lt;=A636)*(Ввод!$G$12:$G$31&gt;=A636))&gt;0,1,0))</f>
        <v/>
      </c>
      <c r="F636">
        <f>IF(OR(A636="",B636=""),"",IF(E636=1,0,D636*B636/100/C636))</f>
        <v/>
      </c>
      <c r="G636">
        <f>IF(A636="","",IF(OR(B636&lt;&gt;B635,C636&lt;&gt;C635,D636&lt;&gt;D635,E636&lt;&gt;E635),G635+1,G635))</f>
        <v/>
      </c>
    </row>
    <row r="637">
      <c r="A637" s="14">
        <f>IF(OR(NOT(ISNUMBER(Ввод!$B$5)),NOT(ISNUMBER(Ввод!$B$6))),"",IF(Ввод!$B$5+635&gt;Ввод!$B$6,"",Ввод!$B$5+635))</f>
        <v/>
      </c>
      <c r="B637">
        <f>IF(A637="","",IFERROR(INDEX(Ввод!$B$12:$B$71,MATCH(A637,Ввод!$D$12:$D$71,1)),""))</f>
        <v/>
      </c>
      <c r="C637">
        <f>IF(A637="","",DATE(YEAR(A637),12,31)-DATE(YEAR(A637),1,1)+1)</f>
        <v/>
      </c>
      <c r="D637">
        <f>IF(A637="","",Ввод!$B$4-SUMIF(Оплаты!$A$6:$A$505,"&lt;"&amp;A637,Оплаты!$B$6:$B$505))</f>
        <v/>
      </c>
      <c r="E637">
        <f>IF(A637="","",IF(SUMPRODUCT((Ввод!$F$12:$F$31&lt;&gt;"")*(Ввод!$F$12:$F$31&lt;=A637)*(Ввод!$G$12:$G$31&gt;=A637))&gt;0,1,0))</f>
        <v/>
      </c>
      <c r="F637">
        <f>IF(OR(A637="",B637=""),"",IF(E637=1,0,D637*B637/100/C637))</f>
        <v/>
      </c>
      <c r="G637">
        <f>IF(A637="","",IF(OR(B637&lt;&gt;B636,C637&lt;&gt;C636,D637&lt;&gt;D636,E637&lt;&gt;E636),G636+1,G636))</f>
        <v/>
      </c>
    </row>
    <row r="638">
      <c r="A638" s="14">
        <f>IF(OR(NOT(ISNUMBER(Ввод!$B$5)),NOT(ISNUMBER(Ввод!$B$6))),"",IF(Ввод!$B$5+636&gt;Ввод!$B$6,"",Ввод!$B$5+636))</f>
        <v/>
      </c>
      <c r="B638">
        <f>IF(A638="","",IFERROR(INDEX(Ввод!$B$12:$B$71,MATCH(A638,Ввод!$D$12:$D$71,1)),""))</f>
        <v/>
      </c>
      <c r="C638">
        <f>IF(A638="","",DATE(YEAR(A638),12,31)-DATE(YEAR(A638),1,1)+1)</f>
        <v/>
      </c>
      <c r="D638">
        <f>IF(A638="","",Ввод!$B$4-SUMIF(Оплаты!$A$6:$A$505,"&lt;"&amp;A638,Оплаты!$B$6:$B$505))</f>
        <v/>
      </c>
      <c r="E638">
        <f>IF(A638="","",IF(SUMPRODUCT((Ввод!$F$12:$F$31&lt;&gt;"")*(Ввод!$F$12:$F$31&lt;=A638)*(Ввод!$G$12:$G$31&gt;=A638))&gt;0,1,0))</f>
        <v/>
      </c>
      <c r="F638">
        <f>IF(OR(A638="",B638=""),"",IF(E638=1,0,D638*B638/100/C638))</f>
        <v/>
      </c>
      <c r="G638">
        <f>IF(A638="","",IF(OR(B638&lt;&gt;B637,C638&lt;&gt;C637,D638&lt;&gt;D637,E638&lt;&gt;E637),G637+1,G637))</f>
        <v/>
      </c>
    </row>
    <row r="639">
      <c r="A639" s="14">
        <f>IF(OR(NOT(ISNUMBER(Ввод!$B$5)),NOT(ISNUMBER(Ввод!$B$6))),"",IF(Ввод!$B$5+637&gt;Ввод!$B$6,"",Ввод!$B$5+637))</f>
        <v/>
      </c>
      <c r="B639">
        <f>IF(A639="","",IFERROR(INDEX(Ввод!$B$12:$B$71,MATCH(A639,Ввод!$D$12:$D$71,1)),""))</f>
        <v/>
      </c>
      <c r="C639">
        <f>IF(A639="","",DATE(YEAR(A639),12,31)-DATE(YEAR(A639),1,1)+1)</f>
        <v/>
      </c>
      <c r="D639">
        <f>IF(A639="","",Ввод!$B$4-SUMIF(Оплаты!$A$6:$A$505,"&lt;"&amp;A639,Оплаты!$B$6:$B$505))</f>
        <v/>
      </c>
      <c r="E639">
        <f>IF(A639="","",IF(SUMPRODUCT((Ввод!$F$12:$F$31&lt;&gt;"")*(Ввод!$F$12:$F$31&lt;=A639)*(Ввод!$G$12:$G$31&gt;=A639))&gt;0,1,0))</f>
        <v/>
      </c>
      <c r="F639">
        <f>IF(OR(A639="",B639=""),"",IF(E639=1,0,D639*B639/100/C639))</f>
        <v/>
      </c>
      <c r="G639">
        <f>IF(A639="","",IF(OR(B639&lt;&gt;B638,C639&lt;&gt;C638,D639&lt;&gt;D638,E639&lt;&gt;E638),G638+1,G638))</f>
        <v/>
      </c>
    </row>
    <row r="640">
      <c r="A640" s="14">
        <f>IF(OR(NOT(ISNUMBER(Ввод!$B$5)),NOT(ISNUMBER(Ввод!$B$6))),"",IF(Ввод!$B$5+638&gt;Ввод!$B$6,"",Ввод!$B$5+638))</f>
        <v/>
      </c>
      <c r="B640">
        <f>IF(A640="","",IFERROR(INDEX(Ввод!$B$12:$B$71,MATCH(A640,Ввод!$D$12:$D$71,1)),""))</f>
        <v/>
      </c>
      <c r="C640">
        <f>IF(A640="","",DATE(YEAR(A640),12,31)-DATE(YEAR(A640),1,1)+1)</f>
        <v/>
      </c>
      <c r="D640">
        <f>IF(A640="","",Ввод!$B$4-SUMIF(Оплаты!$A$6:$A$505,"&lt;"&amp;A640,Оплаты!$B$6:$B$505))</f>
        <v/>
      </c>
      <c r="E640">
        <f>IF(A640="","",IF(SUMPRODUCT((Ввод!$F$12:$F$31&lt;&gt;"")*(Ввод!$F$12:$F$31&lt;=A640)*(Ввод!$G$12:$G$31&gt;=A640))&gt;0,1,0))</f>
        <v/>
      </c>
      <c r="F640">
        <f>IF(OR(A640="",B640=""),"",IF(E640=1,0,D640*B640/100/C640))</f>
        <v/>
      </c>
      <c r="G640">
        <f>IF(A640="","",IF(OR(B640&lt;&gt;B639,C640&lt;&gt;C639,D640&lt;&gt;D639,E640&lt;&gt;E639),G639+1,G639))</f>
        <v/>
      </c>
    </row>
    <row r="641">
      <c r="A641" s="14">
        <f>IF(OR(NOT(ISNUMBER(Ввод!$B$5)),NOT(ISNUMBER(Ввод!$B$6))),"",IF(Ввод!$B$5+639&gt;Ввод!$B$6,"",Ввод!$B$5+639))</f>
        <v/>
      </c>
      <c r="B641">
        <f>IF(A641="","",IFERROR(INDEX(Ввод!$B$12:$B$71,MATCH(A641,Ввод!$D$12:$D$71,1)),""))</f>
        <v/>
      </c>
      <c r="C641">
        <f>IF(A641="","",DATE(YEAR(A641),12,31)-DATE(YEAR(A641),1,1)+1)</f>
        <v/>
      </c>
      <c r="D641">
        <f>IF(A641="","",Ввод!$B$4-SUMIF(Оплаты!$A$6:$A$505,"&lt;"&amp;A641,Оплаты!$B$6:$B$505))</f>
        <v/>
      </c>
      <c r="E641">
        <f>IF(A641="","",IF(SUMPRODUCT((Ввод!$F$12:$F$31&lt;&gt;"")*(Ввод!$F$12:$F$31&lt;=A641)*(Ввод!$G$12:$G$31&gt;=A641))&gt;0,1,0))</f>
        <v/>
      </c>
      <c r="F641">
        <f>IF(OR(A641="",B641=""),"",IF(E641=1,0,D641*B641/100/C641))</f>
        <v/>
      </c>
      <c r="G641">
        <f>IF(A641="","",IF(OR(B641&lt;&gt;B640,C641&lt;&gt;C640,D641&lt;&gt;D640,E641&lt;&gt;E640),G640+1,G640))</f>
        <v/>
      </c>
    </row>
    <row r="642">
      <c r="A642" s="14">
        <f>IF(OR(NOT(ISNUMBER(Ввод!$B$5)),NOT(ISNUMBER(Ввод!$B$6))),"",IF(Ввод!$B$5+640&gt;Ввод!$B$6,"",Ввод!$B$5+640))</f>
        <v/>
      </c>
      <c r="B642">
        <f>IF(A642="","",IFERROR(INDEX(Ввод!$B$12:$B$71,MATCH(A642,Ввод!$D$12:$D$71,1)),""))</f>
        <v/>
      </c>
      <c r="C642">
        <f>IF(A642="","",DATE(YEAR(A642),12,31)-DATE(YEAR(A642),1,1)+1)</f>
        <v/>
      </c>
      <c r="D642">
        <f>IF(A642="","",Ввод!$B$4-SUMIF(Оплаты!$A$6:$A$505,"&lt;"&amp;A642,Оплаты!$B$6:$B$505))</f>
        <v/>
      </c>
      <c r="E642">
        <f>IF(A642="","",IF(SUMPRODUCT((Ввод!$F$12:$F$31&lt;&gt;"")*(Ввод!$F$12:$F$31&lt;=A642)*(Ввод!$G$12:$G$31&gt;=A642))&gt;0,1,0))</f>
        <v/>
      </c>
      <c r="F642">
        <f>IF(OR(A642="",B642=""),"",IF(E642=1,0,D642*B642/100/C642))</f>
        <v/>
      </c>
      <c r="G642">
        <f>IF(A642="","",IF(OR(B642&lt;&gt;B641,C642&lt;&gt;C641,D642&lt;&gt;D641,E642&lt;&gt;E641),G641+1,G641))</f>
        <v/>
      </c>
    </row>
    <row r="643">
      <c r="A643" s="14">
        <f>IF(OR(NOT(ISNUMBER(Ввод!$B$5)),NOT(ISNUMBER(Ввод!$B$6))),"",IF(Ввод!$B$5+641&gt;Ввод!$B$6,"",Ввод!$B$5+641))</f>
        <v/>
      </c>
      <c r="B643">
        <f>IF(A643="","",IFERROR(INDEX(Ввод!$B$12:$B$71,MATCH(A643,Ввод!$D$12:$D$71,1)),""))</f>
        <v/>
      </c>
      <c r="C643">
        <f>IF(A643="","",DATE(YEAR(A643),12,31)-DATE(YEAR(A643),1,1)+1)</f>
        <v/>
      </c>
      <c r="D643">
        <f>IF(A643="","",Ввод!$B$4-SUMIF(Оплаты!$A$6:$A$505,"&lt;"&amp;A643,Оплаты!$B$6:$B$505))</f>
        <v/>
      </c>
      <c r="E643">
        <f>IF(A643="","",IF(SUMPRODUCT((Ввод!$F$12:$F$31&lt;&gt;"")*(Ввод!$F$12:$F$31&lt;=A643)*(Ввод!$G$12:$G$31&gt;=A643))&gt;0,1,0))</f>
        <v/>
      </c>
      <c r="F643">
        <f>IF(OR(A643="",B643=""),"",IF(E643=1,0,D643*B643/100/C643))</f>
        <v/>
      </c>
      <c r="G643">
        <f>IF(A643="","",IF(OR(B643&lt;&gt;B642,C643&lt;&gt;C642,D643&lt;&gt;D642,E643&lt;&gt;E642),G642+1,G642))</f>
        <v/>
      </c>
    </row>
    <row r="644">
      <c r="A644" s="14">
        <f>IF(OR(NOT(ISNUMBER(Ввод!$B$5)),NOT(ISNUMBER(Ввод!$B$6))),"",IF(Ввод!$B$5+642&gt;Ввод!$B$6,"",Ввод!$B$5+642))</f>
        <v/>
      </c>
      <c r="B644">
        <f>IF(A644="","",IFERROR(INDEX(Ввод!$B$12:$B$71,MATCH(A644,Ввод!$D$12:$D$71,1)),""))</f>
        <v/>
      </c>
      <c r="C644">
        <f>IF(A644="","",DATE(YEAR(A644),12,31)-DATE(YEAR(A644),1,1)+1)</f>
        <v/>
      </c>
      <c r="D644">
        <f>IF(A644="","",Ввод!$B$4-SUMIF(Оплаты!$A$6:$A$505,"&lt;"&amp;A644,Оплаты!$B$6:$B$505))</f>
        <v/>
      </c>
      <c r="E644">
        <f>IF(A644="","",IF(SUMPRODUCT((Ввод!$F$12:$F$31&lt;&gt;"")*(Ввод!$F$12:$F$31&lt;=A644)*(Ввод!$G$12:$G$31&gt;=A644))&gt;0,1,0))</f>
        <v/>
      </c>
      <c r="F644">
        <f>IF(OR(A644="",B644=""),"",IF(E644=1,0,D644*B644/100/C644))</f>
        <v/>
      </c>
      <c r="G644">
        <f>IF(A644="","",IF(OR(B644&lt;&gt;B643,C644&lt;&gt;C643,D644&lt;&gt;D643,E644&lt;&gt;E643),G643+1,G643))</f>
        <v/>
      </c>
    </row>
    <row r="645">
      <c r="A645" s="14">
        <f>IF(OR(NOT(ISNUMBER(Ввод!$B$5)),NOT(ISNUMBER(Ввод!$B$6))),"",IF(Ввод!$B$5+643&gt;Ввод!$B$6,"",Ввод!$B$5+643))</f>
        <v/>
      </c>
      <c r="B645">
        <f>IF(A645="","",IFERROR(INDEX(Ввод!$B$12:$B$71,MATCH(A645,Ввод!$D$12:$D$71,1)),""))</f>
        <v/>
      </c>
      <c r="C645">
        <f>IF(A645="","",DATE(YEAR(A645),12,31)-DATE(YEAR(A645),1,1)+1)</f>
        <v/>
      </c>
      <c r="D645">
        <f>IF(A645="","",Ввод!$B$4-SUMIF(Оплаты!$A$6:$A$505,"&lt;"&amp;A645,Оплаты!$B$6:$B$505))</f>
        <v/>
      </c>
      <c r="E645">
        <f>IF(A645="","",IF(SUMPRODUCT((Ввод!$F$12:$F$31&lt;&gt;"")*(Ввод!$F$12:$F$31&lt;=A645)*(Ввод!$G$12:$G$31&gt;=A645))&gt;0,1,0))</f>
        <v/>
      </c>
      <c r="F645">
        <f>IF(OR(A645="",B645=""),"",IF(E645=1,0,D645*B645/100/C645))</f>
        <v/>
      </c>
      <c r="G645">
        <f>IF(A645="","",IF(OR(B645&lt;&gt;B644,C645&lt;&gt;C644,D645&lt;&gt;D644,E645&lt;&gt;E644),G644+1,G644))</f>
        <v/>
      </c>
    </row>
    <row r="646">
      <c r="A646" s="14">
        <f>IF(OR(NOT(ISNUMBER(Ввод!$B$5)),NOT(ISNUMBER(Ввод!$B$6))),"",IF(Ввод!$B$5+644&gt;Ввод!$B$6,"",Ввод!$B$5+644))</f>
        <v/>
      </c>
      <c r="B646">
        <f>IF(A646="","",IFERROR(INDEX(Ввод!$B$12:$B$71,MATCH(A646,Ввод!$D$12:$D$71,1)),""))</f>
        <v/>
      </c>
      <c r="C646">
        <f>IF(A646="","",DATE(YEAR(A646),12,31)-DATE(YEAR(A646),1,1)+1)</f>
        <v/>
      </c>
      <c r="D646">
        <f>IF(A646="","",Ввод!$B$4-SUMIF(Оплаты!$A$6:$A$505,"&lt;"&amp;A646,Оплаты!$B$6:$B$505))</f>
        <v/>
      </c>
      <c r="E646">
        <f>IF(A646="","",IF(SUMPRODUCT((Ввод!$F$12:$F$31&lt;&gt;"")*(Ввод!$F$12:$F$31&lt;=A646)*(Ввод!$G$12:$G$31&gt;=A646))&gt;0,1,0))</f>
        <v/>
      </c>
      <c r="F646">
        <f>IF(OR(A646="",B646=""),"",IF(E646=1,0,D646*B646/100/C646))</f>
        <v/>
      </c>
      <c r="G646">
        <f>IF(A646="","",IF(OR(B646&lt;&gt;B645,C646&lt;&gt;C645,D646&lt;&gt;D645,E646&lt;&gt;E645),G645+1,G645))</f>
        <v/>
      </c>
    </row>
    <row r="647">
      <c r="A647" s="14">
        <f>IF(OR(NOT(ISNUMBER(Ввод!$B$5)),NOT(ISNUMBER(Ввод!$B$6))),"",IF(Ввод!$B$5+645&gt;Ввод!$B$6,"",Ввод!$B$5+645))</f>
        <v/>
      </c>
      <c r="B647">
        <f>IF(A647="","",IFERROR(INDEX(Ввод!$B$12:$B$71,MATCH(A647,Ввод!$D$12:$D$71,1)),""))</f>
        <v/>
      </c>
      <c r="C647">
        <f>IF(A647="","",DATE(YEAR(A647),12,31)-DATE(YEAR(A647),1,1)+1)</f>
        <v/>
      </c>
      <c r="D647">
        <f>IF(A647="","",Ввод!$B$4-SUMIF(Оплаты!$A$6:$A$505,"&lt;"&amp;A647,Оплаты!$B$6:$B$505))</f>
        <v/>
      </c>
      <c r="E647">
        <f>IF(A647="","",IF(SUMPRODUCT((Ввод!$F$12:$F$31&lt;&gt;"")*(Ввод!$F$12:$F$31&lt;=A647)*(Ввод!$G$12:$G$31&gt;=A647))&gt;0,1,0))</f>
        <v/>
      </c>
      <c r="F647">
        <f>IF(OR(A647="",B647=""),"",IF(E647=1,0,D647*B647/100/C647))</f>
        <v/>
      </c>
      <c r="G647">
        <f>IF(A647="","",IF(OR(B647&lt;&gt;B646,C647&lt;&gt;C646,D647&lt;&gt;D646,E647&lt;&gt;E646),G646+1,G646))</f>
        <v/>
      </c>
    </row>
    <row r="648">
      <c r="A648" s="14">
        <f>IF(OR(NOT(ISNUMBER(Ввод!$B$5)),NOT(ISNUMBER(Ввод!$B$6))),"",IF(Ввод!$B$5+646&gt;Ввод!$B$6,"",Ввод!$B$5+646))</f>
        <v/>
      </c>
      <c r="B648">
        <f>IF(A648="","",IFERROR(INDEX(Ввод!$B$12:$B$71,MATCH(A648,Ввод!$D$12:$D$71,1)),""))</f>
        <v/>
      </c>
      <c r="C648">
        <f>IF(A648="","",DATE(YEAR(A648),12,31)-DATE(YEAR(A648),1,1)+1)</f>
        <v/>
      </c>
      <c r="D648">
        <f>IF(A648="","",Ввод!$B$4-SUMIF(Оплаты!$A$6:$A$505,"&lt;"&amp;A648,Оплаты!$B$6:$B$505))</f>
        <v/>
      </c>
      <c r="E648">
        <f>IF(A648="","",IF(SUMPRODUCT((Ввод!$F$12:$F$31&lt;&gt;"")*(Ввод!$F$12:$F$31&lt;=A648)*(Ввод!$G$12:$G$31&gt;=A648))&gt;0,1,0))</f>
        <v/>
      </c>
      <c r="F648">
        <f>IF(OR(A648="",B648=""),"",IF(E648=1,0,D648*B648/100/C648))</f>
        <v/>
      </c>
      <c r="G648">
        <f>IF(A648="","",IF(OR(B648&lt;&gt;B647,C648&lt;&gt;C647,D648&lt;&gt;D647,E648&lt;&gt;E647),G647+1,G647))</f>
        <v/>
      </c>
    </row>
    <row r="649">
      <c r="A649" s="14">
        <f>IF(OR(NOT(ISNUMBER(Ввод!$B$5)),NOT(ISNUMBER(Ввод!$B$6))),"",IF(Ввод!$B$5+647&gt;Ввод!$B$6,"",Ввод!$B$5+647))</f>
        <v/>
      </c>
      <c r="B649">
        <f>IF(A649="","",IFERROR(INDEX(Ввод!$B$12:$B$71,MATCH(A649,Ввод!$D$12:$D$71,1)),""))</f>
        <v/>
      </c>
      <c r="C649">
        <f>IF(A649="","",DATE(YEAR(A649),12,31)-DATE(YEAR(A649),1,1)+1)</f>
        <v/>
      </c>
      <c r="D649">
        <f>IF(A649="","",Ввод!$B$4-SUMIF(Оплаты!$A$6:$A$505,"&lt;"&amp;A649,Оплаты!$B$6:$B$505))</f>
        <v/>
      </c>
      <c r="E649">
        <f>IF(A649="","",IF(SUMPRODUCT((Ввод!$F$12:$F$31&lt;&gt;"")*(Ввод!$F$12:$F$31&lt;=A649)*(Ввод!$G$12:$G$31&gt;=A649))&gt;0,1,0))</f>
        <v/>
      </c>
      <c r="F649">
        <f>IF(OR(A649="",B649=""),"",IF(E649=1,0,D649*B649/100/C649))</f>
        <v/>
      </c>
      <c r="G649">
        <f>IF(A649="","",IF(OR(B649&lt;&gt;B648,C649&lt;&gt;C648,D649&lt;&gt;D648,E649&lt;&gt;E648),G648+1,G648))</f>
        <v/>
      </c>
    </row>
    <row r="650">
      <c r="A650" s="14">
        <f>IF(OR(NOT(ISNUMBER(Ввод!$B$5)),NOT(ISNUMBER(Ввод!$B$6))),"",IF(Ввод!$B$5+648&gt;Ввод!$B$6,"",Ввод!$B$5+648))</f>
        <v/>
      </c>
      <c r="B650">
        <f>IF(A650="","",IFERROR(INDEX(Ввод!$B$12:$B$71,MATCH(A650,Ввод!$D$12:$D$71,1)),""))</f>
        <v/>
      </c>
      <c r="C650">
        <f>IF(A650="","",DATE(YEAR(A650),12,31)-DATE(YEAR(A650),1,1)+1)</f>
        <v/>
      </c>
      <c r="D650">
        <f>IF(A650="","",Ввод!$B$4-SUMIF(Оплаты!$A$6:$A$505,"&lt;"&amp;A650,Оплаты!$B$6:$B$505))</f>
        <v/>
      </c>
      <c r="E650">
        <f>IF(A650="","",IF(SUMPRODUCT((Ввод!$F$12:$F$31&lt;&gt;"")*(Ввод!$F$12:$F$31&lt;=A650)*(Ввод!$G$12:$G$31&gt;=A650))&gt;0,1,0))</f>
        <v/>
      </c>
      <c r="F650">
        <f>IF(OR(A650="",B650=""),"",IF(E650=1,0,D650*B650/100/C650))</f>
        <v/>
      </c>
      <c r="G650">
        <f>IF(A650="","",IF(OR(B650&lt;&gt;B649,C650&lt;&gt;C649,D650&lt;&gt;D649,E650&lt;&gt;E649),G649+1,G649))</f>
        <v/>
      </c>
    </row>
    <row r="651">
      <c r="A651" s="14">
        <f>IF(OR(NOT(ISNUMBER(Ввод!$B$5)),NOT(ISNUMBER(Ввод!$B$6))),"",IF(Ввод!$B$5+649&gt;Ввод!$B$6,"",Ввод!$B$5+649))</f>
        <v/>
      </c>
      <c r="B651">
        <f>IF(A651="","",IFERROR(INDEX(Ввод!$B$12:$B$71,MATCH(A651,Ввод!$D$12:$D$71,1)),""))</f>
        <v/>
      </c>
      <c r="C651">
        <f>IF(A651="","",DATE(YEAR(A651),12,31)-DATE(YEAR(A651),1,1)+1)</f>
        <v/>
      </c>
      <c r="D651">
        <f>IF(A651="","",Ввод!$B$4-SUMIF(Оплаты!$A$6:$A$505,"&lt;"&amp;A651,Оплаты!$B$6:$B$505))</f>
        <v/>
      </c>
      <c r="E651">
        <f>IF(A651="","",IF(SUMPRODUCT((Ввод!$F$12:$F$31&lt;&gt;"")*(Ввод!$F$12:$F$31&lt;=A651)*(Ввод!$G$12:$G$31&gt;=A651))&gt;0,1,0))</f>
        <v/>
      </c>
      <c r="F651">
        <f>IF(OR(A651="",B651=""),"",IF(E651=1,0,D651*B651/100/C651))</f>
        <v/>
      </c>
      <c r="G651">
        <f>IF(A651="","",IF(OR(B651&lt;&gt;B650,C651&lt;&gt;C650,D651&lt;&gt;D650,E651&lt;&gt;E650),G650+1,G650))</f>
        <v/>
      </c>
    </row>
    <row r="652">
      <c r="A652" s="14">
        <f>IF(OR(NOT(ISNUMBER(Ввод!$B$5)),NOT(ISNUMBER(Ввод!$B$6))),"",IF(Ввод!$B$5+650&gt;Ввод!$B$6,"",Ввод!$B$5+650))</f>
        <v/>
      </c>
      <c r="B652">
        <f>IF(A652="","",IFERROR(INDEX(Ввод!$B$12:$B$71,MATCH(A652,Ввод!$D$12:$D$71,1)),""))</f>
        <v/>
      </c>
      <c r="C652">
        <f>IF(A652="","",DATE(YEAR(A652),12,31)-DATE(YEAR(A652),1,1)+1)</f>
        <v/>
      </c>
      <c r="D652">
        <f>IF(A652="","",Ввод!$B$4-SUMIF(Оплаты!$A$6:$A$505,"&lt;"&amp;A652,Оплаты!$B$6:$B$505))</f>
        <v/>
      </c>
      <c r="E652">
        <f>IF(A652="","",IF(SUMPRODUCT((Ввод!$F$12:$F$31&lt;&gt;"")*(Ввод!$F$12:$F$31&lt;=A652)*(Ввод!$G$12:$G$31&gt;=A652))&gt;0,1,0))</f>
        <v/>
      </c>
      <c r="F652">
        <f>IF(OR(A652="",B652=""),"",IF(E652=1,0,D652*B652/100/C652))</f>
        <v/>
      </c>
      <c r="G652">
        <f>IF(A652="","",IF(OR(B652&lt;&gt;B651,C652&lt;&gt;C651,D652&lt;&gt;D651,E652&lt;&gt;E651),G651+1,G651))</f>
        <v/>
      </c>
    </row>
    <row r="653">
      <c r="A653" s="14">
        <f>IF(OR(NOT(ISNUMBER(Ввод!$B$5)),NOT(ISNUMBER(Ввод!$B$6))),"",IF(Ввод!$B$5+651&gt;Ввод!$B$6,"",Ввод!$B$5+651))</f>
        <v/>
      </c>
      <c r="B653">
        <f>IF(A653="","",IFERROR(INDEX(Ввод!$B$12:$B$71,MATCH(A653,Ввод!$D$12:$D$71,1)),""))</f>
        <v/>
      </c>
      <c r="C653">
        <f>IF(A653="","",DATE(YEAR(A653),12,31)-DATE(YEAR(A653),1,1)+1)</f>
        <v/>
      </c>
      <c r="D653">
        <f>IF(A653="","",Ввод!$B$4-SUMIF(Оплаты!$A$6:$A$505,"&lt;"&amp;A653,Оплаты!$B$6:$B$505))</f>
        <v/>
      </c>
      <c r="E653">
        <f>IF(A653="","",IF(SUMPRODUCT((Ввод!$F$12:$F$31&lt;&gt;"")*(Ввод!$F$12:$F$31&lt;=A653)*(Ввод!$G$12:$G$31&gt;=A653))&gt;0,1,0))</f>
        <v/>
      </c>
      <c r="F653">
        <f>IF(OR(A653="",B653=""),"",IF(E653=1,0,D653*B653/100/C653))</f>
        <v/>
      </c>
      <c r="G653">
        <f>IF(A653="","",IF(OR(B653&lt;&gt;B652,C653&lt;&gt;C652,D653&lt;&gt;D652,E653&lt;&gt;E652),G652+1,G652))</f>
        <v/>
      </c>
    </row>
    <row r="654">
      <c r="A654" s="14">
        <f>IF(OR(NOT(ISNUMBER(Ввод!$B$5)),NOT(ISNUMBER(Ввод!$B$6))),"",IF(Ввод!$B$5+652&gt;Ввод!$B$6,"",Ввод!$B$5+652))</f>
        <v/>
      </c>
      <c r="B654">
        <f>IF(A654="","",IFERROR(INDEX(Ввод!$B$12:$B$71,MATCH(A654,Ввод!$D$12:$D$71,1)),""))</f>
        <v/>
      </c>
      <c r="C654">
        <f>IF(A654="","",DATE(YEAR(A654),12,31)-DATE(YEAR(A654),1,1)+1)</f>
        <v/>
      </c>
      <c r="D654">
        <f>IF(A654="","",Ввод!$B$4-SUMIF(Оплаты!$A$6:$A$505,"&lt;"&amp;A654,Оплаты!$B$6:$B$505))</f>
        <v/>
      </c>
      <c r="E654">
        <f>IF(A654="","",IF(SUMPRODUCT((Ввод!$F$12:$F$31&lt;&gt;"")*(Ввод!$F$12:$F$31&lt;=A654)*(Ввод!$G$12:$G$31&gt;=A654))&gt;0,1,0))</f>
        <v/>
      </c>
      <c r="F654">
        <f>IF(OR(A654="",B654=""),"",IF(E654=1,0,D654*B654/100/C654))</f>
        <v/>
      </c>
      <c r="G654">
        <f>IF(A654="","",IF(OR(B654&lt;&gt;B653,C654&lt;&gt;C653,D654&lt;&gt;D653,E654&lt;&gt;E653),G653+1,G653))</f>
        <v/>
      </c>
    </row>
    <row r="655">
      <c r="A655" s="14">
        <f>IF(OR(NOT(ISNUMBER(Ввод!$B$5)),NOT(ISNUMBER(Ввод!$B$6))),"",IF(Ввод!$B$5+653&gt;Ввод!$B$6,"",Ввод!$B$5+653))</f>
        <v/>
      </c>
      <c r="B655">
        <f>IF(A655="","",IFERROR(INDEX(Ввод!$B$12:$B$71,MATCH(A655,Ввод!$D$12:$D$71,1)),""))</f>
        <v/>
      </c>
      <c r="C655">
        <f>IF(A655="","",DATE(YEAR(A655),12,31)-DATE(YEAR(A655),1,1)+1)</f>
        <v/>
      </c>
      <c r="D655">
        <f>IF(A655="","",Ввод!$B$4-SUMIF(Оплаты!$A$6:$A$505,"&lt;"&amp;A655,Оплаты!$B$6:$B$505))</f>
        <v/>
      </c>
      <c r="E655">
        <f>IF(A655="","",IF(SUMPRODUCT((Ввод!$F$12:$F$31&lt;&gt;"")*(Ввод!$F$12:$F$31&lt;=A655)*(Ввод!$G$12:$G$31&gt;=A655))&gt;0,1,0))</f>
        <v/>
      </c>
      <c r="F655">
        <f>IF(OR(A655="",B655=""),"",IF(E655=1,0,D655*B655/100/C655))</f>
        <v/>
      </c>
      <c r="G655">
        <f>IF(A655="","",IF(OR(B655&lt;&gt;B654,C655&lt;&gt;C654,D655&lt;&gt;D654,E655&lt;&gt;E654),G654+1,G654))</f>
        <v/>
      </c>
    </row>
    <row r="656">
      <c r="A656" s="14">
        <f>IF(OR(NOT(ISNUMBER(Ввод!$B$5)),NOT(ISNUMBER(Ввод!$B$6))),"",IF(Ввод!$B$5+654&gt;Ввод!$B$6,"",Ввод!$B$5+654))</f>
        <v/>
      </c>
      <c r="B656">
        <f>IF(A656="","",IFERROR(INDEX(Ввод!$B$12:$B$71,MATCH(A656,Ввод!$D$12:$D$71,1)),""))</f>
        <v/>
      </c>
      <c r="C656">
        <f>IF(A656="","",DATE(YEAR(A656),12,31)-DATE(YEAR(A656),1,1)+1)</f>
        <v/>
      </c>
      <c r="D656">
        <f>IF(A656="","",Ввод!$B$4-SUMIF(Оплаты!$A$6:$A$505,"&lt;"&amp;A656,Оплаты!$B$6:$B$505))</f>
        <v/>
      </c>
      <c r="E656">
        <f>IF(A656="","",IF(SUMPRODUCT((Ввод!$F$12:$F$31&lt;&gt;"")*(Ввод!$F$12:$F$31&lt;=A656)*(Ввод!$G$12:$G$31&gt;=A656))&gt;0,1,0))</f>
        <v/>
      </c>
      <c r="F656">
        <f>IF(OR(A656="",B656=""),"",IF(E656=1,0,D656*B656/100/C656))</f>
        <v/>
      </c>
      <c r="G656">
        <f>IF(A656="","",IF(OR(B656&lt;&gt;B655,C656&lt;&gt;C655,D656&lt;&gt;D655,E656&lt;&gt;E655),G655+1,G655))</f>
        <v/>
      </c>
    </row>
    <row r="657">
      <c r="A657" s="14">
        <f>IF(OR(NOT(ISNUMBER(Ввод!$B$5)),NOT(ISNUMBER(Ввод!$B$6))),"",IF(Ввод!$B$5+655&gt;Ввод!$B$6,"",Ввод!$B$5+655))</f>
        <v/>
      </c>
      <c r="B657">
        <f>IF(A657="","",IFERROR(INDEX(Ввод!$B$12:$B$71,MATCH(A657,Ввод!$D$12:$D$71,1)),""))</f>
        <v/>
      </c>
      <c r="C657">
        <f>IF(A657="","",DATE(YEAR(A657),12,31)-DATE(YEAR(A657),1,1)+1)</f>
        <v/>
      </c>
      <c r="D657">
        <f>IF(A657="","",Ввод!$B$4-SUMIF(Оплаты!$A$6:$A$505,"&lt;"&amp;A657,Оплаты!$B$6:$B$505))</f>
        <v/>
      </c>
      <c r="E657">
        <f>IF(A657="","",IF(SUMPRODUCT((Ввод!$F$12:$F$31&lt;&gt;"")*(Ввод!$F$12:$F$31&lt;=A657)*(Ввод!$G$12:$G$31&gt;=A657))&gt;0,1,0))</f>
        <v/>
      </c>
      <c r="F657">
        <f>IF(OR(A657="",B657=""),"",IF(E657=1,0,D657*B657/100/C657))</f>
        <v/>
      </c>
      <c r="G657">
        <f>IF(A657="","",IF(OR(B657&lt;&gt;B656,C657&lt;&gt;C656,D657&lt;&gt;D656,E657&lt;&gt;E656),G656+1,G656))</f>
        <v/>
      </c>
    </row>
    <row r="658">
      <c r="A658" s="14">
        <f>IF(OR(NOT(ISNUMBER(Ввод!$B$5)),NOT(ISNUMBER(Ввод!$B$6))),"",IF(Ввод!$B$5+656&gt;Ввод!$B$6,"",Ввод!$B$5+656))</f>
        <v/>
      </c>
      <c r="B658">
        <f>IF(A658="","",IFERROR(INDEX(Ввод!$B$12:$B$71,MATCH(A658,Ввод!$D$12:$D$71,1)),""))</f>
        <v/>
      </c>
      <c r="C658">
        <f>IF(A658="","",DATE(YEAR(A658),12,31)-DATE(YEAR(A658),1,1)+1)</f>
        <v/>
      </c>
      <c r="D658">
        <f>IF(A658="","",Ввод!$B$4-SUMIF(Оплаты!$A$6:$A$505,"&lt;"&amp;A658,Оплаты!$B$6:$B$505))</f>
        <v/>
      </c>
      <c r="E658">
        <f>IF(A658="","",IF(SUMPRODUCT((Ввод!$F$12:$F$31&lt;&gt;"")*(Ввод!$F$12:$F$31&lt;=A658)*(Ввод!$G$12:$G$31&gt;=A658))&gt;0,1,0))</f>
        <v/>
      </c>
      <c r="F658">
        <f>IF(OR(A658="",B658=""),"",IF(E658=1,0,D658*B658/100/C658))</f>
        <v/>
      </c>
      <c r="G658">
        <f>IF(A658="","",IF(OR(B658&lt;&gt;B657,C658&lt;&gt;C657,D658&lt;&gt;D657,E658&lt;&gt;E657),G657+1,G657))</f>
        <v/>
      </c>
    </row>
    <row r="659">
      <c r="A659" s="14">
        <f>IF(OR(NOT(ISNUMBER(Ввод!$B$5)),NOT(ISNUMBER(Ввод!$B$6))),"",IF(Ввод!$B$5+657&gt;Ввод!$B$6,"",Ввод!$B$5+657))</f>
        <v/>
      </c>
      <c r="B659">
        <f>IF(A659="","",IFERROR(INDEX(Ввод!$B$12:$B$71,MATCH(A659,Ввод!$D$12:$D$71,1)),""))</f>
        <v/>
      </c>
      <c r="C659">
        <f>IF(A659="","",DATE(YEAR(A659),12,31)-DATE(YEAR(A659),1,1)+1)</f>
        <v/>
      </c>
      <c r="D659">
        <f>IF(A659="","",Ввод!$B$4-SUMIF(Оплаты!$A$6:$A$505,"&lt;"&amp;A659,Оплаты!$B$6:$B$505))</f>
        <v/>
      </c>
      <c r="E659">
        <f>IF(A659="","",IF(SUMPRODUCT((Ввод!$F$12:$F$31&lt;&gt;"")*(Ввод!$F$12:$F$31&lt;=A659)*(Ввод!$G$12:$G$31&gt;=A659))&gt;0,1,0))</f>
        <v/>
      </c>
      <c r="F659">
        <f>IF(OR(A659="",B659=""),"",IF(E659=1,0,D659*B659/100/C659))</f>
        <v/>
      </c>
      <c r="G659">
        <f>IF(A659="","",IF(OR(B659&lt;&gt;B658,C659&lt;&gt;C658,D659&lt;&gt;D658,E659&lt;&gt;E658),G658+1,G658))</f>
        <v/>
      </c>
    </row>
    <row r="660">
      <c r="A660" s="14">
        <f>IF(OR(NOT(ISNUMBER(Ввод!$B$5)),NOT(ISNUMBER(Ввод!$B$6))),"",IF(Ввод!$B$5+658&gt;Ввод!$B$6,"",Ввод!$B$5+658))</f>
        <v/>
      </c>
      <c r="B660">
        <f>IF(A660="","",IFERROR(INDEX(Ввод!$B$12:$B$71,MATCH(A660,Ввод!$D$12:$D$71,1)),""))</f>
        <v/>
      </c>
      <c r="C660">
        <f>IF(A660="","",DATE(YEAR(A660),12,31)-DATE(YEAR(A660),1,1)+1)</f>
        <v/>
      </c>
      <c r="D660">
        <f>IF(A660="","",Ввод!$B$4-SUMIF(Оплаты!$A$6:$A$505,"&lt;"&amp;A660,Оплаты!$B$6:$B$505))</f>
        <v/>
      </c>
      <c r="E660">
        <f>IF(A660="","",IF(SUMPRODUCT((Ввод!$F$12:$F$31&lt;&gt;"")*(Ввод!$F$12:$F$31&lt;=A660)*(Ввод!$G$12:$G$31&gt;=A660))&gt;0,1,0))</f>
        <v/>
      </c>
      <c r="F660">
        <f>IF(OR(A660="",B660=""),"",IF(E660=1,0,D660*B660/100/C660))</f>
        <v/>
      </c>
      <c r="G660">
        <f>IF(A660="","",IF(OR(B660&lt;&gt;B659,C660&lt;&gt;C659,D660&lt;&gt;D659,E660&lt;&gt;E659),G659+1,G659))</f>
        <v/>
      </c>
    </row>
    <row r="661">
      <c r="A661" s="14">
        <f>IF(OR(NOT(ISNUMBER(Ввод!$B$5)),NOT(ISNUMBER(Ввод!$B$6))),"",IF(Ввод!$B$5+659&gt;Ввод!$B$6,"",Ввод!$B$5+659))</f>
        <v/>
      </c>
      <c r="B661">
        <f>IF(A661="","",IFERROR(INDEX(Ввод!$B$12:$B$71,MATCH(A661,Ввод!$D$12:$D$71,1)),""))</f>
        <v/>
      </c>
      <c r="C661">
        <f>IF(A661="","",DATE(YEAR(A661),12,31)-DATE(YEAR(A661),1,1)+1)</f>
        <v/>
      </c>
      <c r="D661">
        <f>IF(A661="","",Ввод!$B$4-SUMIF(Оплаты!$A$6:$A$505,"&lt;"&amp;A661,Оплаты!$B$6:$B$505))</f>
        <v/>
      </c>
      <c r="E661">
        <f>IF(A661="","",IF(SUMPRODUCT((Ввод!$F$12:$F$31&lt;&gt;"")*(Ввод!$F$12:$F$31&lt;=A661)*(Ввод!$G$12:$G$31&gt;=A661))&gt;0,1,0))</f>
        <v/>
      </c>
      <c r="F661">
        <f>IF(OR(A661="",B661=""),"",IF(E661=1,0,D661*B661/100/C661))</f>
        <v/>
      </c>
      <c r="G661">
        <f>IF(A661="","",IF(OR(B661&lt;&gt;B660,C661&lt;&gt;C660,D661&lt;&gt;D660,E661&lt;&gt;E660),G660+1,G660))</f>
        <v/>
      </c>
    </row>
    <row r="662">
      <c r="A662" s="14">
        <f>IF(OR(NOT(ISNUMBER(Ввод!$B$5)),NOT(ISNUMBER(Ввод!$B$6))),"",IF(Ввод!$B$5+660&gt;Ввод!$B$6,"",Ввод!$B$5+660))</f>
        <v/>
      </c>
      <c r="B662">
        <f>IF(A662="","",IFERROR(INDEX(Ввод!$B$12:$B$71,MATCH(A662,Ввод!$D$12:$D$71,1)),""))</f>
        <v/>
      </c>
      <c r="C662">
        <f>IF(A662="","",DATE(YEAR(A662),12,31)-DATE(YEAR(A662),1,1)+1)</f>
        <v/>
      </c>
      <c r="D662">
        <f>IF(A662="","",Ввод!$B$4-SUMIF(Оплаты!$A$6:$A$505,"&lt;"&amp;A662,Оплаты!$B$6:$B$505))</f>
        <v/>
      </c>
      <c r="E662">
        <f>IF(A662="","",IF(SUMPRODUCT((Ввод!$F$12:$F$31&lt;&gt;"")*(Ввод!$F$12:$F$31&lt;=A662)*(Ввод!$G$12:$G$31&gt;=A662))&gt;0,1,0))</f>
        <v/>
      </c>
      <c r="F662">
        <f>IF(OR(A662="",B662=""),"",IF(E662=1,0,D662*B662/100/C662))</f>
        <v/>
      </c>
      <c r="G662">
        <f>IF(A662="","",IF(OR(B662&lt;&gt;B661,C662&lt;&gt;C661,D662&lt;&gt;D661,E662&lt;&gt;E661),G661+1,G661))</f>
        <v/>
      </c>
    </row>
    <row r="663">
      <c r="A663" s="14">
        <f>IF(OR(NOT(ISNUMBER(Ввод!$B$5)),NOT(ISNUMBER(Ввод!$B$6))),"",IF(Ввод!$B$5+661&gt;Ввод!$B$6,"",Ввод!$B$5+661))</f>
        <v/>
      </c>
      <c r="B663">
        <f>IF(A663="","",IFERROR(INDEX(Ввод!$B$12:$B$71,MATCH(A663,Ввод!$D$12:$D$71,1)),""))</f>
        <v/>
      </c>
      <c r="C663">
        <f>IF(A663="","",DATE(YEAR(A663),12,31)-DATE(YEAR(A663),1,1)+1)</f>
        <v/>
      </c>
      <c r="D663">
        <f>IF(A663="","",Ввод!$B$4-SUMIF(Оплаты!$A$6:$A$505,"&lt;"&amp;A663,Оплаты!$B$6:$B$505))</f>
        <v/>
      </c>
      <c r="E663">
        <f>IF(A663="","",IF(SUMPRODUCT((Ввод!$F$12:$F$31&lt;&gt;"")*(Ввод!$F$12:$F$31&lt;=A663)*(Ввод!$G$12:$G$31&gt;=A663))&gt;0,1,0))</f>
        <v/>
      </c>
      <c r="F663">
        <f>IF(OR(A663="",B663=""),"",IF(E663=1,0,D663*B663/100/C663))</f>
        <v/>
      </c>
      <c r="G663">
        <f>IF(A663="","",IF(OR(B663&lt;&gt;B662,C663&lt;&gt;C662,D663&lt;&gt;D662,E663&lt;&gt;E662),G662+1,G662))</f>
        <v/>
      </c>
    </row>
    <row r="664">
      <c r="A664" s="14">
        <f>IF(OR(NOT(ISNUMBER(Ввод!$B$5)),NOT(ISNUMBER(Ввод!$B$6))),"",IF(Ввод!$B$5+662&gt;Ввод!$B$6,"",Ввод!$B$5+662))</f>
        <v/>
      </c>
      <c r="B664">
        <f>IF(A664="","",IFERROR(INDEX(Ввод!$B$12:$B$71,MATCH(A664,Ввод!$D$12:$D$71,1)),""))</f>
        <v/>
      </c>
      <c r="C664">
        <f>IF(A664="","",DATE(YEAR(A664),12,31)-DATE(YEAR(A664),1,1)+1)</f>
        <v/>
      </c>
      <c r="D664">
        <f>IF(A664="","",Ввод!$B$4-SUMIF(Оплаты!$A$6:$A$505,"&lt;"&amp;A664,Оплаты!$B$6:$B$505))</f>
        <v/>
      </c>
      <c r="E664">
        <f>IF(A664="","",IF(SUMPRODUCT((Ввод!$F$12:$F$31&lt;&gt;"")*(Ввод!$F$12:$F$31&lt;=A664)*(Ввод!$G$12:$G$31&gt;=A664))&gt;0,1,0))</f>
        <v/>
      </c>
      <c r="F664">
        <f>IF(OR(A664="",B664=""),"",IF(E664=1,0,D664*B664/100/C664))</f>
        <v/>
      </c>
      <c r="G664">
        <f>IF(A664="","",IF(OR(B664&lt;&gt;B663,C664&lt;&gt;C663,D664&lt;&gt;D663,E664&lt;&gt;E663),G663+1,G663))</f>
        <v/>
      </c>
    </row>
    <row r="665">
      <c r="A665" s="14">
        <f>IF(OR(NOT(ISNUMBER(Ввод!$B$5)),NOT(ISNUMBER(Ввод!$B$6))),"",IF(Ввод!$B$5+663&gt;Ввод!$B$6,"",Ввод!$B$5+663))</f>
        <v/>
      </c>
      <c r="B665">
        <f>IF(A665="","",IFERROR(INDEX(Ввод!$B$12:$B$71,MATCH(A665,Ввод!$D$12:$D$71,1)),""))</f>
        <v/>
      </c>
      <c r="C665">
        <f>IF(A665="","",DATE(YEAR(A665),12,31)-DATE(YEAR(A665),1,1)+1)</f>
        <v/>
      </c>
      <c r="D665">
        <f>IF(A665="","",Ввод!$B$4-SUMIF(Оплаты!$A$6:$A$505,"&lt;"&amp;A665,Оплаты!$B$6:$B$505))</f>
        <v/>
      </c>
      <c r="E665">
        <f>IF(A665="","",IF(SUMPRODUCT((Ввод!$F$12:$F$31&lt;&gt;"")*(Ввод!$F$12:$F$31&lt;=A665)*(Ввод!$G$12:$G$31&gt;=A665))&gt;0,1,0))</f>
        <v/>
      </c>
      <c r="F665">
        <f>IF(OR(A665="",B665=""),"",IF(E665=1,0,D665*B665/100/C665))</f>
        <v/>
      </c>
      <c r="G665">
        <f>IF(A665="","",IF(OR(B665&lt;&gt;B664,C665&lt;&gt;C664,D665&lt;&gt;D664,E665&lt;&gt;E664),G664+1,G664))</f>
        <v/>
      </c>
    </row>
    <row r="666">
      <c r="A666" s="14">
        <f>IF(OR(NOT(ISNUMBER(Ввод!$B$5)),NOT(ISNUMBER(Ввод!$B$6))),"",IF(Ввод!$B$5+664&gt;Ввод!$B$6,"",Ввод!$B$5+664))</f>
        <v/>
      </c>
      <c r="B666">
        <f>IF(A666="","",IFERROR(INDEX(Ввод!$B$12:$B$71,MATCH(A666,Ввод!$D$12:$D$71,1)),""))</f>
        <v/>
      </c>
      <c r="C666">
        <f>IF(A666="","",DATE(YEAR(A666),12,31)-DATE(YEAR(A666),1,1)+1)</f>
        <v/>
      </c>
      <c r="D666">
        <f>IF(A666="","",Ввод!$B$4-SUMIF(Оплаты!$A$6:$A$505,"&lt;"&amp;A666,Оплаты!$B$6:$B$505))</f>
        <v/>
      </c>
      <c r="E666">
        <f>IF(A666="","",IF(SUMPRODUCT((Ввод!$F$12:$F$31&lt;&gt;"")*(Ввод!$F$12:$F$31&lt;=A666)*(Ввод!$G$12:$G$31&gt;=A666))&gt;0,1,0))</f>
        <v/>
      </c>
      <c r="F666">
        <f>IF(OR(A666="",B666=""),"",IF(E666=1,0,D666*B666/100/C666))</f>
        <v/>
      </c>
      <c r="G666">
        <f>IF(A666="","",IF(OR(B666&lt;&gt;B665,C666&lt;&gt;C665,D666&lt;&gt;D665,E666&lt;&gt;E665),G665+1,G665))</f>
        <v/>
      </c>
    </row>
    <row r="667">
      <c r="A667" s="14">
        <f>IF(OR(NOT(ISNUMBER(Ввод!$B$5)),NOT(ISNUMBER(Ввод!$B$6))),"",IF(Ввод!$B$5+665&gt;Ввод!$B$6,"",Ввод!$B$5+665))</f>
        <v/>
      </c>
      <c r="B667">
        <f>IF(A667="","",IFERROR(INDEX(Ввод!$B$12:$B$71,MATCH(A667,Ввод!$D$12:$D$71,1)),""))</f>
        <v/>
      </c>
      <c r="C667">
        <f>IF(A667="","",DATE(YEAR(A667),12,31)-DATE(YEAR(A667),1,1)+1)</f>
        <v/>
      </c>
      <c r="D667">
        <f>IF(A667="","",Ввод!$B$4-SUMIF(Оплаты!$A$6:$A$505,"&lt;"&amp;A667,Оплаты!$B$6:$B$505))</f>
        <v/>
      </c>
      <c r="E667">
        <f>IF(A667="","",IF(SUMPRODUCT((Ввод!$F$12:$F$31&lt;&gt;"")*(Ввод!$F$12:$F$31&lt;=A667)*(Ввод!$G$12:$G$31&gt;=A667))&gt;0,1,0))</f>
        <v/>
      </c>
      <c r="F667">
        <f>IF(OR(A667="",B667=""),"",IF(E667=1,0,D667*B667/100/C667))</f>
        <v/>
      </c>
      <c r="G667">
        <f>IF(A667="","",IF(OR(B667&lt;&gt;B666,C667&lt;&gt;C666,D667&lt;&gt;D666,E667&lt;&gt;E666),G666+1,G666))</f>
        <v/>
      </c>
    </row>
    <row r="668">
      <c r="A668" s="14">
        <f>IF(OR(NOT(ISNUMBER(Ввод!$B$5)),NOT(ISNUMBER(Ввод!$B$6))),"",IF(Ввод!$B$5+666&gt;Ввод!$B$6,"",Ввод!$B$5+666))</f>
        <v/>
      </c>
      <c r="B668">
        <f>IF(A668="","",IFERROR(INDEX(Ввод!$B$12:$B$71,MATCH(A668,Ввод!$D$12:$D$71,1)),""))</f>
        <v/>
      </c>
      <c r="C668">
        <f>IF(A668="","",DATE(YEAR(A668),12,31)-DATE(YEAR(A668),1,1)+1)</f>
        <v/>
      </c>
      <c r="D668">
        <f>IF(A668="","",Ввод!$B$4-SUMIF(Оплаты!$A$6:$A$505,"&lt;"&amp;A668,Оплаты!$B$6:$B$505))</f>
        <v/>
      </c>
      <c r="E668">
        <f>IF(A668="","",IF(SUMPRODUCT((Ввод!$F$12:$F$31&lt;&gt;"")*(Ввод!$F$12:$F$31&lt;=A668)*(Ввод!$G$12:$G$31&gt;=A668))&gt;0,1,0))</f>
        <v/>
      </c>
      <c r="F668">
        <f>IF(OR(A668="",B668=""),"",IF(E668=1,0,D668*B668/100/C668))</f>
        <v/>
      </c>
      <c r="G668">
        <f>IF(A668="","",IF(OR(B668&lt;&gt;B667,C668&lt;&gt;C667,D668&lt;&gt;D667,E668&lt;&gt;E667),G667+1,G667))</f>
        <v/>
      </c>
    </row>
    <row r="669">
      <c r="A669" s="14">
        <f>IF(OR(NOT(ISNUMBER(Ввод!$B$5)),NOT(ISNUMBER(Ввод!$B$6))),"",IF(Ввод!$B$5+667&gt;Ввод!$B$6,"",Ввод!$B$5+667))</f>
        <v/>
      </c>
      <c r="B669">
        <f>IF(A669="","",IFERROR(INDEX(Ввод!$B$12:$B$71,MATCH(A669,Ввод!$D$12:$D$71,1)),""))</f>
        <v/>
      </c>
      <c r="C669">
        <f>IF(A669="","",DATE(YEAR(A669),12,31)-DATE(YEAR(A669),1,1)+1)</f>
        <v/>
      </c>
      <c r="D669">
        <f>IF(A669="","",Ввод!$B$4-SUMIF(Оплаты!$A$6:$A$505,"&lt;"&amp;A669,Оплаты!$B$6:$B$505))</f>
        <v/>
      </c>
      <c r="E669">
        <f>IF(A669="","",IF(SUMPRODUCT((Ввод!$F$12:$F$31&lt;&gt;"")*(Ввод!$F$12:$F$31&lt;=A669)*(Ввод!$G$12:$G$31&gt;=A669))&gt;0,1,0))</f>
        <v/>
      </c>
      <c r="F669">
        <f>IF(OR(A669="",B669=""),"",IF(E669=1,0,D669*B669/100/C669))</f>
        <v/>
      </c>
      <c r="G669">
        <f>IF(A669="","",IF(OR(B669&lt;&gt;B668,C669&lt;&gt;C668,D669&lt;&gt;D668,E669&lt;&gt;E668),G668+1,G668))</f>
        <v/>
      </c>
    </row>
    <row r="670">
      <c r="A670" s="14">
        <f>IF(OR(NOT(ISNUMBER(Ввод!$B$5)),NOT(ISNUMBER(Ввод!$B$6))),"",IF(Ввод!$B$5+668&gt;Ввод!$B$6,"",Ввод!$B$5+668))</f>
        <v/>
      </c>
      <c r="B670">
        <f>IF(A670="","",IFERROR(INDEX(Ввод!$B$12:$B$71,MATCH(A670,Ввод!$D$12:$D$71,1)),""))</f>
        <v/>
      </c>
      <c r="C670">
        <f>IF(A670="","",DATE(YEAR(A670),12,31)-DATE(YEAR(A670),1,1)+1)</f>
        <v/>
      </c>
      <c r="D670">
        <f>IF(A670="","",Ввод!$B$4-SUMIF(Оплаты!$A$6:$A$505,"&lt;"&amp;A670,Оплаты!$B$6:$B$505))</f>
        <v/>
      </c>
      <c r="E670">
        <f>IF(A670="","",IF(SUMPRODUCT((Ввод!$F$12:$F$31&lt;&gt;"")*(Ввод!$F$12:$F$31&lt;=A670)*(Ввод!$G$12:$G$31&gt;=A670))&gt;0,1,0))</f>
        <v/>
      </c>
      <c r="F670">
        <f>IF(OR(A670="",B670=""),"",IF(E670=1,0,D670*B670/100/C670))</f>
        <v/>
      </c>
      <c r="G670">
        <f>IF(A670="","",IF(OR(B670&lt;&gt;B669,C670&lt;&gt;C669,D670&lt;&gt;D669,E670&lt;&gt;E669),G669+1,G669))</f>
        <v/>
      </c>
    </row>
    <row r="671">
      <c r="A671" s="14">
        <f>IF(OR(NOT(ISNUMBER(Ввод!$B$5)),NOT(ISNUMBER(Ввод!$B$6))),"",IF(Ввод!$B$5+669&gt;Ввод!$B$6,"",Ввод!$B$5+669))</f>
        <v/>
      </c>
      <c r="B671">
        <f>IF(A671="","",IFERROR(INDEX(Ввод!$B$12:$B$71,MATCH(A671,Ввод!$D$12:$D$71,1)),""))</f>
        <v/>
      </c>
      <c r="C671">
        <f>IF(A671="","",DATE(YEAR(A671),12,31)-DATE(YEAR(A671),1,1)+1)</f>
        <v/>
      </c>
      <c r="D671">
        <f>IF(A671="","",Ввод!$B$4-SUMIF(Оплаты!$A$6:$A$505,"&lt;"&amp;A671,Оплаты!$B$6:$B$505))</f>
        <v/>
      </c>
      <c r="E671">
        <f>IF(A671="","",IF(SUMPRODUCT((Ввод!$F$12:$F$31&lt;&gt;"")*(Ввод!$F$12:$F$31&lt;=A671)*(Ввод!$G$12:$G$31&gt;=A671))&gt;0,1,0))</f>
        <v/>
      </c>
      <c r="F671">
        <f>IF(OR(A671="",B671=""),"",IF(E671=1,0,D671*B671/100/C671))</f>
        <v/>
      </c>
      <c r="G671">
        <f>IF(A671="","",IF(OR(B671&lt;&gt;B670,C671&lt;&gt;C670,D671&lt;&gt;D670,E671&lt;&gt;E670),G670+1,G670))</f>
        <v/>
      </c>
    </row>
    <row r="672">
      <c r="A672" s="14">
        <f>IF(OR(NOT(ISNUMBER(Ввод!$B$5)),NOT(ISNUMBER(Ввод!$B$6))),"",IF(Ввод!$B$5+670&gt;Ввод!$B$6,"",Ввод!$B$5+670))</f>
        <v/>
      </c>
      <c r="B672">
        <f>IF(A672="","",IFERROR(INDEX(Ввод!$B$12:$B$71,MATCH(A672,Ввод!$D$12:$D$71,1)),""))</f>
        <v/>
      </c>
      <c r="C672">
        <f>IF(A672="","",DATE(YEAR(A672),12,31)-DATE(YEAR(A672),1,1)+1)</f>
        <v/>
      </c>
      <c r="D672">
        <f>IF(A672="","",Ввод!$B$4-SUMIF(Оплаты!$A$6:$A$505,"&lt;"&amp;A672,Оплаты!$B$6:$B$505))</f>
        <v/>
      </c>
      <c r="E672">
        <f>IF(A672="","",IF(SUMPRODUCT((Ввод!$F$12:$F$31&lt;&gt;"")*(Ввод!$F$12:$F$31&lt;=A672)*(Ввод!$G$12:$G$31&gt;=A672))&gt;0,1,0))</f>
        <v/>
      </c>
      <c r="F672">
        <f>IF(OR(A672="",B672=""),"",IF(E672=1,0,D672*B672/100/C672))</f>
        <v/>
      </c>
      <c r="G672">
        <f>IF(A672="","",IF(OR(B672&lt;&gt;B671,C672&lt;&gt;C671,D672&lt;&gt;D671,E672&lt;&gt;E671),G671+1,G671))</f>
        <v/>
      </c>
    </row>
    <row r="673">
      <c r="A673" s="14">
        <f>IF(OR(NOT(ISNUMBER(Ввод!$B$5)),NOT(ISNUMBER(Ввод!$B$6))),"",IF(Ввод!$B$5+671&gt;Ввод!$B$6,"",Ввод!$B$5+671))</f>
        <v/>
      </c>
      <c r="B673">
        <f>IF(A673="","",IFERROR(INDEX(Ввод!$B$12:$B$71,MATCH(A673,Ввод!$D$12:$D$71,1)),""))</f>
        <v/>
      </c>
      <c r="C673">
        <f>IF(A673="","",DATE(YEAR(A673),12,31)-DATE(YEAR(A673),1,1)+1)</f>
        <v/>
      </c>
      <c r="D673">
        <f>IF(A673="","",Ввод!$B$4-SUMIF(Оплаты!$A$6:$A$505,"&lt;"&amp;A673,Оплаты!$B$6:$B$505))</f>
        <v/>
      </c>
      <c r="E673">
        <f>IF(A673="","",IF(SUMPRODUCT((Ввод!$F$12:$F$31&lt;&gt;"")*(Ввод!$F$12:$F$31&lt;=A673)*(Ввод!$G$12:$G$31&gt;=A673))&gt;0,1,0))</f>
        <v/>
      </c>
      <c r="F673">
        <f>IF(OR(A673="",B673=""),"",IF(E673=1,0,D673*B673/100/C673))</f>
        <v/>
      </c>
      <c r="G673">
        <f>IF(A673="","",IF(OR(B673&lt;&gt;B672,C673&lt;&gt;C672,D673&lt;&gt;D672,E673&lt;&gt;E672),G672+1,G672))</f>
        <v/>
      </c>
    </row>
    <row r="674">
      <c r="A674" s="14">
        <f>IF(OR(NOT(ISNUMBER(Ввод!$B$5)),NOT(ISNUMBER(Ввод!$B$6))),"",IF(Ввод!$B$5+672&gt;Ввод!$B$6,"",Ввод!$B$5+672))</f>
        <v/>
      </c>
      <c r="B674">
        <f>IF(A674="","",IFERROR(INDEX(Ввод!$B$12:$B$71,MATCH(A674,Ввод!$D$12:$D$71,1)),""))</f>
        <v/>
      </c>
      <c r="C674">
        <f>IF(A674="","",DATE(YEAR(A674),12,31)-DATE(YEAR(A674),1,1)+1)</f>
        <v/>
      </c>
      <c r="D674">
        <f>IF(A674="","",Ввод!$B$4-SUMIF(Оплаты!$A$6:$A$505,"&lt;"&amp;A674,Оплаты!$B$6:$B$505))</f>
        <v/>
      </c>
      <c r="E674">
        <f>IF(A674="","",IF(SUMPRODUCT((Ввод!$F$12:$F$31&lt;&gt;"")*(Ввод!$F$12:$F$31&lt;=A674)*(Ввод!$G$12:$G$31&gt;=A674))&gt;0,1,0))</f>
        <v/>
      </c>
      <c r="F674">
        <f>IF(OR(A674="",B674=""),"",IF(E674=1,0,D674*B674/100/C674))</f>
        <v/>
      </c>
      <c r="G674">
        <f>IF(A674="","",IF(OR(B674&lt;&gt;B673,C674&lt;&gt;C673,D674&lt;&gt;D673,E674&lt;&gt;E673),G673+1,G673))</f>
        <v/>
      </c>
    </row>
    <row r="675">
      <c r="A675" s="14">
        <f>IF(OR(NOT(ISNUMBER(Ввод!$B$5)),NOT(ISNUMBER(Ввод!$B$6))),"",IF(Ввод!$B$5+673&gt;Ввод!$B$6,"",Ввод!$B$5+673))</f>
        <v/>
      </c>
      <c r="B675">
        <f>IF(A675="","",IFERROR(INDEX(Ввод!$B$12:$B$71,MATCH(A675,Ввод!$D$12:$D$71,1)),""))</f>
        <v/>
      </c>
      <c r="C675">
        <f>IF(A675="","",DATE(YEAR(A675),12,31)-DATE(YEAR(A675),1,1)+1)</f>
        <v/>
      </c>
      <c r="D675">
        <f>IF(A675="","",Ввод!$B$4-SUMIF(Оплаты!$A$6:$A$505,"&lt;"&amp;A675,Оплаты!$B$6:$B$505))</f>
        <v/>
      </c>
      <c r="E675">
        <f>IF(A675="","",IF(SUMPRODUCT((Ввод!$F$12:$F$31&lt;&gt;"")*(Ввод!$F$12:$F$31&lt;=A675)*(Ввод!$G$12:$G$31&gt;=A675))&gt;0,1,0))</f>
        <v/>
      </c>
      <c r="F675">
        <f>IF(OR(A675="",B675=""),"",IF(E675=1,0,D675*B675/100/C675))</f>
        <v/>
      </c>
      <c r="G675">
        <f>IF(A675="","",IF(OR(B675&lt;&gt;B674,C675&lt;&gt;C674,D675&lt;&gt;D674,E675&lt;&gt;E674),G674+1,G674))</f>
        <v/>
      </c>
    </row>
    <row r="676">
      <c r="A676" s="14">
        <f>IF(OR(NOT(ISNUMBER(Ввод!$B$5)),NOT(ISNUMBER(Ввод!$B$6))),"",IF(Ввод!$B$5+674&gt;Ввод!$B$6,"",Ввод!$B$5+674))</f>
        <v/>
      </c>
      <c r="B676">
        <f>IF(A676="","",IFERROR(INDEX(Ввод!$B$12:$B$71,MATCH(A676,Ввод!$D$12:$D$71,1)),""))</f>
        <v/>
      </c>
      <c r="C676">
        <f>IF(A676="","",DATE(YEAR(A676),12,31)-DATE(YEAR(A676),1,1)+1)</f>
        <v/>
      </c>
      <c r="D676">
        <f>IF(A676="","",Ввод!$B$4-SUMIF(Оплаты!$A$6:$A$505,"&lt;"&amp;A676,Оплаты!$B$6:$B$505))</f>
        <v/>
      </c>
      <c r="E676">
        <f>IF(A676="","",IF(SUMPRODUCT((Ввод!$F$12:$F$31&lt;&gt;"")*(Ввод!$F$12:$F$31&lt;=A676)*(Ввод!$G$12:$G$31&gt;=A676))&gt;0,1,0))</f>
        <v/>
      </c>
      <c r="F676">
        <f>IF(OR(A676="",B676=""),"",IF(E676=1,0,D676*B676/100/C676))</f>
        <v/>
      </c>
      <c r="G676">
        <f>IF(A676="","",IF(OR(B676&lt;&gt;B675,C676&lt;&gt;C675,D676&lt;&gt;D675,E676&lt;&gt;E675),G675+1,G675))</f>
        <v/>
      </c>
    </row>
    <row r="677">
      <c r="A677" s="14">
        <f>IF(OR(NOT(ISNUMBER(Ввод!$B$5)),NOT(ISNUMBER(Ввод!$B$6))),"",IF(Ввод!$B$5+675&gt;Ввод!$B$6,"",Ввод!$B$5+675))</f>
        <v/>
      </c>
      <c r="B677">
        <f>IF(A677="","",IFERROR(INDEX(Ввод!$B$12:$B$71,MATCH(A677,Ввод!$D$12:$D$71,1)),""))</f>
        <v/>
      </c>
      <c r="C677">
        <f>IF(A677="","",DATE(YEAR(A677),12,31)-DATE(YEAR(A677),1,1)+1)</f>
        <v/>
      </c>
      <c r="D677">
        <f>IF(A677="","",Ввод!$B$4-SUMIF(Оплаты!$A$6:$A$505,"&lt;"&amp;A677,Оплаты!$B$6:$B$505))</f>
        <v/>
      </c>
      <c r="E677">
        <f>IF(A677="","",IF(SUMPRODUCT((Ввод!$F$12:$F$31&lt;&gt;"")*(Ввод!$F$12:$F$31&lt;=A677)*(Ввод!$G$12:$G$31&gt;=A677))&gt;0,1,0))</f>
        <v/>
      </c>
      <c r="F677">
        <f>IF(OR(A677="",B677=""),"",IF(E677=1,0,D677*B677/100/C677))</f>
        <v/>
      </c>
      <c r="G677">
        <f>IF(A677="","",IF(OR(B677&lt;&gt;B676,C677&lt;&gt;C676,D677&lt;&gt;D676,E677&lt;&gt;E676),G676+1,G676))</f>
        <v/>
      </c>
    </row>
    <row r="678">
      <c r="A678" s="14">
        <f>IF(OR(NOT(ISNUMBER(Ввод!$B$5)),NOT(ISNUMBER(Ввод!$B$6))),"",IF(Ввод!$B$5+676&gt;Ввод!$B$6,"",Ввод!$B$5+676))</f>
        <v/>
      </c>
      <c r="B678">
        <f>IF(A678="","",IFERROR(INDEX(Ввод!$B$12:$B$71,MATCH(A678,Ввод!$D$12:$D$71,1)),""))</f>
        <v/>
      </c>
      <c r="C678">
        <f>IF(A678="","",DATE(YEAR(A678),12,31)-DATE(YEAR(A678),1,1)+1)</f>
        <v/>
      </c>
      <c r="D678">
        <f>IF(A678="","",Ввод!$B$4-SUMIF(Оплаты!$A$6:$A$505,"&lt;"&amp;A678,Оплаты!$B$6:$B$505))</f>
        <v/>
      </c>
      <c r="E678">
        <f>IF(A678="","",IF(SUMPRODUCT((Ввод!$F$12:$F$31&lt;&gt;"")*(Ввод!$F$12:$F$31&lt;=A678)*(Ввод!$G$12:$G$31&gt;=A678))&gt;0,1,0))</f>
        <v/>
      </c>
      <c r="F678">
        <f>IF(OR(A678="",B678=""),"",IF(E678=1,0,D678*B678/100/C678))</f>
        <v/>
      </c>
      <c r="G678">
        <f>IF(A678="","",IF(OR(B678&lt;&gt;B677,C678&lt;&gt;C677,D678&lt;&gt;D677,E678&lt;&gt;E677),G677+1,G677))</f>
        <v/>
      </c>
    </row>
    <row r="679">
      <c r="A679" s="14">
        <f>IF(OR(NOT(ISNUMBER(Ввод!$B$5)),NOT(ISNUMBER(Ввод!$B$6))),"",IF(Ввод!$B$5+677&gt;Ввод!$B$6,"",Ввод!$B$5+677))</f>
        <v/>
      </c>
      <c r="B679">
        <f>IF(A679="","",IFERROR(INDEX(Ввод!$B$12:$B$71,MATCH(A679,Ввод!$D$12:$D$71,1)),""))</f>
        <v/>
      </c>
      <c r="C679">
        <f>IF(A679="","",DATE(YEAR(A679),12,31)-DATE(YEAR(A679),1,1)+1)</f>
        <v/>
      </c>
      <c r="D679">
        <f>IF(A679="","",Ввод!$B$4-SUMIF(Оплаты!$A$6:$A$505,"&lt;"&amp;A679,Оплаты!$B$6:$B$505))</f>
        <v/>
      </c>
      <c r="E679">
        <f>IF(A679="","",IF(SUMPRODUCT((Ввод!$F$12:$F$31&lt;&gt;"")*(Ввод!$F$12:$F$31&lt;=A679)*(Ввод!$G$12:$G$31&gt;=A679))&gt;0,1,0))</f>
        <v/>
      </c>
      <c r="F679">
        <f>IF(OR(A679="",B679=""),"",IF(E679=1,0,D679*B679/100/C679))</f>
        <v/>
      </c>
      <c r="G679">
        <f>IF(A679="","",IF(OR(B679&lt;&gt;B678,C679&lt;&gt;C678,D679&lt;&gt;D678,E679&lt;&gt;E678),G678+1,G678))</f>
        <v/>
      </c>
    </row>
    <row r="680">
      <c r="A680" s="14">
        <f>IF(OR(NOT(ISNUMBER(Ввод!$B$5)),NOT(ISNUMBER(Ввод!$B$6))),"",IF(Ввод!$B$5+678&gt;Ввод!$B$6,"",Ввод!$B$5+678))</f>
        <v/>
      </c>
      <c r="B680">
        <f>IF(A680="","",IFERROR(INDEX(Ввод!$B$12:$B$71,MATCH(A680,Ввод!$D$12:$D$71,1)),""))</f>
        <v/>
      </c>
      <c r="C680">
        <f>IF(A680="","",DATE(YEAR(A680),12,31)-DATE(YEAR(A680),1,1)+1)</f>
        <v/>
      </c>
      <c r="D680">
        <f>IF(A680="","",Ввод!$B$4-SUMIF(Оплаты!$A$6:$A$505,"&lt;"&amp;A680,Оплаты!$B$6:$B$505))</f>
        <v/>
      </c>
      <c r="E680">
        <f>IF(A680="","",IF(SUMPRODUCT((Ввод!$F$12:$F$31&lt;&gt;"")*(Ввод!$F$12:$F$31&lt;=A680)*(Ввод!$G$12:$G$31&gt;=A680))&gt;0,1,0))</f>
        <v/>
      </c>
      <c r="F680">
        <f>IF(OR(A680="",B680=""),"",IF(E680=1,0,D680*B680/100/C680))</f>
        <v/>
      </c>
      <c r="G680">
        <f>IF(A680="","",IF(OR(B680&lt;&gt;B679,C680&lt;&gt;C679,D680&lt;&gt;D679,E680&lt;&gt;E679),G679+1,G679))</f>
        <v/>
      </c>
    </row>
    <row r="681">
      <c r="A681" s="14">
        <f>IF(OR(NOT(ISNUMBER(Ввод!$B$5)),NOT(ISNUMBER(Ввод!$B$6))),"",IF(Ввод!$B$5+679&gt;Ввод!$B$6,"",Ввод!$B$5+679))</f>
        <v/>
      </c>
      <c r="B681">
        <f>IF(A681="","",IFERROR(INDEX(Ввод!$B$12:$B$71,MATCH(A681,Ввод!$D$12:$D$71,1)),""))</f>
        <v/>
      </c>
      <c r="C681">
        <f>IF(A681="","",DATE(YEAR(A681),12,31)-DATE(YEAR(A681),1,1)+1)</f>
        <v/>
      </c>
      <c r="D681">
        <f>IF(A681="","",Ввод!$B$4-SUMIF(Оплаты!$A$6:$A$505,"&lt;"&amp;A681,Оплаты!$B$6:$B$505))</f>
        <v/>
      </c>
      <c r="E681">
        <f>IF(A681="","",IF(SUMPRODUCT((Ввод!$F$12:$F$31&lt;&gt;"")*(Ввод!$F$12:$F$31&lt;=A681)*(Ввод!$G$12:$G$31&gt;=A681))&gt;0,1,0))</f>
        <v/>
      </c>
      <c r="F681">
        <f>IF(OR(A681="",B681=""),"",IF(E681=1,0,D681*B681/100/C681))</f>
        <v/>
      </c>
      <c r="G681">
        <f>IF(A681="","",IF(OR(B681&lt;&gt;B680,C681&lt;&gt;C680,D681&lt;&gt;D680,E681&lt;&gt;E680),G680+1,G680))</f>
        <v/>
      </c>
    </row>
    <row r="682">
      <c r="A682" s="14">
        <f>IF(OR(NOT(ISNUMBER(Ввод!$B$5)),NOT(ISNUMBER(Ввод!$B$6))),"",IF(Ввод!$B$5+680&gt;Ввод!$B$6,"",Ввод!$B$5+680))</f>
        <v/>
      </c>
      <c r="B682">
        <f>IF(A682="","",IFERROR(INDEX(Ввод!$B$12:$B$71,MATCH(A682,Ввод!$D$12:$D$71,1)),""))</f>
        <v/>
      </c>
      <c r="C682">
        <f>IF(A682="","",DATE(YEAR(A682),12,31)-DATE(YEAR(A682),1,1)+1)</f>
        <v/>
      </c>
      <c r="D682">
        <f>IF(A682="","",Ввод!$B$4-SUMIF(Оплаты!$A$6:$A$505,"&lt;"&amp;A682,Оплаты!$B$6:$B$505))</f>
        <v/>
      </c>
      <c r="E682">
        <f>IF(A682="","",IF(SUMPRODUCT((Ввод!$F$12:$F$31&lt;&gt;"")*(Ввод!$F$12:$F$31&lt;=A682)*(Ввод!$G$12:$G$31&gt;=A682))&gt;0,1,0))</f>
        <v/>
      </c>
      <c r="F682">
        <f>IF(OR(A682="",B682=""),"",IF(E682=1,0,D682*B682/100/C682))</f>
        <v/>
      </c>
      <c r="G682">
        <f>IF(A682="","",IF(OR(B682&lt;&gt;B681,C682&lt;&gt;C681,D682&lt;&gt;D681,E682&lt;&gt;E681),G681+1,G681))</f>
        <v/>
      </c>
    </row>
    <row r="683">
      <c r="A683" s="14">
        <f>IF(OR(NOT(ISNUMBER(Ввод!$B$5)),NOT(ISNUMBER(Ввод!$B$6))),"",IF(Ввод!$B$5+681&gt;Ввод!$B$6,"",Ввод!$B$5+681))</f>
        <v/>
      </c>
      <c r="B683">
        <f>IF(A683="","",IFERROR(INDEX(Ввод!$B$12:$B$71,MATCH(A683,Ввод!$D$12:$D$71,1)),""))</f>
        <v/>
      </c>
      <c r="C683">
        <f>IF(A683="","",DATE(YEAR(A683),12,31)-DATE(YEAR(A683),1,1)+1)</f>
        <v/>
      </c>
      <c r="D683">
        <f>IF(A683="","",Ввод!$B$4-SUMIF(Оплаты!$A$6:$A$505,"&lt;"&amp;A683,Оплаты!$B$6:$B$505))</f>
        <v/>
      </c>
      <c r="E683">
        <f>IF(A683="","",IF(SUMPRODUCT((Ввод!$F$12:$F$31&lt;&gt;"")*(Ввод!$F$12:$F$31&lt;=A683)*(Ввод!$G$12:$G$31&gt;=A683))&gt;0,1,0))</f>
        <v/>
      </c>
      <c r="F683">
        <f>IF(OR(A683="",B683=""),"",IF(E683=1,0,D683*B683/100/C683))</f>
        <v/>
      </c>
      <c r="G683">
        <f>IF(A683="","",IF(OR(B683&lt;&gt;B682,C683&lt;&gt;C682,D683&lt;&gt;D682,E683&lt;&gt;E682),G682+1,G682))</f>
        <v/>
      </c>
    </row>
    <row r="684">
      <c r="A684" s="14">
        <f>IF(OR(NOT(ISNUMBER(Ввод!$B$5)),NOT(ISNUMBER(Ввод!$B$6))),"",IF(Ввод!$B$5+682&gt;Ввод!$B$6,"",Ввод!$B$5+682))</f>
        <v/>
      </c>
      <c r="B684">
        <f>IF(A684="","",IFERROR(INDEX(Ввод!$B$12:$B$71,MATCH(A684,Ввод!$D$12:$D$71,1)),""))</f>
        <v/>
      </c>
      <c r="C684">
        <f>IF(A684="","",DATE(YEAR(A684),12,31)-DATE(YEAR(A684),1,1)+1)</f>
        <v/>
      </c>
      <c r="D684">
        <f>IF(A684="","",Ввод!$B$4-SUMIF(Оплаты!$A$6:$A$505,"&lt;"&amp;A684,Оплаты!$B$6:$B$505))</f>
        <v/>
      </c>
      <c r="E684">
        <f>IF(A684="","",IF(SUMPRODUCT((Ввод!$F$12:$F$31&lt;&gt;"")*(Ввод!$F$12:$F$31&lt;=A684)*(Ввод!$G$12:$G$31&gt;=A684))&gt;0,1,0))</f>
        <v/>
      </c>
      <c r="F684">
        <f>IF(OR(A684="",B684=""),"",IF(E684=1,0,D684*B684/100/C684))</f>
        <v/>
      </c>
      <c r="G684">
        <f>IF(A684="","",IF(OR(B684&lt;&gt;B683,C684&lt;&gt;C683,D684&lt;&gt;D683,E684&lt;&gt;E683),G683+1,G683))</f>
        <v/>
      </c>
    </row>
    <row r="685">
      <c r="A685" s="14">
        <f>IF(OR(NOT(ISNUMBER(Ввод!$B$5)),NOT(ISNUMBER(Ввод!$B$6))),"",IF(Ввод!$B$5+683&gt;Ввод!$B$6,"",Ввод!$B$5+683))</f>
        <v/>
      </c>
      <c r="B685">
        <f>IF(A685="","",IFERROR(INDEX(Ввод!$B$12:$B$71,MATCH(A685,Ввод!$D$12:$D$71,1)),""))</f>
        <v/>
      </c>
      <c r="C685">
        <f>IF(A685="","",DATE(YEAR(A685),12,31)-DATE(YEAR(A685),1,1)+1)</f>
        <v/>
      </c>
      <c r="D685">
        <f>IF(A685="","",Ввод!$B$4-SUMIF(Оплаты!$A$6:$A$505,"&lt;"&amp;A685,Оплаты!$B$6:$B$505))</f>
        <v/>
      </c>
      <c r="E685">
        <f>IF(A685="","",IF(SUMPRODUCT((Ввод!$F$12:$F$31&lt;&gt;"")*(Ввод!$F$12:$F$31&lt;=A685)*(Ввод!$G$12:$G$31&gt;=A685))&gt;0,1,0))</f>
        <v/>
      </c>
      <c r="F685">
        <f>IF(OR(A685="",B685=""),"",IF(E685=1,0,D685*B685/100/C685))</f>
        <v/>
      </c>
      <c r="G685">
        <f>IF(A685="","",IF(OR(B685&lt;&gt;B684,C685&lt;&gt;C684,D685&lt;&gt;D684,E685&lt;&gt;E684),G684+1,G684))</f>
        <v/>
      </c>
    </row>
    <row r="686">
      <c r="A686" s="14">
        <f>IF(OR(NOT(ISNUMBER(Ввод!$B$5)),NOT(ISNUMBER(Ввод!$B$6))),"",IF(Ввод!$B$5+684&gt;Ввод!$B$6,"",Ввод!$B$5+684))</f>
        <v/>
      </c>
      <c r="B686">
        <f>IF(A686="","",IFERROR(INDEX(Ввод!$B$12:$B$71,MATCH(A686,Ввод!$D$12:$D$71,1)),""))</f>
        <v/>
      </c>
      <c r="C686">
        <f>IF(A686="","",DATE(YEAR(A686),12,31)-DATE(YEAR(A686),1,1)+1)</f>
        <v/>
      </c>
      <c r="D686">
        <f>IF(A686="","",Ввод!$B$4-SUMIF(Оплаты!$A$6:$A$505,"&lt;"&amp;A686,Оплаты!$B$6:$B$505))</f>
        <v/>
      </c>
      <c r="E686">
        <f>IF(A686="","",IF(SUMPRODUCT((Ввод!$F$12:$F$31&lt;&gt;"")*(Ввод!$F$12:$F$31&lt;=A686)*(Ввод!$G$12:$G$31&gt;=A686))&gt;0,1,0))</f>
        <v/>
      </c>
      <c r="F686">
        <f>IF(OR(A686="",B686=""),"",IF(E686=1,0,D686*B686/100/C686))</f>
        <v/>
      </c>
      <c r="G686">
        <f>IF(A686="","",IF(OR(B686&lt;&gt;B685,C686&lt;&gt;C685,D686&lt;&gt;D685,E686&lt;&gt;E685),G685+1,G685))</f>
        <v/>
      </c>
    </row>
    <row r="687">
      <c r="A687" s="14">
        <f>IF(OR(NOT(ISNUMBER(Ввод!$B$5)),NOT(ISNUMBER(Ввод!$B$6))),"",IF(Ввод!$B$5+685&gt;Ввод!$B$6,"",Ввод!$B$5+685))</f>
        <v/>
      </c>
      <c r="B687">
        <f>IF(A687="","",IFERROR(INDEX(Ввод!$B$12:$B$71,MATCH(A687,Ввод!$D$12:$D$71,1)),""))</f>
        <v/>
      </c>
      <c r="C687">
        <f>IF(A687="","",DATE(YEAR(A687),12,31)-DATE(YEAR(A687),1,1)+1)</f>
        <v/>
      </c>
      <c r="D687">
        <f>IF(A687="","",Ввод!$B$4-SUMIF(Оплаты!$A$6:$A$505,"&lt;"&amp;A687,Оплаты!$B$6:$B$505))</f>
        <v/>
      </c>
      <c r="E687">
        <f>IF(A687="","",IF(SUMPRODUCT((Ввод!$F$12:$F$31&lt;&gt;"")*(Ввод!$F$12:$F$31&lt;=A687)*(Ввод!$G$12:$G$31&gt;=A687))&gt;0,1,0))</f>
        <v/>
      </c>
      <c r="F687">
        <f>IF(OR(A687="",B687=""),"",IF(E687=1,0,D687*B687/100/C687))</f>
        <v/>
      </c>
      <c r="G687">
        <f>IF(A687="","",IF(OR(B687&lt;&gt;B686,C687&lt;&gt;C686,D687&lt;&gt;D686,E687&lt;&gt;E686),G686+1,G686))</f>
        <v/>
      </c>
    </row>
    <row r="688">
      <c r="A688" s="14">
        <f>IF(OR(NOT(ISNUMBER(Ввод!$B$5)),NOT(ISNUMBER(Ввод!$B$6))),"",IF(Ввод!$B$5+686&gt;Ввод!$B$6,"",Ввод!$B$5+686))</f>
        <v/>
      </c>
      <c r="B688">
        <f>IF(A688="","",IFERROR(INDEX(Ввод!$B$12:$B$71,MATCH(A688,Ввод!$D$12:$D$71,1)),""))</f>
        <v/>
      </c>
      <c r="C688">
        <f>IF(A688="","",DATE(YEAR(A688),12,31)-DATE(YEAR(A688),1,1)+1)</f>
        <v/>
      </c>
      <c r="D688">
        <f>IF(A688="","",Ввод!$B$4-SUMIF(Оплаты!$A$6:$A$505,"&lt;"&amp;A688,Оплаты!$B$6:$B$505))</f>
        <v/>
      </c>
      <c r="E688">
        <f>IF(A688="","",IF(SUMPRODUCT((Ввод!$F$12:$F$31&lt;&gt;"")*(Ввод!$F$12:$F$31&lt;=A688)*(Ввод!$G$12:$G$31&gt;=A688))&gt;0,1,0))</f>
        <v/>
      </c>
      <c r="F688">
        <f>IF(OR(A688="",B688=""),"",IF(E688=1,0,D688*B688/100/C688))</f>
        <v/>
      </c>
      <c r="G688">
        <f>IF(A688="","",IF(OR(B688&lt;&gt;B687,C688&lt;&gt;C687,D688&lt;&gt;D687,E688&lt;&gt;E687),G687+1,G687))</f>
        <v/>
      </c>
    </row>
    <row r="689">
      <c r="A689" s="14">
        <f>IF(OR(NOT(ISNUMBER(Ввод!$B$5)),NOT(ISNUMBER(Ввод!$B$6))),"",IF(Ввод!$B$5+687&gt;Ввод!$B$6,"",Ввод!$B$5+687))</f>
        <v/>
      </c>
      <c r="B689">
        <f>IF(A689="","",IFERROR(INDEX(Ввод!$B$12:$B$71,MATCH(A689,Ввод!$D$12:$D$71,1)),""))</f>
        <v/>
      </c>
      <c r="C689">
        <f>IF(A689="","",DATE(YEAR(A689),12,31)-DATE(YEAR(A689),1,1)+1)</f>
        <v/>
      </c>
      <c r="D689">
        <f>IF(A689="","",Ввод!$B$4-SUMIF(Оплаты!$A$6:$A$505,"&lt;"&amp;A689,Оплаты!$B$6:$B$505))</f>
        <v/>
      </c>
      <c r="E689">
        <f>IF(A689="","",IF(SUMPRODUCT((Ввод!$F$12:$F$31&lt;&gt;"")*(Ввод!$F$12:$F$31&lt;=A689)*(Ввод!$G$12:$G$31&gt;=A689))&gt;0,1,0))</f>
        <v/>
      </c>
      <c r="F689">
        <f>IF(OR(A689="",B689=""),"",IF(E689=1,0,D689*B689/100/C689))</f>
        <v/>
      </c>
      <c r="G689">
        <f>IF(A689="","",IF(OR(B689&lt;&gt;B688,C689&lt;&gt;C688,D689&lt;&gt;D688,E689&lt;&gt;E688),G688+1,G688))</f>
        <v/>
      </c>
    </row>
    <row r="690">
      <c r="A690" s="14">
        <f>IF(OR(NOT(ISNUMBER(Ввод!$B$5)),NOT(ISNUMBER(Ввод!$B$6))),"",IF(Ввод!$B$5+688&gt;Ввод!$B$6,"",Ввод!$B$5+688))</f>
        <v/>
      </c>
      <c r="B690">
        <f>IF(A690="","",IFERROR(INDEX(Ввод!$B$12:$B$71,MATCH(A690,Ввод!$D$12:$D$71,1)),""))</f>
        <v/>
      </c>
      <c r="C690">
        <f>IF(A690="","",DATE(YEAR(A690),12,31)-DATE(YEAR(A690),1,1)+1)</f>
        <v/>
      </c>
      <c r="D690">
        <f>IF(A690="","",Ввод!$B$4-SUMIF(Оплаты!$A$6:$A$505,"&lt;"&amp;A690,Оплаты!$B$6:$B$505))</f>
        <v/>
      </c>
      <c r="E690">
        <f>IF(A690="","",IF(SUMPRODUCT((Ввод!$F$12:$F$31&lt;&gt;"")*(Ввод!$F$12:$F$31&lt;=A690)*(Ввод!$G$12:$G$31&gt;=A690))&gt;0,1,0))</f>
        <v/>
      </c>
      <c r="F690">
        <f>IF(OR(A690="",B690=""),"",IF(E690=1,0,D690*B690/100/C690))</f>
        <v/>
      </c>
      <c r="G690">
        <f>IF(A690="","",IF(OR(B690&lt;&gt;B689,C690&lt;&gt;C689,D690&lt;&gt;D689,E690&lt;&gt;E689),G689+1,G689))</f>
        <v/>
      </c>
    </row>
    <row r="691">
      <c r="A691" s="14">
        <f>IF(OR(NOT(ISNUMBER(Ввод!$B$5)),NOT(ISNUMBER(Ввод!$B$6))),"",IF(Ввод!$B$5+689&gt;Ввод!$B$6,"",Ввод!$B$5+689))</f>
        <v/>
      </c>
      <c r="B691">
        <f>IF(A691="","",IFERROR(INDEX(Ввод!$B$12:$B$71,MATCH(A691,Ввод!$D$12:$D$71,1)),""))</f>
        <v/>
      </c>
      <c r="C691">
        <f>IF(A691="","",DATE(YEAR(A691),12,31)-DATE(YEAR(A691),1,1)+1)</f>
        <v/>
      </c>
      <c r="D691">
        <f>IF(A691="","",Ввод!$B$4-SUMIF(Оплаты!$A$6:$A$505,"&lt;"&amp;A691,Оплаты!$B$6:$B$505))</f>
        <v/>
      </c>
      <c r="E691">
        <f>IF(A691="","",IF(SUMPRODUCT((Ввод!$F$12:$F$31&lt;&gt;"")*(Ввод!$F$12:$F$31&lt;=A691)*(Ввод!$G$12:$G$31&gt;=A691))&gt;0,1,0))</f>
        <v/>
      </c>
      <c r="F691">
        <f>IF(OR(A691="",B691=""),"",IF(E691=1,0,D691*B691/100/C691))</f>
        <v/>
      </c>
      <c r="G691">
        <f>IF(A691="","",IF(OR(B691&lt;&gt;B690,C691&lt;&gt;C690,D691&lt;&gt;D690,E691&lt;&gt;E690),G690+1,G690))</f>
        <v/>
      </c>
    </row>
    <row r="692">
      <c r="A692" s="14">
        <f>IF(OR(NOT(ISNUMBER(Ввод!$B$5)),NOT(ISNUMBER(Ввод!$B$6))),"",IF(Ввод!$B$5+690&gt;Ввод!$B$6,"",Ввод!$B$5+690))</f>
        <v/>
      </c>
      <c r="B692">
        <f>IF(A692="","",IFERROR(INDEX(Ввод!$B$12:$B$71,MATCH(A692,Ввод!$D$12:$D$71,1)),""))</f>
        <v/>
      </c>
      <c r="C692">
        <f>IF(A692="","",DATE(YEAR(A692),12,31)-DATE(YEAR(A692),1,1)+1)</f>
        <v/>
      </c>
      <c r="D692">
        <f>IF(A692="","",Ввод!$B$4-SUMIF(Оплаты!$A$6:$A$505,"&lt;"&amp;A692,Оплаты!$B$6:$B$505))</f>
        <v/>
      </c>
      <c r="E692">
        <f>IF(A692="","",IF(SUMPRODUCT((Ввод!$F$12:$F$31&lt;&gt;"")*(Ввод!$F$12:$F$31&lt;=A692)*(Ввод!$G$12:$G$31&gt;=A692))&gt;0,1,0))</f>
        <v/>
      </c>
      <c r="F692">
        <f>IF(OR(A692="",B692=""),"",IF(E692=1,0,D692*B692/100/C692))</f>
        <v/>
      </c>
      <c r="G692">
        <f>IF(A692="","",IF(OR(B692&lt;&gt;B691,C692&lt;&gt;C691,D692&lt;&gt;D691,E692&lt;&gt;E691),G691+1,G691))</f>
        <v/>
      </c>
    </row>
    <row r="693">
      <c r="A693" s="14">
        <f>IF(OR(NOT(ISNUMBER(Ввод!$B$5)),NOT(ISNUMBER(Ввод!$B$6))),"",IF(Ввод!$B$5+691&gt;Ввод!$B$6,"",Ввод!$B$5+691))</f>
        <v/>
      </c>
      <c r="B693">
        <f>IF(A693="","",IFERROR(INDEX(Ввод!$B$12:$B$71,MATCH(A693,Ввод!$D$12:$D$71,1)),""))</f>
        <v/>
      </c>
      <c r="C693">
        <f>IF(A693="","",DATE(YEAR(A693),12,31)-DATE(YEAR(A693),1,1)+1)</f>
        <v/>
      </c>
      <c r="D693">
        <f>IF(A693="","",Ввод!$B$4-SUMIF(Оплаты!$A$6:$A$505,"&lt;"&amp;A693,Оплаты!$B$6:$B$505))</f>
        <v/>
      </c>
      <c r="E693">
        <f>IF(A693="","",IF(SUMPRODUCT((Ввод!$F$12:$F$31&lt;&gt;"")*(Ввод!$F$12:$F$31&lt;=A693)*(Ввод!$G$12:$G$31&gt;=A693))&gt;0,1,0))</f>
        <v/>
      </c>
      <c r="F693">
        <f>IF(OR(A693="",B693=""),"",IF(E693=1,0,D693*B693/100/C693))</f>
        <v/>
      </c>
      <c r="G693">
        <f>IF(A693="","",IF(OR(B693&lt;&gt;B692,C693&lt;&gt;C692,D693&lt;&gt;D692,E693&lt;&gt;E692),G692+1,G692))</f>
        <v/>
      </c>
    </row>
    <row r="694">
      <c r="A694" s="14">
        <f>IF(OR(NOT(ISNUMBER(Ввод!$B$5)),NOT(ISNUMBER(Ввод!$B$6))),"",IF(Ввод!$B$5+692&gt;Ввод!$B$6,"",Ввод!$B$5+692))</f>
        <v/>
      </c>
      <c r="B694">
        <f>IF(A694="","",IFERROR(INDEX(Ввод!$B$12:$B$71,MATCH(A694,Ввод!$D$12:$D$71,1)),""))</f>
        <v/>
      </c>
      <c r="C694">
        <f>IF(A694="","",DATE(YEAR(A694),12,31)-DATE(YEAR(A694),1,1)+1)</f>
        <v/>
      </c>
      <c r="D694">
        <f>IF(A694="","",Ввод!$B$4-SUMIF(Оплаты!$A$6:$A$505,"&lt;"&amp;A694,Оплаты!$B$6:$B$505))</f>
        <v/>
      </c>
      <c r="E694">
        <f>IF(A694="","",IF(SUMPRODUCT((Ввод!$F$12:$F$31&lt;&gt;"")*(Ввод!$F$12:$F$31&lt;=A694)*(Ввод!$G$12:$G$31&gt;=A694))&gt;0,1,0))</f>
        <v/>
      </c>
      <c r="F694">
        <f>IF(OR(A694="",B694=""),"",IF(E694=1,0,D694*B694/100/C694))</f>
        <v/>
      </c>
      <c r="G694">
        <f>IF(A694="","",IF(OR(B694&lt;&gt;B693,C694&lt;&gt;C693,D694&lt;&gt;D693,E694&lt;&gt;E693),G693+1,G693))</f>
        <v/>
      </c>
    </row>
    <row r="695">
      <c r="A695" s="14">
        <f>IF(OR(NOT(ISNUMBER(Ввод!$B$5)),NOT(ISNUMBER(Ввод!$B$6))),"",IF(Ввод!$B$5+693&gt;Ввод!$B$6,"",Ввод!$B$5+693))</f>
        <v/>
      </c>
      <c r="B695">
        <f>IF(A695="","",IFERROR(INDEX(Ввод!$B$12:$B$71,MATCH(A695,Ввод!$D$12:$D$71,1)),""))</f>
        <v/>
      </c>
      <c r="C695">
        <f>IF(A695="","",DATE(YEAR(A695),12,31)-DATE(YEAR(A695),1,1)+1)</f>
        <v/>
      </c>
      <c r="D695">
        <f>IF(A695="","",Ввод!$B$4-SUMIF(Оплаты!$A$6:$A$505,"&lt;"&amp;A695,Оплаты!$B$6:$B$505))</f>
        <v/>
      </c>
      <c r="E695">
        <f>IF(A695="","",IF(SUMPRODUCT((Ввод!$F$12:$F$31&lt;&gt;"")*(Ввод!$F$12:$F$31&lt;=A695)*(Ввод!$G$12:$G$31&gt;=A695))&gt;0,1,0))</f>
        <v/>
      </c>
      <c r="F695">
        <f>IF(OR(A695="",B695=""),"",IF(E695=1,0,D695*B695/100/C695))</f>
        <v/>
      </c>
      <c r="G695">
        <f>IF(A695="","",IF(OR(B695&lt;&gt;B694,C695&lt;&gt;C694,D695&lt;&gt;D694,E695&lt;&gt;E694),G694+1,G694))</f>
        <v/>
      </c>
    </row>
    <row r="696">
      <c r="A696" s="14">
        <f>IF(OR(NOT(ISNUMBER(Ввод!$B$5)),NOT(ISNUMBER(Ввод!$B$6))),"",IF(Ввод!$B$5+694&gt;Ввод!$B$6,"",Ввод!$B$5+694))</f>
        <v/>
      </c>
      <c r="B696">
        <f>IF(A696="","",IFERROR(INDEX(Ввод!$B$12:$B$71,MATCH(A696,Ввод!$D$12:$D$71,1)),""))</f>
        <v/>
      </c>
      <c r="C696">
        <f>IF(A696="","",DATE(YEAR(A696),12,31)-DATE(YEAR(A696),1,1)+1)</f>
        <v/>
      </c>
      <c r="D696">
        <f>IF(A696="","",Ввод!$B$4-SUMIF(Оплаты!$A$6:$A$505,"&lt;"&amp;A696,Оплаты!$B$6:$B$505))</f>
        <v/>
      </c>
      <c r="E696">
        <f>IF(A696="","",IF(SUMPRODUCT((Ввод!$F$12:$F$31&lt;&gt;"")*(Ввод!$F$12:$F$31&lt;=A696)*(Ввод!$G$12:$G$31&gt;=A696))&gt;0,1,0))</f>
        <v/>
      </c>
      <c r="F696">
        <f>IF(OR(A696="",B696=""),"",IF(E696=1,0,D696*B696/100/C696))</f>
        <v/>
      </c>
      <c r="G696">
        <f>IF(A696="","",IF(OR(B696&lt;&gt;B695,C696&lt;&gt;C695,D696&lt;&gt;D695,E696&lt;&gt;E695),G695+1,G695))</f>
        <v/>
      </c>
    </row>
    <row r="697">
      <c r="A697" s="14">
        <f>IF(OR(NOT(ISNUMBER(Ввод!$B$5)),NOT(ISNUMBER(Ввод!$B$6))),"",IF(Ввод!$B$5+695&gt;Ввод!$B$6,"",Ввод!$B$5+695))</f>
        <v/>
      </c>
      <c r="B697">
        <f>IF(A697="","",IFERROR(INDEX(Ввод!$B$12:$B$71,MATCH(A697,Ввод!$D$12:$D$71,1)),""))</f>
        <v/>
      </c>
      <c r="C697">
        <f>IF(A697="","",DATE(YEAR(A697),12,31)-DATE(YEAR(A697),1,1)+1)</f>
        <v/>
      </c>
      <c r="D697">
        <f>IF(A697="","",Ввод!$B$4-SUMIF(Оплаты!$A$6:$A$505,"&lt;"&amp;A697,Оплаты!$B$6:$B$505))</f>
        <v/>
      </c>
      <c r="E697">
        <f>IF(A697="","",IF(SUMPRODUCT((Ввод!$F$12:$F$31&lt;&gt;"")*(Ввод!$F$12:$F$31&lt;=A697)*(Ввод!$G$12:$G$31&gt;=A697))&gt;0,1,0))</f>
        <v/>
      </c>
      <c r="F697">
        <f>IF(OR(A697="",B697=""),"",IF(E697=1,0,D697*B697/100/C697))</f>
        <v/>
      </c>
      <c r="G697">
        <f>IF(A697="","",IF(OR(B697&lt;&gt;B696,C697&lt;&gt;C696,D697&lt;&gt;D696,E697&lt;&gt;E696),G696+1,G696))</f>
        <v/>
      </c>
    </row>
    <row r="698">
      <c r="A698" s="14">
        <f>IF(OR(NOT(ISNUMBER(Ввод!$B$5)),NOT(ISNUMBER(Ввод!$B$6))),"",IF(Ввод!$B$5+696&gt;Ввод!$B$6,"",Ввод!$B$5+696))</f>
        <v/>
      </c>
      <c r="B698">
        <f>IF(A698="","",IFERROR(INDEX(Ввод!$B$12:$B$71,MATCH(A698,Ввод!$D$12:$D$71,1)),""))</f>
        <v/>
      </c>
      <c r="C698">
        <f>IF(A698="","",DATE(YEAR(A698),12,31)-DATE(YEAR(A698),1,1)+1)</f>
        <v/>
      </c>
      <c r="D698">
        <f>IF(A698="","",Ввод!$B$4-SUMIF(Оплаты!$A$6:$A$505,"&lt;"&amp;A698,Оплаты!$B$6:$B$505))</f>
        <v/>
      </c>
      <c r="E698">
        <f>IF(A698="","",IF(SUMPRODUCT((Ввод!$F$12:$F$31&lt;&gt;"")*(Ввод!$F$12:$F$31&lt;=A698)*(Ввод!$G$12:$G$31&gt;=A698))&gt;0,1,0))</f>
        <v/>
      </c>
      <c r="F698">
        <f>IF(OR(A698="",B698=""),"",IF(E698=1,0,D698*B698/100/C698))</f>
        <v/>
      </c>
      <c r="G698">
        <f>IF(A698="","",IF(OR(B698&lt;&gt;B697,C698&lt;&gt;C697,D698&lt;&gt;D697,E698&lt;&gt;E697),G697+1,G697))</f>
        <v/>
      </c>
    </row>
    <row r="699">
      <c r="A699" s="14">
        <f>IF(OR(NOT(ISNUMBER(Ввод!$B$5)),NOT(ISNUMBER(Ввод!$B$6))),"",IF(Ввод!$B$5+697&gt;Ввод!$B$6,"",Ввод!$B$5+697))</f>
        <v/>
      </c>
      <c r="B699">
        <f>IF(A699="","",IFERROR(INDEX(Ввод!$B$12:$B$71,MATCH(A699,Ввод!$D$12:$D$71,1)),""))</f>
        <v/>
      </c>
      <c r="C699">
        <f>IF(A699="","",DATE(YEAR(A699),12,31)-DATE(YEAR(A699),1,1)+1)</f>
        <v/>
      </c>
      <c r="D699">
        <f>IF(A699="","",Ввод!$B$4-SUMIF(Оплаты!$A$6:$A$505,"&lt;"&amp;A699,Оплаты!$B$6:$B$505))</f>
        <v/>
      </c>
      <c r="E699">
        <f>IF(A699="","",IF(SUMPRODUCT((Ввод!$F$12:$F$31&lt;&gt;"")*(Ввод!$F$12:$F$31&lt;=A699)*(Ввод!$G$12:$G$31&gt;=A699))&gt;0,1,0))</f>
        <v/>
      </c>
      <c r="F699">
        <f>IF(OR(A699="",B699=""),"",IF(E699=1,0,D699*B699/100/C699))</f>
        <v/>
      </c>
      <c r="G699">
        <f>IF(A699="","",IF(OR(B699&lt;&gt;B698,C699&lt;&gt;C698,D699&lt;&gt;D698,E699&lt;&gt;E698),G698+1,G698))</f>
        <v/>
      </c>
    </row>
    <row r="700">
      <c r="A700" s="14">
        <f>IF(OR(NOT(ISNUMBER(Ввод!$B$5)),NOT(ISNUMBER(Ввод!$B$6))),"",IF(Ввод!$B$5+698&gt;Ввод!$B$6,"",Ввод!$B$5+698))</f>
        <v/>
      </c>
      <c r="B700">
        <f>IF(A700="","",IFERROR(INDEX(Ввод!$B$12:$B$71,MATCH(A700,Ввод!$D$12:$D$71,1)),""))</f>
        <v/>
      </c>
      <c r="C700">
        <f>IF(A700="","",DATE(YEAR(A700),12,31)-DATE(YEAR(A700),1,1)+1)</f>
        <v/>
      </c>
      <c r="D700">
        <f>IF(A700="","",Ввод!$B$4-SUMIF(Оплаты!$A$6:$A$505,"&lt;"&amp;A700,Оплаты!$B$6:$B$505))</f>
        <v/>
      </c>
      <c r="E700">
        <f>IF(A700="","",IF(SUMPRODUCT((Ввод!$F$12:$F$31&lt;&gt;"")*(Ввод!$F$12:$F$31&lt;=A700)*(Ввод!$G$12:$G$31&gt;=A700))&gt;0,1,0))</f>
        <v/>
      </c>
      <c r="F700">
        <f>IF(OR(A700="",B700=""),"",IF(E700=1,0,D700*B700/100/C700))</f>
        <v/>
      </c>
      <c r="G700">
        <f>IF(A700="","",IF(OR(B700&lt;&gt;B699,C700&lt;&gt;C699,D700&lt;&gt;D699,E700&lt;&gt;E699),G699+1,G699))</f>
        <v/>
      </c>
    </row>
    <row r="701">
      <c r="A701" s="14">
        <f>IF(OR(NOT(ISNUMBER(Ввод!$B$5)),NOT(ISNUMBER(Ввод!$B$6))),"",IF(Ввод!$B$5+699&gt;Ввод!$B$6,"",Ввод!$B$5+699))</f>
        <v/>
      </c>
      <c r="B701">
        <f>IF(A701="","",IFERROR(INDEX(Ввод!$B$12:$B$71,MATCH(A701,Ввод!$D$12:$D$71,1)),""))</f>
        <v/>
      </c>
      <c r="C701">
        <f>IF(A701="","",DATE(YEAR(A701),12,31)-DATE(YEAR(A701),1,1)+1)</f>
        <v/>
      </c>
      <c r="D701">
        <f>IF(A701="","",Ввод!$B$4-SUMIF(Оплаты!$A$6:$A$505,"&lt;"&amp;A701,Оплаты!$B$6:$B$505))</f>
        <v/>
      </c>
      <c r="E701">
        <f>IF(A701="","",IF(SUMPRODUCT((Ввод!$F$12:$F$31&lt;&gt;"")*(Ввод!$F$12:$F$31&lt;=A701)*(Ввод!$G$12:$G$31&gt;=A701))&gt;0,1,0))</f>
        <v/>
      </c>
      <c r="F701">
        <f>IF(OR(A701="",B701=""),"",IF(E701=1,0,D701*B701/100/C701))</f>
        <v/>
      </c>
      <c r="G701">
        <f>IF(A701="","",IF(OR(B701&lt;&gt;B700,C701&lt;&gt;C700,D701&lt;&gt;D700,E701&lt;&gt;E700),G700+1,G700))</f>
        <v/>
      </c>
    </row>
    <row r="702">
      <c r="A702" s="14">
        <f>IF(OR(NOT(ISNUMBER(Ввод!$B$5)),NOT(ISNUMBER(Ввод!$B$6))),"",IF(Ввод!$B$5+700&gt;Ввод!$B$6,"",Ввод!$B$5+700))</f>
        <v/>
      </c>
      <c r="B702">
        <f>IF(A702="","",IFERROR(INDEX(Ввод!$B$12:$B$71,MATCH(A702,Ввод!$D$12:$D$71,1)),""))</f>
        <v/>
      </c>
      <c r="C702">
        <f>IF(A702="","",DATE(YEAR(A702),12,31)-DATE(YEAR(A702),1,1)+1)</f>
        <v/>
      </c>
      <c r="D702">
        <f>IF(A702="","",Ввод!$B$4-SUMIF(Оплаты!$A$6:$A$505,"&lt;"&amp;A702,Оплаты!$B$6:$B$505))</f>
        <v/>
      </c>
      <c r="E702">
        <f>IF(A702="","",IF(SUMPRODUCT((Ввод!$F$12:$F$31&lt;&gt;"")*(Ввод!$F$12:$F$31&lt;=A702)*(Ввод!$G$12:$G$31&gt;=A702))&gt;0,1,0))</f>
        <v/>
      </c>
      <c r="F702">
        <f>IF(OR(A702="",B702=""),"",IF(E702=1,0,D702*B702/100/C702))</f>
        <v/>
      </c>
      <c r="G702">
        <f>IF(A702="","",IF(OR(B702&lt;&gt;B701,C702&lt;&gt;C701,D702&lt;&gt;D701,E702&lt;&gt;E701),G701+1,G701))</f>
        <v/>
      </c>
    </row>
    <row r="703">
      <c r="A703" s="14">
        <f>IF(OR(NOT(ISNUMBER(Ввод!$B$5)),NOT(ISNUMBER(Ввод!$B$6))),"",IF(Ввод!$B$5+701&gt;Ввод!$B$6,"",Ввод!$B$5+701))</f>
        <v/>
      </c>
      <c r="B703">
        <f>IF(A703="","",IFERROR(INDEX(Ввод!$B$12:$B$71,MATCH(A703,Ввод!$D$12:$D$71,1)),""))</f>
        <v/>
      </c>
      <c r="C703">
        <f>IF(A703="","",DATE(YEAR(A703),12,31)-DATE(YEAR(A703),1,1)+1)</f>
        <v/>
      </c>
      <c r="D703">
        <f>IF(A703="","",Ввод!$B$4-SUMIF(Оплаты!$A$6:$A$505,"&lt;"&amp;A703,Оплаты!$B$6:$B$505))</f>
        <v/>
      </c>
      <c r="E703">
        <f>IF(A703="","",IF(SUMPRODUCT((Ввод!$F$12:$F$31&lt;&gt;"")*(Ввод!$F$12:$F$31&lt;=A703)*(Ввод!$G$12:$G$31&gt;=A703))&gt;0,1,0))</f>
        <v/>
      </c>
      <c r="F703">
        <f>IF(OR(A703="",B703=""),"",IF(E703=1,0,D703*B703/100/C703))</f>
        <v/>
      </c>
      <c r="G703">
        <f>IF(A703="","",IF(OR(B703&lt;&gt;B702,C703&lt;&gt;C702,D703&lt;&gt;D702,E703&lt;&gt;E702),G702+1,G702))</f>
        <v/>
      </c>
    </row>
    <row r="704">
      <c r="A704" s="14">
        <f>IF(OR(NOT(ISNUMBER(Ввод!$B$5)),NOT(ISNUMBER(Ввод!$B$6))),"",IF(Ввод!$B$5+702&gt;Ввод!$B$6,"",Ввод!$B$5+702))</f>
        <v/>
      </c>
      <c r="B704">
        <f>IF(A704="","",IFERROR(INDEX(Ввод!$B$12:$B$71,MATCH(A704,Ввод!$D$12:$D$71,1)),""))</f>
        <v/>
      </c>
      <c r="C704">
        <f>IF(A704="","",DATE(YEAR(A704),12,31)-DATE(YEAR(A704),1,1)+1)</f>
        <v/>
      </c>
      <c r="D704">
        <f>IF(A704="","",Ввод!$B$4-SUMIF(Оплаты!$A$6:$A$505,"&lt;"&amp;A704,Оплаты!$B$6:$B$505))</f>
        <v/>
      </c>
      <c r="E704">
        <f>IF(A704="","",IF(SUMPRODUCT((Ввод!$F$12:$F$31&lt;&gt;"")*(Ввод!$F$12:$F$31&lt;=A704)*(Ввод!$G$12:$G$31&gt;=A704))&gt;0,1,0))</f>
        <v/>
      </c>
      <c r="F704">
        <f>IF(OR(A704="",B704=""),"",IF(E704=1,0,D704*B704/100/C704))</f>
        <v/>
      </c>
      <c r="G704">
        <f>IF(A704="","",IF(OR(B704&lt;&gt;B703,C704&lt;&gt;C703,D704&lt;&gt;D703,E704&lt;&gt;E703),G703+1,G703))</f>
        <v/>
      </c>
    </row>
    <row r="705">
      <c r="A705" s="14">
        <f>IF(OR(NOT(ISNUMBER(Ввод!$B$5)),NOT(ISNUMBER(Ввод!$B$6))),"",IF(Ввод!$B$5+703&gt;Ввод!$B$6,"",Ввод!$B$5+703))</f>
        <v/>
      </c>
      <c r="B705">
        <f>IF(A705="","",IFERROR(INDEX(Ввод!$B$12:$B$71,MATCH(A705,Ввод!$D$12:$D$71,1)),""))</f>
        <v/>
      </c>
      <c r="C705">
        <f>IF(A705="","",DATE(YEAR(A705),12,31)-DATE(YEAR(A705),1,1)+1)</f>
        <v/>
      </c>
      <c r="D705">
        <f>IF(A705="","",Ввод!$B$4-SUMIF(Оплаты!$A$6:$A$505,"&lt;"&amp;A705,Оплаты!$B$6:$B$505))</f>
        <v/>
      </c>
      <c r="E705">
        <f>IF(A705="","",IF(SUMPRODUCT((Ввод!$F$12:$F$31&lt;&gt;"")*(Ввод!$F$12:$F$31&lt;=A705)*(Ввод!$G$12:$G$31&gt;=A705))&gt;0,1,0))</f>
        <v/>
      </c>
      <c r="F705">
        <f>IF(OR(A705="",B705=""),"",IF(E705=1,0,D705*B705/100/C705))</f>
        <v/>
      </c>
      <c r="G705">
        <f>IF(A705="","",IF(OR(B705&lt;&gt;B704,C705&lt;&gt;C704,D705&lt;&gt;D704,E705&lt;&gt;E704),G704+1,G704))</f>
        <v/>
      </c>
    </row>
    <row r="706">
      <c r="A706" s="14">
        <f>IF(OR(NOT(ISNUMBER(Ввод!$B$5)),NOT(ISNUMBER(Ввод!$B$6))),"",IF(Ввод!$B$5+704&gt;Ввод!$B$6,"",Ввод!$B$5+704))</f>
        <v/>
      </c>
      <c r="B706">
        <f>IF(A706="","",IFERROR(INDEX(Ввод!$B$12:$B$71,MATCH(A706,Ввод!$D$12:$D$71,1)),""))</f>
        <v/>
      </c>
      <c r="C706">
        <f>IF(A706="","",DATE(YEAR(A706),12,31)-DATE(YEAR(A706),1,1)+1)</f>
        <v/>
      </c>
      <c r="D706">
        <f>IF(A706="","",Ввод!$B$4-SUMIF(Оплаты!$A$6:$A$505,"&lt;"&amp;A706,Оплаты!$B$6:$B$505))</f>
        <v/>
      </c>
      <c r="E706">
        <f>IF(A706="","",IF(SUMPRODUCT((Ввод!$F$12:$F$31&lt;&gt;"")*(Ввод!$F$12:$F$31&lt;=A706)*(Ввод!$G$12:$G$31&gt;=A706))&gt;0,1,0))</f>
        <v/>
      </c>
      <c r="F706">
        <f>IF(OR(A706="",B706=""),"",IF(E706=1,0,D706*B706/100/C706))</f>
        <v/>
      </c>
      <c r="G706">
        <f>IF(A706="","",IF(OR(B706&lt;&gt;B705,C706&lt;&gt;C705,D706&lt;&gt;D705,E706&lt;&gt;E705),G705+1,G705))</f>
        <v/>
      </c>
    </row>
    <row r="707">
      <c r="A707" s="14">
        <f>IF(OR(NOT(ISNUMBER(Ввод!$B$5)),NOT(ISNUMBER(Ввод!$B$6))),"",IF(Ввод!$B$5+705&gt;Ввод!$B$6,"",Ввод!$B$5+705))</f>
        <v/>
      </c>
      <c r="B707">
        <f>IF(A707="","",IFERROR(INDEX(Ввод!$B$12:$B$71,MATCH(A707,Ввод!$D$12:$D$71,1)),""))</f>
        <v/>
      </c>
      <c r="C707">
        <f>IF(A707="","",DATE(YEAR(A707),12,31)-DATE(YEAR(A707),1,1)+1)</f>
        <v/>
      </c>
      <c r="D707">
        <f>IF(A707="","",Ввод!$B$4-SUMIF(Оплаты!$A$6:$A$505,"&lt;"&amp;A707,Оплаты!$B$6:$B$505))</f>
        <v/>
      </c>
      <c r="E707">
        <f>IF(A707="","",IF(SUMPRODUCT((Ввод!$F$12:$F$31&lt;&gt;"")*(Ввод!$F$12:$F$31&lt;=A707)*(Ввод!$G$12:$G$31&gt;=A707))&gt;0,1,0))</f>
        <v/>
      </c>
      <c r="F707">
        <f>IF(OR(A707="",B707=""),"",IF(E707=1,0,D707*B707/100/C707))</f>
        <v/>
      </c>
      <c r="G707">
        <f>IF(A707="","",IF(OR(B707&lt;&gt;B706,C707&lt;&gt;C706,D707&lt;&gt;D706,E707&lt;&gt;E706),G706+1,G706))</f>
        <v/>
      </c>
    </row>
    <row r="708">
      <c r="A708" s="14">
        <f>IF(OR(NOT(ISNUMBER(Ввод!$B$5)),NOT(ISNUMBER(Ввод!$B$6))),"",IF(Ввод!$B$5+706&gt;Ввод!$B$6,"",Ввод!$B$5+706))</f>
        <v/>
      </c>
      <c r="B708">
        <f>IF(A708="","",IFERROR(INDEX(Ввод!$B$12:$B$71,MATCH(A708,Ввод!$D$12:$D$71,1)),""))</f>
        <v/>
      </c>
      <c r="C708">
        <f>IF(A708="","",DATE(YEAR(A708),12,31)-DATE(YEAR(A708),1,1)+1)</f>
        <v/>
      </c>
      <c r="D708">
        <f>IF(A708="","",Ввод!$B$4-SUMIF(Оплаты!$A$6:$A$505,"&lt;"&amp;A708,Оплаты!$B$6:$B$505))</f>
        <v/>
      </c>
      <c r="E708">
        <f>IF(A708="","",IF(SUMPRODUCT((Ввод!$F$12:$F$31&lt;&gt;"")*(Ввод!$F$12:$F$31&lt;=A708)*(Ввод!$G$12:$G$31&gt;=A708))&gt;0,1,0))</f>
        <v/>
      </c>
      <c r="F708">
        <f>IF(OR(A708="",B708=""),"",IF(E708=1,0,D708*B708/100/C708))</f>
        <v/>
      </c>
      <c r="G708">
        <f>IF(A708="","",IF(OR(B708&lt;&gt;B707,C708&lt;&gt;C707,D708&lt;&gt;D707,E708&lt;&gt;E707),G707+1,G707))</f>
        <v/>
      </c>
    </row>
    <row r="709">
      <c r="A709" s="14">
        <f>IF(OR(NOT(ISNUMBER(Ввод!$B$5)),NOT(ISNUMBER(Ввод!$B$6))),"",IF(Ввод!$B$5+707&gt;Ввод!$B$6,"",Ввод!$B$5+707))</f>
        <v/>
      </c>
      <c r="B709">
        <f>IF(A709="","",IFERROR(INDEX(Ввод!$B$12:$B$71,MATCH(A709,Ввод!$D$12:$D$71,1)),""))</f>
        <v/>
      </c>
      <c r="C709">
        <f>IF(A709="","",DATE(YEAR(A709),12,31)-DATE(YEAR(A709),1,1)+1)</f>
        <v/>
      </c>
      <c r="D709">
        <f>IF(A709="","",Ввод!$B$4-SUMIF(Оплаты!$A$6:$A$505,"&lt;"&amp;A709,Оплаты!$B$6:$B$505))</f>
        <v/>
      </c>
      <c r="E709">
        <f>IF(A709="","",IF(SUMPRODUCT((Ввод!$F$12:$F$31&lt;&gt;"")*(Ввод!$F$12:$F$31&lt;=A709)*(Ввод!$G$12:$G$31&gt;=A709))&gt;0,1,0))</f>
        <v/>
      </c>
      <c r="F709">
        <f>IF(OR(A709="",B709=""),"",IF(E709=1,0,D709*B709/100/C709))</f>
        <v/>
      </c>
      <c r="G709">
        <f>IF(A709="","",IF(OR(B709&lt;&gt;B708,C709&lt;&gt;C708,D709&lt;&gt;D708,E709&lt;&gt;E708),G708+1,G708))</f>
        <v/>
      </c>
    </row>
    <row r="710">
      <c r="A710" s="14">
        <f>IF(OR(NOT(ISNUMBER(Ввод!$B$5)),NOT(ISNUMBER(Ввод!$B$6))),"",IF(Ввод!$B$5+708&gt;Ввод!$B$6,"",Ввод!$B$5+708))</f>
        <v/>
      </c>
      <c r="B710">
        <f>IF(A710="","",IFERROR(INDEX(Ввод!$B$12:$B$71,MATCH(A710,Ввод!$D$12:$D$71,1)),""))</f>
        <v/>
      </c>
      <c r="C710">
        <f>IF(A710="","",DATE(YEAR(A710),12,31)-DATE(YEAR(A710),1,1)+1)</f>
        <v/>
      </c>
      <c r="D710">
        <f>IF(A710="","",Ввод!$B$4-SUMIF(Оплаты!$A$6:$A$505,"&lt;"&amp;A710,Оплаты!$B$6:$B$505))</f>
        <v/>
      </c>
      <c r="E710">
        <f>IF(A710="","",IF(SUMPRODUCT((Ввод!$F$12:$F$31&lt;&gt;"")*(Ввод!$F$12:$F$31&lt;=A710)*(Ввод!$G$12:$G$31&gt;=A710))&gt;0,1,0))</f>
        <v/>
      </c>
      <c r="F710">
        <f>IF(OR(A710="",B710=""),"",IF(E710=1,0,D710*B710/100/C710))</f>
        <v/>
      </c>
      <c r="G710">
        <f>IF(A710="","",IF(OR(B710&lt;&gt;B709,C710&lt;&gt;C709,D710&lt;&gt;D709,E710&lt;&gt;E709),G709+1,G709))</f>
        <v/>
      </c>
    </row>
    <row r="711">
      <c r="A711" s="14">
        <f>IF(OR(NOT(ISNUMBER(Ввод!$B$5)),NOT(ISNUMBER(Ввод!$B$6))),"",IF(Ввод!$B$5+709&gt;Ввод!$B$6,"",Ввод!$B$5+709))</f>
        <v/>
      </c>
      <c r="B711">
        <f>IF(A711="","",IFERROR(INDEX(Ввод!$B$12:$B$71,MATCH(A711,Ввод!$D$12:$D$71,1)),""))</f>
        <v/>
      </c>
      <c r="C711">
        <f>IF(A711="","",DATE(YEAR(A711),12,31)-DATE(YEAR(A711),1,1)+1)</f>
        <v/>
      </c>
      <c r="D711">
        <f>IF(A711="","",Ввод!$B$4-SUMIF(Оплаты!$A$6:$A$505,"&lt;"&amp;A711,Оплаты!$B$6:$B$505))</f>
        <v/>
      </c>
      <c r="E711">
        <f>IF(A711="","",IF(SUMPRODUCT((Ввод!$F$12:$F$31&lt;&gt;"")*(Ввод!$F$12:$F$31&lt;=A711)*(Ввод!$G$12:$G$31&gt;=A711))&gt;0,1,0))</f>
        <v/>
      </c>
      <c r="F711">
        <f>IF(OR(A711="",B711=""),"",IF(E711=1,0,D711*B711/100/C711))</f>
        <v/>
      </c>
      <c r="G711">
        <f>IF(A711="","",IF(OR(B711&lt;&gt;B710,C711&lt;&gt;C710,D711&lt;&gt;D710,E711&lt;&gt;E710),G710+1,G710))</f>
        <v/>
      </c>
    </row>
    <row r="712">
      <c r="A712" s="14">
        <f>IF(OR(NOT(ISNUMBER(Ввод!$B$5)),NOT(ISNUMBER(Ввод!$B$6))),"",IF(Ввод!$B$5+710&gt;Ввод!$B$6,"",Ввод!$B$5+710))</f>
        <v/>
      </c>
      <c r="B712">
        <f>IF(A712="","",IFERROR(INDEX(Ввод!$B$12:$B$71,MATCH(A712,Ввод!$D$12:$D$71,1)),""))</f>
        <v/>
      </c>
      <c r="C712">
        <f>IF(A712="","",DATE(YEAR(A712),12,31)-DATE(YEAR(A712),1,1)+1)</f>
        <v/>
      </c>
      <c r="D712">
        <f>IF(A712="","",Ввод!$B$4-SUMIF(Оплаты!$A$6:$A$505,"&lt;"&amp;A712,Оплаты!$B$6:$B$505))</f>
        <v/>
      </c>
      <c r="E712">
        <f>IF(A712="","",IF(SUMPRODUCT((Ввод!$F$12:$F$31&lt;&gt;"")*(Ввод!$F$12:$F$31&lt;=A712)*(Ввод!$G$12:$G$31&gt;=A712))&gt;0,1,0))</f>
        <v/>
      </c>
      <c r="F712">
        <f>IF(OR(A712="",B712=""),"",IF(E712=1,0,D712*B712/100/C712))</f>
        <v/>
      </c>
      <c r="G712">
        <f>IF(A712="","",IF(OR(B712&lt;&gt;B711,C712&lt;&gt;C711,D712&lt;&gt;D711,E712&lt;&gt;E711),G711+1,G711))</f>
        <v/>
      </c>
    </row>
    <row r="713">
      <c r="A713" s="14">
        <f>IF(OR(NOT(ISNUMBER(Ввод!$B$5)),NOT(ISNUMBER(Ввод!$B$6))),"",IF(Ввод!$B$5+711&gt;Ввод!$B$6,"",Ввод!$B$5+711))</f>
        <v/>
      </c>
      <c r="B713">
        <f>IF(A713="","",IFERROR(INDEX(Ввод!$B$12:$B$71,MATCH(A713,Ввод!$D$12:$D$71,1)),""))</f>
        <v/>
      </c>
      <c r="C713">
        <f>IF(A713="","",DATE(YEAR(A713),12,31)-DATE(YEAR(A713),1,1)+1)</f>
        <v/>
      </c>
      <c r="D713">
        <f>IF(A713="","",Ввод!$B$4-SUMIF(Оплаты!$A$6:$A$505,"&lt;"&amp;A713,Оплаты!$B$6:$B$505))</f>
        <v/>
      </c>
      <c r="E713">
        <f>IF(A713="","",IF(SUMPRODUCT((Ввод!$F$12:$F$31&lt;&gt;"")*(Ввод!$F$12:$F$31&lt;=A713)*(Ввод!$G$12:$G$31&gt;=A713))&gt;0,1,0))</f>
        <v/>
      </c>
      <c r="F713">
        <f>IF(OR(A713="",B713=""),"",IF(E713=1,0,D713*B713/100/C713))</f>
        <v/>
      </c>
      <c r="G713">
        <f>IF(A713="","",IF(OR(B713&lt;&gt;B712,C713&lt;&gt;C712,D713&lt;&gt;D712,E713&lt;&gt;E712),G712+1,G712))</f>
        <v/>
      </c>
    </row>
    <row r="714">
      <c r="A714" s="14">
        <f>IF(OR(NOT(ISNUMBER(Ввод!$B$5)),NOT(ISNUMBER(Ввод!$B$6))),"",IF(Ввод!$B$5+712&gt;Ввод!$B$6,"",Ввод!$B$5+712))</f>
        <v/>
      </c>
      <c r="B714">
        <f>IF(A714="","",IFERROR(INDEX(Ввод!$B$12:$B$71,MATCH(A714,Ввод!$D$12:$D$71,1)),""))</f>
        <v/>
      </c>
      <c r="C714">
        <f>IF(A714="","",DATE(YEAR(A714),12,31)-DATE(YEAR(A714),1,1)+1)</f>
        <v/>
      </c>
      <c r="D714">
        <f>IF(A714="","",Ввод!$B$4-SUMIF(Оплаты!$A$6:$A$505,"&lt;"&amp;A714,Оплаты!$B$6:$B$505))</f>
        <v/>
      </c>
      <c r="E714">
        <f>IF(A714="","",IF(SUMPRODUCT((Ввод!$F$12:$F$31&lt;&gt;"")*(Ввод!$F$12:$F$31&lt;=A714)*(Ввод!$G$12:$G$31&gt;=A714))&gt;0,1,0))</f>
        <v/>
      </c>
      <c r="F714">
        <f>IF(OR(A714="",B714=""),"",IF(E714=1,0,D714*B714/100/C714))</f>
        <v/>
      </c>
      <c r="G714">
        <f>IF(A714="","",IF(OR(B714&lt;&gt;B713,C714&lt;&gt;C713,D714&lt;&gt;D713,E714&lt;&gt;E713),G713+1,G713))</f>
        <v/>
      </c>
    </row>
    <row r="715">
      <c r="A715" s="14">
        <f>IF(OR(NOT(ISNUMBER(Ввод!$B$5)),NOT(ISNUMBER(Ввод!$B$6))),"",IF(Ввод!$B$5+713&gt;Ввод!$B$6,"",Ввод!$B$5+713))</f>
        <v/>
      </c>
      <c r="B715">
        <f>IF(A715="","",IFERROR(INDEX(Ввод!$B$12:$B$71,MATCH(A715,Ввод!$D$12:$D$71,1)),""))</f>
        <v/>
      </c>
      <c r="C715">
        <f>IF(A715="","",DATE(YEAR(A715),12,31)-DATE(YEAR(A715),1,1)+1)</f>
        <v/>
      </c>
      <c r="D715">
        <f>IF(A715="","",Ввод!$B$4-SUMIF(Оплаты!$A$6:$A$505,"&lt;"&amp;A715,Оплаты!$B$6:$B$505))</f>
        <v/>
      </c>
      <c r="E715">
        <f>IF(A715="","",IF(SUMPRODUCT((Ввод!$F$12:$F$31&lt;&gt;"")*(Ввод!$F$12:$F$31&lt;=A715)*(Ввод!$G$12:$G$31&gt;=A715))&gt;0,1,0))</f>
        <v/>
      </c>
      <c r="F715">
        <f>IF(OR(A715="",B715=""),"",IF(E715=1,0,D715*B715/100/C715))</f>
        <v/>
      </c>
      <c r="G715">
        <f>IF(A715="","",IF(OR(B715&lt;&gt;B714,C715&lt;&gt;C714,D715&lt;&gt;D714,E715&lt;&gt;E714),G714+1,G714))</f>
        <v/>
      </c>
    </row>
    <row r="716">
      <c r="A716" s="14">
        <f>IF(OR(NOT(ISNUMBER(Ввод!$B$5)),NOT(ISNUMBER(Ввод!$B$6))),"",IF(Ввод!$B$5+714&gt;Ввод!$B$6,"",Ввод!$B$5+714))</f>
        <v/>
      </c>
      <c r="B716">
        <f>IF(A716="","",IFERROR(INDEX(Ввод!$B$12:$B$71,MATCH(A716,Ввод!$D$12:$D$71,1)),""))</f>
        <v/>
      </c>
      <c r="C716">
        <f>IF(A716="","",DATE(YEAR(A716),12,31)-DATE(YEAR(A716),1,1)+1)</f>
        <v/>
      </c>
      <c r="D716">
        <f>IF(A716="","",Ввод!$B$4-SUMIF(Оплаты!$A$6:$A$505,"&lt;"&amp;A716,Оплаты!$B$6:$B$505))</f>
        <v/>
      </c>
      <c r="E716">
        <f>IF(A716="","",IF(SUMPRODUCT((Ввод!$F$12:$F$31&lt;&gt;"")*(Ввод!$F$12:$F$31&lt;=A716)*(Ввод!$G$12:$G$31&gt;=A716))&gt;0,1,0))</f>
        <v/>
      </c>
      <c r="F716">
        <f>IF(OR(A716="",B716=""),"",IF(E716=1,0,D716*B716/100/C716))</f>
        <v/>
      </c>
      <c r="G716">
        <f>IF(A716="","",IF(OR(B716&lt;&gt;B715,C716&lt;&gt;C715,D716&lt;&gt;D715,E716&lt;&gt;E715),G715+1,G715))</f>
        <v/>
      </c>
    </row>
    <row r="717">
      <c r="A717" s="14">
        <f>IF(OR(NOT(ISNUMBER(Ввод!$B$5)),NOT(ISNUMBER(Ввод!$B$6))),"",IF(Ввод!$B$5+715&gt;Ввод!$B$6,"",Ввод!$B$5+715))</f>
        <v/>
      </c>
      <c r="B717">
        <f>IF(A717="","",IFERROR(INDEX(Ввод!$B$12:$B$71,MATCH(A717,Ввод!$D$12:$D$71,1)),""))</f>
        <v/>
      </c>
      <c r="C717">
        <f>IF(A717="","",DATE(YEAR(A717),12,31)-DATE(YEAR(A717),1,1)+1)</f>
        <v/>
      </c>
      <c r="D717">
        <f>IF(A717="","",Ввод!$B$4-SUMIF(Оплаты!$A$6:$A$505,"&lt;"&amp;A717,Оплаты!$B$6:$B$505))</f>
        <v/>
      </c>
      <c r="E717">
        <f>IF(A717="","",IF(SUMPRODUCT((Ввод!$F$12:$F$31&lt;&gt;"")*(Ввод!$F$12:$F$31&lt;=A717)*(Ввод!$G$12:$G$31&gt;=A717))&gt;0,1,0))</f>
        <v/>
      </c>
      <c r="F717">
        <f>IF(OR(A717="",B717=""),"",IF(E717=1,0,D717*B717/100/C717))</f>
        <v/>
      </c>
      <c r="G717">
        <f>IF(A717="","",IF(OR(B717&lt;&gt;B716,C717&lt;&gt;C716,D717&lt;&gt;D716,E717&lt;&gt;E716),G716+1,G716))</f>
        <v/>
      </c>
    </row>
    <row r="718">
      <c r="A718" s="14">
        <f>IF(OR(NOT(ISNUMBER(Ввод!$B$5)),NOT(ISNUMBER(Ввод!$B$6))),"",IF(Ввод!$B$5+716&gt;Ввод!$B$6,"",Ввод!$B$5+716))</f>
        <v/>
      </c>
      <c r="B718">
        <f>IF(A718="","",IFERROR(INDEX(Ввод!$B$12:$B$71,MATCH(A718,Ввод!$D$12:$D$71,1)),""))</f>
        <v/>
      </c>
      <c r="C718">
        <f>IF(A718="","",DATE(YEAR(A718),12,31)-DATE(YEAR(A718),1,1)+1)</f>
        <v/>
      </c>
      <c r="D718">
        <f>IF(A718="","",Ввод!$B$4-SUMIF(Оплаты!$A$6:$A$505,"&lt;"&amp;A718,Оплаты!$B$6:$B$505))</f>
        <v/>
      </c>
      <c r="E718">
        <f>IF(A718="","",IF(SUMPRODUCT((Ввод!$F$12:$F$31&lt;&gt;"")*(Ввод!$F$12:$F$31&lt;=A718)*(Ввод!$G$12:$G$31&gt;=A718))&gt;0,1,0))</f>
        <v/>
      </c>
      <c r="F718">
        <f>IF(OR(A718="",B718=""),"",IF(E718=1,0,D718*B718/100/C718))</f>
        <v/>
      </c>
      <c r="G718">
        <f>IF(A718="","",IF(OR(B718&lt;&gt;B717,C718&lt;&gt;C717,D718&lt;&gt;D717,E718&lt;&gt;E717),G717+1,G717))</f>
        <v/>
      </c>
    </row>
    <row r="719">
      <c r="A719" s="14">
        <f>IF(OR(NOT(ISNUMBER(Ввод!$B$5)),NOT(ISNUMBER(Ввод!$B$6))),"",IF(Ввод!$B$5+717&gt;Ввод!$B$6,"",Ввод!$B$5+717))</f>
        <v/>
      </c>
      <c r="B719">
        <f>IF(A719="","",IFERROR(INDEX(Ввод!$B$12:$B$71,MATCH(A719,Ввод!$D$12:$D$71,1)),""))</f>
        <v/>
      </c>
      <c r="C719">
        <f>IF(A719="","",DATE(YEAR(A719),12,31)-DATE(YEAR(A719),1,1)+1)</f>
        <v/>
      </c>
      <c r="D719">
        <f>IF(A719="","",Ввод!$B$4-SUMIF(Оплаты!$A$6:$A$505,"&lt;"&amp;A719,Оплаты!$B$6:$B$505))</f>
        <v/>
      </c>
      <c r="E719">
        <f>IF(A719="","",IF(SUMPRODUCT((Ввод!$F$12:$F$31&lt;&gt;"")*(Ввод!$F$12:$F$31&lt;=A719)*(Ввод!$G$12:$G$31&gt;=A719))&gt;0,1,0))</f>
        <v/>
      </c>
      <c r="F719">
        <f>IF(OR(A719="",B719=""),"",IF(E719=1,0,D719*B719/100/C719))</f>
        <v/>
      </c>
      <c r="G719">
        <f>IF(A719="","",IF(OR(B719&lt;&gt;B718,C719&lt;&gt;C718,D719&lt;&gt;D718,E719&lt;&gt;E718),G718+1,G718))</f>
        <v/>
      </c>
    </row>
    <row r="720">
      <c r="A720" s="14">
        <f>IF(OR(NOT(ISNUMBER(Ввод!$B$5)),NOT(ISNUMBER(Ввод!$B$6))),"",IF(Ввод!$B$5+718&gt;Ввод!$B$6,"",Ввод!$B$5+718))</f>
        <v/>
      </c>
      <c r="B720">
        <f>IF(A720="","",IFERROR(INDEX(Ввод!$B$12:$B$71,MATCH(A720,Ввод!$D$12:$D$71,1)),""))</f>
        <v/>
      </c>
      <c r="C720">
        <f>IF(A720="","",DATE(YEAR(A720),12,31)-DATE(YEAR(A720),1,1)+1)</f>
        <v/>
      </c>
      <c r="D720">
        <f>IF(A720="","",Ввод!$B$4-SUMIF(Оплаты!$A$6:$A$505,"&lt;"&amp;A720,Оплаты!$B$6:$B$505))</f>
        <v/>
      </c>
      <c r="E720">
        <f>IF(A720="","",IF(SUMPRODUCT((Ввод!$F$12:$F$31&lt;&gt;"")*(Ввод!$F$12:$F$31&lt;=A720)*(Ввод!$G$12:$G$31&gt;=A720))&gt;0,1,0))</f>
        <v/>
      </c>
      <c r="F720">
        <f>IF(OR(A720="",B720=""),"",IF(E720=1,0,D720*B720/100/C720))</f>
        <v/>
      </c>
      <c r="G720">
        <f>IF(A720="","",IF(OR(B720&lt;&gt;B719,C720&lt;&gt;C719,D720&lt;&gt;D719,E720&lt;&gt;E719),G719+1,G719))</f>
        <v/>
      </c>
    </row>
    <row r="721">
      <c r="A721" s="14">
        <f>IF(OR(NOT(ISNUMBER(Ввод!$B$5)),NOT(ISNUMBER(Ввод!$B$6))),"",IF(Ввод!$B$5+719&gt;Ввод!$B$6,"",Ввод!$B$5+719))</f>
        <v/>
      </c>
      <c r="B721">
        <f>IF(A721="","",IFERROR(INDEX(Ввод!$B$12:$B$71,MATCH(A721,Ввод!$D$12:$D$71,1)),""))</f>
        <v/>
      </c>
      <c r="C721">
        <f>IF(A721="","",DATE(YEAR(A721),12,31)-DATE(YEAR(A721),1,1)+1)</f>
        <v/>
      </c>
      <c r="D721">
        <f>IF(A721="","",Ввод!$B$4-SUMIF(Оплаты!$A$6:$A$505,"&lt;"&amp;A721,Оплаты!$B$6:$B$505))</f>
        <v/>
      </c>
      <c r="E721">
        <f>IF(A721="","",IF(SUMPRODUCT((Ввод!$F$12:$F$31&lt;&gt;"")*(Ввод!$F$12:$F$31&lt;=A721)*(Ввод!$G$12:$G$31&gt;=A721))&gt;0,1,0))</f>
        <v/>
      </c>
      <c r="F721">
        <f>IF(OR(A721="",B721=""),"",IF(E721=1,0,D721*B721/100/C721))</f>
        <v/>
      </c>
      <c r="G721">
        <f>IF(A721="","",IF(OR(B721&lt;&gt;B720,C721&lt;&gt;C720,D721&lt;&gt;D720,E721&lt;&gt;E720),G720+1,G720))</f>
        <v/>
      </c>
    </row>
    <row r="722">
      <c r="A722" s="14">
        <f>IF(OR(NOT(ISNUMBER(Ввод!$B$5)),NOT(ISNUMBER(Ввод!$B$6))),"",IF(Ввод!$B$5+720&gt;Ввод!$B$6,"",Ввод!$B$5+720))</f>
        <v/>
      </c>
      <c r="B722">
        <f>IF(A722="","",IFERROR(INDEX(Ввод!$B$12:$B$71,MATCH(A722,Ввод!$D$12:$D$71,1)),""))</f>
        <v/>
      </c>
      <c r="C722">
        <f>IF(A722="","",DATE(YEAR(A722),12,31)-DATE(YEAR(A722),1,1)+1)</f>
        <v/>
      </c>
      <c r="D722">
        <f>IF(A722="","",Ввод!$B$4-SUMIF(Оплаты!$A$6:$A$505,"&lt;"&amp;A722,Оплаты!$B$6:$B$505))</f>
        <v/>
      </c>
      <c r="E722">
        <f>IF(A722="","",IF(SUMPRODUCT((Ввод!$F$12:$F$31&lt;&gt;"")*(Ввод!$F$12:$F$31&lt;=A722)*(Ввод!$G$12:$G$31&gt;=A722))&gt;0,1,0))</f>
        <v/>
      </c>
      <c r="F722">
        <f>IF(OR(A722="",B722=""),"",IF(E722=1,0,D722*B722/100/C722))</f>
        <v/>
      </c>
      <c r="G722">
        <f>IF(A722="","",IF(OR(B722&lt;&gt;B721,C722&lt;&gt;C721,D722&lt;&gt;D721,E722&lt;&gt;E721),G721+1,G721))</f>
        <v/>
      </c>
    </row>
    <row r="723">
      <c r="A723" s="14">
        <f>IF(OR(NOT(ISNUMBER(Ввод!$B$5)),NOT(ISNUMBER(Ввод!$B$6))),"",IF(Ввод!$B$5+721&gt;Ввод!$B$6,"",Ввод!$B$5+721))</f>
        <v/>
      </c>
      <c r="B723">
        <f>IF(A723="","",IFERROR(INDEX(Ввод!$B$12:$B$71,MATCH(A723,Ввод!$D$12:$D$71,1)),""))</f>
        <v/>
      </c>
      <c r="C723">
        <f>IF(A723="","",DATE(YEAR(A723),12,31)-DATE(YEAR(A723),1,1)+1)</f>
        <v/>
      </c>
      <c r="D723">
        <f>IF(A723="","",Ввод!$B$4-SUMIF(Оплаты!$A$6:$A$505,"&lt;"&amp;A723,Оплаты!$B$6:$B$505))</f>
        <v/>
      </c>
      <c r="E723">
        <f>IF(A723="","",IF(SUMPRODUCT((Ввод!$F$12:$F$31&lt;&gt;"")*(Ввод!$F$12:$F$31&lt;=A723)*(Ввод!$G$12:$G$31&gt;=A723))&gt;0,1,0))</f>
        <v/>
      </c>
      <c r="F723">
        <f>IF(OR(A723="",B723=""),"",IF(E723=1,0,D723*B723/100/C723))</f>
        <v/>
      </c>
      <c r="G723">
        <f>IF(A723="","",IF(OR(B723&lt;&gt;B722,C723&lt;&gt;C722,D723&lt;&gt;D722,E723&lt;&gt;E722),G722+1,G722))</f>
        <v/>
      </c>
    </row>
    <row r="724">
      <c r="A724" s="14">
        <f>IF(OR(NOT(ISNUMBER(Ввод!$B$5)),NOT(ISNUMBER(Ввод!$B$6))),"",IF(Ввод!$B$5+722&gt;Ввод!$B$6,"",Ввод!$B$5+722))</f>
        <v/>
      </c>
      <c r="B724">
        <f>IF(A724="","",IFERROR(INDEX(Ввод!$B$12:$B$71,MATCH(A724,Ввод!$D$12:$D$71,1)),""))</f>
        <v/>
      </c>
      <c r="C724">
        <f>IF(A724="","",DATE(YEAR(A724),12,31)-DATE(YEAR(A724),1,1)+1)</f>
        <v/>
      </c>
      <c r="D724">
        <f>IF(A724="","",Ввод!$B$4-SUMIF(Оплаты!$A$6:$A$505,"&lt;"&amp;A724,Оплаты!$B$6:$B$505))</f>
        <v/>
      </c>
      <c r="E724">
        <f>IF(A724="","",IF(SUMPRODUCT((Ввод!$F$12:$F$31&lt;&gt;"")*(Ввод!$F$12:$F$31&lt;=A724)*(Ввод!$G$12:$G$31&gt;=A724))&gt;0,1,0))</f>
        <v/>
      </c>
      <c r="F724">
        <f>IF(OR(A724="",B724=""),"",IF(E724=1,0,D724*B724/100/C724))</f>
        <v/>
      </c>
      <c r="G724">
        <f>IF(A724="","",IF(OR(B724&lt;&gt;B723,C724&lt;&gt;C723,D724&lt;&gt;D723,E724&lt;&gt;E723),G723+1,G723))</f>
        <v/>
      </c>
    </row>
    <row r="725">
      <c r="A725" s="14">
        <f>IF(OR(NOT(ISNUMBER(Ввод!$B$5)),NOT(ISNUMBER(Ввод!$B$6))),"",IF(Ввод!$B$5+723&gt;Ввод!$B$6,"",Ввод!$B$5+723))</f>
        <v/>
      </c>
      <c r="B725">
        <f>IF(A725="","",IFERROR(INDEX(Ввод!$B$12:$B$71,MATCH(A725,Ввод!$D$12:$D$71,1)),""))</f>
        <v/>
      </c>
      <c r="C725">
        <f>IF(A725="","",DATE(YEAR(A725),12,31)-DATE(YEAR(A725),1,1)+1)</f>
        <v/>
      </c>
      <c r="D725">
        <f>IF(A725="","",Ввод!$B$4-SUMIF(Оплаты!$A$6:$A$505,"&lt;"&amp;A725,Оплаты!$B$6:$B$505))</f>
        <v/>
      </c>
      <c r="E725">
        <f>IF(A725="","",IF(SUMPRODUCT((Ввод!$F$12:$F$31&lt;&gt;"")*(Ввод!$F$12:$F$31&lt;=A725)*(Ввод!$G$12:$G$31&gt;=A725))&gt;0,1,0))</f>
        <v/>
      </c>
      <c r="F725">
        <f>IF(OR(A725="",B725=""),"",IF(E725=1,0,D725*B725/100/C725))</f>
        <v/>
      </c>
      <c r="G725">
        <f>IF(A725="","",IF(OR(B725&lt;&gt;B724,C725&lt;&gt;C724,D725&lt;&gt;D724,E725&lt;&gt;E724),G724+1,G724))</f>
        <v/>
      </c>
    </row>
    <row r="726">
      <c r="A726" s="14">
        <f>IF(OR(NOT(ISNUMBER(Ввод!$B$5)),NOT(ISNUMBER(Ввод!$B$6))),"",IF(Ввод!$B$5+724&gt;Ввод!$B$6,"",Ввод!$B$5+724))</f>
        <v/>
      </c>
      <c r="B726">
        <f>IF(A726="","",IFERROR(INDEX(Ввод!$B$12:$B$71,MATCH(A726,Ввод!$D$12:$D$71,1)),""))</f>
        <v/>
      </c>
      <c r="C726">
        <f>IF(A726="","",DATE(YEAR(A726),12,31)-DATE(YEAR(A726),1,1)+1)</f>
        <v/>
      </c>
      <c r="D726">
        <f>IF(A726="","",Ввод!$B$4-SUMIF(Оплаты!$A$6:$A$505,"&lt;"&amp;A726,Оплаты!$B$6:$B$505))</f>
        <v/>
      </c>
      <c r="E726">
        <f>IF(A726="","",IF(SUMPRODUCT((Ввод!$F$12:$F$31&lt;&gt;"")*(Ввод!$F$12:$F$31&lt;=A726)*(Ввод!$G$12:$G$31&gt;=A726))&gt;0,1,0))</f>
        <v/>
      </c>
      <c r="F726">
        <f>IF(OR(A726="",B726=""),"",IF(E726=1,0,D726*B726/100/C726))</f>
        <v/>
      </c>
      <c r="G726">
        <f>IF(A726="","",IF(OR(B726&lt;&gt;B725,C726&lt;&gt;C725,D726&lt;&gt;D725,E726&lt;&gt;E725),G725+1,G725))</f>
        <v/>
      </c>
    </row>
    <row r="727">
      <c r="A727" s="14">
        <f>IF(OR(NOT(ISNUMBER(Ввод!$B$5)),NOT(ISNUMBER(Ввод!$B$6))),"",IF(Ввод!$B$5+725&gt;Ввод!$B$6,"",Ввод!$B$5+725))</f>
        <v/>
      </c>
      <c r="B727">
        <f>IF(A727="","",IFERROR(INDEX(Ввод!$B$12:$B$71,MATCH(A727,Ввод!$D$12:$D$71,1)),""))</f>
        <v/>
      </c>
      <c r="C727">
        <f>IF(A727="","",DATE(YEAR(A727),12,31)-DATE(YEAR(A727),1,1)+1)</f>
        <v/>
      </c>
      <c r="D727">
        <f>IF(A727="","",Ввод!$B$4-SUMIF(Оплаты!$A$6:$A$505,"&lt;"&amp;A727,Оплаты!$B$6:$B$505))</f>
        <v/>
      </c>
      <c r="E727">
        <f>IF(A727="","",IF(SUMPRODUCT((Ввод!$F$12:$F$31&lt;&gt;"")*(Ввод!$F$12:$F$31&lt;=A727)*(Ввод!$G$12:$G$31&gt;=A727))&gt;0,1,0))</f>
        <v/>
      </c>
      <c r="F727">
        <f>IF(OR(A727="",B727=""),"",IF(E727=1,0,D727*B727/100/C727))</f>
        <v/>
      </c>
      <c r="G727">
        <f>IF(A727="","",IF(OR(B727&lt;&gt;B726,C727&lt;&gt;C726,D727&lt;&gt;D726,E727&lt;&gt;E726),G726+1,G726))</f>
        <v/>
      </c>
    </row>
    <row r="728">
      <c r="A728" s="14">
        <f>IF(OR(NOT(ISNUMBER(Ввод!$B$5)),NOT(ISNUMBER(Ввод!$B$6))),"",IF(Ввод!$B$5+726&gt;Ввод!$B$6,"",Ввод!$B$5+726))</f>
        <v/>
      </c>
      <c r="B728">
        <f>IF(A728="","",IFERROR(INDEX(Ввод!$B$12:$B$71,MATCH(A728,Ввод!$D$12:$D$71,1)),""))</f>
        <v/>
      </c>
      <c r="C728">
        <f>IF(A728="","",DATE(YEAR(A728),12,31)-DATE(YEAR(A728),1,1)+1)</f>
        <v/>
      </c>
      <c r="D728">
        <f>IF(A728="","",Ввод!$B$4-SUMIF(Оплаты!$A$6:$A$505,"&lt;"&amp;A728,Оплаты!$B$6:$B$505))</f>
        <v/>
      </c>
      <c r="E728">
        <f>IF(A728="","",IF(SUMPRODUCT((Ввод!$F$12:$F$31&lt;&gt;"")*(Ввод!$F$12:$F$31&lt;=A728)*(Ввод!$G$12:$G$31&gt;=A728))&gt;0,1,0))</f>
        <v/>
      </c>
      <c r="F728">
        <f>IF(OR(A728="",B728=""),"",IF(E728=1,0,D728*B728/100/C728))</f>
        <v/>
      </c>
      <c r="G728">
        <f>IF(A728="","",IF(OR(B728&lt;&gt;B727,C728&lt;&gt;C727,D728&lt;&gt;D727,E728&lt;&gt;E727),G727+1,G727))</f>
        <v/>
      </c>
    </row>
    <row r="729">
      <c r="A729" s="14">
        <f>IF(OR(NOT(ISNUMBER(Ввод!$B$5)),NOT(ISNUMBER(Ввод!$B$6))),"",IF(Ввод!$B$5+727&gt;Ввод!$B$6,"",Ввод!$B$5+727))</f>
        <v/>
      </c>
      <c r="B729">
        <f>IF(A729="","",IFERROR(INDEX(Ввод!$B$12:$B$71,MATCH(A729,Ввод!$D$12:$D$71,1)),""))</f>
        <v/>
      </c>
      <c r="C729">
        <f>IF(A729="","",DATE(YEAR(A729),12,31)-DATE(YEAR(A729),1,1)+1)</f>
        <v/>
      </c>
      <c r="D729">
        <f>IF(A729="","",Ввод!$B$4-SUMIF(Оплаты!$A$6:$A$505,"&lt;"&amp;A729,Оплаты!$B$6:$B$505))</f>
        <v/>
      </c>
      <c r="E729">
        <f>IF(A729="","",IF(SUMPRODUCT((Ввод!$F$12:$F$31&lt;&gt;"")*(Ввод!$F$12:$F$31&lt;=A729)*(Ввод!$G$12:$G$31&gt;=A729))&gt;0,1,0))</f>
        <v/>
      </c>
      <c r="F729">
        <f>IF(OR(A729="",B729=""),"",IF(E729=1,0,D729*B729/100/C729))</f>
        <v/>
      </c>
      <c r="G729">
        <f>IF(A729="","",IF(OR(B729&lt;&gt;B728,C729&lt;&gt;C728,D729&lt;&gt;D728,E729&lt;&gt;E728),G728+1,G728))</f>
        <v/>
      </c>
    </row>
    <row r="730">
      <c r="A730" s="14">
        <f>IF(OR(NOT(ISNUMBER(Ввод!$B$5)),NOT(ISNUMBER(Ввод!$B$6))),"",IF(Ввод!$B$5+728&gt;Ввод!$B$6,"",Ввод!$B$5+728))</f>
        <v/>
      </c>
      <c r="B730">
        <f>IF(A730="","",IFERROR(INDEX(Ввод!$B$12:$B$71,MATCH(A730,Ввод!$D$12:$D$71,1)),""))</f>
        <v/>
      </c>
      <c r="C730">
        <f>IF(A730="","",DATE(YEAR(A730),12,31)-DATE(YEAR(A730),1,1)+1)</f>
        <v/>
      </c>
      <c r="D730">
        <f>IF(A730="","",Ввод!$B$4-SUMIF(Оплаты!$A$6:$A$505,"&lt;"&amp;A730,Оплаты!$B$6:$B$505))</f>
        <v/>
      </c>
      <c r="E730">
        <f>IF(A730="","",IF(SUMPRODUCT((Ввод!$F$12:$F$31&lt;&gt;"")*(Ввод!$F$12:$F$31&lt;=A730)*(Ввод!$G$12:$G$31&gt;=A730))&gt;0,1,0))</f>
        <v/>
      </c>
      <c r="F730">
        <f>IF(OR(A730="",B730=""),"",IF(E730=1,0,D730*B730/100/C730))</f>
        <v/>
      </c>
      <c r="G730">
        <f>IF(A730="","",IF(OR(B730&lt;&gt;B729,C730&lt;&gt;C729,D730&lt;&gt;D729,E730&lt;&gt;E729),G729+1,G729))</f>
        <v/>
      </c>
    </row>
    <row r="731">
      <c r="A731" s="14">
        <f>IF(OR(NOT(ISNUMBER(Ввод!$B$5)),NOT(ISNUMBER(Ввод!$B$6))),"",IF(Ввод!$B$5+729&gt;Ввод!$B$6,"",Ввод!$B$5+729))</f>
        <v/>
      </c>
      <c r="B731">
        <f>IF(A731="","",IFERROR(INDEX(Ввод!$B$12:$B$71,MATCH(A731,Ввод!$D$12:$D$71,1)),""))</f>
        <v/>
      </c>
      <c r="C731">
        <f>IF(A731="","",DATE(YEAR(A731),12,31)-DATE(YEAR(A731),1,1)+1)</f>
        <v/>
      </c>
      <c r="D731">
        <f>IF(A731="","",Ввод!$B$4-SUMIF(Оплаты!$A$6:$A$505,"&lt;"&amp;A731,Оплаты!$B$6:$B$505))</f>
        <v/>
      </c>
      <c r="E731">
        <f>IF(A731="","",IF(SUMPRODUCT((Ввод!$F$12:$F$31&lt;&gt;"")*(Ввод!$F$12:$F$31&lt;=A731)*(Ввод!$G$12:$G$31&gt;=A731))&gt;0,1,0))</f>
        <v/>
      </c>
      <c r="F731">
        <f>IF(OR(A731="",B731=""),"",IF(E731=1,0,D731*B731/100/C731))</f>
        <v/>
      </c>
      <c r="G731">
        <f>IF(A731="","",IF(OR(B731&lt;&gt;B730,C731&lt;&gt;C730,D731&lt;&gt;D730,E731&lt;&gt;E730),G730+1,G730))</f>
        <v/>
      </c>
    </row>
    <row r="732">
      <c r="A732" s="14">
        <f>IF(OR(NOT(ISNUMBER(Ввод!$B$5)),NOT(ISNUMBER(Ввод!$B$6))),"",IF(Ввод!$B$5+730&gt;Ввод!$B$6,"",Ввод!$B$5+730))</f>
        <v/>
      </c>
      <c r="B732">
        <f>IF(A732="","",IFERROR(INDEX(Ввод!$B$12:$B$71,MATCH(A732,Ввод!$D$12:$D$71,1)),""))</f>
        <v/>
      </c>
      <c r="C732">
        <f>IF(A732="","",DATE(YEAR(A732),12,31)-DATE(YEAR(A732),1,1)+1)</f>
        <v/>
      </c>
      <c r="D732">
        <f>IF(A732="","",Ввод!$B$4-SUMIF(Оплаты!$A$6:$A$505,"&lt;"&amp;A732,Оплаты!$B$6:$B$505))</f>
        <v/>
      </c>
      <c r="E732">
        <f>IF(A732="","",IF(SUMPRODUCT((Ввод!$F$12:$F$31&lt;&gt;"")*(Ввод!$F$12:$F$31&lt;=A732)*(Ввод!$G$12:$G$31&gt;=A732))&gt;0,1,0))</f>
        <v/>
      </c>
      <c r="F732">
        <f>IF(OR(A732="",B732=""),"",IF(E732=1,0,D732*B732/100/C732))</f>
        <v/>
      </c>
      <c r="G732">
        <f>IF(A732="","",IF(OR(B732&lt;&gt;B731,C732&lt;&gt;C731,D732&lt;&gt;D731,E732&lt;&gt;E731),G731+1,G731))</f>
        <v/>
      </c>
    </row>
    <row r="733">
      <c r="A733" s="14">
        <f>IF(OR(NOT(ISNUMBER(Ввод!$B$5)),NOT(ISNUMBER(Ввод!$B$6))),"",IF(Ввод!$B$5+731&gt;Ввод!$B$6,"",Ввод!$B$5+731))</f>
        <v/>
      </c>
      <c r="B733">
        <f>IF(A733="","",IFERROR(INDEX(Ввод!$B$12:$B$71,MATCH(A733,Ввод!$D$12:$D$71,1)),""))</f>
        <v/>
      </c>
      <c r="C733">
        <f>IF(A733="","",DATE(YEAR(A733),12,31)-DATE(YEAR(A733),1,1)+1)</f>
        <v/>
      </c>
      <c r="D733">
        <f>IF(A733="","",Ввод!$B$4-SUMIF(Оплаты!$A$6:$A$505,"&lt;"&amp;A733,Оплаты!$B$6:$B$505))</f>
        <v/>
      </c>
      <c r="E733">
        <f>IF(A733="","",IF(SUMPRODUCT((Ввод!$F$12:$F$31&lt;&gt;"")*(Ввод!$F$12:$F$31&lt;=A733)*(Ввод!$G$12:$G$31&gt;=A733))&gt;0,1,0))</f>
        <v/>
      </c>
      <c r="F733">
        <f>IF(OR(A733="",B733=""),"",IF(E733=1,0,D733*B733/100/C733))</f>
        <v/>
      </c>
      <c r="G733">
        <f>IF(A733="","",IF(OR(B733&lt;&gt;B732,C733&lt;&gt;C732,D733&lt;&gt;D732,E733&lt;&gt;E732),G732+1,G732))</f>
        <v/>
      </c>
    </row>
    <row r="734">
      <c r="A734" s="14">
        <f>IF(OR(NOT(ISNUMBER(Ввод!$B$5)),NOT(ISNUMBER(Ввод!$B$6))),"",IF(Ввод!$B$5+732&gt;Ввод!$B$6,"",Ввод!$B$5+732))</f>
        <v/>
      </c>
      <c r="B734">
        <f>IF(A734="","",IFERROR(INDEX(Ввод!$B$12:$B$71,MATCH(A734,Ввод!$D$12:$D$71,1)),""))</f>
        <v/>
      </c>
      <c r="C734">
        <f>IF(A734="","",DATE(YEAR(A734),12,31)-DATE(YEAR(A734),1,1)+1)</f>
        <v/>
      </c>
      <c r="D734">
        <f>IF(A734="","",Ввод!$B$4-SUMIF(Оплаты!$A$6:$A$505,"&lt;"&amp;A734,Оплаты!$B$6:$B$505))</f>
        <v/>
      </c>
      <c r="E734">
        <f>IF(A734="","",IF(SUMPRODUCT((Ввод!$F$12:$F$31&lt;&gt;"")*(Ввод!$F$12:$F$31&lt;=A734)*(Ввод!$G$12:$G$31&gt;=A734))&gt;0,1,0))</f>
        <v/>
      </c>
      <c r="F734">
        <f>IF(OR(A734="",B734=""),"",IF(E734=1,0,D734*B734/100/C734))</f>
        <v/>
      </c>
      <c r="G734">
        <f>IF(A734="","",IF(OR(B734&lt;&gt;B733,C734&lt;&gt;C733,D734&lt;&gt;D733,E734&lt;&gt;E733),G733+1,G733))</f>
        <v/>
      </c>
    </row>
    <row r="735">
      <c r="A735" s="14">
        <f>IF(OR(NOT(ISNUMBER(Ввод!$B$5)),NOT(ISNUMBER(Ввод!$B$6))),"",IF(Ввод!$B$5+733&gt;Ввод!$B$6,"",Ввод!$B$5+733))</f>
        <v/>
      </c>
      <c r="B735">
        <f>IF(A735="","",IFERROR(INDEX(Ввод!$B$12:$B$71,MATCH(A735,Ввод!$D$12:$D$71,1)),""))</f>
        <v/>
      </c>
      <c r="C735">
        <f>IF(A735="","",DATE(YEAR(A735),12,31)-DATE(YEAR(A735),1,1)+1)</f>
        <v/>
      </c>
      <c r="D735">
        <f>IF(A735="","",Ввод!$B$4-SUMIF(Оплаты!$A$6:$A$505,"&lt;"&amp;A735,Оплаты!$B$6:$B$505))</f>
        <v/>
      </c>
      <c r="E735">
        <f>IF(A735="","",IF(SUMPRODUCT((Ввод!$F$12:$F$31&lt;&gt;"")*(Ввод!$F$12:$F$31&lt;=A735)*(Ввод!$G$12:$G$31&gt;=A735))&gt;0,1,0))</f>
        <v/>
      </c>
      <c r="F735">
        <f>IF(OR(A735="",B735=""),"",IF(E735=1,0,D735*B735/100/C735))</f>
        <v/>
      </c>
      <c r="G735">
        <f>IF(A735="","",IF(OR(B735&lt;&gt;B734,C735&lt;&gt;C734,D735&lt;&gt;D734,E735&lt;&gt;E734),G734+1,G734))</f>
        <v/>
      </c>
    </row>
    <row r="736">
      <c r="A736" s="14">
        <f>IF(OR(NOT(ISNUMBER(Ввод!$B$5)),NOT(ISNUMBER(Ввод!$B$6))),"",IF(Ввод!$B$5+734&gt;Ввод!$B$6,"",Ввод!$B$5+734))</f>
        <v/>
      </c>
      <c r="B736">
        <f>IF(A736="","",IFERROR(INDEX(Ввод!$B$12:$B$71,MATCH(A736,Ввод!$D$12:$D$71,1)),""))</f>
        <v/>
      </c>
      <c r="C736">
        <f>IF(A736="","",DATE(YEAR(A736),12,31)-DATE(YEAR(A736),1,1)+1)</f>
        <v/>
      </c>
      <c r="D736">
        <f>IF(A736="","",Ввод!$B$4-SUMIF(Оплаты!$A$6:$A$505,"&lt;"&amp;A736,Оплаты!$B$6:$B$505))</f>
        <v/>
      </c>
      <c r="E736">
        <f>IF(A736="","",IF(SUMPRODUCT((Ввод!$F$12:$F$31&lt;&gt;"")*(Ввод!$F$12:$F$31&lt;=A736)*(Ввод!$G$12:$G$31&gt;=A736))&gt;0,1,0))</f>
        <v/>
      </c>
      <c r="F736">
        <f>IF(OR(A736="",B736=""),"",IF(E736=1,0,D736*B736/100/C736))</f>
        <v/>
      </c>
      <c r="G736">
        <f>IF(A736="","",IF(OR(B736&lt;&gt;B735,C736&lt;&gt;C735,D736&lt;&gt;D735,E736&lt;&gt;E735),G735+1,G735))</f>
        <v/>
      </c>
    </row>
    <row r="737">
      <c r="A737" s="14">
        <f>IF(OR(NOT(ISNUMBER(Ввод!$B$5)),NOT(ISNUMBER(Ввод!$B$6))),"",IF(Ввод!$B$5+735&gt;Ввод!$B$6,"",Ввод!$B$5+735))</f>
        <v/>
      </c>
      <c r="B737">
        <f>IF(A737="","",IFERROR(INDEX(Ввод!$B$12:$B$71,MATCH(A737,Ввод!$D$12:$D$71,1)),""))</f>
        <v/>
      </c>
      <c r="C737">
        <f>IF(A737="","",DATE(YEAR(A737),12,31)-DATE(YEAR(A737),1,1)+1)</f>
        <v/>
      </c>
      <c r="D737">
        <f>IF(A737="","",Ввод!$B$4-SUMIF(Оплаты!$A$6:$A$505,"&lt;"&amp;A737,Оплаты!$B$6:$B$505))</f>
        <v/>
      </c>
      <c r="E737">
        <f>IF(A737="","",IF(SUMPRODUCT((Ввод!$F$12:$F$31&lt;&gt;"")*(Ввод!$F$12:$F$31&lt;=A737)*(Ввод!$G$12:$G$31&gt;=A737))&gt;0,1,0))</f>
        <v/>
      </c>
      <c r="F737">
        <f>IF(OR(A737="",B737=""),"",IF(E737=1,0,D737*B737/100/C737))</f>
        <v/>
      </c>
      <c r="G737">
        <f>IF(A737="","",IF(OR(B737&lt;&gt;B736,C737&lt;&gt;C736,D737&lt;&gt;D736,E737&lt;&gt;E736),G736+1,G736))</f>
        <v/>
      </c>
    </row>
    <row r="738">
      <c r="A738" s="14">
        <f>IF(OR(NOT(ISNUMBER(Ввод!$B$5)),NOT(ISNUMBER(Ввод!$B$6))),"",IF(Ввод!$B$5+736&gt;Ввод!$B$6,"",Ввод!$B$5+736))</f>
        <v/>
      </c>
      <c r="B738">
        <f>IF(A738="","",IFERROR(INDEX(Ввод!$B$12:$B$71,MATCH(A738,Ввод!$D$12:$D$71,1)),""))</f>
        <v/>
      </c>
      <c r="C738">
        <f>IF(A738="","",DATE(YEAR(A738),12,31)-DATE(YEAR(A738),1,1)+1)</f>
        <v/>
      </c>
      <c r="D738">
        <f>IF(A738="","",Ввод!$B$4-SUMIF(Оплаты!$A$6:$A$505,"&lt;"&amp;A738,Оплаты!$B$6:$B$505))</f>
        <v/>
      </c>
      <c r="E738">
        <f>IF(A738="","",IF(SUMPRODUCT((Ввод!$F$12:$F$31&lt;&gt;"")*(Ввод!$F$12:$F$31&lt;=A738)*(Ввод!$G$12:$G$31&gt;=A738))&gt;0,1,0))</f>
        <v/>
      </c>
      <c r="F738">
        <f>IF(OR(A738="",B738=""),"",IF(E738=1,0,D738*B738/100/C738))</f>
        <v/>
      </c>
      <c r="G738">
        <f>IF(A738="","",IF(OR(B738&lt;&gt;B737,C738&lt;&gt;C737,D738&lt;&gt;D737,E738&lt;&gt;E737),G737+1,G737))</f>
        <v/>
      </c>
    </row>
    <row r="739">
      <c r="A739" s="14">
        <f>IF(OR(NOT(ISNUMBER(Ввод!$B$5)),NOT(ISNUMBER(Ввод!$B$6))),"",IF(Ввод!$B$5+737&gt;Ввод!$B$6,"",Ввод!$B$5+737))</f>
        <v/>
      </c>
      <c r="B739">
        <f>IF(A739="","",IFERROR(INDEX(Ввод!$B$12:$B$71,MATCH(A739,Ввод!$D$12:$D$71,1)),""))</f>
        <v/>
      </c>
      <c r="C739">
        <f>IF(A739="","",DATE(YEAR(A739),12,31)-DATE(YEAR(A739),1,1)+1)</f>
        <v/>
      </c>
      <c r="D739">
        <f>IF(A739="","",Ввод!$B$4-SUMIF(Оплаты!$A$6:$A$505,"&lt;"&amp;A739,Оплаты!$B$6:$B$505))</f>
        <v/>
      </c>
      <c r="E739">
        <f>IF(A739="","",IF(SUMPRODUCT((Ввод!$F$12:$F$31&lt;&gt;"")*(Ввод!$F$12:$F$31&lt;=A739)*(Ввод!$G$12:$G$31&gt;=A739))&gt;0,1,0))</f>
        <v/>
      </c>
      <c r="F739">
        <f>IF(OR(A739="",B739=""),"",IF(E739=1,0,D739*B739/100/C739))</f>
        <v/>
      </c>
      <c r="G739">
        <f>IF(A739="","",IF(OR(B739&lt;&gt;B738,C739&lt;&gt;C738,D739&lt;&gt;D738,E739&lt;&gt;E738),G738+1,G738))</f>
        <v/>
      </c>
    </row>
    <row r="740">
      <c r="A740" s="14">
        <f>IF(OR(NOT(ISNUMBER(Ввод!$B$5)),NOT(ISNUMBER(Ввод!$B$6))),"",IF(Ввод!$B$5+738&gt;Ввод!$B$6,"",Ввод!$B$5+738))</f>
        <v/>
      </c>
      <c r="B740">
        <f>IF(A740="","",IFERROR(INDEX(Ввод!$B$12:$B$71,MATCH(A740,Ввод!$D$12:$D$71,1)),""))</f>
        <v/>
      </c>
      <c r="C740">
        <f>IF(A740="","",DATE(YEAR(A740),12,31)-DATE(YEAR(A740),1,1)+1)</f>
        <v/>
      </c>
      <c r="D740">
        <f>IF(A740="","",Ввод!$B$4-SUMIF(Оплаты!$A$6:$A$505,"&lt;"&amp;A740,Оплаты!$B$6:$B$505))</f>
        <v/>
      </c>
      <c r="E740">
        <f>IF(A740="","",IF(SUMPRODUCT((Ввод!$F$12:$F$31&lt;&gt;"")*(Ввод!$F$12:$F$31&lt;=A740)*(Ввод!$G$12:$G$31&gt;=A740))&gt;0,1,0))</f>
        <v/>
      </c>
      <c r="F740">
        <f>IF(OR(A740="",B740=""),"",IF(E740=1,0,D740*B740/100/C740))</f>
        <v/>
      </c>
      <c r="G740">
        <f>IF(A740="","",IF(OR(B740&lt;&gt;B739,C740&lt;&gt;C739,D740&lt;&gt;D739,E740&lt;&gt;E739),G739+1,G739))</f>
        <v/>
      </c>
    </row>
    <row r="741">
      <c r="A741" s="14">
        <f>IF(OR(NOT(ISNUMBER(Ввод!$B$5)),NOT(ISNUMBER(Ввод!$B$6))),"",IF(Ввод!$B$5+739&gt;Ввод!$B$6,"",Ввод!$B$5+739))</f>
        <v/>
      </c>
      <c r="B741">
        <f>IF(A741="","",IFERROR(INDEX(Ввод!$B$12:$B$71,MATCH(A741,Ввод!$D$12:$D$71,1)),""))</f>
        <v/>
      </c>
      <c r="C741">
        <f>IF(A741="","",DATE(YEAR(A741),12,31)-DATE(YEAR(A741),1,1)+1)</f>
        <v/>
      </c>
      <c r="D741">
        <f>IF(A741="","",Ввод!$B$4-SUMIF(Оплаты!$A$6:$A$505,"&lt;"&amp;A741,Оплаты!$B$6:$B$505))</f>
        <v/>
      </c>
      <c r="E741">
        <f>IF(A741="","",IF(SUMPRODUCT((Ввод!$F$12:$F$31&lt;&gt;"")*(Ввод!$F$12:$F$31&lt;=A741)*(Ввод!$G$12:$G$31&gt;=A741))&gt;0,1,0))</f>
        <v/>
      </c>
      <c r="F741">
        <f>IF(OR(A741="",B741=""),"",IF(E741=1,0,D741*B741/100/C741))</f>
        <v/>
      </c>
      <c r="G741">
        <f>IF(A741="","",IF(OR(B741&lt;&gt;B740,C741&lt;&gt;C740,D741&lt;&gt;D740,E741&lt;&gt;E740),G740+1,G740))</f>
        <v/>
      </c>
    </row>
    <row r="742">
      <c r="A742" s="14">
        <f>IF(OR(NOT(ISNUMBER(Ввод!$B$5)),NOT(ISNUMBER(Ввод!$B$6))),"",IF(Ввод!$B$5+740&gt;Ввод!$B$6,"",Ввод!$B$5+740))</f>
        <v/>
      </c>
      <c r="B742">
        <f>IF(A742="","",IFERROR(INDEX(Ввод!$B$12:$B$71,MATCH(A742,Ввод!$D$12:$D$71,1)),""))</f>
        <v/>
      </c>
      <c r="C742">
        <f>IF(A742="","",DATE(YEAR(A742),12,31)-DATE(YEAR(A742),1,1)+1)</f>
        <v/>
      </c>
      <c r="D742">
        <f>IF(A742="","",Ввод!$B$4-SUMIF(Оплаты!$A$6:$A$505,"&lt;"&amp;A742,Оплаты!$B$6:$B$505))</f>
        <v/>
      </c>
      <c r="E742">
        <f>IF(A742="","",IF(SUMPRODUCT((Ввод!$F$12:$F$31&lt;&gt;"")*(Ввод!$F$12:$F$31&lt;=A742)*(Ввод!$G$12:$G$31&gt;=A742))&gt;0,1,0))</f>
        <v/>
      </c>
      <c r="F742">
        <f>IF(OR(A742="",B742=""),"",IF(E742=1,0,D742*B742/100/C742))</f>
        <v/>
      </c>
      <c r="G742">
        <f>IF(A742="","",IF(OR(B742&lt;&gt;B741,C742&lt;&gt;C741,D742&lt;&gt;D741,E742&lt;&gt;E741),G741+1,G741))</f>
        <v/>
      </c>
    </row>
    <row r="743">
      <c r="A743" s="14">
        <f>IF(OR(NOT(ISNUMBER(Ввод!$B$5)),NOT(ISNUMBER(Ввод!$B$6))),"",IF(Ввод!$B$5+741&gt;Ввод!$B$6,"",Ввод!$B$5+741))</f>
        <v/>
      </c>
      <c r="B743">
        <f>IF(A743="","",IFERROR(INDEX(Ввод!$B$12:$B$71,MATCH(A743,Ввод!$D$12:$D$71,1)),""))</f>
        <v/>
      </c>
      <c r="C743">
        <f>IF(A743="","",DATE(YEAR(A743),12,31)-DATE(YEAR(A743),1,1)+1)</f>
        <v/>
      </c>
      <c r="D743">
        <f>IF(A743="","",Ввод!$B$4-SUMIF(Оплаты!$A$6:$A$505,"&lt;"&amp;A743,Оплаты!$B$6:$B$505))</f>
        <v/>
      </c>
      <c r="E743">
        <f>IF(A743="","",IF(SUMPRODUCT((Ввод!$F$12:$F$31&lt;&gt;"")*(Ввод!$F$12:$F$31&lt;=A743)*(Ввод!$G$12:$G$31&gt;=A743))&gt;0,1,0))</f>
        <v/>
      </c>
      <c r="F743">
        <f>IF(OR(A743="",B743=""),"",IF(E743=1,0,D743*B743/100/C743))</f>
        <v/>
      </c>
      <c r="G743">
        <f>IF(A743="","",IF(OR(B743&lt;&gt;B742,C743&lt;&gt;C742,D743&lt;&gt;D742,E743&lt;&gt;E742),G742+1,G742))</f>
        <v/>
      </c>
    </row>
    <row r="744">
      <c r="A744" s="14">
        <f>IF(OR(NOT(ISNUMBER(Ввод!$B$5)),NOT(ISNUMBER(Ввод!$B$6))),"",IF(Ввод!$B$5+742&gt;Ввод!$B$6,"",Ввод!$B$5+742))</f>
        <v/>
      </c>
      <c r="B744">
        <f>IF(A744="","",IFERROR(INDEX(Ввод!$B$12:$B$71,MATCH(A744,Ввод!$D$12:$D$71,1)),""))</f>
        <v/>
      </c>
      <c r="C744">
        <f>IF(A744="","",DATE(YEAR(A744),12,31)-DATE(YEAR(A744),1,1)+1)</f>
        <v/>
      </c>
      <c r="D744">
        <f>IF(A744="","",Ввод!$B$4-SUMIF(Оплаты!$A$6:$A$505,"&lt;"&amp;A744,Оплаты!$B$6:$B$505))</f>
        <v/>
      </c>
      <c r="E744">
        <f>IF(A744="","",IF(SUMPRODUCT((Ввод!$F$12:$F$31&lt;&gt;"")*(Ввод!$F$12:$F$31&lt;=A744)*(Ввод!$G$12:$G$31&gt;=A744))&gt;0,1,0))</f>
        <v/>
      </c>
      <c r="F744">
        <f>IF(OR(A744="",B744=""),"",IF(E744=1,0,D744*B744/100/C744))</f>
        <v/>
      </c>
      <c r="G744">
        <f>IF(A744="","",IF(OR(B744&lt;&gt;B743,C744&lt;&gt;C743,D744&lt;&gt;D743,E744&lt;&gt;E743),G743+1,G743))</f>
        <v/>
      </c>
    </row>
    <row r="745">
      <c r="A745" s="14">
        <f>IF(OR(NOT(ISNUMBER(Ввод!$B$5)),NOT(ISNUMBER(Ввод!$B$6))),"",IF(Ввод!$B$5+743&gt;Ввод!$B$6,"",Ввод!$B$5+743))</f>
        <v/>
      </c>
      <c r="B745">
        <f>IF(A745="","",IFERROR(INDEX(Ввод!$B$12:$B$71,MATCH(A745,Ввод!$D$12:$D$71,1)),""))</f>
        <v/>
      </c>
      <c r="C745">
        <f>IF(A745="","",DATE(YEAR(A745),12,31)-DATE(YEAR(A745),1,1)+1)</f>
        <v/>
      </c>
      <c r="D745">
        <f>IF(A745="","",Ввод!$B$4-SUMIF(Оплаты!$A$6:$A$505,"&lt;"&amp;A745,Оплаты!$B$6:$B$505))</f>
        <v/>
      </c>
      <c r="E745">
        <f>IF(A745="","",IF(SUMPRODUCT((Ввод!$F$12:$F$31&lt;&gt;"")*(Ввод!$F$12:$F$31&lt;=A745)*(Ввод!$G$12:$G$31&gt;=A745))&gt;0,1,0))</f>
        <v/>
      </c>
      <c r="F745">
        <f>IF(OR(A745="",B745=""),"",IF(E745=1,0,D745*B745/100/C745))</f>
        <v/>
      </c>
      <c r="G745">
        <f>IF(A745="","",IF(OR(B745&lt;&gt;B744,C745&lt;&gt;C744,D745&lt;&gt;D744,E745&lt;&gt;E744),G744+1,G744))</f>
        <v/>
      </c>
    </row>
    <row r="746">
      <c r="A746" s="14">
        <f>IF(OR(NOT(ISNUMBER(Ввод!$B$5)),NOT(ISNUMBER(Ввод!$B$6))),"",IF(Ввод!$B$5+744&gt;Ввод!$B$6,"",Ввод!$B$5+744))</f>
        <v/>
      </c>
      <c r="B746">
        <f>IF(A746="","",IFERROR(INDEX(Ввод!$B$12:$B$71,MATCH(A746,Ввод!$D$12:$D$71,1)),""))</f>
        <v/>
      </c>
      <c r="C746">
        <f>IF(A746="","",DATE(YEAR(A746),12,31)-DATE(YEAR(A746),1,1)+1)</f>
        <v/>
      </c>
      <c r="D746">
        <f>IF(A746="","",Ввод!$B$4-SUMIF(Оплаты!$A$6:$A$505,"&lt;"&amp;A746,Оплаты!$B$6:$B$505))</f>
        <v/>
      </c>
      <c r="E746">
        <f>IF(A746="","",IF(SUMPRODUCT((Ввод!$F$12:$F$31&lt;&gt;"")*(Ввод!$F$12:$F$31&lt;=A746)*(Ввод!$G$12:$G$31&gt;=A746))&gt;0,1,0))</f>
        <v/>
      </c>
      <c r="F746">
        <f>IF(OR(A746="",B746=""),"",IF(E746=1,0,D746*B746/100/C746))</f>
        <v/>
      </c>
      <c r="G746">
        <f>IF(A746="","",IF(OR(B746&lt;&gt;B745,C746&lt;&gt;C745,D746&lt;&gt;D745,E746&lt;&gt;E745),G745+1,G745))</f>
        <v/>
      </c>
    </row>
    <row r="747">
      <c r="A747" s="14">
        <f>IF(OR(NOT(ISNUMBER(Ввод!$B$5)),NOT(ISNUMBER(Ввод!$B$6))),"",IF(Ввод!$B$5+745&gt;Ввод!$B$6,"",Ввод!$B$5+745))</f>
        <v/>
      </c>
      <c r="B747">
        <f>IF(A747="","",IFERROR(INDEX(Ввод!$B$12:$B$71,MATCH(A747,Ввод!$D$12:$D$71,1)),""))</f>
        <v/>
      </c>
      <c r="C747">
        <f>IF(A747="","",DATE(YEAR(A747),12,31)-DATE(YEAR(A747),1,1)+1)</f>
        <v/>
      </c>
      <c r="D747">
        <f>IF(A747="","",Ввод!$B$4-SUMIF(Оплаты!$A$6:$A$505,"&lt;"&amp;A747,Оплаты!$B$6:$B$505))</f>
        <v/>
      </c>
      <c r="E747">
        <f>IF(A747="","",IF(SUMPRODUCT((Ввод!$F$12:$F$31&lt;&gt;"")*(Ввод!$F$12:$F$31&lt;=A747)*(Ввод!$G$12:$G$31&gt;=A747))&gt;0,1,0))</f>
        <v/>
      </c>
      <c r="F747">
        <f>IF(OR(A747="",B747=""),"",IF(E747=1,0,D747*B747/100/C747))</f>
        <v/>
      </c>
      <c r="G747">
        <f>IF(A747="","",IF(OR(B747&lt;&gt;B746,C747&lt;&gt;C746,D747&lt;&gt;D746,E747&lt;&gt;E746),G746+1,G746))</f>
        <v/>
      </c>
    </row>
    <row r="748">
      <c r="A748" s="14">
        <f>IF(OR(NOT(ISNUMBER(Ввод!$B$5)),NOT(ISNUMBER(Ввод!$B$6))),"",IF(Ввод!$B$5+746&gt;Ввод!$B$6,"",Ввод!$B$5+746))</f>
        <v/>
      </c>
      <c r="B748">
        <f>IF(A748="","",IFERROR(INDEX(Ввод!$B$12:$B$71,MATCH(A748,Ввод!$D$12:$D$71,1)),""))</f>
        <v/>
      </c>
      <c r="C748">
        <f>IF(A748="","",DATE(YEAR(A748),12,31)-DATE(YEAR(A748),1,1)+1)</f>
        <v/>
      </c>
      <c r="D748">
        <f>IF(A748="","",Ввод!$B$4-SUMIF(Оплаты!$A$6:$A$505,"&lt;"&amp;A748,Оплаты!$B$6:$B$505))</f>
        <v/>
      </c>
      <c r="E748">
        <f>IF(A748="","",IF(SUMPRODUCT((Ввод!$F$12:$F$31&lt;&gt;"")*(Ввод!$F$12:$F$31&lt;=A748)*(Ввод!$G$12:$G$31&gt;=A748))&gt;0,1,0))</f>
        <v/>
      </c>
      <c r="F748">
        <f>IF(OR(A748="",B748=""),"",IF(E748=1,0,D748*B748/100/C748))</f>
        <v/>
      </c>
      <c r="G748">
        <f>IF(A748="","",IF(OR(B748&lt;&gt;B747,C748&lt;&gt;C747,D748&lt;&gt;D747,E748&lt;&gt;E747),G747+1,G747))</f>
        <v/>
      </c>
    </row>
    <row r="749">
      <c r="A749" s="14">
        <f>IF(OR(NOT(ISNUMBER(Ввод!$B$5)),NOT(ISNUMBER(Ввод!$B$6))),"",IF(Ввод!$B$5+747&gt;Ввод!$B$6,"",Ввод!$B$5+747))</f>
        <v/>
      </c>
      <c r="B749">
        <f>IF(A749="","",IFERROR(INDEX(Ввод!$B$12:$B$71,MATCH(A749,Ввод!$D$12:$D$71,1)),""))</f>
        <v/>
      </c>
      <c r="C749">
        <f>IF(A749="","",DATE(YEAR(A749),12,31)-DATE(YEAR(A749),1,1)+1)</f>
        <v/>
      </c>
      <c r="D749">
        <f>IF(A749="","",Ввод!$B$4-SUMIF(Оплаты!$A$6:$A$505,"&lt;"&amp;A749,Оплаты!$B$6:$B$505))</f>
        <v/>
      </c>
      <c r="E749">
        <f>IF(A749="","",IF(SUMPRODUCT((Ввод!$F$12:$F$31&lt;&gt;"")*(Ввод!$F$12:$F$31&lt;=A749)*(Ввод!$G$12:$G$31&gt;=A749))&gt;0,1,0))</f>
        <v/>
      </c>
      <c r="F749">
        <f>IF(OR(A749="",B749=""),"",IF(E749=1,0,D749*B749/100/C749))</f>
        <v/>
      </c>
      <c r="G749">
        <f>IF(A749="","",IF(OR(B749&lt;&gt;B748,C749&lt;&gt;C748,D749&lt;&gt;D748,E749&lt;&gt;E748),G748+1,G748))</f>
        <v/>
      </c>
    </row>
    <row r="750">
      <c r="A750" s="14">
        <f>IF(OR(NOT(ISNUMBER(Ввод!$B$5)),NOT(ISNUMBER(Ввод!$B$6))),"",IF(Ввод!$B$5+748&gt;Ввод!$B$6,"",Ввод!$B$5+748))</f>
        <v/>
      </c>
      <c r="B750">
        <f>IF(A750="","",IFERROR(INDEX(Ввод!$B$12:$B$71,MATCH(A750,Ввод!$D$12:$D$71,1)),""))</f>
        <v/>
      </c>
      <c r="C750">
        <f>IF(A750="","",DATE(YEAR(A750),12,31)-DATE(YEAR(A750),1,1)+1)</f>
        <v/>
      </c>
      <c r="D750">
        <f>IF(A750="","",Ввод!$B$4-SUMIF(Оплаты!$A$6:$A$505,"&lt;"&amp;A750,Оплаты!$B$6:$B$505))</f>
        <v/>
      </c>
      <c r="E750">
        <f>IF(A750="","",IF(SUMPRODUCT((Ввод!$F$12:$F$31&lt;&gt;"")*(Ввод!$F$12:$F$31&lt;=A750)*(Ввод!$G$12:$G$31&gt;=A750))&gt;0,1,0))</f>
        <v/>
      </c>
      <c r="F750">
        <f>IF(OR(A750="",B750=""),"",IF(E750=1,0,D750*B750/100/C750))</f>
        <v/>
      </c>
      <c r="G750">
        <f>IF(A750="","",IF(OR(B750&lt;&gt;B749,C750&lt;&gt;C749,D750&lt;&gt;D749,E750&lt;&gt;E749),G749+1,G749))</f>
        <v/>
      </c>
    </row>
    <row r="751">
      <c r="A751" s="14">
        <f>IF(OR(NOT(ISNUMBER(Ввод!$B$5)),NOT(ISNUMBER(Ввод!$B$6))),"",IF(Ввод!$B$5+749&gt;Ввод!$B$6,"",Ввод!$B$5+749))</f>
        <v/>
      </c>
      <c r="B751">
        <f>IF(A751="","",IFERROR(INDEX(Ввод!$B$12:$B$71,MATCH(A751,Ввод!$D$12:$D$71,1)),""))</f>
        <v/>
      </c>
      <c r="C751">
        <f>IF(A751="","",DATE(YEAR(A751),12,31)-DATE(YEAR(A751),1,1)+1)</f>
        <v/>
      </c>
      <c r="D751">
        <f>IF(A751="","",Ввод!$B$4-SUMIF(Оплаты!$A$6:$A$505,"&lt;"&amp;A751,Оплаты!$B$6:$B$505))</f>
        <v/>
      </c>
      <c r="E751">
        <f>IF(A751="","",IF(SUMPRODUCT((Ввод!$F$12:$F$31&lt;&gt;"")*(Ввод!$F$12:$F$31&lt;=A751)*(Ввод!$G$12:$G$31&gt;=A751))&gt;0,1,0))</f>
        <v/>
      </c>
      <c r="F751">
        <f>IF(OR(A751="",B751=""),"",IF(E751=1,0,D751*B751/100/C751))</f>
        <v/>
      </c>
      <c r="G751">
        <f>IF(A751="","",IF(OR(B751&lt;&gt;B750,C751&lt;&gt;C750,D751&lt;&gt;D750,E751&lt;&gt;E750),G750+1,G750))</f>
        <v/>
      </c>
    </row>
    <row r="752">
      <c r="A752" s="14">
        <f>IF(OR(NOT(ISNUMBER(Ввод!$B$5)),NOT(ISNUMBER(Ввод!$B$6))),"",IF(Ввод!$B$5+750&gt;Ввод!$B$6,"",Ввод!$B$5+750))</f>
        <v/>
      </c>
      <c r="B752">
        <f>IF(A752="","",IFERROR(INDEX(Ввод!$B$12:$B$71,MATCH(A752,Ввод!$D$12:$D$71,1)),""))</f>
        <v/>
      </c>
      <c r="C752">
        <f>IF(A752="","",DATE(YEAR(A752),12,31)-DATE(YEAR(A752),1,1)+1)</f>
        <v/>
      </c>
      <c r="D752">
        <f>IF(A752="","",Ввод!$B$4-SUMIF(Оплаты!$A$6:$A$505,"&lt;"&amp;A752,Оплаты!$B$6:$B$505))</f>
        <v/>
      </c>
      <c r="E752">
        <f>IF(A752="","",IF(SUMPRODUCT((Ввод!$F$12:$F$31&lt;&gt;"")*(Ввод!$F$12:$F$31&lt;=A752)*(Ввод!$G$12:$G$31&gt;=A752))&gt;0,1,0))</f>
        <v/>
      </c>
      <c r="F752">
        <f>IF(OR(A752="",B752=""),"",IF(E752=1,0,D752*B752/100/C752))</f>
        <v/>
      </c>
      <c r="G752">
        <f>IF(A752="","",IF(OR(B752&lt;&gt;B751,C752&lt;&gt;C751,D752&lt;&gt;D751,E752&lt;&gt;E751),G751+1,G751))</f>
        <v/>
      </c>
    </row>
    <row r="753">
      <c r="A753" s="14">
        <f>IF(OR(NOT(ISNUMBER(Ввод!$B$5)),NOT(ISNUMBER(Ввод!$B$6))),"",IF(Ввод!$B$5+751&gt;Ввод!$B$6,"",Ввод!$B$5+751))</f>
        <v/>
      </c>
      <c r="B753">
        <f>IF(A753="","",IFERROR(INDEX(Ввод!$B$12:$B$71,MATCH(A753,Ввод!$D$12:$D$71,1)),""))</f>
        <v/>
      </c>
      <c r="C753">
        <f>IF(A753="","",DATE(YEAR(A753),12,31)-DATE(YEAR(A753),1,1)+1)</f>
        <v/>
      </c>
      <c r="D753">
        <f>IF(A753="","",Ввод!$B$4-SUMIF(Оплаты!$A$6:$A$505,"&lt;"&amp;A753,Оплаты!$B$6:$B$505))</f>
        <v/>
      </c>
      <c r="E753">
        <f>IF(A753="","",IF(SUMPRODUCT((Ввод!$F$12:$F$31&lt;&gt;"")*(Ввод!$F$12:$F$31&lt;=A753)*(Ввод!$G$12:$G$31&gt;=A753))&gt;0,1,0))</f>
        <v/>
      </c>
      <c r="F753">
        <f>IF(OR(A753="",B753=""),"",IF(E753=1,0,D753*B753/100/C753))</f>
        <v/>
      </c>
      <c r="G753">
        <f>IF(A753="","",IF(OR(B753&lt;&gt;B752,C753&lt;&gt;C752,D753&lt;&gt;D752,E753&lt;&gt;E752),G752+1,G752))</f>
        <v/>
      </c>
    </row>
    <row r="754">
      <c r="A754" s="14">
        <f>IF(OR(NOT(ISNUMBER(Ввод!$B$5)),NOT(ISNUMBER(Ввод!$B$6))),"",IF(Ввод!$B$5+752&gt;Ввод!$B$6,"",Ввод!$B$5+752))</f>
        <v/>
      </c>
      <c r="B754">
        <f>IF(A754="","",IFERROR(INDEX(Ввод!$B$12:$B$71,MATCH(A754,Ввод!$D$12:$D$71,1)),""))</f>
        <v/>
      </c>
      <c r="C754">
        <f>IF(A754="","",DATE(YEAR(A754),12,31)-DATE(YEAR(A754),1,1)+1)</f>
        <v/>
      </c>
      <c r="D754">
        <f>IF(A754="","",Ввод!$B$4-SUMIF(Оплаты!$A$6:$A$505,"&lt;"&amp;A754,Оплаты!$B$6:$B$505))</f>
        <v/>
      </c>
      <c r="E754">
        <f>IF(A754="","",IF(SUMPRODUCT((Ввод!$F$12:$F$31&lt;&gt;"")*(Ввод!$F$12:$F$31&lt;=A754)*(Ввод!$G$12:$G$31&gt;=A754))&gt;0,1,0))</f>
        <v/>
      </c>
      <c r="F754">
        <f>IF(OR(A754="",B754=""),"",IF(E754=1,0,D754*B754/100/C754))</f>
        <v/>
      </c>
      <c r="G754">
        <f>IF(A754="","",IF(OR(B754&lt;&gt;B753,C754&lt;&gt;C753,D754&lt;&gt;D753,E754&lt;&gt;E753),G753+1,G753))</f>
        <v/>
      </c>
    </row>
    <row r="755">
      <c r="A755" s="14">
        <f>IF(OR(NOT(ISNUMBER(Ввод!$B$5)),NOT(ISNUMBER(Ввод!$B$6))),"",IF(Ввод!$B$5+753&gt;Ввод!$B$6,"",Ввод!$B$5+753))</f>
        <v/>
      </c>
      <c r="B755">
        <f>IF(A755="","",IFERROR(INDEX(Ввод!$B$12:$B$71,MATCH(A755,Ввод!$D$12:$D$71,1)),""))</f>
        <v/>
      </c>
      <c r="C755">
        <f>IF(A755="","",DATE(YEAR(A755),12,31)-DATE(YEAR(A755),1,1)+1)</f>
        <v/>
      </c>
      <c r="D755">
        <f>IF(A755="","",Ввод!$B$4-SUMIF(Оплаты!$A$6:$A$505,"&lt;"&amp;A755,Оплаты!$B$6:$B$505))</f>
        <v/>
      </c>
      <c r="E755">
        <f>IF(A755="","",IF(SUMPRODUCT((Ввод!$F$12:$F$31&lt;&gt;"")*(Ввод!$F$12:$F$31&lt;=A755)*(Ввод!$G$12:$G$31&gt;=A755))&gt;0,1,0))</f>
        <v/>
      </c>
      <c r="F755">
        <f>IF(OR(A755="",B755=""),"",IF(E755=1,0,D755*B755/100/C755))</f>
        <v/>
      </c>
      <c r="G755">
        <f>IF(A755="","",IF(OR(B755&lt;&gt;B754,C755&lt;&gt;C754,D755&lt;&gt;D754,E755&lt;&gt;E754),G754+1,G754))</f>
        <v/>
      </c>
    </row>
    <row r="756">
      <c r="A756" s="14">
        <f>IF(OR(NOT(ISNUMBER(Ввод!$B$5)),NOT(ISNUMBER(Ввод!$B$6))),"",IF(Ввод!$B$5+754&gt;Ввод!$B$6,"",Ввод!$B$5+754))</f>
        <v/>
      </c>
      <c r="B756">
        <f>IF(A756="","",IFERROR(INDEX(Ввод!$B$12:$B$71,MATCH(A756,Ввод!$D$12:$D$71,1)),""))</f>
        <v/>
      </c>
      <c r="C756">
        <f>IF(A756="","",DATE(YEAR(A756),12,31)-DATE(YEAR(A756),1,1)+1)</f>
        <v/>
      </c>
      <c r="D756">
        <f>IF(A756="","",Ввод!$B$4-SUMIF(Оплаты!$A$6:$A$505,"&lt;"&amp;A756,Оплаты!$B$6:$B$505))</f>
        <v/>
      </c>
      <c r="E756">
        <f>IF(A756="","",IF(SUMPRODUCT((Ввод!$F$12:$F$31&lt;&gt;"")*(Ввод!$F$12:$F$31&lt;=A756)*(Ввод!$G$12:$G$31&gt;=A756))&gt;0,1,0))</f>
        <v/>
      </c>
      <c r="F756">
        <f>IF(OR(A756="",B756=""),"",IF(E756=1,0,D756*B756/100/C756))</f>
        <v/>
      </c>
      <c r="G756">
        <f>IF(A756="","",IF(OR(B756&lt;&gt;B755,C756&lt;&gt;C755,D756&lt;&gt;D755,E756&lt;&gt;E755),G755+1,G755))</f>
        <v/>
      </c>
    </row>
    <row r="757">
      <c r="A757" s="14">
        <f>IF(OR(NOT(ISNUMBER(Ввод!$B$5)),NOT(ISNUMBER(Ввод!$B$6))),"",IF(Ввод!$B$5+755&gt;Ввод!$B$6,"",Ввод!$B$5+755))</f>
        <v/>
      </c>
      <c r="B757">
        <f>IF(A757="","",IFERROR(INDEX(Ввод!$B$12:$B$71,MATCH(A757,Ввод!$D$12:$D$71,1)),""))</f>
        <v/>
      </c>
      <c r="C757">
        <f>IF(A757="","",DATE(YEAR(A757),12,31)-DATE(YEAR(A757),1,1)+1)</f>
        <v/>
      </c>
      <c r="D757">
        <f>IF(A757="","",Ввод!$B$4-SUMIF(Оплаты!$A$6:$A$505,"&lt;"&amp;A757,Оплаты!$B$6:$B$505))</f>
        <v/>
      </c>
      <c r="E757">
        <f>IF(A757="","",IF(SUMPRODUCT((Ввод!$F$12:$F$31&lt;&gt;"")*(Ввод!$F$12:$F$31&lt;=A757)*(Ввод!$G$12:$G$31&gt;=A757))&gt;0,1,0))</f>
        <v/>
      </c>
      <c r="F757">
        <f>IF(OR(A757="",B757=""),"",IF(E757=1,0,D757*B757/100/C757))</f>
        <v/>
      </c>
      <c r="G757">
        <f>IF(A757="","",IF(OR(B757&lt;&gt;B756,C757&lt;&gt;C756,D757&lt;&gt;D756,E757&lt;&gt;E756),G756+1,G756))</f>
        <v/>
      </c>
    </row>
    <row r="758">
      <c r="A758" s="14">
        <f>IF(OR(NOT(ISNUMBER(Ввод!$B$5)),NOT(ISNUMBER(Ввод!$B$6))),"",IF(Ввод!$B$5+756&gt;Ввод!$B$6,"",Ввод!$B$5+756))</f>
        <v/>
      </c>
      <c r="B758">
        <f>IF(A758="","",IFERROR(INDEX(Ввод!$B$12:$B$71,MATCH(A758,Ввод!$D$12:$D$71,1)),""))</f>
        <v/>
      </c>
      <c r="C758">
        <f>IF(A758="","",DATE(YEAR(A758),12,31)-DATE(YEAR(A758),1,1)+1)</f>
        <v/>
      </c>
      <c r="D758">
        <f>IF(A758="","",Ввод!$B$4-SUMIF(Оплаты!$A$6:$A$505,"&lt;"&amp;A758,Оплаты!$B$6:$B$505))</f>
        <v/>
      </c>
      <c r="E758">
        <f>IF(A758="","",IF(SUMPRODUCT((Ввод!$F$12:$F$31&lt;&gt;"")*(Ввод!$F$12:$F$31&lt;=A758)*(Ввод!$G$12:$G$31&gt;=A758))&gt;0,1,0))</f>
        <v/>
      </c>
      <c r="F758">
        <f>IF(OR(A758="",B758=""),"",IF(E758=1,0,D758*B758/100/C758))</f>
        <v/>
      </c>
      <c r="G758">
        <f>IF(A758="","",IF(OR(B758&lt;&gt;B757,C758&lt;&gt;C757,D758&lt;&gt;D757,E758&lt;&gt;E757),G757+1,G757))</f>
        <v/>
      </c>
    </row>
    <row r="759">
      <c r="A759" s="14">
        <f>IF(OR(NOT(ISNUMBER(Ввод!$B$5)),NOT(ISNUMBER(Ввод!$B$6))),"",IF(Ввод!$B$5+757&gt;Ввод!$B$6,"",Ввод!$B$5+757))</f>
        <v/>
      </c>
      <c r="B759">
        <f>IF(A759="","",IFERROR(INDEX(Ввод!$B$12:$B$71,MATCH(A759,Ввод!$D$12:$D$71,1)),""))</f>
        <v/>
      </c>
      <c r="C759">
        <f>IF(A759="","",DATE(YEAR(A759),12,31)-DATE(YEAR(A759),1,1)+1)</f>
        <v/>
      </c>
      <c r="D759">
        <f>IF(A759="","",Ввод!$B$4-SUMIF(Оплаты!$A$6:$A$505,"&lt;"&amp;A759,Оплаты!$B$6:$B$505))</f>
        <v/>
      </c>
      <c r="E759">
        <f>IF(A759="","",IF(SUMPRODUCT((Ввод!$F$12:$F$31&lt;&gt;"")*(Ввод!$F$12:$F$31&lt;=A759)*(Ввод!$G$12:$G$31&gt;=A759))&gt;0,1,0))</f>
        <v/>
      </c>
      <c r="F759">
        <f>IF(OR(A759="",B759=""),"",IF(E759=1,0,D759*B759/100/C759))</f>
        <v/>
      </c>
      <c r="G759">
        <f>IF(A759="","",IF(OR(B759&lt;&gt;B758,C759&lt;&gt;C758,D759&lt;&gt;D758,E759&lt;&gt;E758),G758+1,G758))</f>
        <v/>
      </c>
    </row>
    <row r="760">
      <c r="A760" s="14">
        <f>IF(OR(NOT(ISNUMBER(Ввод!$B$5)),NOT(ISNUMBER(Ввод!$B$6))),"",IF(Ввод!$B$5+758&gt;Ввод!$B$6,"",Ввод!$B$5+758))</f>
        <v/>
      </c>
      <c r="B760">
        <f>IF(A760="","",IFERROR(INDEX(Ввод!$B$12:$B$71,MATCH(A760,Ввод!$D$12:$D$71,1)),""))</f>
        <v/>
      </c>
      <c r="C760">
        <f>IF(A760="","",DATE(YEAR(A760),12,31)-DATE(YEAR(A760),1,1)+1)</f>
        <v/>
      </c>
      <c r="D760">
        <f>IF(A760="","",Ввод!$B$4-SUMIF(Оплаты!$A$6:$A$505,"&lt;"&amp;A760,Оплаты!$B$6:$B$505))</f>
        <v/>
      </c>
      <c r="E760">
        <f>IF(A760="","",IF(SUMPRODUCT((Ввод!$F$12:$F$31&lt;&gt;"")*(Ввод!$F$12:$F$31&lt;=A760)*(Ввод!$G$12:$G$31&gt;=A760))&gt;0,1,0))</f>
        <v/>
      </c>
      <c r="F760">
        <f>IF(OR(A760="",B760=""),"",IF(E760=1,0,D760*B760/100/C760))</f>
        <v/>
      </c>
      <c r="G760">
        <f>IF(A760="","",IF(OR(B760&lt;&gt;B759,C760&lt;&gt;C759,D760&lt;&gt;D759,E760&lt;&gt;E759),G759+1,G759))</f>
        <v/>
      </c>
    </row>
    <row r="761">
      <c r="A761" s="14">
        <f>IF(OR(NOT(ISNUMBER(Ввод!$B$5)),NOT(ISNUMBER(Ввод!$B$6))),"",IF(Ввод!$B$5+759&gt;Ввод!$B$6,"",Ввод!$B$5+759))</f>
        <v/>
      </c>
      <c r="B761">
        <f>IF(A761="","",IFERROR(INDEX(Ввод!$B$12:$B$71,MATCH(A761,Ввод!$D$12:$D$71,1)),""))</f>
        <v/>
      </c>
      <c r="C761">
        <f>IF(A761="","",DATE(YEAR(A761),12,31)-DATE(YEAR(A761),1,1)+1)</f>
        <v/>
      </c>
      <c r="D761">
        <f>IF(A761="","",Ввод!$B$4-SUMIF(Оплаты!$A$6:$A$505,"&lt;"&amp;A761,Оплаты!$B$6:$B$505))</f>
        <v/>
      </c>
      <c r="E761">
        <f>IF(A761="","",IF(SUMPRODUCT((Ввод!$F$12:$F$31&lt;&gt;"")*(Ввод!$F$12:$F$31&lt;=A761)*(Ввод!$G$12:$G$31&gt;=A761))&gt;0,1,0))</f>
        <v/>
      </c>
      <c r="F761">
        <f>IF(OR(A761="",B761=""),"",IF(E761=1,0,D761*B761/100/C761))</f>
        <v/>
      </c>
      <c r="G761">
        <f>IF(A761="","",IF(OR(B761&lt;&gt;B760,C761&lt;&gt;C760,D761&lt;&gt;D760,E761&lt;&gt;E760),G760+1,G760))</f>
        <v/>
      </c>
    </row>
    <row r="762">
      <c r="A762" s="14">
        <f>IF(OR(NOT(ISNUMBER(Ввод!$B$5)),NOT(ISNUMBER(Ввод!$B$6))),"",IF(Ввод!$B$5+760&gt;Ввод!$B$6,"",Ввод!$B$5+760))</f>
        <v/>
      </c>
      <c r="B762">
        <f>IF(A762="","",IFERROR(INDEX(Ввод!$B$12:$B$71,MATCH(A762,Ввод!$D$12:$D$71,1)),""))</f>
        <v/>
      </c>
      <c r="C762">
        <f>IF(A762="","",DATE(YEAR(A762),12,31)-DATE(YEAR(A762),1,1)+1)</f>
        <v/>
      </c>
      <c r="D762">
        <f>IF(A762="","",Ввод!$B$4-SUMIF(Оплаты!$A$6:$A$505,"&lt;"&amp;A762,Оплаты!$B$6:$B$505))</f>
        <v/>
      </c>
      <c r="E762">
        <f>IF(A762="","",IF(SUMPRODUCT((Ввод!$F$12:$F$31&lt;&gt;"")*(Ввод!$F$12:$F$31&lt;=A762)*(Ввод!$G$12:$G$31&gt;=A762))&gt;0,1,0))</f>
        <v/>
      </c>
      <c r="F762">
        <f>IF(OR(A762="",B762=""),"",IF(E762=1,0,D762*B762/100/C762))</f>
        <v/>
      </c>
      <c r="G762">
        <f>IF(A762="","",IF(OR(B762&lt;&gt;B761,C762&lt;&gt;C761,D762&lt;&gt;D761,E762&lt;&gt;E761),G761+1,G761))</f>
        <v/>
      </c>
    </row>
    <row r="763">
      <c r="A763" s="14">
        <f>IF(OR(NOT(ISNUMBER(Ввод!$B$5)),NOT(ISNUMBER(Ввод!$B$6))),"",IF(Ввод!$B$5+761&gt;Ввод!$B$6,"",Ввод!$B$5+761))</f>
        <v/>
      </c>
      <c r="B763">
        <f>IF(A763="","",IFERROR(INDEX(Ввод!$B$12:$B$71,MATCH(A763,Ввод!$D$12:$D$71,1)),""))</f>
        <v/>
      </c>
      <c r="C763">
        <f>IF(A763="","",DATE(YEAR(A763),12,31)-DATE(YEAR(A763),1,1)+1)</f>
        <v/>
      </c>
      <c r="D763">
        <f>IF(A763="","",Ввод!$B$4-SUMIF(Оплаты!$A$6:$A$505,"&lt;"&amp;A763,Оплаты!$B$6:$B$505))</f>
        <v/>
      </c>
      <c r="E763">
        <f>IF(A763="","",IF(SUMPRODUCT((Ввод!$F$12:$F$31&lt;&gt;"")*(Ввод!$F$12:$F$31&lt;=A763)*(Ввод!$G$12:$G$31&gt;=A763))&gt;0,1,0))</f>
        <v/>
      </c>
      <c r="F763">
        <f>IF(OR(A763="",B763=""),"",IF(E763=1,0,D763*B763/100/C763))</f>
        <v/>
      </c>
      <c r="G763">
        <f>IF(A763="","",IF(OR(B763&lt;&gt;B762,C763&lt;&gt;C762,D763&lt;&gt;D762,E763&lt;&gt;E762),G762+1,G762))</f>
        <v/>
      </c>
    </row>
    <row r="764">
      <c r="A764" s="14">
        <f>IF(OR(NOT(ISNUMBER(Ввод!$B$5)),NOT(ISNUMBER(Ввод!$B$6))),"",IF(Ввод!$B$5+762&gt;Ввод!$B$6,"",Ввод!$B$5+762))</f>
        <v/>
      </c>
      <c r="B764">
        <f>IF(A764="","",IFERROR(INDEX(Ввод!$B$12:$B$71,MATCH(A764,Ввод!$D$12:$D$71,1)),""))</f>
        <v/>
      </c>
      <c r="C764">
        <f>IF(A764="","",DATE(YEAR(A764),12,31)-DATE(YEAR(A764),1,1)+1)</f>
        <v/>
      </c>
      <c r="D764">
        <f>IF(A764="","",Ввод!$B$4-SUMIF(Оплаты!$A$6:$A$505,"&lt;"&amp;A764,Оплаты!$B$6:$B$505))</f>
        <v/>
      </c>
      <c r="E764">
        <f>IF(A764="","",IF(SUMPRODUCT((Ввод!$F$12:$F$31&lt;&gt;"")*(Ввод!$F$12:$F$31&lt;=A764)*(Ввод!$G$12:$G$31&gt;=A764))&gt;0,1,0))</f>
        <v/>
      </c>
      <c r="F764">
        <f>IF(OR(A764="",B764=""),"",IF(E764=1,0,D764*B764/100/C764))</f>
        <v/>
      </c>
      <c r="G764">
        <f>IF(A764="","",IF(OR(B764&lt;&gt;B763,C764&lt;&gt;C763,D764&lt;&gt;D763,E764&lt;&gt;E763),G763+1,G763))</f>
        <v/>
      </c>
    </row>
    <row r="765">
      <c r="A765" s="14">
        <f>IF(OR(NOT(ISNUMBER(Ввод!$B$5)),NOT(ISNUMBER(Ввод!$B$6))),"",IF(Ввод!$B$5+763&gt;Ввод!$B$6,"",Ввод!$B$5+763))</f>
        <v/>
      </c>
      <c r="B765">
        <f>IF(A765="","",IFERROR(INDEX(Ввод!$B$12:$B$71,MATCH(A765,Ввод!$D$12:$D$71,1)),""))</f>
        <v/>
      </c>
      <c r="C765">
        <f>IF(A765="","",DATE(YEAR(A765),12,31)-DATE(YEAR(A765),1,1)+1)</f>
        <v/>
      </c>
      <c r="D765">
        <f>IF(A765="","",Ввод!$B$4-SUMIF(Оплаты!$A$6:$A$505,"&lt;"&amp;A765,Оплаты!$B$6:$B$505))</f>
        <v/>
      </c>
      <c r="E765">
        <f>IF(A765="","",IF(SUMPRODUCT((Ввод!$F$12:$F$31&lt;&gt;"")*(Ввод!$F$12:$F$31&lt;=A765)*(Ввод!$G$12:$G$31&gt;=A765))&gt;0,1,0))</f>
        <v/>
      </c>
      <c r="F765">
        <f>IF(OR(A765="",B765=""),"",IF(E765=1,0,D765*B765/100/C765))</f>
        <v/>
      </c>
      <c r="G765">
        <f>IF(A765="","",IF(OR(B765&lt;&gt;B764,C765&lt;&gt;C764,D765&lt;&gt;D764,E765&lt;&gt;E764),G764+1,G764))</f>
        <v/>
      </c>
    </row>
    <row r="766">
      <c r="A766" s="14">
        <f>IF(OR(NOT(ISNUMBER(Ввод!$B$5)),NOT(ISNUMBER(Ввод!$B$6))),"",IF(Ввод!$B$5+764&gt;Ввод!$B$6,"",Ввод!$B$5+764))</f>
        <v/>
      </c>
      <c r="B766">
        <f>IF(A766="","",IFERROR(INDEX(Ввод!$B$12:$B$71,MATCH(A766,Ввод!$D$12:$D$71,1)),""))</f>
        <v/>
      </c>
      <c r="C766">
        <f>IF(A766="","",DATE(YEAR(A766),12,31)-DATE(YEAR(A766),1,1)+1)</f>
        <v/>
      </c>
      <c r="D766">
        <f>IF(A766="","",Ввод!$B$4-SUMIF(Оплаты!$A$6:$A$505,"&lt;"&amp;A766,Оплаты!$B$6:$B$505))</f>
        <v/>
      </c>
      <c r="E766">
        <f>IF(A766="","",IF(SUMPRODUCT((Ввод!$F$12:$F$31&lt;&gt;"")*(Ввод!$F$12:$F$31&lt;=A766)*(Ввод!$G$12:$G$31&gt;=A766))&gt;0,1,0))</f>
        <v/>
      </c>
      <c r="F766">
        <f>IF(OR(A766="",B766=""),"",IF(E766=1,0,D766*B766/100/C766))</f>
        <v/>
      </c>
      <c r="G766">
        <f>IF(A766="","",IF(OR(B766&lt;&gt;B765,C766&lt;&gt;C765,D766&lt;&gt;D765,E766&lt;&gt;E765),G765+1,G765))</f>
        <v/>
      </c>
    </row>
    <row r="767">
      <c r="A767" s="14">
        <f>IF(OR(NOT(ISNUMBER(Ввод!$B$5)),NOT(ISNUMBER(Ввод!$B$6))),"",IF(Ввод!$B$5+765&gt;Ввод!$B$6,"",Ввод!$B$5+765))</f>
        <v/>
      </c>
      <c r="B767">
        <f>IF(A767="","",IFERROR(INDEX(Ввод!$B$12:$B$71,MATCH(A767,Ввод!$D$12:$D$71,1)),""))</f>
        <v/>
      </c>
      <c r="C767">
        <f>IF(A767="","",DATE(YEAR(A767),12,31)-DATE(YEAR(A767),1,1)+1)</f>
        <v/>
      </c>
      <c r="D767">
        <f>IF(A767="","",Ввод!$B$4-SUMIF(Оплаты!$A$6:$A$505,"&lt;"&amp;A767,Оплаты!$B$6:$B$505))</f>
        <v/>
      </c>
      <c r="E767">
        <f>IF(A767="","",IF(SUMPRODUCT((Ввод!$F$12:$F$31&lt;&gt;"")*(Ввод!$F$12:$F$31&lt;=A767)*(Ввод!$G$12:$G$31&gt;=A767))&gt;0,1,0))</f>
        <v/>
      </c>
      <c r="F767">
        <f>IF(OR(A767="",B767=""),"",IF(E767=1,0,D767*B767/100/C767))</f>
        <v/>
      </c>
      <c r="G767">
        <f>IF(A767="","",IF(OR(B767&lt;&gt;B766,C767&lt;&gt;C766,D767&lt;&gt;D766,E767&lt;&gt;E766),G766+1,G766))</f>
        <v/>
      </c>
    </row>
    <row r="768">
      <c r="A768" s="14">
        <f>IF(OR(NOT(ISNUMBER(Ввод!$B$5)),NOT(ISNUMBER(Ввод!$B$6))),"",IF(Ввод!$B$5+766&gt;Ввод!$B$6,"",Ввод!$B$5+766))</f>
        <v/>
      </c>
      <c r="B768">
        <f>IF(A768="","",IFERROR(INDEX(Ввод!$B$12:$B$71,MATCH(A768,Ввод!$D$12:$D$71,1)),""))</f>
        <v/>
      </c>
      <c r="C768">
        <f>IF(A768="","",DATE(YEAR(A768),12,31)-DATE(YEAR(A768),1,1)+1)</f>
        <v/>
      </c>
      <c r="D768">
        <f>IF(A768="","",Ввод!$B$4-SUMIF(Оплаты!$A$6:$A$505,"&lt;"&amp;A768,Оплаты!$B$6:$B$505))</f>
        <v/>
      </c>
      <c r="E768">
        <f>IF(A768="","",IF(SUMPRODUCT((Ввод!$F$12:$F$31&lt;&gt;"")*(Ввод!$F$12:$F$31&lt;=A768)*(Ввод!$G$12:$G$31&gt;=A768))&gt;0,1,0))</f>
        <v/>
      </c>
      <c r="F768">
        <f>IF(OR(A768="",B768=""),"",IF(E768=1,0,D768*B768/100/C768))</f>
        <v/>
      </c>
      <c r="G768">
        <f>IF(A768="","",IF(OR(B768&lt;&gt;B767,C768&lt;&gt;C767,D768&lt;&gt;D767,E768&lt;&gt;E767),G767+1,G767))</f>
        <v/>
      </c>
    </row>
    <row r="769">
      <c r="A769" s="14">
        <f>IF(OR(NOT(ISNUMBER(Ввод!$B$5)),NOT(ISNUMBER(Ввод!$B$6))),"",IF(Ввод!$B$5+767&gt;Ввод!$B$6,"",Ввод!$B$5+767))</f>
        <v/>
      </c>
      <c r="B769">
        <f>IF(A769="","",IFERROR(INDEX(Ввод!$B$12:$B$71,MATCH(A769,Ввод!$D$12:$D$71,1)),""))</f>
        <v/>
      </c>
      <c r="C769">
        <f>IF(A769="","",DATE(YEAR(A769),12,31)-DATE(YEAR(A769),1,1)+1)</f>
        <v/>
      </c>
      <c r="D769">
        <f>IF(A769="","",Ввод!$B$4-SUMIF(Оплаты!$A$6:$A$505,"&lt;"&amp;A769,Оплаты!$B$6:$B$505))</f>
        <v/>
      </c>
      <c r="E769">
        <f>IF(A769="","",IF(SUMPRODUCT((Ввод!$F$12:$F$31&lt;&gt;"")*(Ввод!$F$12:$F$31&lt;=A769)*(Ввод!$G$12:$G$31&gt;=A769))&gt;0,1,0))</f>
        <v/>
      </c>
      <c r="F769">
        <f>IF(OR(A769="",B769=""),"",IF(E769=1,0,D769*B769/100/C769))</f>
        <v/>
      </c>
      <c r="G769">
        <f>IF(A769="","",IF(OR(B769&lt;&gt;B768,C769&lt;&gt;C768,D769&lt;&gt;D768,E769&lt;&gt;E768),G768+1,G768))</f>
        <v/>
      </c>
    </row>
    <row r="770">
      <c r="A770" s="14">
        <f>IF(OR(NOT(ISNUMBER(Ввод!$B$5)),NOT(ISNUMBER(Ввод!$B$6))),"",IF(Ввод!$B$5+768&gt;Ввод!$B$6,"",Ввод!$B$5+768))</f>
        <v/>
      </c>
      <c r="B770">
        <f>IF(A770="","",IFERROR(INDEX(Ввод!$B$12:$B$71,MATCH(A770,Ввод!$D$12:$D$71,1)),""))</f>
        <v/>
      </c>
      <c r="C770">
        <f>IF(A770="","",DATE(YEAR(A770),12,31)-DATE(YEAR(A770),1,1)+1)</f>
        <v/>
      </c>
      <c r="D770">
        <f>IF(A770="","",Ввод!$B$4-SUMIF(Оплаты!$A$6:$A$505,"&lt;"&amp;A770,Оплаты!$B$6:$B$505))</f>
        <v/>
      </c>
      <c r="E770">
        <f>IF(A770="","",IF(SUMPRODUCT((Ввод!$F$12:$F$31&lt;&gt;"")*(Ввод!$F$12:$F$31&lt;=A770)*(Ввод!$G$12:$G$31&gt;=A770))&gt;0,1,0))</f>
        <v/>
      </c>
      <c r="F770">
        <f>IF(OR(A770="",B770=""),"",IF(E770=1,0,D770*B770/100/C770))</f>
        <v/>
      </c>
      <c r="G770">
        <f>IF(A770="","",IF(OR(B770&lt;&gt;B769,C770&lt;&gt;C769,D770&lt;&gt;D769,E770&lt;&gt;E769),G769+1,G769))</f>
        <v/>
      </c>
    </row>
    <row r="771">
      <c r="A771" s="14">
        <f>IF(OR(NOT(ISNUMBER(Ввод!$B$5)),NOT(ISNUMBER(Ввод!$B$6))),"",IF(Ввод!$B$5+769&gt;Ввод!$B$6,"",Ввод!$B$5+769))</f>
        <v/>
      </c>
      <c r="B771">
        <f>IF(A771="","",IFERROR(INDEX(Ввод!$B$12:$B$71,MATCH(A771,Ввод!$D$12:$D$71,1)),""))</f>
        <v/>
      </c>
      <c r="C771">
        <f>IF(A771="","",DATE(YEAR(A771),12,31)-DATE(YEAR(A771),1,1)+1)</f>
        <v/>
      </c>
      <c r="D771">
        <f>IF(A771="","",Ввод!$B$4-SUMIF(Оплаты!$A$6:$A$505,"&lt;"&amp;A771,Оплаты!$B$6:$B$505))</f>
        <v/>
      </c>
      <c r="E771">
        <f>IF(A771="","",IF(SUMPRODUCT((Ввод!$F$12:$F$31&lt;&gt;"")*(Ввод!$F$12:$F$31&lt;=A771)*(Ввод!$G$12:$G$31&gt;=A771))&gt;0,1,0))</f>
        <v/>
      </c>
      <c r="F771">
        <f>IF(OR(A771="",B771=""),"",IF(E771=1,0,D771*B771/100/C771))</f>
        <v/>
      </c>
      <c r="G771">
        <f>IF(A771="","",IF(OR(B771&lt;&gt;B770,C771&lt;&gt;C770,D771&lt;&gt;D770,E771&lt;&gt;E770),G770+1,G770))</f>
        <v/>
      </c>
    </row>
    <row r="772">
      <c r="A772" s="14">
        <f>IF(OR(NOT(ISNUMBER(Ввод!$B$5)),NOT(ISNUMBER(Ввод!$B$6))),"",IF(Ввод!$B$5+770&gt;Ввод!$B$6,"",Ввод!$B$5+770))</f>
        <v/>
      </c>
      <c r="B772">
        <f>IF(A772="","",IFERROR(INDEX(Ввод!$B$12:$B$71,MATCH(A772,Ввод!$D$12:$D$71,1)),""))</f>
        <v/>
      </c>
      <c r="C772">
        <f>IF(A772="","",DATE(YEAR(A772),12,31)-DATE(YEAR(A772),1,1)+1)</f>
        <v/>
      </c>
      <c r="D772">
        <f>IF(A772="","",Ввод!$B$4-SUMIF(Оплаты!$A$6:$A$505,"&lt;"&amp;A772,Оплаты!$B$6:$B$505))</f>
        <v/>
      </c>
      <c r="E772">
        <f>IF(A772="","",IF(SUMPRODUCT((Ввод!$F$12:$F$31&lt;&gt;"")*(Ввод!$F$12:$F$31&lt;=A772)*(Ввод!$G$12:$G$31&gt;=A772))&gt;0,1,0))</f>
        <v/>
      </c>
      <c r="F772">
        <f>IF(OR(A772="",B772=""),"",IF(E772=1,0,D772*B772/100/C772))</f>
        <v/>
      </c>
      <c r="G772">
        <f>IF(A772="","",IF(OR(B772&lt;&gt;B771,C772&lt;&gt;C771,D772&lt;&gt;D771,E772&lt;&gt;E771),G771+1,G771))</f>
        <v/>
      </c>
    </row>
    <row r="773">
      <c r="A773" s="14">
        <f>IF(OR(NOT(ISNUMBER(Ввод!$B$5)),NOT(ISNUMBER(Ввод!$B$6))),"",IF(Ввод!$B$5+771&gt;Ввод!$B$6,"",Ввод!$B$5+771))</f>
        <v/>
      </c>
      <c r="B773">
        <f>IF(A773="","",IFERROR(INDEX(Ввод!$B$12:$B$71,MATCH(A773,Ввод!$D$12:$D$71,1)),""))</f>
        <v/>
      </c>
      <c r="C773">
        <f>IF(A773="","",DATE(YEAR(A773),12,31)-DATE(YEAR(A773),1,1)+1)</f>
        <v/>
      </c>
      <c r="D773">
        <f>IF(A773="","",Ввод!$B$4-SUMIF(Оплаты!$A$6:$A$505,"&lt;"&amp;A773,Оплаты!$B$6:$B$505))</f>
        <v/>
      </c>
      <c r="E773">
        <f>IF(A773="","",IF(SUMPRODUCT((Ввод!$F$12:$F$31&lt;&gt;"")*(Ввод!$F$12:$F$31&lt;=A773)*(Ввод!$G$12:$G$31&gt;=A773))&gt;0,1,0))</f>
        <v/>
      </c>
      <c r="F773">
        <f>IF(OR(A773="",B773=""),"",IF(E773=1,0,D773*B773/100/C773))</f>
        <v/>
      </c>
      <c r="G773">
        <f>IF(A773="","",IF(OR(B773&lt;&gt;B772,C773&lt;&gt;C772,D773&lt;&gt;D772,E773&lt;&gt;E772),G772+1,G772))</f>
        <v/>
      </c>
    </row>
    <row r="774">
      <c r="A774" s="14">
        <f>IF(OR(NOT(ISNUMBER(Ввод!$B$5)),NOT(ISNUMBER(Ввод!$B$6))),"",IF(Ввод!$B$5+772&gt;Ввод!$B$6,"",Ввод!$B$5+772))</f>
        <v/>
      </c>
      <c r="B774">
        <f>IF(A774="","",IFERROR(INDEX(Ввод!$B$12:$B$71,MATCH(A774,Ввод!$D$12:$D$71,1)),""))</f>
        <v/>
      </c>
      <c r="C774">
        <f>IF(A774="","",DATE(YEAR(A774),12,31)-DATE(YEAR(A774),1,1)+1)</f>
        <v/>
      </c>
      <c r="D774">
        <f>IF(A774="","",Ввод!$B$4-SUMIF(Оплаты!$A$6:$A$505,"&lt;"&amp;A774,Оплаты!$B$6:$B$505))</f>
        <v/>
      </c>
      <c r="E774">
        <f>IF(A774="","",IF(SUMPRODUCT((Ввод!$F$12:$F$31&lt;&gt;"")*(Ввод!$F$12:$F$31&lt;=A774)*(Ввод!$G$12:$G$31&gt;=A774))&gt;0,1,0))</f>
        <v/>
      </c>
      <c r="F774">
        <f>IF(OR(A774="",B774=""),"",IF(E774=1,0,D774*B774/100/C774))</f>
        <v/>
      </c>
      <c r="G774">
        <f>IF(A774="","",IF(OR(B774&lt;&gt;B773,C774&lt;&gt;C773,D774&lt;&gt;D773,E774&lt;&gt;E773),G773+1,G773))</f>
        <v/>
      </c>
    </row>
    <row r="775">
      <c r="A775" s="14">
        <f>IF(OR(NOT(ISNUMBER(Ввод!$B$5)),NOT(ISNUMBER(Ввод!$B$6))),"",IF(Ввод!$B$5+773&gt;Ввод!$B$6,"",Ввод!$B$5+773))</f>
        <v/>
      </c>
      <c r="B775">
        <f>IF(A775="","",IFERROR(INDEX(Ввод!$B$12:$B$71,MATCH(A775,Ввод!$D$12:$D$71,1)),""))</f>
        <v/>
      </c>
      <c r="C775">
        <f>IF(A775="","",DATE(YEAR(A775),12,31)-DATE(YEAR(A775),1,1)+1)</f>
        <v/>
      </c>
      <c r="D775">
        <f>IF(A775="","",Ввод!$B$4-SUMIF(Оплаты!$A$6:$A$505,"&lt;"&amp;A775,Оплаты!$B$6:$B$505))</f>
        <v/>
      </c>
      <c r="E775">
        <f>IF(A775="","",IF(SUMPRODUCT((Ввод!$F$12:$F$31&lt;&gt;"")*(Ввод!$F$12:$F$31&lt;=A775)*(Ввод!$G$12:$G$31&gt;=A775))&gt;0,1,0))</f>
        <v/>
      </c>
      <c r="F775">
        <f>IF(OR(A775="",B775=""),"",IF(E775=1,0,D775*B775/100/C775))</f>
        <v/>
      </c>
      <c r="G775">
        <f>IF(A775="","",IF(OR(B775&lt;&gt;B774,C775&lt;&gt;C774,D775&lt;&gt;D774,E775&lt;&gt;E774),G774+1,G774))</f>
        <v/>
      </c>
    </row>
    <row r="776">
      <c r="A776" s="14">
        <f>IF(OR(NOT(ISNUMBER(Ввод!$B$5)),NOT(ISNUMBER(Ввод!$B$6))),"",IF(Ввод!$B$5+774&gt;Ввод!$B$6,"",Ввод!$B$5+774))</f>
        <v/>
      </c>
      <c r="B776">
        <f>IF(A776="","",IFERROR(INDEX(Ввод!$B$12:$B$71,MATCH(A776,Ввод!$D$12:$D$71,1)),""))</f>
        <v/>
      </c>
      <c r="C776">
        <f>IF(A776="","",DATE(YEAR(A776),12,31)-DATE(YEAR(A776),1,1)+1)</f>
        <v/>
      </c>
      <c r="D776">
        <f>IF(A776="","",Ввод!$B$4-SUMIF(Оплаты!$A$6:$A$505,"&lt;"&amp;A776,Оплаты!$B$6:$B$505))</f>
        <v/>
      </c>
      <c r="E776">
        <f>IF(A776="","",IF(SUMPRODUCT((Ввод!$F$12:$F$31&lt;&gt;"")*(Ввод!$F$12:$F$31&lt;=A776)*(Ввод!$G$12:$G$31&gt;=A776))&gt;0,1,0))</f>
        <v/>
      </c>
      <c r="F776">
        <f>IF(OR(A776="",B776=""),"",IF(E776=1,0,D776*B776/100/C776))</f>
        <v/>
      </c>
      <c r="G776">
        <f>IF(A776="","",IF(OR(B776&lt;&gt;B775,C776&lt;&gt;C775,D776&lt;&gt;D775,E776&lt;&gt;E775),G775+1,G775))</f>
        <v/>
      </c>
    </row>
    <row r="777">
      <c r="A777" s="14">
        <f>IF(OR(NOT(ISNUMBER(Ввод!$B$5)),NOT(ISNUMBER(Ввод!$B$6))),"",IF(Ввод!$B$5+775&gt;Ввод!$B$6,"",Ввод!$B$5+775))</f>
        <v/>
      </c>
      <c r="B777">
        <f>IF(A777="","",IFERROR(INDEX(Ввод!$B$12:$B$71,MATCH(A777,Ввод!$D$12:$D$71,1)),""))</f>
        <v/>
      </c>
      <c r="C777">
        <f>IF(A777="","",DATE(YEAR(A777),12,31)-DATE(YEAR(A777),1,1)+1)</f>
        <v/>
      </c>
      <c r="D777">
        <f>IF(A777="","",Ввод!$B$4-SUMIF(Оплаты!$A$6:$A$505,"&lt;"&amp;A777,Оплаты!$B$6:$B$505))</f>
        <v/>
      </c>
      <c r="E777">
        <f>IF(A777="","",IF(SUMPRODUCT((Ввод!$F$12:$F$31&lt;&gt;"")*(Ввод!$F$12:$F$31&lt;=A777)*(Ввод!$G$12:$G$31&gt;=A777))&gt;0,1,0))</f>
        <v/>
      </c>
      <c r="F777">
        <f>IF(OR(A777="",B777=""),"",IF(E777=1,0,D777*B777/100/C777))</f>
        <v/>
      </c>
      <c r="G777">
        <f>IF(A777="","",IF(OR(B777&lt;&gt;B776,C777&lt;&gt;C776,D777&lt;&gt;D776,E777&lt;&gt;E776),G776+1,G776))</f>
        <v/>
      </c>
    </row>
    <row r="778">
      <c r="A778" s="14">
        <f>IF(OR(NOT(ISNUMBER(Ввод!$B$5)),NOT(ISNUMBER(Ввод!$B$6))),"",IF(Ввод!$B$5+776&gt;Ввод!$B$6,"",Ввод!$B$5+776))</f>
        <v/>
      </c>
      <c r="B778">
        <f>IF(A778="","",IFERROR(INDEX(Ввод!$B$12:$B$71,MATCH(A778,Ввод!$D$12:$D$71,1)),""))</f>
        <v/>
      </c>
      <c r="C778">
        <f>IF(A778="","",DATE(YEAR(A778),12,31)-DATE(YEAR(A778),1,1)+1)</f>
        <v/>
      </c>
      <c r="D778">
        <f>IF(A778="","",Ввод!$B$4-SUMIF(Оплаты!$A$6:$A$505,"&lt;"&amp;A778,Оплаты!$B$6:$B$505))</f>
        <v/>
      </c>
      <c r="E778">
        <f>IF(A778="","",IF(SUMPRODUCT((Ввод!$F$12:$F$31&lt;&gt;"")*(Ввод!$F$12:$F$31&lt;=A778)*(Ввод!$G$12:$G$31&gt;=A778))&gt;0,1,0))</f>
        <v/>
      </c>
      <c r="F778">
        <f>IF(OR(A778="",B778=""),"",IF(E778=1,0,D778*B778/100/C778))</f>
        <v/>
      </c>
      <c r="G778">
        <f>IF(A778="","",IF(OR(B778&lt;&gt;B777,C778&lt;&gt;C777,D778&lt;&gt;D777,E778&lt;&gt;E777),G777+1,G777))</f>
        <v/>
      </c>
    </row>
    <row r="779">
      <c r="A779" s="14">
        <f>IF(OR(NOT(ISNUMBER(Ввод!$B$5)),NOT(ISNUMBER(Ввод!$B$6))),"",IF(Ввод!$B$5+777&gt;Ввод!$B$6,"",Ввод!$B$5+777))</f>
        <v/>
      </c>
      <c r="B779">
        <f>IF(A779="","",IFERROR(INDEX(Ввод!$B$12:$B$71,MATCH(A779,Ввод!$D$12:$D$71,1)),""))</f>
        <v/>
      </c>
      <c r="C779">
        <f>IF(A779="","",DATE(YEAR(A779),12,31)-DATE(YEAR(A779),1,1)+1)</f>
        <v/>
      </c>
      <c r="D779">
        <f>IF(A779="","",Ввод!$B$4-SUMIF(Оплаты!$A$6:$A$505,"&lt;"&amp;A779,Оплаты!$B$6:$B$505))</f>
        <v/>
      </c>
      <c r="E779">
        <f>IF(A779="","",IF(SUMPRODUCT((Ввод!$F$12:$F$31&lt;&gt;"")*(Ввод!$F$12:$F$31&lt;=A779)*(Ввод!$G$12:$G$31&gt;=A779))&gt;0,1,0))</f>
        <v/>
      </c>
      <c r="F779">
        <f>IF(OR(A779="",B779=""),"",IF(E779=1,0,D779*B779/100/C779))</f>
        <v/>
      </c>
      <c r="G779">
        <f>IF(A779="","",IF(OR(B779&lt;&gt;B778,C779&lt;&gt;C778,D779&lt;&gt;D778,E779&lt;&gt;E778),G778+1,G778))</f>
        <v/>
      </c>
    </row>
    <row r="780">
      <c r="A780" s="14">
        <f>IF(OR(NOT(ISNUMBER(Ввод!$B$5)),NOT(ISNUMBER(Ввод!$B$6))),"",IF(Ввод!$B$5+778&gt;Ввод!$B$6,"",Ввод!$B$5+778))</f>
        <v/>
      </c>
      <c r="B780">
        <f>IF(A780="","",IFERROR(INDEX(Ввод!$B$12:$B$71,MATCH(A780,Ввод!$D$12:$D$71,1)),""))</f>
        <v/>
      </c>
      <c r="C780">
        <f>IF(A780="","",DATE(YEAR(A780),12,31)-DATE(YEAR(A780),1,1)+1)</f>
        <v/>
      </c>
      <c r="D780">
        <f>IF(A780="","",Ввод!$B$4-SUMIF(Оплаты!$A$6:$A$505,"&lt;"&amp;A780,Оплаты!$B$6:$B$505))</f>
        <v/>
      </c>
      <c r="E780">
        <f>IF(A780="","",IF(SUMPRODUCT((Ввод!$F$12:$F$31&lt;&gt;"")*(Ввод!$F$12:$F$31&lt;=A780)*(Ввод!$G$12:$G$31&gt;=A780))&gt;0,1,0))</f>
        <v/>
      </c>
      <c r="F780">
        <f>IF(OR(A780="",B780=""),"",IF(E780=1,0,D780*B780/100/C780))</f>
        <v/>
      </c>
      <c r="G780">
        <f>IF(A780="","",IF(OR(B780&lt;&gt;B779,C780&lt;&gt;C779,D780&lt;&gt;D779,E780&lt;&gt;E779),G779+1,G779))</f>
        <v/>
      </c>
    </row>
    <row r="781">
      <c r="A781" s="14">
        <f>IF(OR(NOT(ISNUMBER(Ввод!$B$5)),NOT(ISNUMBER(Ввод!$B$6))),"",IF(Ввод!$B$5+779&gt;Ввод!$B$6,"",Ввод!$B$5+779))</f>
        <v/>
      </c>
      <c r="B781">
        <f>IF(A781="","",IFERROR(INDEX(Ввод!$B$12:$B$71,MATCH(A781,Ввод!$D$12:$D$71,1)),""))</f>
        <v/>
      </c>
      <c r="C781">
        <f>IF(A781="","",DATE(YEAR(A781),12,31)-DATE(YEAR(A781),1,1)+1)</f>
        <v/>
      </c>
      <c r="D781">
        <f>IF(A781="","",Ввод!$B$4-SUMIF(Оплаты!$A$6:$A$505,"&lt;"&amp;A781,Оплаты!$B$6:$B$505))</f>
        <v/>
      </c>
      <c r="E781">
        <f>IF(A781="","",IF(SUMPRODUCT((Ввод!$F$12:$F$31&lt;&gt;"")*(Ввод!$F$12:$F$31&lt;=A781)*(Ввод!$G$12:$G$31&gt;=A781))&gt;0,1,0))</f>
        <v/>
      </c>
      <c r="F781">
        <f>IF(OR(A781="",B781=""),"",IF(E781=1,0,D781*B781/100/C781))</f>
        <v/>
      </c>
      <c r="G781">
        <f>IF(A781="","",IF(OR(B781&lt;&gt;B780,C781&lt;&gt;C780,D781&lt;&gt;D780,E781&lt;&gt;E780),G780+1,G780))</f>
        <v/>
      </c>
    </row>
    <row r="782">
      <c r="A782" s="14">
        <f>IF(OR(NOT(ISNUMBER(Ввод!$B$5)),NOT(ISNUMBER(Ввод!$B$6))),"",IF(Ввод!$B$5+780&gt;Ввод!$B$6,"",Ввод!$B$5+780))</f>
        <v/>
      </c>
      <c r="B782">
        <f>IF(A782="","",IFERROR(INDEX(Ввод!$B$12:$B$71,MATCH(A782,Ввод!$D$12:$D$71,1)),""))</f>
        <v/>
      </c>
      <c r="C782">
        <f>IF(A782="","",DATE(YEAR(A782),12,31)-DATE(YEAR(A782),1,1)+1)</f>
        <v/>
      </c>
      <c r="D782">
        <f>IF(A782="","",Ввод!$B$4-SUMIF(Оплаты!$A$6:$A$505,"&lt;"&amp;A782,Оплаты!$B$6:$B$505))</f>
        <v/>
      </c>
      <c r="E782">
        <f>IF(A782="","",IF(SUMPRODUCT((Ввод!$F$12:$F$31&lt;&gt;"")*(Ввод!$F$12:$F$31&lt;=A782)*(Ввод!$G$12:$G$31&gt;=A782))&gt;0,1,0))</f>
        <v/>
      </c>
      <c r="F782">
        <f>IF(OR(A782="",B782=""),"",IF(E782=1,0,D782*B782/100/C782))</f>
        <v/>
      </c>
      <c r="G782">
        <f>IF(A782="","",IF(OR(B782&lt;&gt;B781,C782&lt;&gt;C781,D782&lt;&gt;D781,E782&lt;&gt;E781),G781+1,G781))</f>
        <v/>
      </c>
    </row>
    <row r="783">
      <c r="A783" s="14">
        <f>IF(OR(NOT(ISNUMBER(Ввод!$B$5)),NOT(ISNUMBER(Ввод!$B$6))),"",IF(Ввод!$B$5+781&gt;Ввод!$B$6,"",Ввод!$B$5+781))</f>
        <v/>
      </c>
      <c r="B783">
        <f>IF(A783="","",IFERROR(INDEX(Ввод!$B$12:$B$71,MATCH(A783,Ввод!$D$12:$D$71,1)),""))</f>
        <v/>
      </c>
      <c r="C783">
        <f>IF(A783="","",DATE(YEAR(A783),12,31)-DATE(YEAR(A783),1,1)+1)</f>
        <v/>
      </c>
      <c r="D783">
        <f>IF(A783="","",Ввод!$B$4-SUMIF(Оплаты!$A$6:$A$505,"&lt;"&amp;A783,Оплаты!$B$6:$B$505))</f>
        <v/>
      </c>
      <c r="E783">
        <f>IF(A783="","",IF(SUMPRODUCT((Ввод!$F$12:$F$31&lt;&gt;"")*(Ввод!$F$12:$F$31&lt;=A783)*(Ввод!$G$12:$G$31&gt;=A783))&gt;0,1,0))</f>
        <v/>
      </c>
      <c r="F783">
        <f>IF(OR(A783="",B783=""),"",IF(E783=1,0,D783*B783/100/C783))</f>
        <v/>
      </c>
      <c r="G783">
        <f>IF(A783="","",IF(OR(B783&lt;&gt;B782,C783&lt;&gt;C782,D783&lt;&gt;D782,E783&lt;&gt;E782),G782+1,G782))</f>
        <v/>
      </c>
    </row>
    <row r="784">
      <c r="A784" s="14">
        <f>IF(OR(NOT(ISNUMBER(Ввод!$B$5)),NOT(ISNUMBER(Ввод!$B$6))),"",IF(Ввод!$B$5+782&gt;Ввод!$B$6,"",Ввод!$B$5+782))</f>
        <v/>
      </c>
      <c r="B784">
        <f>IF(A784="","",IFERROR(INDEX(Ввод!$B$12:$B$71,MATCH(A784,Ввод!$D$12:$D$71,1)),""))</f>
        <v/>
      </c>
      <c r="C784">
        <f>IF(A784="","",DATE(YEAR(A784),12,31)-DATE(YEAR(A784),1,1)+1)</f>
        <v/>
      </c>
      <c r="D784">
        <f>IF(A784="","",Ввод!$B$4-SUMIF(Оплаты!$A$6:$A$505,"&lt;"&amp;A784,Оплаты!$B$6:$B$505))</f>
        <v/>
      </c>
      <c r="E784">
        <f>IF(A784="","",IF(SUMPRODUCT((Ввод!$F$12:$F$31&lt;&gt;"")*(Ввод!$F$12:$F$31&lt;=A784)*(Ввод!$G$12:$G$31&gt;=A784))&gt;0,1,0))</f>
        <v/>
      </c>
      <c r="F784">
        <f>IF(OR(A784="",B784=""),"",IF(E784=1,0,D784*B784/100/C784))</f>
        <v/>
      </c>
      <c r="G784">
        <f>IF(A784="","",IF(OR(B784&lt;&gt;B783,C784&lt;&gt;C783,D784&lt;&gt;D783,E784&lt;&gt;E783),G783+1,G783))</f>
        <v/>
      </c>
    </row>
    <row r="785">
      <c r="A785" s="14">
        <f>IF(OR(NOT(ISNUMBER(Ввод!$B$5)),NOT(ISNUMBER(Ввод!$B$6))),"",IF(Ввод!$B$5+783&gt;Ввод!$B$6,"",Ввод!$B$5+783))</f>
        <v/>
      </c>
      <c r="B785">
        <f>IF(A785="","",IFERROR(INDEX(Ввод!$B$12:$B$71,MATCH(A785,Ввод!$D$12:$D$71,1)),""))</f>
        <v/>
      </c>
      <c r="C785">
        <f>IF(A785="","",DATE(YEAR(A785),12,31)-DATE(YEAR(A785),1,1)+1)</f>
        <v/>
      </c>
      <c r="D785">
        <f>IF(A785="","",Ввод!$B$4-SUMIF(Оплаты!$A$6:$A$505,"&lt;"&amp;A785,Оплаты!$B$6:$B$505))</f>
        <v/>
      </c>
      <c r="E785">
        <f>IF(A785="","",IF(SUMPRODUCT((Ввод!$F$12:$F$31&lt;&gt;"")*(Ввод!$F$12:$F$31&lt;=A785)*(Ввод!$G$12:$G$31&gt;=A785))&gt;0,1,0))</f>
        <v/>
      </c>
      <c r="F785">
        <f>IF(OR(A785="",B785=""),"",IF(E785=1,0,D785*B785/100/C785))</f>
        <v/>
      </c>
      <c r="G785">
        <f>IF(A785="","",IF(OR(B785&lt;&gt;B784,C785&lt;&gt;C784,D785&lt;&gt;D784,E785&lt;&gt;E784),G784+1,G784))</f>
        <v/>
      </c>
    </row>
    <row r="786">
      <c r="A786" s="14">
        <f>IF(OR(NOT(ISNUMBER(Ввод!$B$5)),NOT(ISNUMBER(Ввод!$B$6))),"",IF(Ввод!$B$5+784&gt;Ввод!$B$6,"",Ввод!$B$5+784))</f>
        <v/>
      </c>
      <c r="B786">
        <f>IF(A786="","",IFERROR(INDEX(Ввод!$B$12:$B$71,MATCH(A786,Ввод!$D$12:$D$71,1)),""))</f>
        <v/>
      </c>
      <c r="C786">
        <f>IF(A786="","",DATE(YEAR(A786),12,31)-DATE(YEAR(A786),1,1)+1)</f>
        <v/>
      </c>
      <c r="D786">
        <f>IF(A786="","",Ввод!$B$4-SUMIF(Оплаты!$A$6:$A$505,"&lt;"&amp;A786,Оплаты!$B$6:$B$505))</f>
        <v/>
      </c>
      <c r="E786">
        <f>IF(A786="","",IF(SUMPRODUCT((Ввод!$F$12:$F$31&lt;&gt;"")*(Ввод!$F$12:$F$31&lt;=A786)*(Ввод!$G$12:$G$31&gt;=A786))&gt;0,1,0))</f>
        <v/>
      </c>
      <c r="F786">
        <f>IF(OR(A786="",B786=""),"",IF(E786=1,0,D786*B786/100/C786))</f>
        <v/>
      </c>
      <c r="G786">
        <f>IF(A786="","",IF(OR(B786&lt;&gt;B785,C786&lt;&gt;C785,D786&lt;&gt;D785,E786&lt;&gt;E785),G785+1,G785))</f>
        <v/>
      </c>
    </row>
    <row r="787">
      <c r="A787" s="14">
        <f>IF(OR(NOT(ISNUMBER(Ввод!$B$5)),NOT(ISNUMBER(Ввод!$B$6))),"",IF(Ввод!$B$5+785&gt;Ввод!$B$6,"",Ввод!$B$5+785))</f>
        <v/>
      </c>
      <c r="B787">
        <f>IF(A787="","",IFERROR(INDEX(Ввод!$B$12:$B$71,MATCH(A787,Ввод!$D$12:$D$71,1)),""))</f>
        <v/>
      </c>
      <c r="C787">
        <f>IF(A787="","",DATE(YEAR(A787),12,31)-DATE(YEAR(A787),1,1)+1)</f>
        <v/>
      </c>
      <c r="D787">
        <f>IF(A787="","",Ввод!$B$4-SUMIF(Оплаты!$A$6:$A$505,"&lt;"&amp;A787,Оплаты!$B$6:$B$505))</f>
        <v/>
      </c>
      <c r="E787">
        <f>IF(A787="","",IF(SUMPRODUCT((Ввод!$F$12:$F$31&lt;&gt;"")*(Ввод!$F$12:$F$31&lt;=A787)*(Ввод!$G$12:$G$31&gt;=A787))&gt;0,1,0))</f>
        <v/>
      </c>
      <c r="F787">
        <f>IF(OR(A787="",B787=""),"",IF(E787=1,0,D787*B787/100/C787))</f>
        <v/>
      </c>
      <c r="G787">
        <f>IF(A787="","",IF(OR(B787&lt;&gt;B786,C787&lt;&gt;C786,D787&lt;&gt;D786,E787&lt;&gt;E786),G786+1,G786))</f>
        <v/>
      </c>
    </row>
    <row r="788">
      <c r="A788" s="14">
        <f>IF(OR(NOT(ISNUMBER(Ввод!$B$5)),NOT(ISNUMBER(Ввод!$B$6))),"",IF(Ввод!$B$5+786&gt;Ввод!$B$6,"",Ввод!$B$5+786))</f>
        <v/>
      </c>
      <c r="B788">
        <f>IF(A788="","",IFERROR(INDEX(Ввод!$B$12:$B$71,MATCH(A788,Ввод!$D$12:$D$71,1)),""))</f>
        <v/>
      </c>
      <c r="C788">
        <f>IF(A788="","",DATE(YEAR(A788),12,31)-DATE(YEAR(A788),1,1)+1)</f>
        <v/>
      </c>
      <c r="D788">
        <f>IF(A788="","",Ввод!$B$4-SUMIF(Оплаты!$A$6:$A$505,"&lt;"&amp;A788,Оплаты!$B$6:$B$505))</f>
        <v/>
      </c>
      <c r="E788">
        <f>IF(A788="","",IF(SUMPRODUCT((Ввод!$F$12:$F$31&lt;&gt;"")*(Ввод!$F$12:$F$31&lt;=A788)*(Ввод!$G$12:$G$31&gt;=A788))&gt;0,1,0))</f>
        <v/>
      </c>
      <c r="F788">
        <f>IF(OR(A788="",B788=""),"",IF(E788=1,0,D788*B788/100/C788))</f>
        <v/>
      </c>
      <c r="G788">
        <f>IF(A788="","",IF(OR(B788&lt;&gt;B787,C788&lt;&gt;C787,D788&lt;&gt;D787,E788&lt;&gt;E787),G787+1,G787))</f>
        <v/>
      </c>
    </row>
    <row r="789">
      <c r="A789" s="14">
        <f>IF(OR(NOT(ISNUMBER(Ввод!$B$5)),NOT(ISNUMBER(Ввод!$B$6))),"",IF(Ввод!$B$5+787&gt;Ввод!$B$6,"",Ввод!$B$5+787))</f>
        <v/>
      </c>
      <c r="B789">
        <f>IF(A789="","",IFERROR(INDEX(Ввод!$B$12:$B$71,MATCH(A789,Ввод!$D$12:$D$71,1)),""))</f>
        <v/>
      </c>
      <c r="C789">
        <f>IF(A789="","",DATE(YEAR(A789),12,31)-DATE(YEAR(A789),1,1)+1)</f>
        <v/>
      </c>
      <c r="D789">
        <f>IF(A789="","",Ввод!$B$4-SUMIF(Оплаты!$A$6:$A$505,"&lt;"&amp;A789,Оплаты!$B$6:$B$505))</f>
        <v/>
      </c>
      <c r="E789">
        <f>IF(A789="","",IF(SUMPRODUCT((Ввод!$F$12:$F$31&lt;&gt;"")*(Ввод!$F$12:$F$31&lt;=A789)*(Ввод!$G$12:$G$31&gt;=A789))&gt;0,1,0))</f>
        <v/>
      </c>
      <c r="F789">
        <f>IF(OR(A789="",B789=""),"",IF(E789=1,0,D789*B789/100/C789))</f>
        <v/>
      </c>
      <c r="G789">
        <f>IF(A789="","",IF(OR(B789&lt;&gt;B788,C789&lt;&gt;C788,D789&lt;&gt;D788,E789&lt;&gt;E788),G788+1,G788))</f>
        <v/>
      </c>
    </row>
    <row r="790">
      <c r="A790" s="14">
        <f>IF(OR(NOT(ISNUMBER(Ввод!$B$5)),NOT(ISNUMBER(Ввод!$B$6))),"",IF(Ввод!$B$5+788&gt;Ввод!$B$6,"",Ввод!$B$5+788))</f>
        <v/>
      </c>
      <c r="B790">
        <f>IF(A790="","",IFERROR(INDEX(Ввод!$B$12:$B$71,MATCH(A790,Ввод!$D$12:$D$71,1)),""))</f>
        <v/>
      </c>
      <c r="C790">
        <f>IF(A790="","",DATE(YEAR(A790),12,31)-DATE(YEAR(A790),1,1)+1)</f>
        <v/>
      </c>
      <c r="D790">
        <f>IF(A790="","",Ввод!$B$4-SUMIF(Оплаты!$A$6:$A$505,"&lt;"&amp;A790,Оплаты!$B$6:$B$505))</f>
        <v/>
      </c>
      <c r="E790">
        <f>IF(A790="","",IF(SUMPRODUCT((Ввод!$F$12:$F$31&lt;&gt;"")*(Ввод!$F$12:$F$31&lt;=A790)*(Ввод!$G$12:$G$31&gt;=A790))&gt;0,1,0))</f>
        <v/>
      </c>
      <c r="F790">
        <f>IF(OR(A790="",B790=""),"",IF(E790=1,0,D790*B790/100/C790))</f>
        <v/>
      </c>
      <c r="G790">
        <f>IF(A790="","",IF(OR(B790&lt;&gt;B789,C790&lt;&gt;C789,D790&lt;&gt;D789,E790&lt;&gt;E789),G789+1,G789))</f>
        <v/>
      </c>
    </row>
    <row r="791">
      <c r="A791" s="14">
        <f>IF(OR(NOT(ISNUMBER(Ввод!$B$5)),NOT(ISNUMBER(Ввод!$B$6))),"",IF(Ввод!$B$5+789&gt;Ввод!$B$6,"",Ввод!$B$5+789))</f>
        <v/>
      </c>
      <c r="B791">
        <f>IF(A791="","",IFERROR(INDEX(Ввод!$B$12:$B$71,MATCH(A791,Ввод!$D$12:$D$71,1)),""))</f>
        <v/>
      </c>
      <c r="C791">
        <f>IF(A791="","",DATE(YEAR(A791),12,31)-DATE(YEAR(A791),1,1)+1)</f>
        <v/>
      </c>
      <c r="D791">
        <f>IF(A791="","",Ввод!$B$4-SUMIF(Оплаты!$A$6:$A$505,"&lt;"&amp;A791,Оплаты!$B$6:$B$505))</f>
        <v/>
      </c>
      <c r="E791">
        <f>IF(A791="","",IF(SUMPRODUCT((Ввод!$F$12:$F$31&lt;&gt;"")*(Ввод!$F$12:$F$31&lt;=A791)*(Ввод!$G$12:$G$31&gt;=A791))&gt;0,1,0))</f>
        <v/>
      </c>
      <c r="F791">
        <f>IF(OR(A791="",B791=""),"",IF(E791=1,0,D791*B791/100/C791))</f>
        <v/>
      </c>
      <c r="G791">
        <f>IF(A791="","",IF(OR(B791&lt;&gt;B790,C791&lt;&gt;C790,D791&lt;&gt;D790,E791&lt;&gt;E790),G790+1,G790))</f>
        <v/>
      </c>
    </row>
    <row r="792">
      <c r="A792" s="14">
        <f>IF(OR(NOT(ISNUMBER(Ввод!$B$5)),NOT(ISNUMBER(Ввод!$B$6))),"",IF(Ввод!$B$5+790&gt;Ввод!$B$6,"",Ввод!$B$5+790))</f>
        <v/>
      </c>
      <c r="B792">
        <f>IF(A792="","",IFERROR(INDEX(Ввод!$B$12:$B$71,MATCH(A792,Ввод!$D$12:$D$71,1)),""))</f>
        <v/>
      </c>
      <c r="C792">
        <f>IF(A792="","",DATE(YEAR(A792),12,31)-DATE(YEAR(A792),1,1)+1)</f>
        <v/>
      </c>
      <c r="D792">
        <f>IF(A792="","",Ввод!$B$4-SUMIF(Оплаты!$A$6:$A$505,"&lt;"&amp;A792,Оплаты!$B$6:$B$505))</f>
        <v/>
      </c>
      <c r="E792">
        <f>IF(A792="","",IF(SUMPRODUCT((Ввод!$F$12:$F$31&lt;&gt;"")*(Ввод!$F$12:$F$31&lt;=A792)*(Ввод!$G$12:$G$31&gt;=A792))&gt;0,1,0))</f>
        <v/>
      </c>
      <c r="F792">
        <f>IF(OR(A792="",B792=""),"",IF(E792=1,0,D792*B792/100/C792))</f>
        <v/>
      </c>
      <c r="G792">
        <f>IF(A792="","",IF(OR(B792&lt;&gt;B791,C792&lt;&gt;C791,D792&lt;&gt;D791,E792&lt;&gt;E791),G791+1,G791))</f>
        <v/>
      </c>
    </row>
    <row r="793">
      <c r="A793" s="14">
        <f>IF(OR(NOT(ISNUMBER(Ввод!$B$5)),NOT(ISNUMBER(Ввод!$B$6))),"",IF(Ввод!$B$5+791&gt;Ввод!$B$6,"",Ввод!$B$5+791))</f>
        <v/>
      </c>
      <c r="B793">
        <f>IF(A793="","",IFERROR(INDEX(Ввод!$B$12:$B$71,MATCH(A793,Ввод!$D$12:$D$71,1)),""))</f>
        <v/>
      </c>
      <c r="C793">
        <f>IF(A793="","",DATE(YEAR(A793),12,31)-DATE(YEAR(A793),1,1)+1)</f>
        <v/>
      </c>
      <c r="D793">
        <f>IF(A793="","",Ввод!$B$4-SUMIF(Оплаты!$A$6:$A$505,"&lt;"&amp;A793,Оплаты!$B$6:$B$505))</f>
        <v/>
      </c>
      <c r="E793">
        <f>IF(A793="","",IF(SUMPRODUCT((Ввод!$F$12:$F$31&lt;&gt;"")*(Ввод!$F$12:$F$31&lt;=A793)*(Ввод!$G$12:$G$31&gt;=A793))&gt;0,1,0))</f>
        <v/>
      </c>
      <c r="F793">
        <f>IF(OR(A793="",B793=""),"",IF(E793=1,0,D793*B793/100/C793))</f>
        <v/>
      </c>
      <c r="G793">
        <f>IF(A793="","",IF(OR(B793&lt;&gt;B792,C793&lt;&gt;C792,D793&lt;&gt;D792,E793&lt;&gt;E792),G792+1,G792))</f>
        <v/>
      </c>
    </row>
    <row r="794">
      <c r="A794" s="14">
        <f>IF(OR(NOT(ISNUMBER(Ввод!$B$5)),NOT(ISNUMBER(Ввод!$B$6))),"",IF(Ввод!$B$5+792&gt;Ввод!$B$6,"",Ввод!$B$5+792))</f>
        <v/>
      </c>
      <c r="B794">
        <f>IF(A794="","",IFERROR(INDEX(Ввод!$B$12:$B$71,MATCH(A794,Ввод!$D$12:$D$71,1)),""))</f>
        <v/>
      </c>
      <c r="C794">
        <f>IF(A794="","",DATE(YEAR(A794),12,31)-DATE(YEAR(A794),1,1)+1)</f>
        <v/>
      </c>
      <c r="D794">
        <f>IF(A794="","",Ввод!$B$4-SUMIF(Оплаты!$A$6:$A$505,"&lt;"&amp;A794,Оплаты!$B$6:$B$505))</f>
        <v/>
      </c>
      <c r="E794">
        <f>IF(A794="","",IF(SUMPRODUCT((Ввод!$F$12:$F$31&lt;&gt;"")*(Ввод!$F$12:$F$31&lt;=A794)*(Ввод!$G$12:$G$31&gt;=A794))&gt;0,1,0))</f>
        <v/>
      </c>
      <c r="F794">
        <f>IF(OR(A794="",B794=""),"",IF(E794=1,0,D794*B794/100/C794))</f>
        <v/>
      </c>
      <c r="G794">
        <f>IF(A794="","",IF(OR(B794&lt;&gt;B793,C794&lt;&gt;C793,D794&lt;&gt;D793,E794&lt;&gt;E793),G793+1,G793))</f>
        <v/>
      </c>
    </row>
    <row r="795">
      <c r="A795" s="14">
        <f>IF(OR(NOT(ISNUMBER(Ввод!$B$5)),NOT(ISNUMBER(Ввод!$B$6))),"",IF(Ввод!$B$5+793&gt;Ввод!$B$6,"",Ввод!$B$5+793))</f>
        <v/>
      </c>
      <c r="B795">
        <f>IF(A795="","",IFERROR(INDEX(Ввод!$B$12:$B$71,MATCH(A795,Ввод!$D$12:$D$71,1)),""))</f>
        <v/>
      </c>
      <c r="C795">
        <f>IF(A795="","",DATE(YEAR(A795),12,31)-DATE(YEAR(A795),1,1)+1)</f>
        <v/>
      </c>
      <c r="D795">
        <f>IF(A795="","",Ввод!$B$4-SUMIF(Оплаты!$A$6:$A$505,"&lt;"&amp;A795,Оплаты!$B$6:$B$505))</f>
        <v/>
      </c>
      <c r="E795">
        <f>IF(A795="","",IF(SUMPRODUCT((Ввод!$F$12:$F$31&lt;&gt;"")*(Ввод!$F$12:$F$31&lt;=A795)*(Ввод!$G$12:$G$31&gt;=A795))&gt;0,1,0))</f>
        <v/>
      </c>
      <c r="F795">
        <f>IF(OR(A795="",B795=""),"",IF(E795=1,0,D795*B795/100/C795))</f>
        <v/>
      </c>
      <c r="G795">
        <f>IF(A795="","",IF(OR(B795&lt;&gt;B794,C795&lt;&gt;C794,D795&lt;&gt;D794,E795&lt;&gt;E794),G794+1,G794))</f>
        <v/>
      </c>
    </row>
    <row r="796">
      <c r="A796" s="14">
        <f>IF(OR(NOT(ISNUMBER(Ввод!$B$5)),NOT(ISNUMBER(Ввод!$B$6))),"",IF(Ввод!$B$5+794&gt;Ввод!$B$6,"",Ввод!$B$5+794))</f>
        <v/>
      </c>
      <c r="B796">
        <f>IF(A796="","",IFERROR(INDEX(Ввод!$B$12:$B$71,MATCH(A796,Ввод!$D$12:$D$71,1)),""))</f>
        <v/>
      </c>
      <c r="C796">
        <f>IF(A796="","",DATE(YEAR(A796),12,31)-DATE(YEAR(A796),1,1)+1)</f>
        <v/>
      </c>
      <c r="D796">
        <f>IF(A796="","",Ввод!$B$4-SUMIF(Оплаты!$A$6:$A$505,"&lt;"&amp;A796,Оплаты!$B$6:$B$505))</f>
        <v/>
      </c>
      <c r="E796">
        <f>IF(A796="","",IF(SUMPRODUCT((Ввод!$F$12:$F$31&lt;&gt;"")*(Ввод!$F$12:$F$31&lt;=A796)*(Ввод!$G$12:$G$31&gt;=A796))&gt;0,1,0))</f>
        <v/>
      </c>
      <c r="F796">
        <f>IF(OR(A796="",B796=""),"",IF(E796=1,0,D796*B796/100/C796))</f>
        <v/>
      </c>
      <c r="G796">
        <f>IF(A796="","",IF(OR(B796&lt;&gt;B795,C796&lt;&gt;C795,D796&lt;&gt;D795,E796&lt;&gt;E795),G795+1,G795))</f>
        <v/>
      </c>
    </row>
    <row r="797">
      <c r="A797" s="14">
        <f>IF(OR(NOT(ISNUMBER(Ввод!$B$5)),NOT(ISNUMBER(Ввод!$B$6))),"",IF(Ввод!$B$5+795&gt;Ввод!$B$6,"",Ввод!$B$5+795))</f>
        <v/>
      </c>
      <c r="B797">
        <f>IF(A797="","",IFERROR(INDEX(Ввод!$B$12:$B$71,MATCH(A797,Ввод!$D$12:$D$71,1)),""))</f>
        <v/>
      </c>
      <c r="C797">
        <f>IF(A797="","",DATE(YEAR(A797),12,31)-DATE(YEAR(A797),1,1)+1)</f>
        <v/>
      </c>
      <c r="D797">
        <f>IF(A797="","",Ввод!$B$4-SUMIF(Оплаты!$A$6:$A$505,"&lt;"&amp;A797,Оплаты!$B$6:$B$505))</f>
        <v/>
      </c>
      <c r="E797">
        <f>IF(A797="","",IF(SUMPRODUCT((Ввод!$F$12:$F$31&lt;&gt;"")*(Ввод!$F$12:$F$31&lt;=A797)*(Ввод!$G$12:$G$31&gt;=A797))&gt;0,1,0))</f>
        <v/>
      </c>
      <c r="F797">
        <f>IF(OR(A797="",B797=""),"",IF(E797=1,0,D797*B797/100/C797))</f>
        <v/>
      </c>
      <c r="G797">
        <f>IF(A797="","",IF(OR(B797&lt;&gt;B796,C797&lt;&gt;C796,D797&lt;&gt;D796,E797&lt;&gt;E796),G796+1,G796))</f>
        <v/>
      </c>
    </row>
    <row r="798">
      <c r="A798" s="14">
        <f>IF(OR(NOT(ISNUMBER(Ввод!$B$5)),NOT(ISNUMBER(Ввод!$B$6))),"",IF(Ввод!$B$5+796&gt;Ввод!$B$6,"",Ввод!$B$5+796))</f>
        <v/>
      </c>
      <c r="B798">
        <f>IF(A798="","",IFERROR(INDEX(Ввод!$B$12:$B$71,MATCH(A798,Ввод!$D$12:$D$71,1)),""))</f>
        <v/>
      </c>
      <c r="C798">
        <f>IF(A798="","",DATE(YEAR(A798),12,31)-DATE(YEAR(A798),1,1)+1)</f>
        <v/>
      </c>
      <c r="D798">
        <f>IF(A798="","",Ввод!$B$4-SUMIF(Оплаты!$A$6:$A$505,"&lt;"&amp;A798,Оплаты!$B$6:$B$505))</f>
        <v/>
      </c>
      <c r="E798">
        <f>IF(A798="","",IF(SUMPRODUCT((Ввод!$F$12:$F$31&lt;&gt;"")*(Ввод!$F$12:$F$31&lt;=A798)*(Ввод!$G$12:$G$31&gt;=A798))&gt;0,1,0))</f>
        <v/>
      </c>
      <c r="F798">
        <f>IF(OR(A798="",B798=""),"",IF(E798=1,0,D798*B798/100/C798))</f>
        <v/>
      </c>
      <c r="G798">
        <f>IF(A798="","",IF(OR(B798&lt;&gt;B797,C798&lt;&gt;C797,D798&lt;&gt;D797,E798&lt;&gt;E797),G797+1,G797))</f>
        <v/>
      </c>
    </row>
    <row r="799">
      <c r="A799" s="14">
        <f>IF(OR(NOT(ISNUMBER(Ввод!$B$5)),NOT(ISNUMBER(Ввод!$B$6))),"",IF(Ввод!$B$5+797&gt;Ввод!$B$6,"",Ввод!$B$5+797))</f>
        <v/>
      </c>
      <c r="B799">
        <f>IF(A799="","",IFERROR(INDEX(Ввод!$B$12:$B$71,MATCH(A799,Ввод!$D$12:$D$71,1)),""))</f>
        <v/>
      </c>
      <c r="C799">
        <f>IF(A799="","",DATE(YEAR(A799),12,31)-DATE(YEAR(A799),1,1)+1)</f>
        <v/>
      </c>
      <c r="D799">
        <f>IF(A799="","",Ввод!$B$4-SUMIF(Оплаты!$A$6:$A$505,"&lt;"&amp;A799,Оплаты!$B$6:$B$505))</f>
        <v/>
      </c>
      <c r="E799">
        <f>IF(A799="","",IF(SUMPRODUCT((Ввод!$F$12:$F$31&lt;&gt;"")*(Ввод!$F$12:$F$31&lt;=A799)*(Ввод!$G$12:$G$31&gt;=A799))&gt;0,1,0))</f>
        <v/>
      </c>
      <c r="F799">
        <f>IF(OR(A799="",B799=""),"",IF(E799=1,0,D799*B799/100/C799))</f>
        <v/>
      </c>
      <c r="G799">
        <f>IF(A799="","",IF(OR(B799&lt;&gt;B798,C799&lt;&gt;C798,D799&lt;&gt;D798,E799&lt;&gt;E798),G798+1,G798))</f>
        <v/>
      </c>
    </row>
    <row r="800">
      <c r="A800" s="14">
        <f>IF(OR(NOT(ISNUMBER(Ввод!$B$5)),NOT(ISNUMBER(Ввод!$B$6))),"",IF(Ввод!$B$5+798&gt;Ввод!$B$6,"",Ввод!$B$5+798))</f>
        <v/>
      </c>
      <c r="B800">
        <f>IF(A800="","",IFERROR(INDEX(Ввод!$B$12:$B$71,MATCH(A800,Ввод!$D$12:$D$71,1)),""))</f>
        <v/>
      </c>
      <c r="C800">
        <f>IF(A800="","",DATE(YEAR(A800),12,31)-DATE(YEAR(A800),1,1)+1)</f>
        <v/>
      </c>
      <c r="D800">
        <f>IF(A800="","",Ввод!$B$4-SUMIF(Оплаты!$A$6:$A$505,"&lt;"&amp;A800,Оплаты!$B$6:$B$505))</f>
        <v/>
      </c>
      <c r="E800">
        <f>IF(A800="","",IF(SUMPRODUCT((Ввод!$F$12:$F$31&lt;&gt;"")*(Ввод!$F$12:$F$31&lt;=A800)*(Ввод!$G$12:$G$31&gt;=A800))&gt;0,1,0))</f>
        <v/>
      </c>
      <c r="F800">
        <f>IF(OR(A800="",B800=""),"",IF(E800=1,0,D800*B800/100/C800))</f>
        <v/>
      </c>
      <c r="G800">
        <f>IF(A800="","",IF(OR(B800&lt;&gt;B799,C800&lt;&gt;C799,D800&lt;&gt;D799,E800&lt;&gt;E799),G799+1,G799))</f>
        <v/>
      </c>
    </row>
    <row r="801">
      <c r="A801" s="14">
        <f>IF(OR(NOT(ISNUMBER(Ввод!$B$5)),NOT(ISNUMBER(Ввод!$B$6))),"",IF(Ввод!$B$5+799&gt;Ввод!$B$6,"",Ввод!$B$5+799))</f>
        <v/>
      </c>
      <c r="B801">
        <f>IF(A801="","",IFERROR(INDEX(Ввод!$B$12:$B$71,MATCH(A801,Ввод!$D$12:$D$71,1)),""))</f>
        <v/>
      </c>
      <c r="C801">
        <f>IF(A801="","",DATE(YEAR(A801),12,31)-DATE(YEAR(A801),1,1)+1)</f>
        <v/>
      </c>
      <c r="D801">
        <f>IF(A801="","",Ввод!$B$4-SUMIF(Оплаты!$A$6:$A$505,"&lt;"&amp;A801,Оплаты!$B$6:$B$505))</f>
        <v/>
      </c>
      <c r="E801">
        <f>IF(A801="","",IF(SUMPRODUCT((Ввод!$F$12:$F$31&lt;&gt;"")*(Ввод!$F$12:$F$31&lt;=A801)*(Ввод!$G$12:$G$31&gt;=A801))&gt;0,1,0))</f>
        <v/>
      </c>
      <c r="F801">
        <f>IF(OR(A801="",B801=""),"",IF(E801=1,0,D801*B801/100/C801))</f>
        <v/>
      </c>
      <c r="G801">
        <f>IF(A801="","",IF(OR(B801&lt;&gt;B800,C801&lt;&gt;C800,D801&lt;&gt;D800,E801&lt;&gt;E800),G800+1,G800))</f>
        <v/>
      </c>
    </row>
    <row r="802">
      <c r="A802" s="14">
        <f>IF(OR(NOT(ISNUMBER(Ввод!$B$5)),NOT(ISNUMBER(Ввод!$B$6))),"",IF(Ввод!$B$5+800&gt;Ввод!$B$6,"",Ввод!$B$5+800))</f>
        <v/>
      </c>
      <c r="B802">
        <f>IF(A802="","",IFERROR(INDEX(Ввод!$B$12:$B$71,MATCH(A802,Ввод!$D$12:$D$71,1)),""))</f>
        <v/>
      </c>
      <c r="C802">
        <f>IF(A802="","",DATE(YEAR(A802),12,31)-DATE(YEAR(A802),1,1)+1)</f>
        <v/>
      </c>
      <c r="D802">
        <f>IF(A802="","",Ввод!$B$4-SUMIF(Оплаты!$A$6:$A$505,"&lt;"&amp;A802,Оплаты!$B$6:$B$505))</f>
        <v/>
      </c>
      <c r="E802">
        <f>IF(A802="","",IF(SUMPRODUCT((Ввод!$F$12:$F$31&lt;&gt;"")*(Ввод!$F$12:$F$31&lt;=A802)*(Ввод!$G$12:$G$31&gt;=A802))&gt;0,1,0))</f>
        <v/>
      </c>
      <c r="F802">
        <f>IF(OR(A802="",B802=""),"",IF(E802=1,0,D802*B802/100/C802))</f>
        <v/>
      </c>
      <c r="G802">
        <f>IF(A802="","",IF(OR(B802&lt;&gt;B801,C802&lt;&gt;C801,D802&lt;&gt;D801,E802&lt;&gt;E801),G801+1,G801))</f>
        <v/>
      </c>
    </row>
    <row r="803">
      <c r="A803" s="14">
        <f>IF(OR(NOT(ISNUMBER(Ввод!$B$5)),NOT(ISNUMBER(Ввод!$B$6))),"",IF(Ввод!$B$5+801&gt;Ввод!$B$6,"",Ввод!$B$5+801))</f>
        <v/>
      </c>
      <c r="B803">
        <f>IF(A803="","",IFERROR(INDEX(Ввод!$B$12:$B$71,MATCH(A803,Ввод!$D$12:$D$71,1)),""))</f>
        <v/>
      </c>
      <c r="C803">
        <f>IF(A803="","",DATE(YEAR(A803),12,31)-DATE(YEAR(A803),1,1)+1)</f>
        <v/>
      </c>
      <c r="D803">
        <f>IF(A803="","",Ввод!$B$4-SUMIF(Оплаты!$A$6:$A$505,"&lt;"&amp;A803,Оплаты!$B$6:$B$505))</f>
        <v/>
      </c>
      <c r="E803">
        <f>IF(A803="","",IF(SUMPRODUCT((Ввод!$F$12:$F$31&lt;&gt;"")*(Ввод!$F$12:$F$31&lt;=A803)*(Ввод!$G$12:$G$31&gt;=A803))&gt;0,1,0))</f>
        <v/>
      </c>
      <c r="F803">
        <f>IF(OR(A803="",B803=""),"",IF(E803=1,0,D803*B803/100/C803))</f>
        <v/>
      </c>
      <c r="G803">
        <f>IF(A803="","",IF(OR(B803&lt;&gt;B802,C803&lt;&gt;C802,D803&lt;&gt;D802,E803&lt;&gt;E802),G802+1,G802))</f>
        <v/>
      </c>
    </row>
    <row r="804">
      <c r="A804" s="14">
        <f>IF(OR(NOT(ISNUMBER(Ввод!$B$5)),NOT(ISNUMBER(Ввод!$B$6))),"",IF(Ввод!$B$5+802&gt;Ввод!$B$6,"",Ввод!$B$5+802))</f>
        <v/>
      </c>
      <c r="B804">
        <f>IF(A804="","",IFERROR(INDEX(Ввод!$B$12:$B$71,MATCH(A804,Ввод!$D$12:$D$71,1)),""))</f>
        <v/>
      </c>
      <c r="C804">
        <f>IF(A804="","",DATE(YEAR(A804),12,31)-DATE(YEAR(A804),1,1)+1)</f>
        <v/>
      </c>
      <c r="D804">
        <f>IF(A804="","",Ввод!$B$4-SUMIF(Оплаты!$A$6:$A$505,"&lt;"&amp;A804,Оплаты!$B$6:$B$505))</f>
        <v/>
      </c>
      <c r="E804">
        <f>IF(A804="","",IF(SUMPRODUCT((Ввод!$F$12:$F$31&lt;&gt;"")*(Ввод!$F$12:$F$31&lt;=A804)*(Ввод!$G$12:$G$31&gt;=A804))&gt;0,1,0))</f>
        <v/>
      </c>
      <c r="F804">
        <f>IF(OR(A804="",B804=""),"",IF(E804=1,0,D804*B804/100/C804))</f>
        <v/>
      </c>
      <c r="G804">
        <f>IF(A804="","",IF(OR(B804&lt;&gt;B803,C804&lt;&gt;C803,D804&lt;&gt;D803,E804&lt;&gt;E803),G803+1,G803))</f>
        <v/>
      </c>
    </row>
    <row r="805">
      <c r="A805" s="14">
        <f>IF(OR(NOT(ISNUMBER(Ввод!$B$5)),NOT(ISNUMBER(Ввод!$B$6))),"",IF(Ввод!$B$5+803&gt;Ввод!$B$6,"",Ввод!$B$5+803))</f>
        <v/>
      </c>
      <c r="B805">
        <f>IF(A805="","",IFERROR(INDEX(Ввод!$B$12:$B$71,MATCH(A805,Ввод!$D$12:$D$71,1)),""))</f>
        <v/>
      </c>
      <c r="C805">
        <f>IF(A805="","",DATE(YEAR(A805),12,31)-DATE(YEAR(A805),1,1)+1)</f>
        <v/>
      </c>
      <c r="D805">
        <f>IF(A805="","",Ввод!$B$4-SUMIF(Оплаты!$A$6:$A$505,"&lt;"&amp;A805,Оплаты!$B$6:$B$505))</f>
        <v/>
      </c>
      <c r="E805">
        <f>IF(A805="","",IF(SUMPRODUCT((Ввод!$F$12:$F$31&lt;&gt;"")*(Ввод!$F$12:$F$31&lt;=A805)*(Ввод!$G$12:$G$31&gt;=A805))&gt;0,1,0))</f>
        <v/>
      </c>
      <c r="F805">
        <f>IF(OR(A805="",B805=""),"",IF(E805=1,0,D805*B805/100/C805))</f>
        <v/>
      </c>
      <c r="G805">
        <f>IF(A805="","",IF(OR(B805&lt;&gt;B804,C805&lt;&gt;C804,D805&lt;&gt;D804,E805&lt;&gt;E804),G804+1,G804))</f>
        <v/>
      </c>
    </row>
    <row r="806">
      <c r="A806" s="14">
        <f>IF(OR(NOT(ISNUMBER(Ввод!$B$5)),NOT(ISNUMBER(Ввод!$B$6))),"",IF(Ввод!$B$5+804&gt;Ввод!$B$6,"",Ввод!$B$5+804))</f>
        <v/>
      </c>
      <c r="B806">
        <f>IF(A806="","",IFERROR(INDEX(Ввод!$B$12:$B$71,MATCH(A806,Ввод!$D$12:$D$71,1)),""))</f>
        <v/>
      </c>
      <c r="C806">
        <f>IF(A806="","",DATE(YEAR(A806),12,31)-DATE(YEAR(A806),1,1)+1)</f>
        <v/>
      </c>
      <c r="D806">
        <f>IF(A806="","",Ввод!$B$4-SUMIF(Оплаты!$A$6:$A$505,"&lt;"&amp;A806,Оплаты!$B$6:$B$505))</f>
        <v/>
      </c>
      <c r="E806">
        <f>IF(A806="","",IF(SUMPRODUCT((Ввод!$F$12:$F$31&lt;&gt;"")*(Ввод!$F$12:$F$31&lt;=A806)*(Ввод!$G$12:$G$31&gt;=A806))&gt;0,1,0))</f>
        <v/>
      </c>
      <c r="F806">
        <f>IF(OR(A806="",B806=""),"",IF(E806=1,0,D806*B806/100/C806))</f>
        <v/>
      </c>
      <c r="G806">
        <f>IF(A806="","",IF(OR(B806&lt;&gt;B805,C806&lt;&gt;C805,D806&lt;&gt;D805,E806&lt;&gt;E805),G805+1,G805))</f>
        <v/>
      </c>
    </row>
    <row r="807">
      <c r="A807" s="14">
        <f>IF(OR(NOT(ISNUMBER(Ввод!$B$5)),NOT(ISNUMBER(Ввод!$B$6))),"",IF(Ввод!$B$5+805&gt;Ввод!$B$6,"",Ввод!$B$5+805))</f>
        <v/>
      </c>
      <c r="B807">
        <f>IF(A807="","",IFERROR(INDEX(Ввод!$B$12:$B$71,MATCH(A807,Ввод!$D$12:$D$71,1)),""))</f>
        <v/>
      </c>
      <c r="C807">
        <f>IF(A807="","",DATE(YEAR(A807),12,31)-DATE(YEAR(A807),1,1)+1)</f>
        <v/>
      </c>
      <c r="D807">
        <f>IF(A807="","",Ввод!$B$4-SUMIF(Оплаты!$A$6:$A$505,"&lt;"&amp;A807,Оплаты!$B$6:$B$505))</f>
        <v/>
      </c>
      <c r="E807">
        <f>IF(A807="","",IF(SUMPRODUCT((Ввод!$F$12:$F$31&lt;&gt;"")*(Ввод!$F$12:$F$31&lt;=A807)*(Ввод!$G$12:$G$31&gt;=A807))&gt;0,1,0))</f>
        <v/>
      </c>
      <c r="F807">
        <f>IF(OR(A807="",B807=""),"",IF(E807=1,0,D807*B807/100/C807))</f>
        <v/>
      </c>
      <c r="G807">
        <f>IF(A807="","",IF(OR(B807&lt;&gt;B806,C807&lt;&gt;C806,D807&lt;&gt;D806,E807&lt;&gt;E806),G806+1,G806))</f>
        <v/>
      </c>
    </row>
    <row r="808">
      <c r="A808" s="14">
        <f>IF(OR(NOT(ISNUMBER(Ввод!$B$5)),NOT(ISNUMBER(Ввод!$B$6))),"",IF(Ввод!$B$5+806&gt;Ввод!$B$6,"",Ввод!$B$5+806))</f>
        <v/>
      </c>
      <c r="B808">
        <f>IF(A808="","",IFERROR(INDEX(Ввод!$B$12:$B$71,MATCH(A808,Ввод!$D$12:$D$71,1)),""))</f>
        <v/>
      </c>
      <c r="C808">
        <f>IF(A808="","",DATE(YEAR(A808),12,31)-DATE(YEAR(A808),1,1)+1)</f>
        <v/>
      </c>
      <c r="D808">
        <f>IF(A808="","",Ввод!$B$4-SUMIF(Оплаты!$A$6:$A$505,"&lt;"&amp;A808,Оплаты!$B$6:$B$505))</f>
        <v/>
      </c>
      <c r="E808">
        <f>IF(A808="","",IF(SUMPRODUCT((Ввод!$F$12:$F$31&lt;&gt;"")*(Ввод!$F$12:$F$31&lt;=A808)*(Ввод!$G$12:$G$31&gt;=A808))&gt;0,1,0))</f>
        <v/>
      </c>
      <c r="F808">
        <f>IF(OR(A808="",B808=""),"",IF(E808=1,0,D808*B808/100/C808))</f>
        <v/>
      </c>
      <c r="G808">
        <f>IF(A808="","",IF(OR(B808&lt;&gt;B807,C808&lt;&gt;C807,D808&lt;&gt;D807,E808&lt;&gt;E807),G807+1,G807))</f>
        <v/>
      </c>
    </row>
    <row r="809">
      <c r="A809" s="14">
        <f>IF(OR(NOT(ISNUMBER(Ввод!$B$5)),NOT(ISNUMBER(Ввод!$B$6))),"",IF(Ввод!$B$5+807&gt;Ввод!$B$6,"",Ввод!$B$5+807))</f>
        <v/>
      </c>
      <c r="B809">
        <f>IF(A809="","",IFERROR(INDEX(Ввод!$B$12:$B$71,MATCH(A809,Ввод!$D$12:$D$71,1)),""))</f>
        <v/>
      </c>
      <c r="C809">
        <f>IF(A809="","",DATE(YEAR(A809),12,31)-DATE(YEAR(A809),1,1)+1)</f>
        <v/>
      </c>
      <c r="D809">
        <f>IF(A809="","",Ввод!$B$4-SUMIF(Оплаты!$A$6:$A$505,"&lt;"&amp;A809,Оплаты!$B$6:$B$505))</f>
        <v/>
      </c>
      <c r="E809">
        <f>IF(A809="","",IF(SUMPRODUCT((Ввод!$F$12:$F$31&lt;&gt;"")*(Ввод!$F$12:$F$31&lt;=A809)*(Ввод!$G$12:$G$31&gt;=A809))&gt;0,1,0))</f>
        <v/>
      </c>
      <c r="F809">
        <f>IF(OR(A809="",B809=""),"",IF(E809=1,0,D809*B809/100/C809))</f>
        <v/>
      </c>
      <c r="G809">
        <f>IF(A809="","",IF(OR(B809&lt;&gt;B808,C809&lt;&gt;C808,D809&lt;&gt;D808,E809&lt;&gt;E808),G808+1,G808))</f>
        <v/>
      </c>
    </row>
    <row r="810">
      <c r="A810" s="14">
        <f>IF(OR(NOT(ISNUMBER(Ввод!$B$5)),NOT(ISNUMBER(Ввод!$B$6))),"",IF(Ввод!$B$5+808&gt;Ввод!$B$6,"",Ввод!$B$5+808))</f>
        <v/>
      </c>
      <c r="B810">
        <f>IF(A810="","",IFERROR(INDEX(Ввод!$B$12:$B$71,MATCH(A810,Ввод!$D$12:$D$71,1)),""))</f>
        <v/>
      </c>
      <c r="C810">
        <f>IF(A810="","",DATE(YEAR(A810),12,31)-DATE(YEAR(A810),1,1)+1)</f>
        <v/>
      </c>
      <c r="D810">
        <f>IF(A810="","",Ввод!$B$4-SUMIF(Оплаты!$A$6:$A$505,"&lt;"&amp;A810,Оплаты!$B$6:$B$505))</f>
        <v/>
      </c>
      <c r="E810">
        <f>IF(A810="","",IF(SUMPRODUCT((Ввод!$F$12:$F$31&lt;&gt;"")*(Ввод!$F$12:$F$31&lt;=A810)*(Ввод!$G$12:$G$31&gt;=A810))&gt;0,1,0))</f>
        <v/>
      </c>
      <c r="F810">
        <f>IF(OR(A810="",B810=""),"",IF(E810=1,0,D810*B810/100/C810))</f>
        <v/>
      </c>
      <c r="G810">
        <f>IF(A810="","",IF(OR(B810&lt;&gt;B809,C810&lt;&gt;C809,D810&lt;&gt;D809,E810&lt;&gt;E809),G809+1,G809))</f>
        <v/>
      </c>
    </row>
    <row r="811">
      <c r="A811" s="14">
        <f>IF(OR(NOT(ISNUMBER(Ввод!$B$5)),NOT(ISNUMBER(Ввод!$B$6))),"",IF(Ввод!$B$5+809&gt;Ввод!$B$6,"",Ввод!$B$5+809))</f>
        <v/>
      </c>
      <c r="B811">
        <f>IF(A811="","",IFERROR(INDEX(Ввод!$B$12:$B$71,MATCH(A811,Ввод!$D$12:$D$71,1)),""))</f>
        <v/>
      </c>
      <c r="C811">
        <f>IF(A811="","",DATE(YEAR(A811),12,31)-DATE(YEAR(A811),1,1)+1)</f>
        <v/>
      </c>
      <c r="D811">
        <f>IF(A811="","",Ввод!$B$4-SUMIF(Оплаты!$A$6:$A$505,"&lt;"&amp;A811,Оплаты!$B$6:$B$505))</f>
        <v/>
      </c>
      <c r="E811">
        <f>IF(A811="","",IF(SUMPRODUCT((Ввод!$F$12:$F$31&lt;&gt;"")*(Ввод!$F$12:$F$31&lt;=A811)*(Ввод!$G$12:$G$31&gt;=A811))&gt;0,1,0))</f>
        <v/>
      </c>
      <c r="F811">
        <f>IF(OR(A811="",B811=""),"",IF(E811=1,0,D811*B811/100/C811))</f>
        <v/>
      </c>
      <c r="G811">
        <f>IF(A811="","",IF(OR(B811&lt;&gt;B810,C811&lt;&gt;C810,D811&lt;&gt;D810,E811&lt;&gt;E810),G810+1,G810))</f>
        <v/>
      </c>
    </row>
    <row r="812">
      <c r="A812" s="14">
        <f>IF(OR(NOT(ISNUMBER(Ввод!$B$5)),NOT(ISNUMBER(Ввод!$B$6))),"",IF(Ввод!$B$5+810&gt;Ввод!$B$6,"",Ввод!$B$5+810))</f>
        <v/>
      </c>
      <c r="B812">
        <f>IF(A812="","",IFERROR(INDEX(Ввод!$B$12:$B$71,MATCH(A812,Ввод!$D$12:$D$71,1)),""))</f>
        <v/>
      </c>
      <c r="C812">
        <f>IF(A812="","",DATE(YEAR(A812),12,31)-DATE(YEAR(A812),1,1)+1)</f>
        <v/>
      </c>
      <c r="D812">
        <f>IF(A812="","",Ввод!$B$4-SUMIF(Оплаты!$A$6:$A$505,"&lt;"&amp;A812,Оплаты!$B$6:$B$505))</f>
        <v/>
      </c>
      <c r="E812">
        <f>IF(A812="","",IF(SUMPRODUCT((Ввод!$F$12:$F$31&lt;&gt;"")*(Ввод!$F$12:$F$31&lt;=A812)*(Ввод!$G$12:$G$31&gt;=A812))&gt;0,1,0))</f>
        <v/>
      </c>
      <c r="F812">
        <f>IF(OR(A812="",B812=""),"",IF(E812=1,0,D812*B812/100/C812))</f>
        <v/>
      </c>
      <c r="G812">
        <f>IF(A812="","",IF(OR(B812&lt;&gt;B811,C812&lt;&gt;C811,D812&lt;&gt;D811,E812&lt;&gt;E811),G811+1,G811))</f>
        <v/>
      </c>
    </row>
    <row r="813">
      <c r="A813" s="14">
        <f>IF(OR(NOT(ISNUMBER(Ввод!$B$5)),NOT(ISNUMBER(Ввод!$B$6))),"",IF(Ввод!$B$5+811&gt;Ввод!$B$6,"",Ввод!$B$5+811))</f>
        <v/>
      </c>
      <c r="B813">
        <f>IF(A813="","",IFERROR(INDEX(Ввод!$B$12:$B$71,MATCH(A813,Ввод!$D$12:$D$71,1)),""))</f>
        <v/>
      </c>
      <c r="C813">
        <f>IF(A813="","",DATE(YEAR(A813),12,31)-DATE(YEAR(A813),1,1)+1)</f>
        <v/>
      </c>
      <c r="D813">
        <f>IF(A813="","",Ввод!$B$4-SUMIF(Оплаты!$A$6:$A$505,"&lt;"&amp;A813,Оплаты!$B$6:$B$505))</f>
        <v/>
      </c>
      <c r="E813">
        <f>IF(A813="","",IF(SUMPRODUCT((Ввод!$F$12:$F$31&lt;&gt;"")*(Ввод!$F$12:$F$31&lt;=A813)*(Ввод!$G$12:$G$31&gt;=A813))&gt;0,1,0))</f>
        <v/>
      </c>
      <c r="F813">
        <f>IF(OR(A813="",B813=""),"",IF(E813=1,0,D813*B813/100/C813))</f>
        <v/>
      </c>
      <c r="G813">
        <f>IF(A813="","",IF(OR(B813&lt;&gt;B812,C813&lt;&gt;C812,D813&lt;&gt;D812,E813&lt;&gt;E812),G812+1,G812))</f>
        <v/>
      </c>
    </row>
    <row r="814">
      <c r="A814" s="14">
        <f>IF(OR(NOT(ISNUMBER(Ввод!$B$5)),NOT(ISNUMBER(Ввод!$B$6))),"",IF(Ввод!$B$5+812&gt;Ввод!$B$6,"",Ввод!$B$5+812))</f>
        <v/>
      </c>
      <c r="B814">
        <f>IF(A814="","",IFERROR(INDEX(Ввод!$B$12:$B$71,MATCH(A814,Ввод!$D$12:$D$71,1)),""))</f>
        <v/>
      </c>
      <c r="C814">
        <f>IF(A814="","",DATE(YEAR(A814),12,31)-DATE(YEAR(A814),1,1)+1)</f>
        <v/>
      </c>
      <c r="D814">
        <f>IF(A814="","",Ввод!$B$4-SUMIF(Оплаты!$A$6:$A$505,"&lt;"&amp;A814,Оплаты!$B$6:$B$505))</f>
        <v/>
      </c>
      <c r="E814">
        <f>IF(A814="","",IF(SUMPRODUCT((Ввод!$F$12:$F$31&lt;&gt;"")*(Ввод!$F$12:$F$31&lt;=A814)*(Ввод!$G$12:$G$31&gt;=A814))&gt;0,1,0))</f>
        <v/>
      </c>
      <c r="F814">
        <f>IF(OR(A814="",B814=""),"",IF(E814=1,0,D814*B814/100/C814))</f>
        <v/>
      </c>
      <c r="G814">
        <f>IF(A814="","",IF(OR(B814&lt;&gt;B813,C814&lt;&gt;C813,D814&lt;&gt;D813,E814&lt;&gt;E813),G813+1,G813))</f>
        <v/>
      </c>
    </row>
    <row r="815">
      <c r="A815" s="14">
        <f>IF(OR(NOT(ISNUMBER(Ввод!$B$5)),NOT(ISNUMBER(Ввод!$B$6))),"",IF(Ввод!$B$5+813&gt;Ввод!$B$6,"",Ввод!$B$5+813))</f>
        <v/>
      </c>
      <c r="B815">
        <f>IF(A815="","",IFERROR(INDEX(Ввод!$B$12:$B$71,MATCH(A815,Ввод!$D$12:$D$71,1)),""))</f>
        <v/>
      </c>
      <c r="C815">
        <f>IF(A815="","",DATE(YEAR(A815),12,31)-DATE(YEAR(A815),1,1)+1)</f>
        <v/>
      </c>
      <c r="D815">
        <f>IF(A815="","",Ввод!$B$4-SUMIF(Оплаты!$A$6:$A$505,"&lt;"&amp;A815,Оплаты!$B$6:$B$505))</f>
        <v/>
      </c>
      <c r="E815">
        <f>IF(A815="","",IF(SUMPRODUCT((Ввод!$F$12:$F$31&lt;&gt;"")*(Ввод!$F$12:$F$31&lt;=A815)*(Ввод!$G$12:$G$31&gt;=A815))&gt;0,1,0))</f>
        <v/>
      </c>
      <c r="F815">
        <f>IF(OR(A815="",B815=""),"",IF(E815=1,0,D815*B815/100/C815))</f>
        <v/>
      </c>
      <c r="G815">
        <f>IF(A815="","",IF(OR(B815&lt;&gt;B814,C815&lt;&gt;C814,D815&lt;&gt;D814,E815&lt;&gt;E814),G814+1,G814))</f>
        <v/>
      </c>
    </row>
    <row r="816">
      <c r="A816" s="14">
        <f>IF(OR(NOT(ISNUMBER(Ввод!$B$5)),NOT(ISNUMBER(Ввод!$B$6))),"",IF(Ввод!$B$5+814&gt;Ввод!$B$6,"",Ввод!$B$5+814))</f>
        <v/>
      </c>
      <c r="B816">
        <f>IF(A816="","",IFERROR(INDEX(Ввод!$B$12:$B$71,MATCH(A816,Ввод!$D$12:$D$71,1)),""))</f>
        <v/>
      </c>
      <c r="C816">
        <f>IF(A816="","",DATE(YEAR(A816),12,31)-DATE(YEAR(A816),1,1)+1)</f>
        <v/>
      </c>
      <c r="D816">
        <f>IF(A816="","",Ввод!$B$4-SUMIF(Оплаты!$A$6:$A$505,"&lt;"&amp;A816,Оплаты!$B$6:$B$505))</f>
        <v/>
      </c>
      <c r="E816">
        <f>IF(A816="","",IF(SUMPRODUCT((Ввод!$F$12:$F$31&lt;&gt;"")*(Ввод!$F$12:$F$31&lt;=A816)*(Ввод!$G$12:$G$31&gt;=A816))&gt;0,1,0))</f>
        <v/>
      </c>
      <c r="F816">
        <f>IF(OR(A816="",B816=""),"",IF(E816=1,0,D816*B816/100/C816))</f>
        <v/>
      </c>
      <c r="G816">
        <f>IF(A816="","",IF(OR(B816&lt;&gt;B815,C816&lt;&gt;C815,D816&lt;&gt;D815,E816&lt;&gt;E815),G815+1,G815))</f>
        <v/>
      </c>
    </row>
    <row r="817">
      <c r="A817" s="14">
        <f>IF(OR(NOT(ISNUMBER(Ввод!$B$5)),NOT(ISNUMBER(Ввод!$B$6))),"",IF(Ввод!$B$5+815&gt;Ввод!$B$6,"",Ввод!$B$5+815))</f>
        <v/>
      </c>
      <c r="B817">
        <f>IF(A817="","",IFERROR(INDEX(Ввод!$B$12:$B$71,MATCH(A817,Ввод!$D$12:$D$71,1)),""))</f>
        <v/>
      </c>
      <c r="C817">
        <f>IF(A817="","",DATE(YEAR(A817),12,31)-DATE(YEAR(A817),1,1)+1)</f>
        <v/>
      </c>
      <c r="D817">
        <f>IF(A817="","",Ввод!$B$4-SUMIF(Оплаты!$A$6:$A$505,"&lt;"&amp;A817,Оплаты!$B$6:$B$505))</f>
        <v/>
      </c>
      <c r="E817">
        <f>IF(A817="","",IF(SUMPRODUCT((Ввод!$F$12:$F$31&lt;&gt;"")*(Ввод!$F$12:$F$31&lt;=A817)*(Ввод!$G$12:$G$31&gt;=A817))&gt;0,1,0))</f>
        <v/>
      </c>
      <c r="F817">
        <f>IF(OR(A817="",B817=""),"",IF(E817=1,0,D817*B817/100/C817))</f>
        <v/>
      </c>
      <c r="G817">
        <f>IF(A817="","",IF(OR(B817&lt;&gt;B816,C817&lt;&gt;C816,D817&lt;&gt;D816,E817&lt;&gt;E816),G816+1,G816))</f>
        <v/>
      </c>
    </row>
    <row r="818">
      <c r="A818" s="14">
        <f>IF(OR(NOT(ISNUMBER(Ввод!$B$5)),NOT(ISNUMBER(Ввод!$B$6))),"",IF(Ввод!$B$5+816&gt;Ввод!$B$6,"",Ввод!$B$5+816))</f>
        <v/>
      </c>
      <c r="B818">
        <f>IF(A818="","",IFERROR(INDEX(Ввод!$B$12:$B$71,MATCH(A818,Ввод!$D$12:$D$71,1)),""))</f>
        <v/>
      </c>
      <c r="C818">
        <f>IF(A818="","",DATE(YEAR(A818),12,31)-DATE(YEAR(A818),1,1)+1)</f>
        <v/>
      </c>
      <c r="D818">
        <f>IF(A818="","",Ввод!$B$4-SUMIF(Оплаты!$A$6:$A$505,"&lt;"&amp;A818,Оплаты!$B$6:$B$505))</f>
        <v/>
      </c>
      <c r="E818">
        <f>IF(A818="","",IF(SUMPRODUCT((Ввод!$F$12:$F$31&lt;&gt;"")*(Ввод!$F$12:$F$31&lt;=A818)*(Ввод!$G$12:$G$31&gt;=A818))&gt;0,1,0))</f>
        <v/>
      </c>
      <c r="F818">
        <f>IF(OR(A818="",B818=""),"",IF(E818=1,0,D818*B818/100/C818))</f>
        <v/>
      </c>
      <c r="G818">
        <f>IF(A818="","",IF(OR(B818&lt;&gt;B817,C818&lt;&gt;C817,D818&lt;&gt;D817,E818&lt;&gt;E817),G817+1,G817))</f>
        <v/>
      </c>
    </row>
    <row r="819">
      <c r="A819" s="14">
        <f>IF(OR(NOT(ISNUMBER(Ввод!$B$5)),NOT(ISNUMBER(Ввод!$B$6))),"",IF(Ввод!$B$5+817&gt;Ввод!$B$6,"",Ввод!$B$5+817))</f>
        <v/>
      </c>
      <c r="B819">
        <f>IF(A819="","",IFERROR(INDEX(Ввод!$B$12:$B$71,MATCH(A819,Ввод!$D$12:$D$71,1)),""))</f>
        <v/>
      </c>
      <c r="C819">
        <f>IF(A819="","",DATE(YEAR(A819),12,31)-DATE(YEAR(A819),1,1)+1)</f>
        <v/>
      </c>
      <c r="D819">
        <f>IF(A819="","",Ввод!$B$4-SUMIF(Оплаты!$A$6:$A$505,"&lt;"&amp;A819,Оплаты!$B$6:$B$505))</f>
        <v/>
      </c>
      <c r="E819">
        <f>IF(A819="","",IF(SUMPRODUCT((Ввод!$F$12:$F$31&lt;&gt;"")*(Ввод!$F$12:$F$31&lt;=A819)*(Ввод!$G$12:$G$31&gt;=A819))&gt;0,1,0))</f>
        <v/>
      </c>
      <c r="F819">
        <f>IF(OR(A819="",B819=""),"",IF(E819=1,0,D819*B819/100/C819))</f>
        <v/>
      </c>
      <c r="G819">
        <f>IF(A819="","",IF(OR(B819&lt;&gt;B818,C819&lt;&gt;C818,D819&lt;&gt;D818,E819&lt;&gt;E818),G818+1,G818))</f>
        <v/>
      </c>
    </row>
    <row r="820">
      <c r="A820" s="14">
        <f>IF(OR(NOT(ISNUMBER(Ввод!$B$5)),NOT(ISNUMBER(Ввод!$B$6))),"",IF(Ввод!$B$5+818&gt;Ввод!$B$6,"",Ввод!$B$5+818))</f>
        <v/>
      </c>
      <c r="B820">
        <f>IF(A820="","",IFERROR(INDEX(Ввод!$B$12:$B$71,MATCH(A820,Ввод!$D$12:$D$71,1)),""))</f>
        <v/>
      </c>
      <c r="C820">
        <f>IF(A820="","",DATE(YEAR(A820),12,31)-DATE(YEAR(A820),1,1)+1)</f>
        <v/>
      </c>
      <c r="D820">
        <f>IF(A820="","",Ввод!$B$4-SUMIF(Оплаты!$A$6:$A$505,"&lt;"&amp;A820,Оплаты!$B$6:$B$505))</f>
        <v/>
      </c>
      <c r="E820">
        <f>IF(A820="","",IF(SUMPRODUCT((Ввод!$F$12:$F$31&lt;&gt;"")*(Ввод!$F$12:$F$31&lt;=A820)*(Ввод!$G$12:$G$31&gt;=A820))&gt;0,1,0))</f>
        <v/>
      </c>
      <c r="F820">
        <f>IF(OR(A820="",B820=""),"",IF(E820=1,0,D820*B820/100/C820))</f>
        <v/>
      </c>
      <c r="G820">
        <f>IF(A820="","",IF(OR(B820&lt;&gt;B819,C820&lt;&gt;C819,D820&lt;&gt;D819,E820&lt;&gt;E819),G819+1,G819))</f>
        <v/>
      </c>
    </row>
    <row r="821">
      <c r="A821" s="14">
        <f>IF(OR(NOT(ISNUMBER(Ввод!$B$5)),NOT(ISNUMBER(Ввод!$B$6))),"",IF(Ввод!$B$5+819&gt;Ввод!$B$6,"",Ввод!$B$5+819))</f>
        <v/>
      </c>
      <c r="B821">
        <f>IF(A821="","",IFERROR(INDEX(Ввод!$B$12:$B$71,MATCH(A821,Ввод!$D$12:$D$71,1)),""))</f>
        <v/>
      </c>
      <c r="C821">
        <f>IF(A821="","",DATE(YEAR(A821),12,31)-DATE(YEAR(A821),1,1)+1)</f>
        <v/>
      </c>
      <c r="D821">
        <f>IF(A821="","",Ввод!$B$4-SUMIF(Оплаты!$A$6:$A$505,"&lt;"&amp;A821,Оплаты!$B$6:$B$505))</f>
        <v/>
      </c>
      <c r="E821">
        <f>IF(A821="","",IF(SUMPRODUCT((Ввод!$F$12:$F$31&lt;&gt;"")*(Ввод!$F$12:$F$31&lt;=A821)*(Ввод!$G$12:$G$31&gt;=A821))&gt;0,1,0))</f>
        <v/>
      </c>
      <c r="F821">
        <f>IF(OR(A821="",B821=""),"",IF(E821=1,0,D821*B821/100/C821))</f>
        <v/>
      </c>
      <c r="G821">
        <f>IF(A821="","",IF(OR(B821&lt;&gt;B820,C821&lt;&gt;C820,D821&lt;&gt;D820,E821&lt;&gt;E820),G820+1,G820))</f>
        <v/>
      </c>
    </row>
    <row r="822">
      <c r="A822" s="14">
        <f>IF(OR(NOT(ISNUMBER(Ввод!$B$5)),NOT(ISNUMBER(Ввод!$B$6))),"",IF(Ввод!$B$5+820&gt;Ввод!$B$6,"",Ввод!$B$5+820))</f>
        <v/>
      </c>
      <c r="B822">
        <f>IF(A822="","",IFERROR(INDEX(Ввод!$B$12:$B$71,MATCH(A822,Ввод!$D$12:$D$71,1)),""))</f>
        <v/>
      </c>
      <c r="C822">
        <f>IF(A822="","",DATE(YEAR(A822),12,31)-DATE(YEAR(A822),1,1)+1)</f>
        <v/>
      </c>
      <c r="D822">
        <f>IF(A822="","",Ввод!$B$4-SUMIF(Оплаты!$A$6:$A$505,"&lt;"&amp;A822,Оплаты!$B$6:$B$505))</f>
        <v/>
      </c>
      <c r="E822">
        <f>IF(A822="","",IF(SUMPRODUCT((Ввод!$F$12:$F$31&lt;&gt;"")*(Ввод!$F$12:$F$31&lt;=A822)*(Ввод!$G$12:$G$31&gt;=A822))&gt;0,1,0))</f>
        <v/>
      </c>
      <c r="F822">
        <f>IF(OR(A822="",B822=""),"",IF(E822=1,0,D822*B822/100/C822))</f>
        <v/>
      </c>
      <c r="G822">
        <f>IF(A822="","",IF(OR(B822&lt;&gt;B821,C822&lt;&gt;C821,D822&lt;&gt;D821,E822&lt;&gt;E821),G821+1,G821))</f>
        <v/>
      </c>
    </row>
    <row r="823">
      <c r="A823" s="14">
        <f>IF(OR(NOT(ISNUMBER(Ввод!$B$5)),NOT(ISNUMBER(Ввод!$B$6))),"",IF(Ввод!$B$5+821&gt;Ввод!$B$6,"",Ввод!$B$5+821))</f>
        <v/>
      </c>
      <c r="B823">
        <f>IF(A823="","",IFERROR(INDEX(Ввод!$B$12:$B$71,MATCH(A823,Ввод!$D$12:$D$71,1)),""))</f>
        <v/>
      </c>
      <c r="C823">
        <f>IF(A823="","",DATE(YEAR(A823),12,31)-DATE(YEAR(A823),1,1)+1)</f>
        <v/>
      </c>
      <c r="D823">
        <f>IF(A823="","",Ввод!$B$4-SUMIF(Оплаты!$A$6:$A$505,"&lt;"&amp;A823,Оплаты!$B$6:$B$505))</f>
        <v/>
      </c>
      <c r="E823">
        <f>IF(A823="","",IF(SUMPRODUCT((Ввод!$F$12:$F$31&lt;&gt;"")*(Ввод!$F$12:$F$31&lt;=A823)*(Ввод!$G$12:$G$31&gt;=A823))&gt;0,1,0))</f>
        <v/>
      </c>
      <c r="F823">
        <f>IF(OR(A823="",B823=""),"",IF(E823=1,0,D823*B823/100/C823))</f>
        <v/>
      </c>
      <c r="G823">
        <f>IF(A823="","",IF(OR(B823&lt;&gt;B822,C823&lt;&gt;C822,D823&lt;&gt;D822,E823&lt;&gt;E822),G822+1,G822))</f>
        <v/>
      </c>
    </row>
    <row r="824">
      <c r="A824" s="14">
        <f>IF(OR(NOT(ISNUMBER(Ввод!$B$5)),NOT(ISNUMBER(Ввод!$B$6))),"",IF(Ввод!$B$5+822&gt;Ввод!$B$6,"",Ввод!$B$5+822))</f>
        <v/>
      </c>
      <c r="B824">
        <f>IF(A824="","",IFERROR(INDEX(Ввод!$B$12:$B$71,MATCH(A824,Ввод!$D$12:$D$71,1)),""))</f>
        <v/>
      </c>
      <c r="C824">
        <f>IF(A824="","",DATE(YEAR(A824),12,31)-DATE(YEAR(A824),1,1)+1)</f>
        <v/>
      </c>
      <c r="D824">
        <f>IF(A824="","",Ввод!$B$4-SUMIF(Оплаты!$A$6:$A$505,"&lt;"&amp;A824,Оплаты!$B$6:$B$505))</f>
        <v/>
      </c>
      <c r="E824">
        <f>IF(A824="","",IF(SUMPRODUCT((Ввод!$F$12:$F$31&lt;&gt;"")*(Ввод!$F$12:$F$31&lt;=A824)*(Ввод!$G$12:$G$31&gt;=A824))&gt;0,1,0))</f>
        <v/>
      </c>
      <c r="F824">
        <f>IF(OR(A824="",B824=""),"",IF(E824=1,0,D824*B824/100/C824))</f>
        <v/>
      </c>
      <c r="G824">
        <f>IF(A824="","",IF(OR(B824&lt;&gt;B823,C824&lt;&gt;C823,D824&lt;&gt;D823,E824&lt;&gt;E823),G823+1,G823))</f>
        <v/>
      </c>
    </row>
    <row r="825">
      <c r="A825" s="14">
        <f>IF(OR(NOT(ISNUMBER(Ввод!$B$5)),NOT(ISNUMBER(Ввод!$B$6))),"",IF(Ввод!$B$5+823&gt;Ввод!$B$6,"",Ввод!$B$5+823))</f>
        <v/>
      </c>
      <c r="B825">
        <f>IF(A825="","",IFERROR(INDEX(Ввод!$B$12:$B$71,MATCH(A825,Ввод!$D$12:$D$71,1)),""))</f>
        <v/>
      </c>
      <c r="C825">
        <f>IF(A825="","",DATE(YEAR(A825),12,31)-DATE(YEAR(A825),1,1)+1)</f>
        <v/>
      </c>
      <c r="D825">
        <f>IF(A825="","",Ввод!$B$4-SUMIF(Оплаты!$A$6:$A$505,"&lt;"&amp;A825,Оплаты!$B$6:$B$505))</f>
        <v/>
      </c>
      <c r="E825">
        <f>IF(A825="","",IF(SUMPRODUCT((Ввод!$F$12:$F$31&lt;&gt;"")*(Ввод!$F$12:$F$31&lt;=A825)*(Ввод!$G$12:$G$31&gt;=A825))&gt;0,1,0))</f>
        <v/>
      </c>
      <c r="F825">
        <f>IF(OR(A825="",B825=""),"",IF(E825=1,0,D825*B825/100/C825))</f>
        <v/>
      </c>
      <c r="G825">
        <f>IF(A825="","",IF(OR(B825&lt;&gt;B824,C825&lt;&gt;C824,D825&lt;&gt;D824,E825&lt;&gt;E824),G824+1,G824))</f>
        <v/>
      </c>
    </row>
    <row r="826">
      <c r="A826" s="14">
        <f>IF(OR(NOT(ISNUMBER(Ввод!$B$5)),NOT(ISNUMBER(Ввод!$B$6))),"",IF(Ввод!$B$5+824&gt;Ввод!$B$6,"",Ввод!$B$5+824))</f>
        <v/>
      </c>
      <c r="B826">
        <f>IF(A826="","",IFERROR(INDEX(Ввод!$B$12:$B$71,MATCH(A826,Ввод!$D$12:$D$71,1)),""))</f>
        <v/>
      </c>
      <c r="C826">
        <f>IF(A826="","",DATE(YEAR(A826),12,31)-DATE(YEAR(A826),1,1)+1)</f>
        <v/>
      </c>
      <c r="D826">
        <f>IF(A826="","",Ввод!$B$4-SUMIF(Оплаты!$A$6:$A$505,"&lt;"&amp;A826,Оплаты!$B$6:$B$505))</f>
        <v/>
      </c>
      <c r="E826">
        <f>IF(A826="","",IF(SUMPRODUCT((Ввод!$F$12:$F$31&lt;&gt;"")*(Ввод!$F$12:$F$31&lt;=A826)*(Ввод!$G$12:$G$31&gt;=A826))&gt;0,1,0))</f>
        <v/>
      </c>
      <c r="F826">
        <f>IF(OR(A826="",B826=""),"",IF(E826=1,0,D826*B826/100/C826))</f>
        <v/>
      </c>
      <c r="G826">
        <f>IF(A826="","",IF(OR(B826&lt;&gt;B825,C826&lt;&gt;C825,D826&lt;&gt;D825,E826&lt;&gt;E825),G825+1,G825))</f>
        <v/>
      </c>
    </row>
    <row r="827">
      <c r="A827" s="14">
        <f>IF(OR(NOT(ISNUMBER(Ввод!$B$5)),NOT(ISNUMBER(Ввод!$B$6))),"",IF(Ввод!$B$5+825&gt;Ввод!$B$6,"",Ввод!$B$5+825))</f>
        <v/>
      </c>
      <c r="B827">
        <f>IF(A827="","",IFERROR(INDEX(Ввод!$B$12:$B$71,MATCH(A827,Ввод!$D$12:$D$71,1)),""))</f>
        <v/>
      </c>
      <c r="C827">
        <f>IF(A827="","",DATE(YEAR(A827),12,31)-DATE(YEAR(A827),1,1)+1)</f>
        <v/>
      </c>
      <c r="D827">
        <f>IF(A827="","",Ввод!$B$4-SUMIF(Оплаты!$A$6:$A$505,"&lt;"&amp;A827,Оплаты!$B$6:$B$505))</f>
        <v/>
      </c>
      <c r="E827">
        <f>IF(A827="","",IF(SUMPRODUCT((Ввод!$F$12:$F$31&lt;&gt;"")*(Ввод!$F$12:$F$31&lt;=A827)*(Ввод!$G$12:$G$31&gt;=A827))&gt;0,1,0))</f>
        <v/>
      </c>
      <c r="F827">
        <f>IF(OR(A827="",B827=""),"",IF(E827=1,0,D827*B827/100/C827))</f>
        <v/>
      </c>
      <c r="G827">
        <f>IF(A827="","",IF(OR(B827&lt;&gt;B826,C827&lt;&gt;C826,D827&lt;&gt;D826,E827&lt;&gt;E826),G826+1,G826))</f>
        <v/>
      </c>
    </row>
    <row r="828">
      <c r="A828" s="14">
        <f>IF(OR(NOT(ISNUMBER(Ввод!$B$5)),NOT(ISNUMBER(Ввод!$B$6))),"",IF(Ввод!$B$5+826&gt;Ввод!$B$6,"",Ввод!$B$5+826))</f>
        <v/>
      </c>
      <c r="B828">
        <f>IF(A828="","",IFERROR(INDEX(Ввод!$B$12:$B$71,MATCH(A828,Ввод!$D$12:$D$71,1)),""))</f>
        <v/>
      </c>
      <c r="C828">
        <f>IF(A828="","",DATE(YEAR(A828),12,31)-DATE(YEAR(A828),1,1)+1)</f>
        <v/>
      </c>
      <c r="D828">
        <f>IF(A828="","",Ввод!$B$4-SUMIF(Оплаты!$A$6:$A$505,"&lt;"&amp;A828,Оплаты!$B$6:$B$505))</f>
        <v/>
      </c>
      <c r="E828">
        <f>IF(A828="","",IF(SUMPRODUCT((Ввод!$F$12:$F$31&lt;&gt;"")*(Ввод!$F$12:$F$31&lt;=A828)*(Ввод!$G$12:$G$31&gt;=A828))&gt;0,1,0))</f>
        <v/>
      </c>
      <c r="F828">
        <f>IF(OR(A828="",B828=""),"",IF(E828=1,0,D828*B828/100/C828))</f>
        <v/>
      </c>
      <c r="G828">
        <f>IF(A828="","",IF(OR(B828&lt;&gt;B827,C828&lt;&gt;C827,D828&lt;&gt;D827,E828&lt;&gt;E827),G827+1,G827))</f>
        <v/>
      </c>
    </row>
    <row r="829">
      <c r="A829" s="14">
        <f>IF(OR(NOT(ISNUMBER(Ввод!$B$5)),NOT(ISNUMBER(Ввод!$B$6))),"",IF(Ввод!$B$5+827&gt;Ввод!$B$6,"",Ввод!$B$5+827))</f>
        <v/>
      </c>
      <c r="B829">
        <f>IF(A829="","",IFERROR(INDEX(Ввод!$B$12:$B$71,MATCH(A829,Ввод!$D$12:$D$71,1)),""))</f>
        <v/>
      </c>
      <c r="C829">
        <f>IF(A829="","",DATE(YEAR(A829),12,31)-DATE(YEAR(A829),1,1)+1)</f>
        <v/>
      </c>
      <c r="D829">
        <f>IF(A829="","",Ввод!$B$4-SUMIF(Оплаты!$A$6:$A$505,"&lt;"&amp;A829,Оплаты!$B$6:$B$505))</f>
        <v/>
      </c>
      <c r="E829">
        <f>IF(A829="","",IF(SUMPRODUCT((Ввод!$F$12:$F$31&lt;&gt;"")*(Ввод!$F$12:$F$31&lt;=A829)*(Ввод!$G$12:$G$31&gt;=A829))&gt;0,1,0))</f>
        <v/>
      </c>
      <c r="F829">
        <f>IF(OR(A829="",B829=""),"",IF(E829=1,0,D829*B829/100/C829))</f>
        <v/>
      </c>
      <c r="G829">
        <f>IF(A829="","",IF(OR(B829&lt;&gt;B828,C829&lt;&gt;C828,D829&lt;&gt;D828,E829&lt;&gt;E828),G828+1,G828))</f>
        <v/>
      </c>
    </row>
    <row r="830">
      <c r="A830" s="14">
        <f>IF(OR(NOT(ISNUMBER(Ввод!$B$5)),NOT(ISNUMBER(Ввод!$B$6))),"",IF(Ввод!$B$5+828&gt;Ввод!$B$6,"",Ввод!$B$5+828))</f>
        <v/>
      </c>
      <c r="B830">
        <f>IF(A830="","",IFERROR(INDEX(Ввод!$B$12:$B$71,MATCH(A830,Ввод!$D$12:$D$71,1)),""))</f>
        <v/>
      </c>
      <c r="C830">
        <f>IF(A830="","",DATE(YEAR(A830),12,31)-DATE(YEAR(A830),1,1)+1)</f>
        <v/>
      </c>
      <c r="D830">
        <f>IF(A830="","",Ввод!$B$4-SUMIF(Оплаты!$A$6:$A$505,"&lt;"&amp;A830,Оплаты!$B$6:$B$505))</f>
        <v/>
      </c>
      <c r="E830">
        <f>IF(A830="","",IF(SUMPRODUCT((Ввод!$F$12:$F$31&lt;&gt;"")*(Ввод!$F$12:$F$31&lt;=A830)*(Ввод!$G$12:$G$31&gt;=A830))&gt;0,1,0))</f>
        <v/>
      </c>
      <c r="F830">
        <f>IF(OR(A830="",B830=""),"",IF(E830=1,0,D830*B830/100/C830))</f>
        <v/>
      </c>
      <c r="G830">
        <f>IF(A830="","",IF(OR(B830&lt;&gt;B829,C830&lt;&gt;C829,D830&lt;&gt;D829,E830&lt;&gt;E829),G829+1,G829))</f>
        <v/>
      </c>
    </row>
    <row r="831">
      <c r="A831" s="14">
        <f>IF(OR(NOT(ISNUMBER(Ввод!$B$5)),NOT(ISNUMBER(Ввод!$B$6))),"",IF(Ввод!$B$5+829&gt;Ввод!$B$6,"",Ввод!$B$5+829))</f>
        <v/>
      </c>
      <c r="B831">
        <f>IF(A831="","",IFERROR(INDEX(Ввод!$B$12:$B$71,MATCH(A831,Ввод!$D$12:$D$71,1)),""))</f>
        <v/>
      </c>
      <c r="C831">
        <f>IF(A831="","",DATE(YEAR(A831),12,31)-DATE(YEAR(A831),1,1)+1)</f>
        <v/>
      </c>
      <c r="D831">
        <f>IF(A831="","",Ввод!$B$4-SUMIF(Оплаты!$A$6:$A$505,"&lt;"&amp;A831,Оплаты!$B$6:$B$505))</f>
        <v/>
      </c>
      <c r="E831">
        <f>IF(A831="","",IF(SUMPRODUCT((Ввод!$F$12:$F$31&lt;&gt;"")*(Ввод!$F$12:$F$31&lt;=A831)*(Ввод!$G$12:$G$31&gt;=A831))&gt;0,1,0))</f>
        <v/>
      </c>
      <c r="F831">
        <f>IF(OR(A831="",B831=""),"",IF(E831=1,0,D831*B831/100/C831))</f>
        <v/>
      </c>
      <c r="G831">
        <f>IF(A831="","",IF(OR(B831&lt;&gt;B830,C831&lt;&gt;C830,D831&lt;&gt;D830,E831&lt;&gt;E830),G830+1,G830))</f>
        <v/>
      </c>
    </row>
    <row r="832">
      <c r="A832" s="14">
        <f>IF(OR(NOT(ISNUMBER(Ввод!$B$5)),NOT(ISNUMBER(Ввод!$B$6))),"",IF(Ввод!$B$5+830&gt;Ввод!$B$6,"",Ввод!$B$5+830))</f>
        <v/>
      </c>
      <c r="B832">
        <f>IF(A832="","",IFERROR(INDEX(Ввод!$B$12:$B$71,MATCH(A832,Ввод!$D$12:$D$71,1)),""))</f>
        <v/>
      </c>
      <c r="C832">
        <f>IF(A832="","",DATE(YEAR(A832),12,31)-DATE(YEAR(A832),1,1)+1)</f>
        <v/>
      </c>
      <c r="D832">
        <f>IF(A832="","",Ввод!$B$4-SUMIF(Оплаты!$A$6:$A$505,"&lt;"&amp;A832,Оплаты!$B$6:$B$505))</f>
        <v/>
      </c>
      <c r="E832">
        <f>IF(A832="","",IF(SUMPRODUCT((Ввод!$F$12:$F$31&lt;&gt;"")*(Ввод!$F$12:$F$31&lt;=A832)*(Ввод!$G$12:$G$31&gt;=A832))&gt;0,1,0))</f>
        <v/>
      </c>
      <c r="F832">
        <f>IF(OR(A832="",B832=""),"",IF(E832=1,0,D832*B832/100/C832))</f>
        <v/>
      </c>
      <c r="G832">
        <f>IF(A832="","",IF(OR(B832&lt;&gt;B831,C832&lt;&gt;C831,D832&lt;&gt;D831,E832&lt;&gt;E831),G831+1,G831))</f>
        <v/>
      </c>
    </row>
    <row r="833">
      <c r="A833" s="14">
        <f>IF(OR(NOT(ISNUMBER(Ввод!$B$5)),NOT(ISNUMBER(Ввод!$B$6))),"",IF(Ввод!$B$5+831&gt;Ввод!$B$6,"",Ввод!$B$5+831))</f>
        <v/>
      </c>
      <c r="B833">
        <f>IF(A833="","",IFERROR(INDEX(Ввод!$B$12:$B$71,MATCH(A833,Ввод!$D$12:$D$71,1)),""))</f>
        <v/>
      </c>
      <c r="C833">
        <f>IF(A833="","",DATE(YEAR(A833),12,31)-DATE(YEAR(A833),1,1)+1)</f>
        <v/>
      </c>
      <c r="D833">
        <f>IF(A833="","",Ввод!$B$4-SUMIF(Оплаты!$A$6:$A$505,"&lt;"&amp;A833,Оплаты!$B$6:$B$505))</f>
        <v/>
      </c>
      <c r="E833">
        <f>IF(A833="","",IF(SUMPRODUCT((Ввод!$F$12:$F$31&lt;&gt;"")*(Ввод!$F$12:$F$31&lt;=A833)*(Ввод!$G$12:$G$31&gt;=A833))&gt;0,1,0))</f>
        <v/>
      </c>
      <c r="F833">
        <f>IF(OR(A833="",B833=""),"",IF(E833=1,0,D833*B833/100/C833))</f>
        <v/>
      </c>
      <c r="G833">
        <f>IF(A833="","",IF(OR(B833&lt;&gt;B832,C833&lt;&gt;C832,D833&lt;&gt;D832,E833&lt;&gt;E832),G832+1,G832))</f>
        <v/>
      </c>
    </row>
    <row r="834">
      <c r="A834" s="14">
        <f>IF(OR(NOT(ISNUMBER(Ввод!$B$5)),NOT(ISNUMBER(Ввод!$B$6))),"",IF(Ввод!$B$5+832&gt;Ввод!$B$6,"",Ввод!$B$5+832))</f>
        <v/>
      </c>
      <c r="B834">
        <f>IF(A834="","",IFERROR(INDEX(Ввод!$B$12:$B$71,MATCH(A834,Ввод!$D$12:$D$71,1)),""))</f>
        <v/>
      </c>
      <c r="C834">
        <f>IF(A834="","",DATE(YEAR(A834),12,31)-DATE(YEAR(A834),1,1)+1)</f>
        <v/>
      </c>
      <c r="D834">
        <f>IF(A834="","",Ввод!$B$4-SUMIF(Оплаты!$A$6:$A$505,"&lt;"&amp;A834,Оплаты!$B$6:$B$505))</f>
        <v/>
      </c>
      <c r="E834">
        <f>IF(A834="","",IF(SUMPRODUCT((Ввод!$F$12:$F$31&lt;&gt;"")*(Ввод!$F$12:$F$31&lt;=A834)*(Ввод!$G$12:$G$31&gt;=A834))&gt;0,1,0))</f>
        <v/>
      </c>
      <c r="F834">
        <f>IF(OR(A834="",B834=""),"",IF(E834=1,0,D834*B834/100/C834))</f>
        <v/>
      </c>
      <c r="G834">
        <f>IF(A834="","",IF(OR(B834&lt;&gt;B833,C834&lt;&gt;C833,D834&lt;&gt;D833,E834&lt;&gt;E833),G833+1,G833))</f>
        <v/>
      </c>
    </row>
    <row r="835">
      <c r="A835" s="14">
        <f>IF(OR(NOT(ISNUMBER(Ввод!$B$5)),NOT(ISNUMBER(Ввод!$B$6))),"",IF(Ввод!$B$5+833&gt;Ввод!$B$6,"",Ввод!$B$5+833))</f>
        <v/>
      </c>
      <c r="B835">
        <f>IF(A835="","",IFERROR(INDEX(Ввод!$B$12:$B$71,MATCH(A835,Ввод!$D$12:$D$71,1)),""))</f>
        <v/>
      </c>
      <c r="C835">
        <f>IF(A835="","",DATE(YEAR(A835),12,31)-DATE(YEAR(A835),1,1)+1)</f>
        <v/>
      </c>
      <c r="D835">
        <f>IF(A835="","",Ввод!$B$4-SUMIF(Оплаты!$A$6:$A$505,"&lt;"&amp;A835,Оплаты!$B$6:$B$505))</f>
        <v/>
      </c>
      <c r="E835">
        <f>IF(A835="","",IF(SUMPRODUCT((Ввод!$F$12:$F$31&lt;&gt;"")*(Ввод!$F$12:$F$31&lt;=A835)*(Ввод!$G$12:$G$31&gt;=A835))&gt;0,1,0))</f>
        <v/>
      </c>
      <c r="F835">
        <f>IF(OR(A835="",B835=""),"",IF(E835=1,0,D835*B835/100/C835))</f>
        <v/>
      </c>
      <c r="G835">
        <f>IF(A835="","",IF(OR(B835&lt;&gt;B834,C835&lt;&gt;C834,D835&lt;&gt;D834,E835&lt;&gt;E834),G834+1,G834))</f>
        <v/>
      </c>
    </row>
    <row r="836">
      <c r="A836" s="14">
        <f>IF(OR(NOT(ISNUMBER(Ввод!$B$5)),NOT(ISNUMBER(Ввод!$B$6))),"",IF(Ввод!$B$5+834&gt;Ввод!$B$6,"",Ввод!$B$5+834))</f>
        <v/>
      </c>
      <c r="B836">
        <f>IF(A836="","",IFERROR(INDEX(Ввод!$B$12:$B$71,MATCH(A836,Ввод!$D$12:$D$71,1)),""))</f>
        <v/>
      </c>
      <c r="C836">
        <f>IF(A836="","",DATE(YEAR(A836),12,31)-DATE(YEAR(A836),1,1)+1)</f>
        <v/>
      </c>
      <c r="D836">
        <f>IF(A836="","",Ввод!$B$4-SUMIF(Оплаты!$A$6:$A$505,"&lt;"&amp;A836,Оплаты!$B$6:$B$505))</f>
        <v/>
      </c>
      <c r="E836">
        <f>IF(A836="","",IF(SUMPRODUCT((Ввод!$F$12:$F$31&lt;&gt;"")*(Ввод!$F$12:$F$31&lt;=A836)*(Ввод!$G$12:$G$31&gt;=A836))&gt;0,1,0))</f>
        <v/>
      </c>
      <c r="F836">
        <f>IF(OR(A836="",B836=""),"",IF(E836=1,0,D836*B836/100/C836))</f>
        <v/>
      </c>
      <c r="G836">
        <f>IF(A836="","",IF(OR(B836&lt;&gt;B835,C836&lt;&gt;C835,D836&lt;&gt;D835,E836&lt;&gt;E835),G835+1,G835))</f>
        <v/>
      </c>
    </row>
    <row r="837">
      <c r="A837" s="14">
        <f>IF(OR(NOT(ISNUMBER(Ввод!$B$5)),NOT(ISNUMBER(Ввод!$B$6))),"",IF(Ввод!$B$5+835&gt;Ввод!$B$6,"",Ввод!$B$5+835))</f>
        <v/>
      </c>
      <c r="B837">
        <f>IF(A837="","",IFERROR(INDEX(Ввод!$B$12:$B$71,MATCH(A837,Ввод!$D$12:$D$71,1)),""))</f>
        <v/>
      </c>
      <c r="C837">
        <f>IF(A837="","",DATE(YEAR(A837),12,31)-DATE(YEAR(A837),1,1)+1)</f>
        <v/>
      </c>
      <c r="D837">
        <f>IF(A837="","",Ввод!$B$4-SUMIF(Оплаты!$A$6:$A$505,"&lt;"&amp;A837,Оплаты!$B$6:$B$505))</f>
        <v/>
      </c>
      <c r="E837">
        <f>IF(A837="","",IF(SUMPRODUCT((Ввод!$F$12:$F$31&lt;&gt;"")*(Ввод!$F$12:$F$31&lt;=A837)*(Ввод!$G$12:$G$31&gt;=A837))&gt;0,1,0))</f>
        <v/>
      </c>
      <c r="F837">
        <f>IF(OR(A837="",B837=""),"",IF(E837=1,0,D837*B837/100/C837))</f>
        <v/>
      </c>
      <c r="G837">
        <f>IF(A837="","",IF(OR(B837&lt;&gt;B836,C837&lt;&gt;C836,D837&lt;&gt;D836,E837&lt;&gt;E836),G836+1,G836))</f>
        <v/>
      </c>
    </row>
    <row r="838">
      <c r="A838" s="14">
        <f>IF(OR(NOT(ISNUMBER(Ввод!$B$5)),NOT(ISNUMBER(Ввод!$B$6))),"",IF(Ввод!$B$5+836&gt;Ввод!$B$6,"",Ввод!$B$5+836))</f>
        <v/>
      </c>
      <c r="B838">
        <f>IF(A838="","",IFERROR(INDEX(Ввод!$B$12:$B$71,MATCH(A838,Ввод!$D$12:$D$71,1)),""))</f>
        <v/>
      </c>
      <c r="C838">
        <f>IF(A838="","",DATE(YEAR(A838),12,31)-DATE(YEAR(A838),1,1)+1)</f>
        <v/>
      </c>
      <c r="D838">
        <f>IF(A838="","",Ввод!$B$4-SUMIF(Оплаты!$A$6:$A$505,"&lt;"&amp;A838,Оплаты!$B$6:$B$505))</f>
        <v/>
      </c>
      <c r="E838">
        <f>IF(A838="","",IF(SUMPRODUCT((Ввод!$F$12:$F$31&lt;&gt;"")*(Ввод!$F$12:$F$31&lt;=A838)*(Ввод!$G$12:$G$31&gt;=A838))&gt;0,1,0))</f>
        <v/>
      </c>
      <c r="F838">
        <f>IF(OR(A838="",B838=""),"",IF(E838=1,0,D838*B838/100/C838))</f>
        <v/>
      </c>
      <c r="G838">
        <f>IF(A838="","",IF(OR(B838&lt;&gt;B837,C838&lt;&gt;C837,D838&lt;&gt;D837,E838&lt;&gt;E837),G837+1,G837))</f>
        <v/>
      </c>
    </row>
    <row r="839">
      <c r="A839" s="14">
        <f>IF(OR(NOT(ISNUMBER(Ввод!$B$5)),NOT(ISNUMBER(Ввод!$B$6))),"",IF(Ввод!$B$5+837&gt;Ввод!$B$6,"",Ввод!$B$5+837))</f>
        <v/>
      </c>
      <c r="B839">
        <f>IF(A839="","",IFERROR(INDEX(Ввод!$B$12:$B$71,MATCH(A839,Ввод!$D$12:$D$71,1)),""))</f>
        <v/>
      </c>
      <c r="C839">
        <f>IF(A839="","",DATE(YEAR(A839),12,31)-DATE(YEAR(A839),1,1)+1)</f>
        <v/>
      </c>
      <c r="D839">
        <f>IF(A839="","",Ввод!$B$4-SUMIF(Оплаты!$A$6:$A$505,"&lt;"&amp;A839,Оплаты!$B$6:$B$505))</f>
        <v/>
      </c>
      <c r="E839">
        <f>IF(A839="","",IF(SUMPRODUCT((Ввод!$F$12:$F$31&lt;&gt;"")*(Ввод!$F$12:$F$31&lt;=A839)*(Ввод!$G$12:$G$31&gt;=A839))&gt;0,1,0))</f>
        <v/>
      </c>
      <c r="F839">
        <f>IF(OR(A839="",B839=""),"",IF(E839=1,0,D839*B839/100/C839))</f>
        <v/>
      </c>
      <c r="G839">
        <f>IF(A839="","",IF(OR(B839&lt;&gt;B838,C839&lt;&gt;C838,D839&lt;&gt;D838,E839&lt;&gt;E838),G838+1,G838))</f>
        <v/>
      </c>
    </row>
    <row r="840">
      <c r="A840" s="14">
        <f>IF(OR(NOT(ISNUMBER(Ввод!$B$5)),NOT(ISNUMBER(Ввод!$B$6))),"",IF(Ввод!$B$5+838&gt;Ввод!$B$6,"",Ввод!$B$5+838))</f>
        <v/>
      </c>
      <c r="B840">
        <f>IF(A840="","",IFERROR(INDEX(Ввод!$B$12:$B$71,MATCH(A840,Ввод!$D$12:$D$71,1)),""))</f>
        <v/>
      </c>
      <c r="C840">
        <f>IF(A840="","",DATE(YEAR(A840),12,31)-DATE(YEAR(A840),1,1)+1)</f>
        <v/>
      </c>
      <c r="D840">
        <f>IF(A840="","",Ввод!$B$4-SUMIF(Оплаты!$A$6:$A$505,"&lt;"&amp;A840,Оплаты!$B$6:$B$505))</f>
        <v/>
      </c>
      <c r="E840">
        <f>IF(A840="","",IF(SUMPRODUCT((Ввод!$F$12:$F$31&lt;&gt;"")*(Ввод!$F$12:$F$31&lt;=A840)*(Ввод!$G$12:$G$31&gt;=A840))&gt;0,1,0))</f>
        <v/>
      </c>
      <c r="F840">
        <f>IF(OR(A840="",B840=""),"",IF(E840=1,0,D840*B840/100/C840))</f>
        <v/>
      </c>
      <c r="G840">
        <f>IF(A840="","",IF(OR(B840&lt;&gt;B839,C840&lt;&gt;C839,D840&lt;&gt;D839,E840&lt;&gt;E839),G839+1,G839))</f>
        <v/>
      </c>
    </row>
    <row r="841">
      <c r="A841" s="14">
        <f>IF(OR(NOT(ISNUMBER(Ввод!$B$5)),NOT(ISNUMBER(Ввод!$B$6))),"",IF(Ввод!$B$5+839&gt;Ввод!$B$6,"",Ввод!$B$5+839))</f>
        <v/>
      </c>
      <c r="B841">
        <f>IF(A841="","",IFERROR(INDEX(Ввод!$B$12:$B$71,MATCH(A841,Ввод!$D$12:$D$71,1)),""))</f>
        <v/>
      </c>
      <c r="C841">
        <f>IF(A841="","",DATE(YEAR(A841),12,31)-DATE(YEAR(A841),1,1)+1)</f>
        <v/>
      </c>
      <c r="D841">
        <f>IF(A841="","",Ввод!$B$4-SUMIF(Оплаты!$A$6:$A$505,"&lt;"&amp;A841,Оплаты!$B$6:$B$505))</f>
        <v/>
      </c>
      <c r="E841">
        <f>IF(A841="","",IF(SUMPRODUCT((Ввод!$F$12:$F$31&lt;&gt;"")*(Ввод!$F$12:$F$31&lt;=A841)*(Ввод!$G$12:$G$31&gt;=A841))&gt;0,1,0))</f>
        <v/>
      </c>
      <c r="F841">
        <f>IF(OR(A841="",B841=""),"",IF(E841=1,0,D841*B841/100/C841))</f>
        <v/>
      </c>
      <c r="G841">
        <f>IF(A841="","",IF(OR(B841&lt;&gt;B840,C841&lt;&gt;C840,D841&lt;&gt;D840,E841&lt;&gt;E840),G840+1,G840))</f>
        <v/>
      </c>
    </row>
    <row r="842">
      <c r="A842" s="14">
        <f>IF(OR(NOT(ISNUMBER(Ввод!$B$5)),NOT(ISNUMBER(Ввод!$B$6))),"",IF(Ввод!$B$5+840&gt;Ввод!$B$6,"",Ввод!$B$5+840))</f>
        <v/>
      </c>
      <c r="B842">
        <f>IF(A842="","",IFERROR(INDEX(Ввод!$B$12:$B$71,MATCH(A842,Ввод!$D$12:$D$71,1)),""))</f>
        <v/>
      </c>
      <c r="C842">
        <f>IF(A842="","",DATE(YEAR(A842),12,31)-DATE(YEAR(A842),1,1)+1)</f>
        <v/>
      </c>
      <c r="D842">
        <f>IF(A842="","",Ввод!$B$4-SUMIF(Оплаты!$A$6:$A$505,"&lt;"&amp;A842,Оплаты!$B$6:$B$505))</f>
        <v/>
      </c>
      <c r="E842">
        <f>IF(A842="","",IF(SUMPRODUCT((Ввод!$F$12:$F$31&lt;&gt;"")*(Ввод!$F$12:$F$31&lt;=A842)*(Ввод!$G$12:$G$31&gt;=A842))&gt;0,1,0))</f>
        <v/>
      </c>
      <c r="F842">
        <f>IF(OR(A842="",B842=""),"",IF(E842=1,0,D842*B842/100/C842))</f>
        <v/>
      </c>
      <c r="G842">
        <f>IF(A842="","",IF(OR(B842&lt;&gt;B841,C842&lt;&gt;C841,D842&lt;&gt;D841,E842&lt;&gt;E841),G841+1,G841))</f>
        <v/>
      </c>
    </row>
    <row r="843">
      <c r="A843" s="14">
        <f>IF(OR(NOT(ISNUMBER(Ввод!$B$5)),NOT(ISNUMBER(Ввод!$B$6))),"",IF(Ввод!$B$5+841&gt;Ввод!$B$6,"",Ввод!$B$5+841))</f>
        <v/>
      </c>
      <c r="B843">
        <f>IF(A843="","",IFERROR(INDEX(Ввод!$B$12:$B$71,MATCH(A843,Ввод!$D$12:$D$71,1)),""))</f>
        <v/>
      </c>
      <c r="C843">
        <f>IF(A843="","",DATE(YEAR(A843),12,31)-DATE(YEAR(A843),1,1)+1)</f>
        <v/>
      </c>
      <c r="D843">
        <f>IF(A843="","",Ввод!$B$4-SUMIF(Оплаты!$A$6:$A$505,"&lt;"&amp;A843,Оплаты!$B$6:$B$505))</f>
        <v/>
      </c>
      <c r="E843">
        <f>IF(A843="","",IF(SUMPRODUCT((Ввод!$F$12:$F$31&lt;&gt;"")*(Ввод!$F$12:$F$31&lt;=A843)*(Ввод!$G$12:$G$31&gt;=A843))&gt;0,1,0))</f>
        <v/>
      </c>
      <c r="F843">
        <f>IF(OR(A843="",B843=""),"",IF(E843=1,0,D843*B843/100/C843))</f>
        <v/>
      </c>
      <c r="G843">
        <f>IF(A843="","",IF(OR(B843&lt;&gt;B842,C843&lt;&gt;C842,D843&lt;&gt;D842,E843&lt;&gt;E842),G842+1,G842))</f>
        <v/>
      </c>
    </row>
    <row r="844">
      <c r="A844" s="14">
        <f>IF(OR(NOT(ISNUMBER(Ввод!$B$5)),NOT(ISNUMBER(Ввод!$B$6))),"",IF(Ввод!$B$5+842&gt;Ввод!$B$6,"",Ввод!$B$5+842))</f>
        <v/>
      </c>
      <c r="B844">
        <f>IF(A844="","",IFERROR(INDEX(Ввод!$B$12:$B$71,MATCH(A844,Ввод!$D$12:$D$71,1)),""))</f>
        <v/>
      </c>
      <c r="C844">
        <f>IF(A844="","",DATE(YEAR(A844),12,31)-DATE(YEAR(A844),1,1)+1)</f>
        <v/>
      </c>
      <c r="D844">
        <f>IF(A844="","",Ввод!$B$4-SUMIF(Оплаты!$A$6:$A$505,"&lt;"&amp;A844,Оплаты!$B$6:$B$505))</f>
        <v/>
      </c>
      <c r="E844">
        <f>IF(A844="","",IF(SUMPRODUCT((Ввод!$F$12:$F$31&lt;&gt;"")*(Ввод!$F$12:$F$31&lt;=A844)*(Ввод!$G$12:$G$31&gt;=A844))&gt;0,1,0))</f>
        <v/>
      </c>
      <c r="F844">
        <f>IF(OR(A844="",B844=""),"",IF(E844=1,0,D844*B844/100/C844))</f>
        <v/>
      </c>
      <c r="G844">
        <f>IF(A844="","",IF(OR(B844&lt;&gt;B843,C844&lt;&gt;C843,D844&lt;&gt;D843,E844&lt;&gt;E843),G843+1,G843))</f>
        <v/>
      </c>
    </row>
    <row r="845">
      <c r="A845" s="14">
        <f>IF(OR(NOT(ISNUMBER(Ввод!$B$5)),NOT(ISNUMBER(Ввод!$B$6))),"",IF(Ввод!$B$5+843&gt;Ввод!$B$6,"",Ввод!$B$5+843))</f>
        <v/>
      </c>
      <c r="B845">
        <f>IF(A845="","",IFERROR(INDEX(Ввод!$B$12:$B$71,MATCH(A845,Ввод!$D$12:$D$71,1)),""))</f>
        <v/>
      </c>
      <c r="C845">
        <f>IF(A845="","",DATE(YEAR(A845),12,31)-DATE(YEAR(A845),1,1)+1)</f>
        <v/>
      </c>
      <c r="D845">
        <f>IF(A845="","",Ввод!$B$4-SUMIF(Оплаты!$A$6:$A$505,"&lt;"&amp;A845,Оплаты!$B$6:$B$505))</f>
        <v/>
      </c>
      <c r="E845">
        <f>IF(A845="","",IF(SUMPRODUCT((Ввод!$F$12:$F$31&lt;&gt;"")*(Ввод!$F$12:$F$31&lt;=A845)*(Ввод!$G$12:$G$31&gt;=A845))&gt;0,1,0))</f>
        <v/>
      </c>
      <c r="F845">
        <f>IF(OR(A845="",B845=""),"",IF(E845=1,0,D845*B845/100/C845))</f>
        <v/>
      </c>
      <c r="G845">
        <f>IF(A845="","",IF(OR(B845&lt;&gt;B844,C845&lt;&gt;C844,D845&lt;&gt;D844,E845&lt;&gt;E844),G844+1,G844))</f>
        <v/>
      </c>
    </row>
    <row r="846">
      <c r="A846" s="14">
        <f>IF(OR(NOT(ISNUMBER(Ввод!$B$5)),NOT(ISNUMBER(Ввод!$B$6))),"",IF(Ввод!$B$5+844&gt;Ввод!$B$6,"",Ввод!$B$5+844))</f>
        <v/>
      </c>
      <c r="B846">
        <f>IF(A846="","",IFERROR(INDEX(Ввод!$B$12:$B$71,MATCH(A846,Ввод!$D$12:$D$71,1)),""))</f>
        <v/>
      </c>
      <c r="C846">
        <f>IF(A846="","",DATE(YEAR(A846),12,31)-DATE(YEAR(A846),1,1)+1)</f>
        <v/>
      </c>
      <c r="D846">
        <f>IF(A846="","",Ввод!$B$4-SUMIF(Оплаты!$A$6:$A$505,"&lt;"&amp;A846,Оплаты!$B$6:$B$505))</f>
        <v/>
      </c>
      <c r="E846">
        <f>IF(A846="","",IF(SUMPRODUCT((Ввод!$F$12:$F$31&lt;&gt;"")*(Ввод!$F$12:$F$31&lt;=A846)*(Ввод!$G$12:$G$31&gt;=A846))&gt;0,1,0))</f>
        <v/>
      </c>
      <c r="F846">
        <f>IF(OR(A846="",B846=""),"",IF(E846=1,0,D846*B846/100/C846))</f>
        <v/>
      </c>
      <c r="G846">
        <f>IF(A846="","",IF(OR(B846&lt;&gt;B845,C846&lt;&gt;C845,D846&lt;&gt;D845,E846&lt;&gt;E845),G845+1,G845))</f>
        <v/>
      </c>
    </row>
    <row r="847">
      <c r="A847" s="14">
        <f>IF(OR(NOT(ISNUMBER(Ввод!$B$5)),NOT(ISNUMBER(Ввод!$B$6))),"",IF(Ввод!$B$5+845&gt;Ввод!$B$6,"",Ввод!$B$5+845))</f>
        <v/>
      </c>
      <c r="B847">
        <f>IF(A847="","",IFERROR(INDEX(Ввод!$B$12:$B$71,MATCH(A847,Ввод!$D$12:$D$71,1)),""))</f>
        <v/>
      </c>
      <c r="C847">
        <f>IF(A847="","",DATE(YEAR(A847),12,31)-DATE(YEAR(A847),1,1)+1)</f>
        <v/>
      </c>
      <c r="D847">
        <f>IF(A847="","",Ввод!$B$4-SUMIF(Оплаты!$A$6:$A$505,"&lt;"&amp;A847,Оплаты!$B$6:$B$505))</f>
        <v/>
      </c>
      <c r="E847">
        <f>IF(A847="","",IF(SUMPRODUCT((Ввод!$F$12:$F$31&lt;&gt;"")*(Ввод!$F$12:$F$31&lt;=A847)*(Ввод!$G$12:$G$31&gt;=A847))&gt;0,1,0))</f>
        <v/>
      </c>
      <c r="F847">
        <f>IF(OR(A847="",B847=""),"",IF(E847=1,0,D847*B847/100/C847))</f>
        <v/>
      </c>
      <c r="G847">
        <f>IF(A847="","",IF(OR(B847&lt;&gt;B846,C847&lt;&gt;C846,D847&lt;&gt;D846,E847&lt;&gt;E846),G846+1,G846))</f>
        <v/>
      </c>
    </row>
    <row r="848">
      <c r="A848" s="14">
        <f>IF(OR(NOT(ISNUMBER(Ввод!$B$5)),NOT(ISNUMBER(Ввод!$B$6))),"",IF(Ввод!$B$5+846&gt;Ввод!$B$6,"",Ввод!$B$5+846))</f>
        <v/>
      </c>
      <c r="B848">
        <f>IF(A848="","",IFERROR(INDEX(Ввод!$B$12:$B$71,MATCH(A848,Ввод!$D$12:$D$71,1)),""))</f>
        <v/>
      </c>
      <c r="C848">
        <f>IF(A848="","",DATE(YEAR(A848),12,31)-DATE(YEAR(A848),1,1)+1)</f>
        <v/>
      </c>
      <c r="D848">
        <f>IF(A848="","",Ввод!$B$4-SUMIF(Оплаты!$A$6:$A$505,"&lt;"&amp;A848,Оплаты!$B$6:$B$505))</f>
        <v/>
      </c>
      <c r="E848">
        <f>IF(A848="","",IF(SUMPRODUCT((Ввод!$F$12:$F$31&lt;&gt;"")*(Ввод!$F$12:$F$31&lt;=A848)*(Ввод!$G$12:$G$31&gt;=A848))&gt;0,1,0))</f>
        <v/>
      </c>
      <c r="F848">
        <f>IF(OR(A848="",B848=""),"",IF(E848=1,0,D848*B848/100/C848))</f>
        <v/>
      </c>
      <c r="G848">
        <f>IF(A848="","",IF(OR(B848&lt;&gt;B847,C848&lt;&gt;C847,D848&lt;&gt;D847,E848&lt;&gt;E847),G847+1,G847))</f>
        <v/>
      </c>
    </row>
    <row r="849">
      <c r="A849" s="14">
        <f>IF(OR(NOT(ISNUMBER(Ввод!$B$5)),NOT(ISNUMBER(Ввод!$B$6))),"",IF(Ввод!$B$5+847&gt;Ввод!$B$6,"",Ввод!$B$5+847))</f>
        <v/>
      </c>
      <c r="B849">
        <f>IF(A849="","",IFERROR(INDEX(Ввод!$B$12:$B$71,MATCH(A849,Ввод!$D$12:$D$71,1)),""))</f>
        <v/>
      </c>
      <c r="C849">
        <f>IF(A849="","",DATE(YEAR(A849),12,31)-DATE(YEAR(A849),1,1)+1)</f>
        <v/>
      </c>
      <c r="D849">
        <f>IF(A849="","",Ввод!$B$4-SUMIF(Оплаты!$A$6:$A$505,"&lt;"&amp;A849,Оплаты!$B$6:$B$505))</f>
        <v/>
      </c>
      <c r="E849">
        <f>IF(A849="","",IF(SUMPRODUCT((Ввод!$F$12:$F$31&lt;&gt;"")*(Ввод!$F$12:$F$31&lt;=A849)*(Ввод!$G$12:$G$31&gt;=A849))&gt;0,1,0))</f>
        <v/>
      </c>
      <c r="F849">
        <f>IF(OR(A849="",B849=""),"",IF(E849=1,0,D849*B849/100/C849))</f>
        <v/>
      </c>
      <c r="G849">
        <f>IF(A849="","",IF(OR(B849&lt;&gt;B848,C849&lt;&gt;C848,D849&lt;&gt;D848,E849&lt;&gt;E848),G848+1,G848))</f>
        <v/>
      </c>
    </row>
    <row r="850">
      <c r="A850" s="14">
        <f>IF(OR(NOT(ISNUMBER(Ввод!$B$5)),NOT(ISNUMBER(Ввод!$B$6))),"",IF(Ввод!$B$5+848&gt;Ввод!$B$6,"",Ввод!$B$5+848))</f>
        <v/>
      </c>
      <c r="B850">
        <f>IF(A850="","",IFERROR(INDEX(Ввод!$B$12:$B$71,MATCH(A850,Ввод!$D$12:$D$71,1)),""))</f>
        <v/>
      </c>
      <c r="C850">
        <f>IF(A850="","",DATE(YEAR(A850),12,31)-DATE(YEAR(A850),1,1)+1)</f>
        <v/>
      </c>
      <c r="D850">
        <f>IF(A850="","",Ввод!$B$4-SUMIF(Оплаты!$A$6:$A$505,"&lt;"&amp;A850,Оплаты!$B$6:$B$505))</f>
        <v/>
      </c>
      <c r="E850">
        <f>IF(A850="","",IF(SUMPRODUCT((Ввод!$F$12:$F$31&lt;&gt;"")*(Ввод!$F$12:$F$31&lt;=A850)*(Ввод!$G$12:$G$31&gt;=A850))&gt;0,1,0))</f>
        <v/>
      </c>
      <c r="F850">
        <f>IF(OR(A850="",B850=""),"",IF(E850=1,0,D850*B850/100/C850))</f>
        <v/>
      </c>
      <c r="G850">
        <f>IF(A850="","",IF(OR(B850&lt;&gt;B849,C850&lt;&gt;C849,D850&lt;&gt;D849,E850&lt;&gt;E849),G849+1,G849))</f>
        <v/>
      </c>
    </row>
    <row r="851">
      <c r="A851" s="14">
        <f>IF(OR(NOT(ISNUMBER(Ввод!$B$5)),NOT(ISNUMBER(Ввод!$B$6))),"",IF(Ввод!$B$5+849&gt;Ввод!$B$6,"",Ввод!$B$5+849))</f>
        <v/>
      </c>
      <c r="B851">
        <f>IF(A851="","",IFERROR(INDEX(Ввод!$B$12:$B$71,MATCH(A851,Ввод!$D$12:$D$71,1)),""))</f>
        <v/>
      </c>
      <c r="C851">
        <f>IF(A851="","",DATE(YEAR(A851),12,31)-DATE(YEAR(A851),1,1)+1)</f>
        <v/>
      </c>
      <c r="D851">
        <f>IF(A851="","",Ввод!$B$4-SUMIF(Оплаты!$A$6:$A$505,"&lt;"&amp;A851,Оплаты!$B$6:$B$505))</f>
        <v/>
      </c>
      <c r="E851">
        <f>IF(A851="","",IF(SUMPRODUCT((Ввод!$F$12:$F$31&lt;&gt;"")*(Ввод!$F$12:$F$31&lt;=A851)*(Ввод!$G$12:$G$31&gt;=A851))&gt;0,1,0))</f>
        <v/>
      </c>
      <c r="F851">
        <f>IF(OR(A851="",B851=""),"",IF(E851=1,0,D851*B851/100/C851))</f>
        <v/>
      </c>
      <c r="G851">
        <f>IF(A851="","",IF(OR(B851&lt;&gt;B850,C851&lt;&gt;C850,D851&lt;&gt;D850,E851&lt;&gt;E850),G850+1,G850))</f>
        <v/>
      </c>
    </row>
    <row r="852">
      <c r="A852" s="14">
        <f>IF(OR(NOT(ISNUMBER(Ввод!$B$5)),NOT(ISNUMBER(Ввод!$B$6))),"",IF(Ввод!$B$5+850&gt;Ввод!$B$6,"",Ввод!$B$5+850))</f>
        <v/>
      </c>
      <c r="B852">
        <f>IF(A852="","",IFERROR(INDEX(Ввод!$B$12:$B$71,MATCH(A852,Ввод!$D$12:$D$71,1)),""))</f>
        <v/>
      </c>
      <c r="C852">
        <f>IF(A852="","",DATE(YEAR(A852),12,31)-DATE(YEAR(A852),1,1)+1)</f>
        <v/>
      </c>
      <c r="D852">
        <f>IF(A852="","",Ввод!$B$4-SUMIF(Оплаты!$A$6:$A$505,"&lt;"&amp;A852,Оплаты!$B$6:$B$505))</f>
        <v/>
      </c>
      <c r="E852">
        <f>IF(A852="","",IF(SUMPRODUCT((Ввод!$F$12:$F$31&lt;&gt;"")*(Ввод!$F$12:$F$31&lt;=A852)*(Ввод!$G$12:$G$31&gt;=A852))&gt;0,1,0))</f>
        <v/>
      </c>
      <c r="F852">
        <f>IF(OR(A852="",B852=""),"",IF(E852=1,0,D852*B852/100/C852))</f>
        <v/>
      </c>
      <c r="G852">
        <f>IF(A852="","",IF(OR(B852&lt;&gt;B851,C852&lt;&gt;C851,D852&lt;&gt;D851,E852&lt;&gt;E851),G851+1,G851))</f>
        <v/>
      </c>
    </row>
    <row r="853">
      <c r="A853" s="14">
        <f>IF(OR(NOT(ISNUMBER(Ввод!$B$5)),NOT(ISNUMBER(Ввод!$B$6))),"",IF(Ввод!$B$5+851&gt;Ввод!$B$6,"",Ввод!$B$5+851))</f>
        <v/>
      </c>
      <c r="B853">
        <f>IF(A853="","",IFERROR(INDEX(Ввод!$B$12:$B$71,MATCH(A853,Ввод!$D$12:$D$71,1)),""))</f>
        <v/>
      </c>
      <c r="C853">
        <f>IF(A853="","",DATE(YEAR(A853),12,31)-DATE(YEAR(A853),1,1)+1)</f>
        <v/>
      </c>
      <c r="D853">
        <f>IF(A853="","",Ввод!$B$4-SUMIF(Оплаты!$A$6:$A$505,"&lt;"&amp;A853,Оплаты!$B$6:$B$505))</f>
        <v/>
      </c>
      <c r="E853">
        <f>IF(A853="","",IF(SUMPRODUCT((Ввод!$F$12:$F$31&lt;&gt;"")*(Ввод!$F$12:$F$31&lt;=A853)*(Ввод!$G$12:$G$31&gt;=A853))&gt;0,1,0))</f>
        <v/>
      </c>
      <c r="F853">
        <f>IF(OR(A853="",B853=""),"",IF(E853=1,0,D853*B853/100/C853))</f>
        <v/>
      </c>
      <c r="G853">
        <f>IF(A853="","",IF(OR(B853&lt;&gt;B852,C853&lt;&gt;C852,D853&lt;&gt;D852,E853&lt;&gt;E852),G852+1,G852))</f>
        <v/>
      </c>
    </row>
    <row r="854">
      <c r="A854" s="14">
        <f>IF(OR(NOT(ISNUMBER(Ввод!$B$5)),NOT(ISNUMBER(Ввод!$B$6))),"",IF(Ввод!$B$5+852&gt;Ввод!$B$6,"",Ввод!$B$5+852))</f>
        <v/>
      </c>
      <c r="B854">
        <f>IF(A854="","",IFERROR(INDEX(Ввод!$B$12:$B$71,MATCH(A854,Ввод!$D$12:$D$71,1)),""))</f>
        <v/>
      </c>
      <c r="C854">
        <f>IF(A854="","",DATE(YEAR(A854),12,31)-DATE(YEAR(A854),1,1)+1)</f>
        <v/>
      </c>
      <c r="D854">
        <f>IF(A854="","",Ввод!$B$4-SUMIF(Оплаты!$A$6:$A$505,"&lt;"&amp;A854,Оплаты!$B$6:$B$505))</f>
        <v/>
      </c>
      <c r="E854">
        <f>IF(A854="","",IF(SUMPRODUCT((Ввод!$F$12:$F$31&lt;&gt;"")*(Ввод!$F$12:$F$31&lt;=A854)*(Ввод!$G$12:$G$31&gt;=A854))&gt;0,1,0))</f>
        <v/>
      </c>
      <c r="F854">
        <f>IF(OR(A854="",B854=""),"",IF(E854=1,0,D854*B854/100/C854))</f>
        <v/>
      </c>
      <c r="G854">
        <f>IF(A854="","",IF(OR(B854&lt;&gt;B853,C854&lt;&gt;C853,D854&lt;&gt;D853,E854&lt;&gt;E853),G853+1,G853))</f>
        <v/>
      </c>
    </row>
    <row r="855">
      <c r="A855" s="14">
        <f>IF(OR(NOT(ISNUMBER(Ввод!$B$5)),NOT(ISNUMBER(Ввод!$B$6))),"",IF(Ввод!$B$5+853&gt;Ввод!$B$6,"",Ввод!$B$5+853))</f>
        <v/>
      </c>
      <c r="B855">
        <f>IF(A855="","",IFERROR(INDEX(Ввод!$B$12:$B$71,MATCH(A855,Ввод!$D$12:$D$71,1)),""))</f>
        <v/>
      </c>
      <c r="C855">
        <f>IF(A855="","",DATE(YEAR(A855),12,31)-DATE(YEAR(A855),1,1)+1)</f>
        <v/>
      </c>
      <c r="D855">
        <f>IF(A855="","",Ввод!$B$4-SUMIF(Оплаты!$A$6:$A$505,"&lt;"&amp;A855,Оплаты!$B$6:$B$505))</f>
        <v/>
      </c>
      <c r="E855">
        <f>IF(A855="","",IF(SUMPRODUCT((Ввод!$F$12:$F$31&lt;&gt;"")*(Ввод!$F$12:$F$31&lt;=A855)*(Ввод!$G$12:$G$31&gt;=A855))&gt;0,1,0))</f>
        <v/>
      </c>
      <c r="F855">
        <f>IF(OR(A855="",B855=""),"",IF(E855=1,0,D855*B855/100/C855))</f>
        <v/>
      </c>
      <c r="G855">
        <f>IF(A855="","",IF(OR(B855&lt;&gt;B854,C855&lt;&gt;C854,D855&lt;&gt;D854,E855&lt;&gt;E854),G854+1,G854))</f>
        <v/>
      </c>
    </row>
    <row r="856">
      <c r="A856" s="14">
        <f>IF(OR(NOT(ISNUMBER(Ввод!$B$5)),NOT(ISNUMBER(Ввод!$B$6))),"",IF(Ввод!$B$5+854&gt;Ввод!$B$6,"",Ввод!$B$5+854))</f>
        <v/>
      </c>
      <c r="B856">
        <f>IF(A856="","",IFERROR(INDEX(Ввод!$B$12:$B$71,MATCH(A856,Ввод!$D$12:$D$71,1)),""))</f>
        <v/>
      </c>
      <c r="C856">
        <f>IF(A856="","",DATE(YEAR(A856),12,31)-DATE(YEAR(A856),1,1)+1)</f>
        <v/>
      </c>
      <c r="D856">
        <f>IF(A856="","",Ввод!$B$4-SUMIF(Оплаты!$A$6:$A$505,"&lt;"&amp;A856,Оплаты!$B$6:$B$505))</f>
        <v/>
      </c>
      <c r="E856">
        <f>IF(A856="","",IF(SUMPRODUCT((Ввод!$F$12:$F$31&lt;&gt;"")*(Ввод!$F$12:$F$31&lt;=A856)*(Ввод!$G$12:$G$31&gt;=A856))&gt;0,1,0))</f>
        <v/>
      </c>
      <c r="F856">
        <f>IF(OR(A856="",B856=""),"",IF(E856=1,0,D856*B856/100/C856))</f>
        <v/>
      </c>
      <c r="G856">
        <f>IF(A856="","",IF(OR(B856&lt;&gt;B855,C856&lt;&gt;C855,D856&lt;&gt;D855,E856&lt;&gt;E855),G855+1,G855))</f>
        <v/>
      </c>
    </row>
    <row r="857">
      <c r="A857" s="14">
        <f>IF(OR(NOT(ISNUMBER(Ввод!$B$5)),NOT(ISNUMBER(Ввод!$B$6))),"",IF(Ввод!$B$5+855&gt;Ввод!$B$6,"",Ввод!$B$5+855))</f>
        <v/>
      </c>
      <c r="B857">
        <f>IF(A857="","",IFERROR(INDEX(Ввод!$B$12:$B$71,MATCH(A857,Ввод!$D$12:$D$71,1)),""))</f>
        <v/>
      </c>
      <c r="C857">
        <f>IF(A857="","",DATE(YEAR(A857),12,31)-DATE(YEAR(A857),1,1)+1)</f>
        <v/>
      </c>
      <c r="D857">
        <f>IF(A857="","",Ввод!$B$4-SUMIF(Оплаты!$A$6:$A$505,"&lt;"&amp;A857,Оплаты!$B$6:$B$505))</f>
        <v/>
      </c>
      <c r="E857">
        <f>IF(A857="","",IF(SUMPRODUCT((Ввод!$F$12:$F$31&lt;&gt;"")*(Ввод!$F$12:$F$31&lt;=A857)*(Ввод!$G$12:$G$31&gt;=A857))&gt;0,1,0))</f>
        <v/>
      </c>
      <c r="F857">
        <f>IF(OR(A857="",B857=""),"",IF(E857=1,0,D857*B857/100/C857))</f>
        <v/>
      </c>
      <c r="G857">
        <f>IF(A857="","",IF(OR(B857&lt;&gt;B856,C857&lt;&gt;C856,D857&lt;&gt;D856,E857&lt;&gt;E856),G856+1,G856))</f>
        <v/>
      </c>
    </row>
    <row r="858">
      <c r="A858" s="14">
        <f>IF(OR(NOT(ISNUMBER(Ввод!$B$5)),NOT(ISNUMBER(Ввод!$B$6))),"",IF(Ввод!$B$5+856&gt;Ввод!$B$6,"",Ввод!$B$5+856))</f>
        <v/>
      </c>
      <c r="B858">
        <f>IF(A858="","",IFERROR(INDEX(Ввод!$B$12:$B$71,MATCH(A858,Ввод!$D$12:$D$71,1)),""))</f>
        <v/>
      </c>
      <c r="C858">
        <f>IF(A858="","",DATE(YEAR(A858),12,31)-DATE(YEAR(A858),1,1)+1)</f>
        <v/>
      </c>
      <c r="D858">
        <f>IF(A858="","",Ввод!$B$4-SUMIF(Оплаты!$A$6:$A$505,"&lt;"&amp;A858,Оплаты!$B$6:$B$505))</f>
        <v/>
      </c>
      <c r="E858">
        <f>IF(A858="","",IF(SUMPRODUCT((Ввод!$F$12:$F$31&lt;&gt;"")*(Ввод!$F$12:$F$31&lt;=A858)*(Ввод!$G$12:$G$31&gt;=A858))&gt;0,1,0))</f>
        <v/>
      </c>
      <c r="F858">
        <f>IF(OR(A858="",B858=""),"",IF(E858=1,0,D858*B858/100/C858))</f>
        <v/>
      </c>
      <c r="G858">
        <f>IF(A858="","",IF(OR(B858&lt;&gt;B857,C858&lt;&gt;C857,D858&lt;&gt;D857,E858&lt;&gt;E857),G857+1,G857))</f>
        <v/>
      </c>
    </row>
    <row r="859">
      <c r="A859" s="14">
        <f>IF(OR(NOT(ISNUMBER(Ввод!$B$5)),NOT(ISNUMBER(Ввод!$B$6))),"",IF(Ввод!$B$5+857&gt;Ввод!$B$6,"",Ввод!$B$5+857))</f>
        <v/>
      </c>
      <c r="B859">
        <f>IF(A859="","",IFERROR(INDEX(Ввод!$B$12:$B$71,MATCH(A859,Ввод!$D$12:$D$71,1)),""))</f>
        <v/>
      </c>
      <c r="C859">
        <f>IF(A859="","",DATE(YEAR(A859),12,31)-DATE(YEAR(A859),1,1)+1)</f>
        <v/>
      </c>
      <c r="D859">
        <f>IF(A859="","",Ввод!$B$4-SUMIF(Оплаты!$A$6:$A$505,"&lt;"&amp;A859,Оплаты!$B$6:$B$505))</f>
        <v/>
      </c>
      <c r="E859">
        <f>IF(A859="","",IF(SUMPRODUCT((Ввод!$F$12:$F$31&lt;&gt;"")*(Ввод!$F$12:$F$31&lt;=A859)*(Ввод!$G$12:$G$31&gt;=A859))&gt;0,1,0))</f>
        <v/>
      </c>
      <c r="F859">
        <f>IF(OR(A859="",B859=""),"",IF(E859=1,0,D859*B859/100/C859))</f>
        <v/>
      </c>
      <c r="G859">
        <f>IF(A859="","",IF(OR(B859&lt;&gt;B858,C859&lt;&gt;C858,D859&lt;&gt;D858,E859&lt;&gt;E858),G858+1,G858))</f>
        <v/>
      </c>
    </row>
    <row r="860">
      <c r="A860" s="14">
        <f>IF(OR(NOT(ISNUMBER(Ввод!$B$5)),NOT(ISNUMBER(Ввод!$B$6))),"",IF(Ввод!$B$5+858&gt;Ввод!$B$6,"",Ввод!$B$5+858))</f>
        <v/>
      </c>
      <c r="B860">
        <f>IF(A860="","",IFERROR(INDEX(Ввод!$B$12:$B$71,MATCH(A860,Ввод!$D$12:$D$71,1)),""))</f>
        <v/>
      </c>
      <c r="C860">
        <f>IF(A860="","",DATE(YEAR(A860),12,31)-DATE(YEAR(A860),1,1)+1)</f>
        <v/>
      </c>
      <c r="D860">
        <f>IF(A860="","",Ввод!$B$4-SUMIF(Оплаты!$A$6:$A$505,"&lt;"&amp;A860,Оплаты!$B$6:$B$505))</f>
        <v/>
      </c>
      <c r="E860">
        <f>IF(A860="","",IF(SUMPRODUCT((Ввод!$F$12:$F$31&lt;&gt;"")*(Ввод!$F$12:$F$31&lt;=A860)*(Ввод!$G$12:$G$31&gt;=A860))&gt;0,1,0))</f>
        <v/>
      </c>
      <c r="F860">
        <f>IF(OR(A860="",B860=""),"",IF(E860=1,0,D860*B860/100/C860))</f>
        <v/>
      </c>
      <c r="G860">
        <f>IF(A860="","",IF(OR(B860&lt;&gt;B859,C860&lt;&gt;C859,D860&lt;&gt;D859,E860&lt;&gt;E859),G859+1,G859))</f>
        <v/>
      </c>
    </row>
    <row r="861">
      <c r="A861" s="14">
        <f>IF(OR(NOT(ISNUMBER(Ввод!$B$5)),NOT(ISNUMBER(Ввод!$B$6))),"",IF(Ввод!$B$5+859&gt;Ввод!$B$6,"",Ввод!$B$5+859))</f>
        <v/>
      </c>
      <c r="B861">
        <f>IF(A861="","",IFERROR(INDEX(Ввод!$B$12:$B$71,MATCH(A861,Ввод!$D$12:$D$71,1)),""))</f>
        <v/>
      </c>
      <c r="C861">
        <f>IF(A861="","",DATE(YEAR(A861),12,31)-DATE(YEAR(A861),1,1)+1)</f>
        <v/>
      </c>
      <c r="D861">
        <f>IF(A861="","",Ввод!$B$4-SUMIF(Оплаты!$A$6:$A$505,"&lt;"&amp;A861,Оплаты!$B$6:$B$505))</f>
        <v/>
      </c>
      <c r="E861">
        <f>IF(A861="","",IF(SUMPRODUCT((Ввод!$F$12:$F$31&lt;&gt;"")*(Ввод!$F$12:$F$31&lt;=A861)*(Ввод!$G$12:$G$31&gt;=A861))&gt;0,1,0))</f>
        <v/>
      </c>
      <c r="F861">
        <f>IF(OR(A861="",B861=""),"",IF(E861=1,0,D861*B861/100/C861))</f>
        <v/>
      </c>
      <c r="G861">
        <f>IF(A861="","",IF(OR(B861&lt;&gt;B860,C861&lt;&gt;C860,D861&lt;&gt;D860,E861&lt;&gt;E860),G860+1,G860))</f>
        <v/>
      </c>
    </row>
    <row r="862">
      <c r="A862" s="14">
        <f>IF(OR(NOT(ISNUMBER(Ввод!$B$5)),NOT(ISNUMBER(Ввод!$B$6))),"",IF(Ввод!$B$5+860&gt;Ввод!$B$6,"",Ввод!$B$5+860))</f>
        <v/>
      </c>
      <c r="B862">
        <f>IF(A862="","",IFERROR(INDEX(Ввод!$B$12:$B$71,MATCH(A862,Ввод!$D$12:$D$71,1)),""))</f>
        <v/>
      </c>
      <c r="C862">
        <f>IF(A862="","",DATE(YEAR(A862),12,31)-DATE(YEAR(A862),1,1)+1)</f>
        <v/>
      </c>
      <c r="D862">
        <f>IF(A862="","",Ввод!$B$4-SUMIF(Оплаты!$A$6:$A$505,"&lt;"&amp;A862,Оплаты!$B$6:$B$505))</f>
        <v/>
      </c>
      <c r="E862">
        <f>IF(A862="","",IF(SUMPRODUCT((Ввод!$F$12:$F$31&lt;&gt;"")*(Ввод!$F$12:$F$31&lt;=A862)*(Ввод!$G$12:$G$31&gt;=A862))&gt;0,1,0))</f>
        <v/>
      </c>
      <c r="F862">
        <f>IF(OR(A862="",B862=""),"",IF(E862=1,0,D862*B862/100/C862))</f>
        <v/>
      </c>
      <c r="G862">
        <f>IF(A862="","",IF(OR(B862&lt;&gt;B861,C862&lt;&gt;C861,D862&lt;&gt;D861,E862&lt;&gt;E861),G861+1,G861))</f>
        <v/>
      </c>
    </row>
    <row r="863">
      <c r="A863" s="14">
        <f>IF(OR(NOT(ISNUMBER(Ввод!$B$5)),NOT(ISNUMBER(Ввод!$B$6))),"",IF(Ввод!$B$5+861&gt;Ввод!$B$6,"",Ввод!$B$5+861))</f>
        <v/>
      </c>
      <c r="B863">
        <f>IF(A863="","",IFERROR(INDEX(Ввод!$B$12:$B$71,MATCH(A863,Ввод!$D$12:$D$71,1)),""))</f>
        <v/>
      </c>
      <c r="C863">
        <f>IF(A863="","",DATE(YEAR(A863),12,31)-DATE(YEAR(A863),1,1)+1)</f>
        <v/>
      </c>
      <c r="D863">
        <f>IF(A863="","",Ввод!$B$4-SUMIF(Оплаты!$A$6:$A$505,"&lt;"&amp;A863,Оплаты!$B$6:$B$505))</f>
        <v/>
      </c>
      <c r="E863">
        <f>IF(A863="","",IF(SUMPRODUCT((Ввод!$F$12:$F$31&lt;&gt;"")*(Ввод!$F$12:$F$31&lt;=A863)*(Ввод!$G$12:$G$31&gt;=A863))&gt;0,1,0))</f>
        <v/>
      </c>
      <c r="F863">
        <f>IF(OR(A863="",B863=""),"",IF(E863=1,0,D863*B863/100/C863))</f>
        <v/>
      </c>
      <c r="G863">
        <f>IF(A863="","",IF(OR(B863&lt;&gt;B862,C863&lt;&gt;C862,D863&lt;&gt;D862,E863&lt;&gt;E862),G862+1,G862))</f>
        <v/>
      </c>
    </row>
    <row r="864">
      <c r="A864" s="14">
        <f>IF(OR(NOT(ISNUMBER(Ввод!$B$5)),NOT(ISNUMBER(Ввод!$B$6))),"",IF(Ввод!$B$5+862&gt;Ввод!$B$6,"",Ввод!$B$5+862))</f>
        <v/>
      </c>
      <c r="B864">
        <f>IF(A864="","",IFERROR(INDEX(Ввод!$B$12:$B$71,MATCH(A864,Ввод!$D$12:$D$71,1)),""))</f>
        <v/>
      </c>
      <c r="C864">
        <f>IF(A864="","",DATE(YEAR(A864),12,31)-DATE(YEAR(A864),1,1)+1)</f>
        <v/>
      </c>
      <c r="D864">
        <f>IF(A864="","",Ввод!$B$4-SUMIF(Оплаты!$A$6:$A$505,"&lt;"&amp;A864,Оплаты!$B$6:$B$505))</f>
        <v/>
      </c>
      <c r="E864">
        <f>IF(A864="","",IF(SUMPRODUCT((Ввод!$F$12:$F$31&lt;&gt;"")*(Ввод!$F$12:$F$31&lt;=A864)*(Ввод!$G$12:$G$31&gt;=A864))&gt;0,1,0))</f>
        <v/>
      </c>
      <c r="F864">
        <f>IF(OR(A864="",B864=""),"",IF(E864=1,0,D864*B864/100/C864))</f>
        <v/>
      </c>
      <c r="G864">
        <f>IF(A864="","",IF(OR(B864&lt;&gt;B863,C864&lt;&gt;C863,D864&lt;&gt;D863,E864&lt;&gt;E863),G863+1,G863))</f>
        <v/>
      </c>
    </row>
    <row r="865">
      <c r="A865" s="14">
        <f>IF(OR(NOT(ISNUMBER(Ввод!$B$5)),NOT(ISNUMBER(Ввод!$B$6))),"",IF(Ввод!$B$5+863&gt;Ввод!$B$6,"",Ввод!$B$5+863))</f>
        <v/>
      </c>
      <c r="B865">
        <f>IF(A865="","",IFERROR(INDEX(Ввод!$B$12:$B$71,MATCH(A865,Ввод!$D$12:$D$71,1)),""))</f>
        <v/>
      </c>
      <c r="C865">
        <f>IF(A865="","",DATE(YEAR(A865),12,31)-DATE(YEAR(A865),1,1)+1)</f>
        <v/>
      </c>
      <c r="D865">
        <f>IF(A865="","",Ввод!$B$4-SUMIF(Оплаты!$A$6:$A$505,"&lt;"&amp;A865,Оплаты!$B$6:$B$505))</f>
        <v/>
      </c>
      <c r="E865">
        <f>IF(A865="","",IF(SUMPRODUCT((Ввод!$F$12:$F$31&lt;&gt;"")*(Ввод!$F$12:$F$31&lt;=A865)*(Ввод!$G$12:$G$31&gt;=A865))&gt;0,1,0))</f>
        <v/>
      </c>
      <c r="F865">
        <f>IF(OR(A865="",B865=""),"",IF(E865=1,0,D865*B865/100/C865))</f>
        <v/>
      </c>
      <c r="G865">
        <f>IF(A865="","",IF(OR(B865&lt;&gt;B864,C865&lt;&gt;C864,D865&lt;&gt;D864,E865&lt;&gt;E864),G864+1,G864))</f>
        <v/>
      </c>
    </row>
    <row r="866">
      <c r="A866" s="14">
        <f>IF(OR(NOT(ISNUMBER(Ввод!$B$5)),NOT(ISNUMBER(Ввод!$B$6))),"",IF(Ввод!$B$5+864&gt;Ввод!$B$6,"",Ввод!$B$5+864))</f>
        <v/>
      </c>
      <c r="B866">
        <f>IF(A866="","",IFERROR(INDEX(Ввод!$B$12:$B$71,MATCH(A866,Ввод!$D$12:$D$71,1)),""))</f>
        <v/>
      </c>
      <c r="C866">
        <f>IF(A866="","",DATE(YEAR(A866),12,31)-DATE(YEAR(A866),1,1)+1)</f>
        <v/>
      </c>
      <c r="D866">
        <f>IF(A866="","",Ввод!$B$4-SUMIF(Оплаты!$A$6:$A$505,"&lt;"&amp;A866,Оплаты!$B$6:$B$505))</f>
        <v/>
      </c>
      <c r="E866">
        <f>IF(A866="","",IF(SUMPRODUCT((Ввод!$F$12:$F$31&lt;&gt;"")*(Ввод!$F$12:$F$31&lt;=A866)*(Ввод!$G$12:$G$31&gt;=A866))&gt;0,1,0))</f>
        <v/>
      </c>
      <c r="F866">
        <f>IF(OR(A866="",B866=""),"",IF(E866=1,0,D866*B866/100/C866))</f>
        <v/>
      </c>
      <c r="G866">
        <f>IF(A866="","",IF(OR(B866&lt;&gt;B865,C866&lt;&gt;C865,D866&lt;&gt;D865,E866&lt;&gt;E865),G865+1,G865))</f>
        <v/>
      </c>
    </row>
    <row r="867">
      <c r="A867" s="14">
        <f>IF(OR(NOT(ISNUMBER(Ввод!$B$5)),NOT(ISNUMBER(Ввод!$B$6))),"",IF(Ввод!$B$5+865&gt;Ввод!$B$6,"",Ввод!$B$5+865))</f>
        <v/>
      </c>
      <c r="B867">
        <f>IF(A867="","",IFERROR(INDEX(Ввод!$B$12:$B$71,MATCH(A867,Ввод!$D$12:$D$71,1)),""))</f>
        <v/>
      </c>
      <c r="C867">
        <f>IF(A867="","",DATE(YEAR(A867),12,31)-DATE(YEAR(A867),1,1)+1)</f>
        <v/>
      </c>
      <c r="D867">
        <f>IF(A867="","",Ввод!$B$4-SUMIF(Оплаты!$A$6:$A$505,"&lt;"&amp;A867,Оплаты!$B$6:$B$505))</f>
        <v/>
      </c>
      <c r="E867">
        <f>IF(A867="","",IF(SUMPRODUCT((Ввод!$F$12:$F$31&lt;&gt;"")*(Ввод!$F$12:$F$31&lt;=A867)*(Ввод!$G$12:$G$31&gt;=A867))&gt;0,1,0))</f>
        <v/>
      </c>
      <c r="F867">
        <f>IF(OR(A867="",B867=""),"",IF(E867=1,0,D867*B867/100/C867))</f>
        <v/>
      </c>
      <c r="G867">
        <f>IF(A867="","",IF(OR(B867&lt;&gt;B866,C867&lt;&gt;C866,D867&lt;&gt;D866,E867&lt;&gt;E866),G866+1,G866))</f>
        <v/>
      </c>
    </row>
    <row r="868">
      <c r="A868" s="14">
        <f>IF(OR(NOT(ISNUMBER(Ввод!$B$5)),NOT(ISNUMBER(Ввод!$B$6))),"",IF(Ввод!$B$5+866&gt;Ввод!$B$6,"",Ввод!$B$5+866))</f>
        <v/>
      </c>
      <c r="B868">
        <f>IF(A868="","",IFERROR(INDEX(Ввод!$B$12:$B$71,MATCH(A868,Ввод!$D$12:$D$71,1)),""))</f>
        <v/>
      </c>
      <c r="C868">
        <f>IF(A868="","",DATE(YEAR(A868),12,31)-DATE(YEAR(A868),1,1)+1)</f>
        <v/>
      </c>
      <c r="D868">
        <f>IF(A868="","",Ввод!$B$4-SUMIF(Оплаты!$A$6:$A$505,"&lt;"&amp;A868,Оплаты!$B$6:$B$505))</f>
        <v/>
      </c>
      <c r="E868">
        <f>IF(A868="","",IF(SUMPRODUCT((Ввод!$F$12:$F$31&lt;&gt;"")*(Ввод!$F$12:$F$31&lt;=A868)*(Ввод!$G$12:$G$31&gt;=A868))&gt;0,1,0))</f>
        <v/>
      </c>
      <c r="F868">
        <f>IF(OR(A868="",B868=""),"",IF(E868=1,0,D868*B868/100/C868))</f>
        <v/>
      </c>
      <c r="G868">
        <f>IF(A868="","",IF(OR(B868&lt;&gt;B867,C868&lt;&gt;C867,D868&lt;&gt;D867,E868&lt;&gt;E867),G867+1,G867))</f>
        <v/>
      </c>
    </row>
    <row r="869">
      <c r="A869" s="14">
        <f>IF(OR(NOT(ISNUMBER(Ввод!$B$5)),NOT(ISNUMBER(Ввод!$B$6))),"",IF(Ввод!$B$5+867&gt;Ввод!$B$6,"",Ввод!$B$5+867))</f>
        <v/>
      </c>
      <c r="B869">
        <f>IF(A869="","",IFERROR(INDEX(Ввод!$B$12:$B$71,MATCH(A869,Ввод!$D$12:$D$71,1)),""))</f>
        <v/>
      </c>
      <c r="C869">
        <f>IF(A869="","",DATE(YEAR(A869),12,31)-DATE(YEAR(A869),1,1)+1)</f>
        <v/>
      </c>
      <c r="D869">
        <f>IF(A869="","",Ввод!$B$4-SUMIF(Оплаты!$A$6:$A$505,"&lt;"&amp;A869,Оплаты!$B$6:$B$505))</f>
        <v/>
      </c>
      <c r="E869">
        <f>IF(A869="","",IF(SUMPRODUCT((Ввод!$F$12:$F$31&lt;&gt;"")*(Ввод!$F$12:$F$31&lt;=A869)*(Ввод!$G$12:$G$31&gt;=A869))&gt;0,1,0))</f>
        <v/>
      </c>
      <c r="F869">
        <f>IF(OR(A869="",B869=""),"",IF(E869=1,0,D869*B869/100/C869))</f>
        <v/>
      </c>
      <c r="G869">
        <f>IF(A869="","",IF(OR(B869&lt;&gt;B868,C869&lt;&gt;C868,D869&lt;&gt;D868,E869&lt;&gt;E868),G868+1,G868))</f>
        <v/>
      </c>
    </row>
    <row r="870">
      <c r="A870" s="14">
        <f>IF(OR(NOT(ISNUMBER(Ввод!$B$5)),NOT(ISNUMBER(Ввод!$B$6))),"",IF(Ввод!$B$5+868&gt;Ввод!$B$6,"",Ввод!$B$5+868))</f>
        <v/>
      </c>
      <c r="B870">
        <f>IF(A870="","",IFERROR(INDEX(Ввод!$B$12:$B$71,MATCH(A870,Ввод!$D$12:$D$71,1)),""))</f>
        <v/>
      </c>
      <c r="C870">
        <f>IF(A870="","",DATE(YEAR(A870),12,31)-DATE(YEAR(A870),1,1)+1)</f>
        <v/>
      </c>
      <c r="D870">
        <f>IF(A870="","",Ввод!$B$4-SUMIF(Оплаты!$A$6:$A$505,"&lt;"&amp;A870,Оплаты!$B$6:$B$505))</f>
        <v/>
      </c>
      <c r="E870">
        <f>IF(A870="","",IF(SUMPRODUCT((Ввод!$F$12:$F$31&lt;&gt;"")*(Ввод!$F$12:$F$31&lt;=A870)*(Ввод!$G$12:$G$31&gt;=A870))&gt;0,1,0))</f>
        <v/>
      </c>
      <c r="F870">
        <f>IF(OR(A870="",B870=""),"",IF(E870=1,0,D870*B870/100/C870))</f>
        <v/>
      </c>
      <c r="G870">
        <f>IF(A870="","",IF(OR(B870&lt;&gt;B869,C870&lt;&gt;C869,D870&lt;&gt;D869,E870&lt;&gt;E869),G869+1,G869))</f>
        <v/>
      </c>
    </row>
    <row r="871">
      <c r="A871" s="14">
        <f>IF(OR(NOT(ISNUMBER(Ввод!$B$5)),NOT(ISNUMBER(Ввод!$B$6))),"",IF(Ввод!$B$5+869&gt;Ввод!$B$6,"",Ввод!$B$5+869))</f>
        <v/>
      </c>
      <c r="B871">
        <f>IF(A871="","",IFERROR(INDEX(Ввод!$B$12:$B$71,MATCH(A871,Ввод!$D$12:$D$71,1)),""))</f>
        <v/>
      </c>
      <c r="C871">
        <f>IF(A871="","",DATE(YEAR(A871),12,31)-DATE(YEAR(A871),1,1)+1)</f>
        <v/>
      </c>
      <c r="D871">
        <f>IF(A871="","",Ввод!$B$4-SUMIF(Оплаты!$A$6:$A$505,"&lt;"&amp;A871,Оплаты!$B$6:$B$505))</f>
        <v/>
      </c>
      <c r="E871">
        <f>IF(A871="","",IF(SUMPRODUCT((Ввод!$F$12:$F$31&lt;&gt;"")*(Ввод!$F$12:$F$31&lt;=A871)*(Ввод!$G$12:$G$31&gt;=A871))&gt;0,1,0))</f>
        <v/>
      </c>
      <c r="F871">
        <f>IF(OR(A871="",B871=""),"",IF(E871=1,0,D871*B871/100/C871))</f>
        <v/>
      </c>
      <c r="G871">
        <f>IF(A871="","",IF(OR(B871&lt;&gt;B870,C871&lt;&gt;C870,D871&lt;&gt;D870,E871&lt;&gt;E870),G870+1,G870))</f>
        <v/>
      </c>
    </row>
    <row r="872">
      <c r="A872" s="14">
        <f>IF(OR(NOT(ISNUMBER(Ввод!$B$5)),NOT(ISNUMBER(Ввод!$B$6))),"",IF(Ввод!$B$5+870&gt;Ввод!$B$6,"",Ввод!$B$5+870))</f>
        <v/>
      </c>
      <c r="B872">
        <f>IF(A872="","",IFERROR(INDEX(Ввод!$B$12:$B$71,MATCH(A872,Ввод!$D$12:$D$71,1)),""))</f>
        <v/>
      </c>
      <c r="C872">
        <f>IF(A872="","",DATE(YEAR(A872),12,31)-DATE(YEAR(A872),1,1)+1)</f>
        <v/>
      </c>
      <c r="D872">
        <f>IF(A872="","",Ввод!$B$4-SUMIF(Оплаты!$A$6:$A$505,"&lt;"&amp;A872,Оплаты!$B$6:$B$505))</f>
        <v/>
      </c>
      <c r="E872">
        <f>IF(A872="","",IF(SUMPRODUCT((Ввод!$F$12:$F$31&lt;&gt;"")*(Ввод!$F$12:$F$31&lt;=A872)*(Ввод!$G$12:$G$31&gt;=A872))&gt;0,1,0))</f>
        <v/>
      </c>
      <c r="F872">
        <f>IF(OR(A872="",B872=""),"",IF(E872=1,0,D872*B872/100/C872))</f>
        <v/>
      </c>
      <c r="G872">
        <f>IF(A872="","",IF(OR(B872&lt;&gt;B871,C872&lt;&gt;C871,D872&lt;&gt;D871,E872&lt;&gt;E871),G871+1,G871))</f>
        <v/>
      </c>
    </row>
    <row r="873">
      <c r="A873" s="14">
        <f>IF(OR(NOT(ISNUMBER(Ввод!$B$5)),NOT(ISNUMBER(Ввод!$B$6))),"",IF(Ввод!$B$5+871&gt;Ввод!$B$6,"",Ввод!$B$5+871))</f>
        <v/>
      </c>
      <c r="B873">
        <f>IF(A873="","",IFERROR(INDEX(Ввод!$B$12:$B$71,MATCH(A873,Ввод!$D$12:$D$71,1)),""))</f>
        <v/>
      </c>
      <c r="C873">
        <f>IF(A873="","",DATE(YEAR(A873),12,31)-DATE(YEAR(A873),1,1)+1)</f>
        <v/>
      </c>
      <c r="D873">
        <f>IF(A873="","",Ввод!$B$4-SUMIF(Оплаты!$A$6:$A$505,"&lt;"&amp;A873,Оплаты!$B$6:$B$505))</f>
        <v/>
      </c>
      <c r="E873">
        <f>IF(A873="","",IF(SUMPRODUCT((Ввод!$F$12:$F$31&lt;&gt;"")*(Ввод!$F$12:$F$31&lt;=A873)*(Ввод!$G$12:$G$31&gt;=A873))&gt;0,1,0))</f>
        <v/>
      </c>
      <c r="F873">
        <f>IF(OR(A873="",B873=""),"",IF(E873=1,0,D873*B873/100/C873))</f>
        <v/>
      </c>
      <c r="G873">
        <f>IF(A873="","",IF(OR(B873&lt;&gt;B872,C873&lt;&gt;C872,D873&lt;&gt;D872,E873&lt;&gt;E872),G872+1,G872))</f>
        <v/>
      </c>
    </row>
    <row r="874">
      <c r="A874" s="14">
        <f>IF(OR(NOT(ISNUMBER(Ввод!$B$5)),NOT(ISNUMBER(Ввод!$B$6))),"",IF(Ввод!$B$5+872&gt;Ввод!$B$6,"",Ввод!$B$5+872))</f>
        <v/>
      </c>
      <c r="B874">
        <f>IF(A874="","",IFERROR(INDEX(Ввод!$B$12:$B$71,MATCH(A874,Ввод!$D$12:$D$71,1)),""))</f>
        <v/>
      </c>
      <c r="C874">
        <f>IF(A874="","",DATE(YEAR(A874),12,31)-DATE(YEAR(A874),1,1)+1)</f>
        <v/>
      </c>
      <c r="D874">
        <f>IF(A874="","",Ввод!$B$4-SUMIF(Оплаты!$A$6:$A$505,"&lt;"&amp;A874,Оплаты!$B$6:$B$505))</f>
        <v/>
      </c>
      <c r="E874">
        <f>IF(A874="","",IF(SUMPRODUCT((Ввод!$F$12:$F$31&lt;&gt;"")*(Ввод!$F$12:$F$31&lt;=A874)*(Ввод!$G$12:$G$31&gt;=A874))&gt;0,1,0))</f>
        <v/>
      </c>
      <c r="F874">
        <f>IF(OR(A874="",B874=""),"",IF(E874=1,0,D874*B874/100/C874))</f>
        <v/>
      </c>
      <c r="G874">
        <f>IF(A874="","",IF(OR(B874&lt;&gt;B873,C874&lt;&gt;C873,D874&lt;&gt;D873,E874&lt;&gt;E873),G873+1,G873))</f>
        <v/>
      </c>
    </row>
    <row r="875">
      <c r="A875" s="14">
        <f>IF(OR(NOT(ISNUMBER(Ввод!$B$5)),NOT(ISNUMBER(Ввод!$B$6))),"",IF(Ввод!$B$5+873&gt;Ввод!$B$6,"",Ввод!$B$5+873))</f>
        <v/>
      </c>
      <c r="B875">
        <f>IF(A875="","",IFERROR(INDEX(Ввод!$B$12:$B$71,MATCH(A875,Ввод!$D$12:$D$71,1)),""))</f>
        <v/>
      </c>
      <c r="C875">
        <f>IF(A875="","",DATE(YEAR(A875),12,31)-DATE(YEAR(A875),1,1)+1)</f>
        <v/>
      </c>
      <c r="D875">
        <f>IF(A875="","",Ввод!$B$4-SUMIF(Оплаты!$A$6:$A$505,"&lt;"&amp;A875,Оплаты!$B$6:$B$505))</f>
        <v/>
      </c>
      <c r="E875">
        <f>IF(A875="","",IF(SUMPRODUCT((Ввод!$F$12:$F$31&lt;&gt;"")*(Ввод!$F$12:$F$31&lt;=A875)*(Ввод!$G$12:$G$31&gt;=A875))&gt;0,1,0))</f>
        <v/>
      </c>
      <c r="F875">
        <f>IF(OR(A875="",B875=""),"",IF(E875=1,0,D875*B875/100/C875))</f>
        <v/>
      </c>
      <c r="G875">
        <f>IF(A875="","",IF(OR(B875&lt;&gt;B874,C875&lt;&gt;C874,D875&lt;&gt;D874,E875&lt;&gt;E874),G874+1,G874))</f>
        <v/>
      </c>
    </row>
    <row r="876">
      <c r="A876" s="14">
        <f>IF(OR(NOT(ISNUMBER(Ввод!$B$5)),NOT(ISNUMBER(Ввод!$B$6))),"",IF(Ввод!$B$5+874&gt;Ввод!$B$6,"",Ввод!$B$5+874))</f>
        <v/>
      </c>
      <c r="B876">
        <f>IF(A876="","",IFERROR(INDEX(Ввод!$B$12:$B$71,MATCH(A876,Ввод!$D$12:$D$71,1)),""))</f>
        <v/>
      </c>
      <c r="C876">
        <f>IF(A876="","",DATE(YEAR(A876),12,31)-DATE(YEAR(A876),1,1)+1)</f>
        <v/>
      </c>
      <c r="D876">
        <f>IF(A876="","",Ввод!$B$4-SUMIF(Оплаты!$A$6:$A$505,"&lt;"&amp;A876,Оплаты!$B$6:$B$505))</f>
        <v/>
      </c>
      <c r="E876">
        <f>IF(A876="","",IF(SUMPRODUCT((Ввод!$F$12:$F$31&lt;&gt;"")*(Ввод!$F$12:$F$31&lt;=A876)*(Ввод!$G$12:$G$31&gt;=A876))&gt;0,1,0))</f>
        <v/>
      </c>
      <c r="F876">
        <f>IF(OR(A876="",B876=""),"",IF(E876=1,0,D876*B876/100/C876))</f>
        <v/>
      </c>
      <c r="G876">
        <f>IF(A876="","",IF(OR(B876&lt;&gt;B875,C876&lt;&gt;C875,D876&lt;&gt;D875,E876&lt;&gt;E875),G875+1,G875))</f>
        <v/>
      </c>
    </row>
    <row r="877">
      <c r="A877" s="14">
        <f>IF(OR(NOT(ISNUMBER(Ввод!$B$5)),NOT(ISNUMBER(Ввод!$B$6))),"",IF(Ввод!$B$5+875&gt;Ввод!$B$6,"",Ввод!$B$5+875))</f>
        <v/>
      </c>
      <c r="B877">
        <f>IF(A877="","",IFERROR(INDEX(Ввод!$B$12:$B$71,MATCH(A877,Ввод!$D$12:$D$71,1)),""))</f>
        <v/>
      </c>
      <c r="C877">
        <f>IF(A877="","",DATE(YEAR(A877),12,31)-DATE(YEAR(A877),1,1)+1)</f>
        <v/>
      </c>
      <c r="D877">
        <f>IF(A877="","",Ввод!$B$4-SUMIF(Оплаты!$A$6:$A$505,"&lt;"&amp;A877,Оплаты!$B$6:$B$505))</f>
        <v/>
      </c>
      <c r="E877">
        <f>IF(A877="","",IF(SUMPRODUCT((Ввод!$F$12:$F$31&lt;&gt;"")*(Ввод!$F$12:$F$31&lt;=A877)*(Ввод!$G$12:$G$31&gt;=A877))&gt;0,1,0))</f>
        <v/>
      </c>
      <c r="F877">
        <f>IF(OR(A877="",B877=""),"",IF(E877=1,0,D877*B877/100/C877))</f>
        <v/>
      </c>
      <c r="G877">
        <f>IF(A877="","",IF(OR(B877&lt;&gt;B876,C877&lt;&gt;C876,D877&lt;&gt;D876,E877&lt;&gt;E876),G876+1,G876))</f>
        <v/>
      </c>
    </row>
    <row r="878">
      <c r="A878" s="14">
        <f>IF(OR(NOT(ISNUMBER(Ввод!$B$5)),NOT(ISNUMBER(Ввод!$B$6))),"",IF(Ввод!$B$5+876&gt;Ввод!$B$6,"",Ввод!$B$5+876))</f>
        <v/>
      </c>
      <c r="B878">
        <f>IF(A878="","",IFERROR(INDEX(Ввод!$B$12:$B$71,MATCH(A878,Ввод!$D$12:$D$71,1)),""))</f>
        <v/>
      </c>
      <c r="C878">
        <f>IF(A878="","",DATE(YEAR(A878),12,31)-DATE(YEAR(A878),1,1)+1)</f>
        <v/>
      </c>
      <c r="D878">
        <f>IF(A878="","",Ввод!$B$4-SUMIF(Оплаты!$A$6:$A$505,"&lt;"&amp;A878,Оплаты!$B$6:$B$505))</f>
        <v/>
      </c>
      <c r="E878">
        <f>IF(A878="","",IF(SUMPRODUCT((Ввод!$F$12:$F$31&lt;&gt;"")*(Ввод!$F$12:$F$31&lt;=A878)*(Ввод!$G$12:$G$31&gt;=A878))&gt;0,1,0))</f>
        <v/>
      </c>
      <c r="F878">
        <f>IF(OR(A878="",B878=""),"",IF(E878=1,0,D878*B878/100/C878))</f>
        <v/>
      </c>
      <c r="G878">
        <f>IF(A878="","",IF(OR(B878&lt;&gt;B877,C878&lt;&gt;C877,D878&lt;&gt;D877,E878&lt;&gt;E877),G877+1,G877))</f>
        <v/>
      </c>
    </row>
    <row r="879">
      <c r="A879" s="14">
        <f>IF(OR(NOT(ISNUMBER(Ввод!$B$5)),NOT(ISNUMBER(Ввод!$B$6))),"",IF(Ввод!$B$5+877&gt;Ввод!$B$6,"",Ввод!$B$5+877))</f>
        <v/>
      </c>
      <c r="B879">
        <f>IF(A879="","",IFERROR(INDEX(Ввод!$B$12:$B$71,MATCH(A879,Ввод!$D$12:$D$71,1)),""))</f>
        <v/>
      </c>
      <c r="C879">
        <f>IF(A879="","",DATE(YEAR(A879),12,31)-DATE(YEAR(A879),1,1)+1)</f>
        <v/>
      </c>
      <c r="D879">
        <f>IF(A879="","",Ввод!$B$4-SUMIF(Оплаты!$A$6:$A$505,"&lt;"&amp;A879,Оплаты!$B$6:$B$505))</f>
        <v/>
      </c>
      <c r="E879">
        <f>IF(A879="","",IF(SUMPRODUCT((Ввод!$F$12:$F$31&lt;&gt;"")*(Ввод!$F$12:$F$31&lt;=A879)*(Ввод!$G$12:$G$31&gt;=A879))&gt;0,1,0))</f>
        <v/>
      </c>
      <c r="F879">
        <f>IF(OR(A879="",B879=""),"",IF(E879=1,0,D879*B879/100/C879))</f>
        <v/>
      </c>
      <c r="G879">
        <f>IF(A879="","",IF(OR(B879&lt;&gt;B878,C879&lt;&gt;C878,D879&lt;&gt;D878,E879&lt;&gt;E878),G878+1,G878))</f>
        <v/>
      </c>
    </row>
    <row r="880">
      <c r="A880" s="14">
        <f>IF(OR(NOT(ISNUMBER(Ввод!$B$5)),NOT(ISNUMBER(Ввод!$B$6))),"",IF(Ввод!$B$5+878&gt;Ввод!$B$6,"",Ввод!$B$5+878))</f>
        <v/>
      </c>
      <c r="B880">
        <f>IF(A880="","",IFERROR(INDEX(Ввод!$B$12:$B$71,MATCH(A880,Ввод!$D$12:$D$71,1)),""))</f>
        <v/>
      </c>
      <c r="C880">
        <f>IF(A880="","",DATE(YEAR(A880),12,31)-DATE(YEAR(A880),1,1)+1)</f>
        <v/>
      </c>
      <c r="D880">
        <f>IF(A880="","",Ввод!$B$4-SUMIF(Оплаты!$A$6:$A$505,"&lt;"&amp;A880,Оплаты!$B$6:$B$505))</f>
        <v/>
      </c>
      <c r="E880">
        <f>IF(A880="","",IF(SUMPRODUCT((Ввод!$F$12:$F$31&lt;&gt;"")*(Ввод!$F$12:$F$31&lt;=A880)*(Ввод!$G$12:$G$31&gt;=A880))&gt;0,1,0))</f>
        <v/>
      </c>
      <c r="F880">
        <f>IF(OR(A880="",B880=""),"",IF(E880=1,0,D880*B880/100/C880))</f>
        <v/>
      </c>
      <c r="G880">
        <f>IF(A880="","",IF(OR(B880&lt;&gt;B879,C880&lt;&gt;C879,D880&lt;&gt;D879,E880&lt;&gt;E879),G879+1,G879))</f>
        <v/>
      </c>
    </row>
    <row r="881">
      <c r="A881" s="14">
        <f>IF(OR(NOT(ISNUMBER(Ввод!$B$5)),NOT(ISNUMBER(Ввод!$B$6))),"",IF(Ввод!$B$5+879&gt;Ввод!$B$6,"",Ввод!$B$5+879))</f>
        <v/>
      </c>
      <c r="B881">
        <f>IF(A881="","",IFERROR(INDEX(Ввод!$B$12:$B$71,MATCH(A881,Ввод!$D$12:$D$71,1)),""))</f>
        <v/>
      </c>
      <c r="C881">
        <f>IF(A881="","",DATE(YEAR(A881),12,31)-DATE(YEAR(A881),1,1)+1)</f>
        <v/>
      </c>
      <c r="D881">
        <f>IF(A881="","",Ввод!$B$4-SUMIF(Оплаты!$A$6:$A$505,"&lt;"&amp;A881,Оплаты!$B$6:$B$505))</f>
        <v/>
      </c>
      <c r="E881">
        <f>IF(A881="","",IF(SUMPRODUCT((Ввод!$F$12:$F$31&lt;&gt;"")*(Ввод!$F$12:$F$31&lt;=A881)*(Ввод!$G$12:$G$31&gt;=A881))&gt;0,1,0))</f>
        <v/>
      </c>
      <c r="F881">
        <f>IF(OR(A881="",B881=""),"",IF(E881=1,0,D881*B881/100/C881))</f>
        <v/>
      </c>
      <c r="G881">
        <f>IF(A881="","",IF(OR(B881&lt;&gt;B880,C881&lt;&gt;C880,D881&lt;&gt;D880,E881&lt;&gt;E880),G880+1,G880))</f>
        <v/>
      </c>
    </row>
    <row r="882">
      <c r="A882" s="14">
        <f>IF(OR(NOT(ISNUMBER(Ввод!$B$5)),NOT(ISNUMBER(Ввод!$B$6))),"",IF(Ввод!$B$5+880&gt;Ввод!$B$6,"",Ввод!$B$5+880))</f>
        <v/>
      </c>
      <c r="B882">
        <f>IF(A882="","",IFERROR(INDEX(Ввод!$B$12:$B$71,MATCH(A882,Ввод!$D$12:$D$71,1)),""))</f>
        <v/>
      </c>
      <c r="C882">
        <f>IF(A882="","",DATE(YEAR(A882),12,31)-DATE(YEAR(A882),1,1)+1)</f>
        <v/>
      </c>
      <c r="D882">
        <f>IF(A882="","",Ввод!$B$4-SUMIF(Оплаты!$A$6:$A$505,"&lt;"&amp;A882,Оплаты!$B$6:$B$505))</f>
        <v/>
      </c>
      <c r="E882">
        <f>IF(A882="","",IF(SUMPRODUCT((Ввод!$F$12:$F$31&lt;&gt;"")*(Ввод!$F$12:$F$31&lt;=A882)*(Ввод!$G$12:$G$31&gt;=A882))&gt;0,1,0))</f>
        <v/>
      </c>
      <c r="F882">
        <f>IF(OR(A882="",B882=""),"",IF(E882=1,0,D882*B882/100/C882))</f>
        <v/>
      </c>
      <c r="G882">
        <f>IF(A882="","",IF(OR(B882&lt;&gt;B881,C882&lt;&gt;C881,D882&lt;&gt;D881,E882&lt;&gt;E881),G881+1,G881))</f>
        <v/>
      </c>
    </row>
    <row r="883">
      <c r="A883" s="14">
        <f>IF(OR(NOT(ISNUMBER(Ввод!$B$5)),NOT(ISNUMBER(Ввод!$B$6))),"",IF(Ввод!$B$5+881&gt;Ввод!$B$6,"",Ввод!$B$5+881))</f>
        <v/>
      </c>
      <c r="B883">
        <f>IF(A883="","",IFERROR(INDEX(Ввод!$B$12:$B$71,MATCH(A883,Ввод!$D$12:$D$71,1)),""))</f>
        <v/>
      </c>
      <c r="C883">
        <f>IF(A883="","",DATE(YEAR(A883),12,31)-DATE(YEAR(A883),1,1)+1)</f>
        <v/>
      </c>
      <c r="D883">
        <f>IF(A883="","",Ввод!$B$4-SUMIF(Оплаты!$A$6:$A$505,"&lt;"&amp;A883,Оплаты!$B$6:$B$505))</f>
        <v/>
      </c>
      <c r="E883">
        <f>IF(A883="","",IF(SUMPRODUCT((Ввод!$F$12:$F$31&lt;&gt;"")*(Ввод!$F$12:$F$31&lt;=A883)*(Ввод!$G$12:$G$31&gt;=A883))&gt;0,1,0))</f>
        <v/>
      </c>
      <c r="F883">
        <f>IF(OR(A883="",B883=""),"",IF(E883=1,0,D883*B883/100/C883))</f>
        <v/>
      </c>
      <c r="G883">
        <f>IF(A883="","",IF(OR(B883&lt;&gt;B882,C883&lt;&gt;C882,D883&lt;&gt;D882,E883&lt;&gt;E882),G882+1,G882))</f>
        <v/>
      </c>
    </row>
    <row r="884">
      <c r="A884" s="14">
        <f>IF(OR(NOT(ISNUMBER(Ввод!$B$5)),NOT(ISNUMBER(Ввод!$B$6))),"",IF(Ввод!$B$5+882&gt;Ввод!$B$6,"",Ввод!$B$5+882))</f>
        <v/>
      </c>
      <c r="B884">
        <f>IF(A884="","",IFERROR(INDEX(Ввод!$B$12:$B$71,MATCH(A884,Ввод!$D$12:$D$71,1)),""))</f>
        <v/>
      </c>
      <c r="C884">
        <f>IF(A884="","",DATE(YEAR(A884),12,31)-DATE(YEAR(A884),1,1)+1)</f>
        <v/>
      </c>
      <c r="D884">
        <f>IF(A884="","",Ввод!$B$4-SUMIF(Оплаты!$A$6:$A$505,"&lt;"&amp;A884,Оплаты!$B$6:$B$505))</f>
        <v/>
      </c>
      <c r="E884">
        <f>IF(A884="","",IF(SUMPRODUCT((Ввод!$F$12:$F$31&lt;&gt;"")*(Ввод!$F$12:$F$31&lt;=A884)*(Ввод!$G$12:$G$31&gt;=A884))&gt;0,1,0))</f>
        <v/>
      </c>
      <c r="F884">
        <f>IF(OR(A884="",B884=""),"",IF(E884=1,0,D884*B884/100/C884))</f>
        <v/>
      </c>
      <c r="G884">
        <f>IF(A884="","",IF(OR(B884&lt;&gt;B883,C884&lt;&gt;C883,D884&lt;&gt;D883,E884&lt;&gt;E883),G883+1,G883))</f>
        <v/>
      </c>
    </row>
    <row r="885">
      <c r="A885" s="14">
        <f>IF(OR(NOT(ISNUMBER(Ввод!$B$5)),NOT(ISNUMBER(Ввод!$B$6))),"",IF(Ввод!$B$5+883&gt;Ввод!$B$6,"",Ввод!$B$5+883))</f>
        <v/>
      </c>
      <c r="B885">
        <f>IF(A885="","",IFERROR(INDEX(Ввод!$B$12:$B$71,MATCH(A885,Ввод!$D$12:$D$71,1)),""))</f>
        <v/>
      </c>
      <c r="C885">
        <f>IF(A885="","",DATE(YEAR(A885),12,31)-DATE(YEAR(A885),1,1)+1)</f>
        <v/>
      </c>
      <c r="D885">
        <f>IF(A885="","",Ввод!$B$4-SUMIF(Оплаты!$A$6:$A$505,"&lt;"&amp;A885,Оплаты!$B$6:$B$505))</f>
        <v/>
      </c>
      <c r="E885">
        <f>IF(A885="","",IF(SUMPRODUCT((Ввод!$F$12:$F$31&lt;&gt;"")*(Ввод!$F$12:$F$31&lt;=A885)*(Ввод!$G$12:$G$31&gt;=A885))&gt;0,1,0))</f>
        <v/>
      </c>
      <c r="F885">
        <f>IF(OR(A885="",B885=""),"",IF(E885=1,0,D885*B885/100/C885))</f>
        <v/>
      </c>
      <c r="G885">
        <f>IF(A885="","",IF(OR(B885&lt;&gt;B884,C885&lt;&gt;C884,D885&lt;&gt;D884,E885&lt;&gt;E884),G884+1,G884))</f>
        <v/>
      </c>
    </row>
    <row r="886">
      <c r="A886" s="14">
        <f>IF(OR(NOT(ISNUMBER(Ввод!$B$5)),NOT(ISNUMBER(Ввод!$B$6))),"",IF(Ввод!$B$5+884&gt;Ввод!$B$6,"",Ввод!$B$5+884))</f>
        <v/>
      </c>
      <c r="B886">
        <f>IF(A886="","",IFERROR(INDEX(Ввод!$B$12:$B$71,MATCH(A886,Ввод!$D$12:$D$71,1)),""))</f>
        <v/>
      </c>
      <c r="C886">
        <f>IF(A886="","",DATE(YEAR(A886),12,31)-DATE(YEAR(A886),1,1)+1)</f>
        <v/>
      </c>
      <c r="D886">
        <f>IF(A886="","",Ввод!$B$4-SUMIF(Оплаты!$A$6:$A$505,"&lt;"&amp;A886,Оплаты!$B$6:$B$505))</f>
        <v/>
      </c>
      <c r="E886">
        <f>IF(A886="","",IF(SUMPRODUCT((Ввод!$F$12:$F$31&lt;&gt;"")*(Ввод!$F$12:$F$31&lt;=A886)*(Ввод!$G$12:$G$31&gt;=A886))&gt;0,1,0))</f>
        <v/>
      </c>
      <c r="F886">
        <f>IF(OR(A886="",B886=""),"",IF(E886=1,0,D886*B886/100/C886))</f>
        <v/>
      </c>
      <c r="G886">
        <f>IF(A886="","",IF(OR(B886&lt;&gt;B885,C886&lt;&gt;C885,D886&lt;&gt;D885,E886&lt;&gt;E885),G885+1,G885))</f>
        <v/>
      </c>
    </row>
    <row r="887">
      <c r="A887" s="14">
        <f>IF(OR(NOT(ISNUMBER(Ввод!$B$5)),NOT(ISNUMBER(Ввод!$B$6))),"",IF(Ввод!$B$5+885&gt;Ввод!$B$6,"",Ввод!$B$5+885))</f>
        <v/>
      </c>
      <c r="B887">
        <f>IF(A887="","",IFERROR(INDEX(Ввод!$B$12:$B$71,MATCH(A887,Ввод!$D$12:$D$71,1)),""))</f>
        <v/>
      </c>
      <c r="C887">
        <f>IF(A887="","",DATE(YEAR(A887),12,31)-DATE(YEAR(A887),1,1)+1)</f>
        <v/>
      </c>
      <c r="D887">
        <f>IF(A887="","",Ввод!$B$4-SUMIF(Оплаты!$A$6:$A$505,"&lt;"&amp;A887,Оплаты!$B$6:$B$505))</f>
        <v/>
      </c>
      <c r="E887">
        <f>IF(A887="","",IF(SUMPRODUCT((Ввод!$F$12:$F$31&lt;&gt;"")*(Ввод!$F$12:$F$31&lt;=A887)*(Ввод!$G$12:$G$31&gt;=A887))&gt;0,1,0))</f>
        <v/>
      </c>
      <c r="F887">
        <f>IF(OR(A887="",B887=""),"",IF(E887=1,0,D887*B887/100/C887))</f>
        <v/>
      </c>
      <c r="G887">
        <f>IF(A887="","",IF(OR(B887&lt;&gt;B886,C887&lt;&gt;C886,D887&lt;&gt;D886,E887&lt;&gt;E886),G886+1,G886))</f>
        <v/>
      </c>
    </row>
    <row r="888">
      <c r="A888" s="14">
        <f>IF(OR(NOT(ISNUMBER(Ввод!$B$5)),NOT(ISNUMBER(Ввод!$B$6))),"",IF(Ввод!$B$5+886&gt;Ввод!$B$6,"",Ввод!$B$5+886))</f>
        <v/>
      </c>
      <c r="B888">
        <f>IF(A888="","",IFERROR(INDEX(Ввод!$B$12:$B$71,MATCH(A888,Ввод!$D$12:$D$71,1)),""))</f>
        <v/>
      </c>
      <c r="C888">
        <f>IF(A888="","",DATE(YEAR(A888),12,31)-DATE(YEAR(A888),1,1)+1)</f>
        <v/>
      </c>
      <c r="D888">
        <f>IF(A888="","",Ввод!$B$4-SUMIF(Оплаты!$A$6:$A$505,"&lt;"&amp;A888,Оплаты!$B$6:$B$505))</f>
        <v/>
      </c>
      <c r="E888">
        <f>IF(A888="","",IF(SUMPRODUCT((Ввод!$F$12:$F$31&lt;&gt;"")*(Ввод!$F$12:$F$31&lt;=A888)*(Ввод!$G$12:$G$31&gt;=A888))&gt;0,1,0))</f>
        <v/>
      </c>
      <c r="F888">
        <f>IF(OR(A888="",B888=""),"",IF(E888=1,0,D888*B888/100/C888))</f>
        <v/>
      </c>
      <c r="G888">
        <f>IF(A888="","",IF(OR(B888&lt;&gt;B887,C888&lt;&gt;C887,D888&lt;&gt;D887,E888&lt;&gt;E887),G887+1,G887))</f>
        <v/>
      </c>
    </row>
    <row r="889">
      <c r="A889" s="14">
        <f>IF(OR(NOT(ISNUMBER(Ввод!$B$5)),NOT(ISNUMBER(Ввод!$B$6))),"",IF(Ввод!$B$5+887&gt;Ввод!$B$6,"",Ввод!$B$5+887))</f>
        <v/>
      </c>
      <c r="B889">
        <f>IF(A889="","",IFERROR(INDEX(Ввод!$B$12:$B$71,MATCH(A889,Ввод!$D$12:$D$71,1)),""))</f>
        <v/>
      </c>
      <c r="C889">
        <f>IF(A889="","",DATE(YEAR(A889),12,31)-DATE(YEAR(A889),1,1)+1)</f>
        <v/>
      </c>
      <c r="D889">
        <f>IF(A889="","",Ввод!$B$4-SUMIF(Оплаты!$A$6:$A$505,"&lt;"&amp;A889,Оплаты!$B$6:$B$505))</f>
        <v/>
      </c>
      <c r="E889">
        <f>IF(A889="","",IF(SUMPRODUCT((Ввод!$F$12:$F$31&lt;&gt;"")*(Ввод!$F$12:$F$31&lt;=A889)*(Ввод!$G$12:$G$31&gt;=A889))&gt;0,1,0))</f>
        <v/>
      </c>
      <c r="F889">
        <f>IF(OR(A889="",B889=""),"",IF(E889=1,0,D889*B889/100/C889))</f>
        <v/>
      </c>
      <c r="G889">
        <f>IF(A889="","",IF(OR(B889&lt;&gt;B888,C889&lt;&gt;C888,D889&lt;&gt;D888,E889&lt;&gt;E888),G888+1,G888))</f>
        <v/>
      </c>
    </row>
    <row r="890">
      <c r="A890" s="14">
        <f>IF(OR(NOT(ISNUMBER(Ввод!$B$5)),NOT(ISNUMBER(Ввод!$B$6))),"",IF(Ввод!$B$5+888&gt;Ввод!$B$6,"",Ввод!$B$5+888))</f>
        <v/>
      </c>
      <c r="B890">
        <f>IF(A890="","",IFERROR(INDEX(Ввод!$B$12:$B$71,MATCH(A890,Ввод!$D$12:$D$71,1)),""))</f>
        <v/>
      </c>
      <c r="C890">
        <f>IF(A890="","",DATE(YEAR(A890),12,31)-DATE(YEAR(A890),1,1)+1)</f>
        <v/>
      </c>
      <c r="D890">
        <f>IF(A890="","",Ввод!$B$4-SUMIF(Оплаты!$A$6:$A$505,"&lt;"&amp;A890,Оплаты!$B$6:$B$505))</f>
        <v/>
      </c>
      <c r="E890">
        <f>IF(A890="","",IF(SUMPRODUCT((Ввод!$F$12:$F$31&lt;&gt;"")*(Ввод!$F$12:$F$31&lt;=A890)*(Ввод!$G$12:$G$31&gt;=A890))&gt;0,1,0))</f>
        <v/>
      </c>
      <c r="F890">
        <f>IF(OR(A890="",B890=""),"",IF(E890=1,0,D890*B890/100/C890))</f>
        <v/>
      </c>
      <c r="G890">
        <f>IF(A890="","",IF(OR(B890&lt;&gt;B889,C890&lt;&gt;C889,D890&lt;&gt;D889,E890&lt;&gt;E889),G889+1,G889))</f>
        <v/>
      </c>
    </row>
    <row r="891">
      <c r="A891" s="14">
        <f>IF(OR(NOT(ISNUMBER(Ввод!$B$5)),NOT(ISNUMBER(Ввод!$B$6))),"",IF(Ввод!$B$5+889&gt;Ввод!$B$6,"",Ввод!$B$5+889))</f>
        <v/>
      </c>
      <c r="B891">
        <f>IF(A891="","",IFERROR(INDEX(Ввод!$B$12:$B$71,MATCH(A891,Ввод!$D$12:$D$71,1)),""))</f>
        <v/>
      </c>
      <c r="C891">
        <f>IF(A891="","",DATE(YEAR(A891),12,31)-DATE(YEAR(A891),1,1)+1)</f>
        <v/>
      </c>
      <c r="D891">
        <f>IF(A891="","",Ввод!$B$4-SUMIF(Оплаты!$A$6:$A$505,"&lt;"&amp;A891,Оплаты!$B$6:$B$505))</f>
        <v/>
      </c>
      <c r="E891">
        <f>IF(A891="","",IF(SUMPRODUCT((Ввод!$F$12:$F$31&lt;&gt;"")*(Ввод!$F$12:$F$31&lt;=A891)*(Ввод!$G$12:$G$31&gt;=A891))&gt;0,1,0))</f>
        <v/>
      </c>
      <c r="F891">
        <f>IF(OR(A891="",B891=""),"",IF(E891=1,0,D891*B891/100/C891))</f>
        <v/>
      </c>
      <c r="G891">
        <f>IF(A891="","",IF(OR(B891&lt;&gt;B890,C891&lt;&gt;C890,D891&lt;&gt;D890,E891&lt;&gt;E890),G890+1,G890))</f>
        <v/>
      </c>
    </row>
    <row r="892">
      <c r="A892" s="14">
        <f>IF(OR(NOT(ISNUMBER(Ввод!$B$5)),NOT(ISNUMBER(Ввод!$B$6))),"",IF(Ввод!$B$5+890&gt;Ввод!$B$6,"",Ввод!$B$5+890))</f>
        <v/>
      </c>
      <c r="B892">
        <f>IF(A892="","",IFERROR(INDEX(Ввод!$B$12:$B$71,MATCH(A892,Ввод!$D$12:$D$71,1)),""))</f>
        <v/>
      </c>
      <c r="C892">
        <f>IF(A892="","",DATE(YEAR(A892),12,31)-DATE(YEAR(A892),1,1)+1)</f>
        <v/>
      </c>
      <c r="D892">
        <f>IF(A892="","",Ввод!$B$4-SUMIF(Оплаты!$A$6:$A$505,"&lt;"&amp;A892,Оплаты!$B$6:$B$505))</f>
        <v/>
      </c>
      <c r="E892">
        <f>IF(A892="","",IF(SUMPRODUCT((Ввод!$F$12:$F$31&lt;&gt;"")*(Ввод!$F$12:$F$31&lt;=A892)*(Ввод!$G$12:$G$31&gt;=A892))&gt;0,1,0))</f>
        <v/>
      </c>
      <c r="F892">
        <f>IF(OR(A892="",B892=""),"",IF(E892=1,0,D892*B892/100/C892))</f>
        <v/>
      </c>
      <c r="G892">
        <f>IF(A892="","",IF(OR(B892&lt;&gt;B891,C892&lt;&gt;C891,D892&lt;&gt;D891,E892&lt;&gt;E891),G891+1,G891))</f>
        <v/>
      </c>
    </row>
    <row r="893">
      <c r="A893" s="14">
        <f>IF(OR(NOT(ISNUMBER(Ввод!$B$5)),NOT(ISNUMBER(Ввод!$B$6))),"",IF(Ввод!$B$5+891&gt;Ввод!$B$6,"",Ввод!$B$5+891))</f>
        <v/>
      </c>
      <c r="B893">
        <f>IF(A893="","",IFERROR(INDEX(Ввод!$B$12:$B$71,MATCH(A893,Ввод!$D$12:$D$71,1)),""))</f>
        <v/>
      </c>
      <c r="C893">
        <f>IF(A893="","",DATE(YEAR(A893),12,31)-DATE(YEAR(A893),1,1)+1)</f>
        <v/>
      </c>
      <c r="D893">
        <f>IF(A893="","",Ввод!$B$4-SUMIF(Оплаты!$A$6:$A$505,"&lt;"&amp;A893,Оплаты!$B$6:$B$505))</f>
        <v/>
      </c>
      <c r="E893">
        <f>IF(A893="","",IF(SUMPRODUCT((Ввод!$F$12:$F$31&lt;&gt;"")*(Ввод!$F$12:$F$31&lt;=A893)*(Ввод!$G$12:$G$31&gt;=A893))&gt;0,1,0))</f>
        <v/>
      </c>
      <c r="F893">
        <f>IF(OR(A893="",B893=""),"",IF(E893=1,0,D893*B893/100/C893))</f>
        <v/>
      </c>
      <c r="G893">
        <f>IF(A893="","",IF(OR(B893&lt;&gt;B892,C893&lt;&gt;C892,D893&lt;&gt;D892,E893&lt;&gt;E892),G892+1,G892))</f>
        <v/>
      </c>
    </row>
    <row r="894">
      <c r="A894" s="14">
        <f>IF(OR(NOT(ISNUMBER(Ввод!$B$5)),NOT(ISNUMBER(Ввод!$B$6))),"",IF(Ввод!$B$5+892&gt;Ввод!$B$6,"",Ввод!$B$5+892))</f>
        <v/>
      </c>
      <c r="B894">
        <f>IF(A894="","",IFERROR(INDEX(Ввод!$B$12:$B$71,MATCH(A894,Ввод!$D$12:$D$71,1)),""))</f>
        <v/>
      </c>
      <c r="C894">
        <f>IF(A894="","",DATE(YEAR(A894),12,31)-DATE(YEAR(A894),1,1)+1)</f>
        <v/>
      </c>
      <c r="D894">
        <f>IF(A894="","",Ввод!$B$4-SUMIF(Оплаты!$A$6:$A$505,"&lt;"&amp;A894,Оплаты!$B$6:$B$505))</f>
        <v/>
      </c>
      <c r="E894">
        <f>IF(A894="","",IF(SUMPRODUCT((Ввод!$F$12:$F$31&lt;&gt;"")*(Ввод!$F$12:$F$31&lt;=A894)*(Ввод!$G$12:$G$31&gt;=A894))&gt;0,1,0))</f>
        <v/>
      </c>
      <c r="F894">
        <f>IF(OR(A894="",B894=""),"",IF(E894=1,0,D894*B894/100/C894))</f>
        <v/>
      </c>
      <c r="G894">
        <f>IF(A894="","",IF(OR(B894&lt;&gt;B893,C894&lt;&gt;C893,D894&lt;&gt;D893,E894&lt;&gt;E893),G893+1,G893))</f>
        <v/>
      </c>
    </row>
    <row r="895">
      <c r="A895" s="14">
        <f>IF(OR(NOT(ISNUMBER(Ввод!$B$5)),NOT(ISNUMBER(Ввод!$B$6))),"",IF(Ввод!$B$5+893&gt;Ввод!$B$6,"",Ввод!$B$5+893))</f>
        <v/>
      </c>
      <c r="B895">
        <f>IF(A895="","",IFERROR(INDEX(Ввод!$B$12:$B$71,MATCH(A895,Ввод!$D$12:$D$71,1)),""))</f>
        <v/>
      </c>
      <c r="C895">
        <f>IF(A895="","",DATE(YEAR(A895),12,31)-DATE(YEAR(A895),1,1)+1)</f>
        <v/>
      </c>
      <c r="D895">
        <f>IF(A895="","",Ввод!$B$4-SUMIF(Оплаты!$A$6:$A$505,"&lt;"&amp;A895,Оплаты!$B$6:$B$505))</f>
        <v/>
      </c>
      <c r="E895">
        <f>IF(A895="","",IF(SUMPRODUCT((Ввод!$F$12:$F$31&lt;&gt;"")*(Ввод!$F$12:$F$31&lt;=A895)*(Ввод!$G$12:$G$31&gt;=A895))&gt;0,1,0))</f>
        <v/>
      </c>
      <c r="F895">
        <f>IF(OR(A895="",B895=""),"",IF(E895=1,0,D895*B895/100/C895))</f>
        <v/>
      </c>
      <c r="G895">
        <f>IF(A895="","",IF(OR(B895&lt;&gt;B894,C895&lt;&gt;C894,D895&lt;&gt;D894,E895&lt;&gt;E894),G894+1,G894))</f>
        <v/>
      </c>
    </row>
    <row r="896">
      <c r="A896" s="14">
        <f>IF(OR(NOT(ISNUMBER(Ввод!$B$5)),NOT(ISNUMBER(Ввод!$B$6))),"",IF(Ввод!$B$5+894&gt;Ввод!$B$6,"",Ввод!$B$5+894))</f>
        <v/>
      </c>
      <c r="B896">
        <f>IF(A896="","",IFERROR(INDEX(Ввод!$B$12:$B$71,MATCH(A896,Ввод!$D$12:$D$71,1)),""))</f>
        <v/>
      </c>
      <c r="C896">
        <f>IF(A896="","",DATE(YEAR(A896),12,31)-DATE(YEAR(A896),1,1)+1)</f>
        <v/>
      </c>
      <c r="D896">
        <f>IF(A896="","",Ввод!$B$4-SUMIF(Оплаты!$A$6:$A$505,"&lt;"&amp;A896,Оплаты!$B$6:$B$505))</f>
        <v/>
      </c>
      <c r="E896">
        <f>IF(A896="","",IF(SUMPRODUCT((Ввод!$F$12:$F$31&lt;&gt;"")*(Ввод!$F$12:$F$31&lt;=A896)*(Ввод!$G$12:$G$31&gt;=A896))&gt;0,1,0))</f>
        <v/>
      </c>
      <c r="F896">
        <f>IF(OR(A896="",B896=""),"",IF(E896=1,0,D896*B896/100/C896))</f>
        <v/>
      </c>
      <c r="G896">
        <f>IF(A896="","",IF(OR(B896&lt;&gt;B895,C896&lt;&gt;C895,D896&lt;&gt;D895,E896&lt;&gt;E895),G895+1,G895))</f>
        <v/>
      </c>
    </row>
    <row r="897">
      <c r="A897" s="14">
        <f>IF(OR(NOT(ISNUMBER(Ввод!$B$5)),NOT(ISNUMBER(Ввод!$B$6))),"",IF(Ввод!$B$5+895&gt;Ввод!$B$6,"",Ввод!$B$5+895))</f>
        <v/>
      </c>
      <c r="B897">
        <f>IF(A897="","",IFERROR(INDEX(Ввод!$B$12:$B$71,MATCH(A897,Ввод!$D$12:$D$71,1)),""))</f>
        <v/>
      </c>
      <c r="C897">
        <f>IF(A897="","",DATE(YEAR(A897),12,31)-DATE(YEAR(A897),1,1)+1)</f>
        <v/>
      </c>
      <c r="D897">
        <f>IF(A897="","",Ввод!$B$4-SUMIF(Оплаты!$A$6:$A$505,"&lt;"&amp;A897,Оплаты!$B$6:$B$505))</f>
        <v/>
      </c>
      <c r="E897">
        <f>IF(A897="","",IF(SUMPRODUCT((Ввод!$F$12:$F$31&lt;&gt;"")*(Ввод!$F$12:$F$31&lt;=A897)*(Ввод!$G$12:$G$31&gt;=A897))&gt;0,1,0))</f>
        <v/>
      </c>
      <c r="F897">
        <f>IF(OR(A897="",B897=""),"",IF(E897=1,0,D897*B897/100/C897))</f>
        <v/>
      </c>
      <c r="G897">
        <f>IF(A897="","",IF(OR(B897&lt;&gt;B896,C897&lt;&gt;C896,D897&lt;&gt;D896,E897&lt;&gt;E896),G896+1,G896))</f>
        <v/>
      </c>
    </row>
    <row r="898">
      <c r="A898" s="14">
        <f>IF(OR(NOT(ISNUMBER(Ввод!$B$5)),NOT(ISNUMBER(Ввод!$B$6))),"",IF(Ввод!$B$5+896&gt;Ввод!$B$6,"",Ввод!$B$5+896))</f>
        <v/>
      </c>
      <c r="B898">
        <f>IF(A898="","",IFERROR(INDEX(Ввод!$B$12:$B$71,MATCH(A898,Ввод!$D$12:$D$71,1)),""))</f>
        <v/>
      </c>
      <c r="C898">
        <f>IF(A898="","",DATE(YEAR(A898),12,31)-DATE(YEAR(A898),1,1)+1)</f>
        <v/>
      </c>
      <c r="D898">
        <f>IF(A898="","",Ввод!$B$4-SUMIF(Оплаты!$A$6:$A$505,"&lt;"&amp;A898,Оплаты!$B$6:$B$505))</f>
        <v/>
      </c>
      <c r="E898">
        <f>IF(A898="","",IF(SUMPRODUCT((Ввод!$F$12:$F$31&lt;&gt;"")*(Ввод!$F$12:$F$31&lt;=A898)*(Ввод!$G$12:$G$31&gt;=A898))&gt;0,1,0))</f>
        <v/>
      </c>
      <c r="F898">
        <f>IF(OR(A898="",B898=""),"",IF(E898=1,0,D898*B898/100/C898))</f>
        <v/>
      </c>
      <c r="G898">
        <f>IF(A898="","",IF(OR(B898&lt;&gt;B897,C898&lt;&gt;C897,D898&lt;&gt;D897,E898&lt;&gt;E897),G897+1,G897))</f>
        <v/>
      </c>
    </row>
    <row r="899">
      <c r="A899" s="14">
        <f>IF(OR(NOT(ISNUMBER(Ввод!$B$5)),NOT(ISNUMBER(Ввод!$B$6))),"",IF(Ввод!$B$5+897&gt;Ввод!$B$6,"",Ввод!$B$5+897))</f>
        <v/>
      </c>
      <c r="B899">
        <f>IF(A899="","",IFERROR(INDEX(Ввод!$B$12:$B$71,MATCH(A899,Ввод!$D$12:$D$71,1)),""))</f>
        <v/>
      </c>
      <c r="C899">
        <f>IF(A899="","",DATE(YEAR(A899),12,31)-DATE(YEAR(A899),1,1)+1)</f>
        <v/>
      </c>
      <c r="D899">
        <f>IF(A899="","",Ввод!$B$4-SUMIF(Оплаты!$A$6:$A$505,"&lt;"&amp;A899,Оплаты!$B$6:$B$505))</f>
        <v/>
      </c>
      <c r="E899">
        <f>IF(A899="","",IF(SUMPRODUCT((Ввод!$F$12:$F$31&lt;&gt;"")*(Ввод!$F$12:$F$31&lt;=A899)*(Ввод!$G$12:$G$31&gt;=A899))&gt;0,1,0))</f>
        <v/>
      </c>
      <c r="F899">
        <f>IF(OR(A899="",B899=""),"",IF(E899=1,0,D899*B899/100/C899))</f>
        <v/>
      </c>
      <c r="G899">
        <f>IF(A899="","",IF(OR(B899&lt;&gt;B898,C899&lt;&gt;C898,D899&lt;&gt;D898,E899&lt;&gt;E898),G898+1,G898))</f>
        <v/>
      </c>
    </row>
    <row r="900">
      <c r="A900" s="14">
        <f>IF(OR(NOT(ISNUMBER(Ввод!$B$5)),NOT(ISNUMBER(Ввод!$B$6))),"",IF(Ввод!$B$5+898&gt;Ввод!$B$6,"",Ввод!$B$5+898))</f>
        <v/>
      </c>
      <c r="B900">
        <f>IF(A900="","",IFERROR(INDEX(Ввод!$B$12:$B$71,MATCH(A900,Ввод!$D$12:$D$71,1)),""))</f>
        <v/>
      </c>
      <c r="C900">
        <f>IF(A900="","",DATE(YEAR(A900),12,31)-DATE(YEAR(A900),1,1)+1)</f>
        <v/>
      </c>
      <c r="D900">
        <f>IF(A900="","",Ввод!$B$4-SUMIF(Оплаты!$A$6:$A$505,"&lt;"&amp;A900,Оплаты!$B$6:$B$505))</f>
        <v/>
      </c>
      <c r="E900">
        <f>IF(A900="","",IF(SUMPRODUCT((Ввод!$F$12:$F$31&lt;&gt;"")*(Ввод!$F$12:$F$31&lt;=A900)*(Ввод!$G$12:$G$31&gt;=A900))&gt;0,1,0))</f>
        <v/>
      </c>
      <c r="F900">
        <f>IF(OR(A900="",B900=""),"",IF(E900=1,0,D900*B900/100/C900))</f>
        <v/>
      </c>
      <c r="G900">
        <f>IF(A900="","",IF(OR(B900&lt;&gt;B899,C900&lt;&gt;C899,D900&lt;&gt;D899,E900&lt;&gt;E899),G899+1,G899))</f>
        <v/>
      </c>
    </row>
    <row r="901">
      <c r="A901" s="14">
        <f>IF(OR(NOT(ISNUMBER(Ввод!$B$5)),NOT(ISNUMBER(Ввод!$B$6))),"",IF(Ввод!$B$5+899&gt;Ввод!$B$6,"",Ввод!$B$5+899))</f>
        <v/>
      </c>
      <c r="B901">
        <f>IF(A901="","",IFERROR(INDEX(Ввод!$B$12:$B$71,MATCH(A901,Ввод!$D$12:$D$71,1)),""))</f>
        <v/>
      </c>
      <c r="C901">
        <f>IF(A901="","",DATE(YEAR(A901),12,31)-DATE(YEAR(A901),1,1)+1)</f>
        <v/>
      </c>
      <c r="D901">
        <f>IF(A901="","",Ввод!$B$4-SUMIF(Оплаты!$A$6:$A$505,"&lt;"&amp;A901,Оплаты!$B$6:$B$505))</f>
        <v/>
      </c>
      <c r="E901">
        <f>IF(A901="","",IF(SUMPRODUCT((Ввод!$F$12:$F$31&lt;&gt;"")*(Ввод!$F$12:$F$31&lt;=A901)*(Ввод!$G$12:$G$31&gt;=A901))&gt;0,1,0))</f>
        <v/>
      </c>
      <c r="F901">
        <f>IF(OR(A901="",B901=""),"",IF(E901=1,0,D901*B901/100/C901))</f>
        <v/>
      </c>
      <c r="G901">
        <f>IF(A901="","",IF(OR(B901&lt;&gt;B900,C901&lt;&gt;C900,D901&lt;&gt;D900,E901&lt;&gt;E900),G900+1,G900))</f>
        <v/>
      </c>
    </row>
    <row r="902">
      <c r="A902" s="14">
        <f>IF(OR(NOT(ISNUMBER(Ввод!$B$5)),NOT(ISNUMBER(Ввод!$B$6))),"",IF(Ввод!$B$5+900&gt;Ввод!$B$6,"",Ввод!$B$5+900))</f>
        <v/>
      </c>
      <c r="B902">
        <f>IF(A902="","",IFERROR(INDEX(Ввод!$B$12:$B$71,MATCH(A902,Ввод!$D$12:$D$71,1)),""))</f>
        <v/>
      </c>
      <c r="C902">
        <f>IF(A902="","",DATE(YEAR(A902),12,31)-DATE(YEAR(A902),1,1)+1)</f>
        <v/>
      </c>
      <c r="D902">
        <f>IF(A902="","",Ввод!$B$4-SUMIF(Оплаты!$A$6:$A$505,"&lt;"&amp;A902,Оплаты!$B$6:$B$505))</f>
        <v/>
      </c>
      <c r="E902">
        <f>IF(A902="","",IF(SUMPRODUCT((Ввод!$F$12:$F$31&lt;&gt;"")*(Ввод!$F$12:$F$31&lt;=A902)*(Ввод!$G$12:$G$31&gt;=A902))&gt;0,1,0))</f>
        <v/>
      </c>
      <c r="F902">
        <f>IF(OR(A902="",B902=""),"",IF(E902=1,0,D902*B902/100/C902))</f>
        <v/>
      </c>
      <c r="G902">
        <f>IF(A902="","",IF(OR(B902&lt;&gt;B901,C902&lt;&gt;C901,D902&lt;&gt;D901,E902&lt;&gt;E901),G901+1,G901))</f>
        <v/>
      </c>
    </row>
    <row r="903">
      <c r="A903" s="14">
        <f>IF(OR(NOT(ISNUMBER(Ввод!$B$5)),NOT(ISNUMBER(Ввод!$B$6))),"",IF(Ввод!$B$5+901&gt;Ввод!$B$6,"",Ввод!$B$5+901))</f>
        <v/>
      </c>
      <c r="B903">
        <f>IF(A903="","",IFERROR(INDEX(Ввод!$B$12:$B$71,MATCH(A903,Ввод!$D$12:$D$71,1)),""))</f>
        <v/>
      </c>
      <c r="C903">
        <f>IF(A903="","",DATE(YEAR(A903),12,31)-DATE(YEAR(A903),1,1)+1)</f>
        <v/>
      </c>
      <c r="D903">
        <f>IF(A903="","",Ввод!$B$4-SUMIF(Оплаты!$A$6:$A$505,"&lt;"&amp;A903,Оплаты!$B$6:$B$505))</f>
        <v/>
      </c>
      <c r="E903">
        <f>IF(A903="","",IF(SUMPRODUCT((Ввод!$F$12:$F$31&lt;&gt;"")*(Ввод!$F$12:$F$31&lt;=A903)*(Ввод!$G$12:$G$31&gt;=A903))&gt;0,1,0))</f>
        <v/>
      </c>
      <c r="F903">
        <f>IF(OR(A903="",B903=""),"",IF(E903=1,0,D903*B903/100/C903))</f>
        <v/>
      </c>
      <c r="G903">
        <f>IF(A903="","",IF(OR(B903&lt;&gt;B902,C903&lt;&gt;C902,D903&lt;&gt;D902,E903&lt;&gt;E902),G902+1,G902))</f>
        <v/>
      </c>
    </row>
    <row r="904">
      <c r="A904" s="14">
        <f>IF(OR(NOT(ISNUMBER(Ввод!$B$5)),NOT(ISNUMBER(Ввод!$B$6))),"",IF(Ввод!$B$5+902&gt;Ввод!$B$6,"",Ввод!$B$5+902))</f>
        <v/>
      </c>
      <c r="B904">
        <f>IF(A904="","",IFERROR(INDEX(Ввод!$B$12:$B$71,MATCH(A904,Ввод!$D$12:$D$71,1)),""))</f>
        <v/>
      </c>
      <c r="C904">
        <f>IF(A904="","",DATE(YEAR(A904),12,31)-DATE(YEAR(A904),1,1)+1)</f>
        <v/>
      </c>
      <c r="D904">
        <f>IF(A904="","",Ввод!$B$4-SUMIF(Оплаты!$A$6:$A$505,"&lt;"&amp;A904,Оплаты!$B$6:$B$505))</f>
        <v/>
      </c>
      <c r="E904">
        <f>IF(A904="","",IF(SUMPRODUCT((Ввод!$F$12:$F$31&lt;&gt;"")*(Ввод!$F$12:$F$31&lt;=A904)*(Ввод!$G$12:$G$31&gt;=A904))&gt;0,1,0))</f>
        <v/>
      </c>
      <c r="F904">
        <f>IF(OR(A904="",B904=""),"",IF(E904=1,0,D904*B904/100/C904))</f>
        <v/>
      </c>
      <c r="G904">
        <f>IF(A904="","",IF(OR(B904&lt;&gt;B903,C904&lt;&gt;C903,D904&lt;&gt;D903,E904&lt;&gt;E903),G903+1,G903))</f>
        <v/>
      </c>
    </row>
    <row r="905">
      <c r="A905" s="14">
        <f>IF(OR(NOT(ISNUMBER(Ввод!$B$5)),NOT(ISNUMBER(Ввод!$B$6))),"",IF(Ввод!$B$5+903&gt;Ввод!$B$6,"",Ввод!$B$5+903))</f>
        <v/>
      </c>
      <c r="B905">
        <f>IF(A905="","",IFERROR(INDEX(Ввод!$B$12:$B$71,MATCH(A905,Ввод!$D$12:$D$71,1)),""))</f>
        <v/>
      </c>
      <c r="C905">
        <f>IF(A905="","",DATE(YEAR(A905),12,31)-DATE(YEAR(A905),1,1)+1)</f>
        <v/>
      </c>
      <c r="D905">
        <f>IF(A905="","",Ввод!$B$4-SUMIF(Оплаты!$A$6:$A$505,"&lt;"&amp;A905,Оплаты!$B$6:$B$505))</f>
        <v/>
      </c>
      <c r="E905">
        <f>IF(A905="","",IF(SUMPRODUCT((Ввод!$F$12:$F$31&lt;&gt;"")*(Ввод!$F$12:$F$31&lt;=A905)*(Ввод!$G$12:$G$31&gt;=A905))&gt;0,1,0))</f>
        <v/>
      </c>
      <c r="F905">
        <f>IF(OR(A905="",B905=""),"",IF(E905=1,0,D905*B905/100/C905))</f>
        <v/>
      </c>
      <c r="G905">
        <f>IF(A905="","",IF(OR(B905&lt;&gt;B904,C905&lt;&gt;C904,D905&lt;&gt;D904,E905&lt;&gt;E904),G904+1,G904))</f>
        <v/>
      </c>
    </row>
    <row r="906">
      <c r="A906" s="14">
        <f>IF(OR(NOT(ISNUMBER(Ввод!$B$5)),NOT(ISNUMBER(Ввод!$B$6))),"",IF(Ввод!$B$5+904&gt;Ввод!$B$6,"",Ввод!$B$5+904))</f>
        <v/>
      </c>
      <c r="B906">
        <f>IF(A906="","",IFERROR(INDEX(Ввод!$B$12:$B$71,MATCH(A906,Ввод!$D$12:$D$71,1)),""))</f>
        <v/>
      </c>
      <c r="C906">
        <f>IF(A906="","",DATE(YEAR(A906),12,31)-DATE(YEAR(A906),1,1)+1)</f>
        <v/>
      </c>
      <c r="D906">
        <f>IF(A906="","",Ввод!$B$4-SUMIF(Оплаты!$A$6:$A$505,"&lt;"&amp;A906,Оплаты!$B$6:$B$505))</f>
        <v/>
      </c>
      <c r="E906">
        <f>IF(A906="","",IF(SUMPRODUCT((Ввод!$F$12:$F$31&lt;&gt;"")*(Ввод!$F$12:$F$31&lt;=A906)*(Ввод!$G$12:$G$31&gt;=A906))&gt;0,1,0))</f>
        <v/>
      </c>
      <c r="F906">
        <f>IF(OR(A906="",B906=""),"",IF(E906=1,0,D906*B906/100/C906))</f>
        <v/>
      </c>
      <c r="G906">
        <f>IF(A906="","",IF(OR(B906&lt;&gt;B905,C906&lt;&gt;C905,D906&lt;&gt;D905,E906&lt;&gt;E905),G905+1,G905))</f>
        <v/>
      </c>
    </row>
    <row r="907">
      <c r="A907" s="14">
        <f>IF(OR(NOT(ISNUMBER(Ввод!$B$5)),NOT(ISNUMBER(Ввод!$B$6))),"",IF(Ввод!$B$5+905&gt;Ввод!$B$6,"",Ввод!$B$5+905))</f>
        <v/>
      </c>
      <c r="B907">
        <f>IF(A907="","",IFERROR(INDEX(Ввод!$B$12:$B$71,MATCH(A907,Ввод!$D$12:$D$71,1)),""))</f>
        <v/>
      </c>
      <c r="C907">
        <f>IF(A907="","",DATE(YEAR(A907),12,31)-DATE(YEAR(A907),1,1)+1)</f>
        <v/>
      </c>
      <c r="D907">
        <f>IF(A907="","",Ввод!$B$4-SUMIF(Оплаты!$A$6:$A$505,"&lt;"&amp;A907,Оплаты!$B$6:$B$505))</f>
        <v/>
      </c>
      <c r="E907">
        <f>IF(A907="","",IF(SUMPRODUCT((Ввод!$F$12:$F$31&lt;&gt;"")*(Ввод!$F$12:$F$31&lt;=A907)*(Ввод!$G$12:$G$31&gt;=A907))&gt;0,1,0))</f>
        <v/>
      </c>
      <c r="F907">
        <f>IF(OR(A907="",B907=""),"",IF(E907=1,0,D907*B907/100/C907))</f>
        <v/>
      </c>
      <c r="G907">
        <f>IF(A907="","",IF(OR(B907&lt;&gt;B906,C907&lt;&gt;C906,D907&lt;&gt;D906,E907&lt;&gt;E906),G906+1,G906))</f>
        <v/>
      </c>
    </row>
    <row r="908">
      <c r="A908" s="14">
        <f>IF(OR(NOT(ISNUMBER(Ввод!$B$5)),NOT(ISNUMBER(Ввод!$B$6))),"",IF(Ввод!$B$5+906&gt;Ввод!$B$6,"",Ввод!$B$5+906))</f>
        <v/>
      </c>
      <c r="B908">
        <f>IF(A908="","",IFERROR(INDEX(Ввод!$B$12:$B$71,MATCH(A908,Ввод!$D$12:$D$71,1)),""))</f>
        <v/>
      </c>
      <c r="C908">
        <f>IF(A908="","",DATE(YEAR(A908),12,31)-DATE(YEAR(A908),1,1)+1)</f>
        <v/>
      </c>
      <c r="D908">
        <f>IF(A908="","",Ввод!$B$4-SUMIF(Оплаты!$A$6:$A$505,"&lt;"&amp;A908,Оплаты!$B$6:$B$505))</f>
        <v/>
      </c>
      <c r="E908">
        <f>IF(A908="","",IF(SUMPRODUCT((Ввод!$F$12:$F$31&lt;&gt;"")*(Ввод!$F$12:$F$31&lt;=A908)*(Ввод!$G$12:$G$31&gt;=A908))&gt;0,1,0))</f>
        <v/>
      </c>
      <c r="F908">
        <f>IF(OR(A908="",B908=""),"",IF(E908=1,0,D908*B908/100/C908))</f>
        <v/>
      </c>
      <c r="G908">
        <f>IF(A908="","",IF(OR(B908&lt;&gt;B907,C908&lt;&gt;C907,D908&lt;&gt;D907,E908&lt;&gt;E907),G907+1,G907))</f>
        <v/>
      </c>
    </row>
    <row r="909">
      <c r="A909" s="14">
        <f>IF(OR(NOT(ISNUMBER(Ввод!$B$5)),NOT(ISNUMBER(Ввод!$B$6))),"",IF(Ввод!$B$5+907&gt;Ввод!$B$6,"",Ввод!$B$5+907))</f>
        <v/>
      </c>
      <c r="B909">
        <f>IF(A909="","",IFERROR(INDEX(Ввод!$B$12:$B$71,MATCH(A909,Ввод!$D$12:$D$71,1)),""))</f>
        <v/>
      </c>
      <c r="C909">
        <f>IF(A909="","",DATE(YEAR(A909),12,31)-DATE(YEAR(A909),1,1)+1)</f>
        <v/>
      </c>
      <c r="D909">
        <f>IF(A909="","",Ввод!$B$4-SUMIF(Оплаты!$A$6:$A$505,"&lt;"&amp;A909,Оплаты!$B$6:$B$505))</f>
        <v/>
      </c>
      <c r="E909">
        <f>IF(A909="","",IF(SUMPRODUCT((Ввод!$F$12:$F$31&lt;&gt;"")*(Ввод!$F$12:$F$31&lt;=A909)*(Ввод!$G$12:$G$31&gt;=A909))&gt;0,1,0))</f>
        <v/>
      </c>
      <c r="F909">
        <f>IF(OR(A909="",B909=""),"",IF(E909=1,0,D909*B909/100/C909))</f>
        <v/>
      </c>
      <c r="G909">
        <f>IF(A909="","",IF(OR(B909&lt;&gt;B908,C909&lt;&gt;C908,D909&lt;&gt;D908,E909&lt;&gt;E908),G908+1,G908))</f>
        <v/>
      </c>
    </row>
    <row r="910">
      <c r="A910" s="14">
        <f>IF(OR(NOT(ISNUMBER(Ввод!$B$5)),NOT(ISNUMBER(Ввод!$B$6))),"",IF(Ввод!$B$5+908&gt;Ввод!$B$6,"",Ввод!$B$5+908))</f>
        <v/>
      </c>
      <c r="B910">
        <f>IF(A910="","",IFERROR(INDEX(Ввод!$B$12:$B$71,MATCH(A910,Ввод!$D$12:$D$71,1)),""))</f>
        <v/>
      </c>
      <c r="C910">
        <f>IF(A910="","",DATE(YEAR(A910),12,31)-DATE(YEAR(A910),1,1)+1)</f>
        <v/>
      </c>
      <c r="D910">
        <f>IF(A910="","",Ввод!$B$4-SUMIF(Оплаты!$A$6:$A$505,"&lt;"&amp;A910,Оплаты!$B$6:$B$505))</f>
        <v/>
      </c>
      <c r="E910">
        <f>IF(A910="","",IF(SUMPRODUCT((Ввод!$F$12:$F$31&lt;&gt;"")*(Ввод!$F$12:$F$31&lt;=A910)*(Ввод!$G$12:$G$31&gt;=A910))&gt;0,1,0))</f>
        <v/>
      </c>
      <c r="F910">
        <f>IF(OR(A910="",B910=""),"",IF(E910=1,0,D910*B910/100/C910))</f>
        <v/>
      </c>
      <c r="G910">
        <f>IF(A910="","",IF(OR(B910&lt;&gt;B909,C910&lt;&gt;C909,D910&lt;&gt;D909,E910&lt;&gt;E909),G909+1,G909))</f>
        <v/>
      </c>
    </row>
    <row r="911">
      <c r="A911" s="14">
        <f>IF(OR(NOT(ISNUMBER(Ввод!$B$5)),NOT(ISNUMBER(Ввод!$B$6))),"",IF(Ввод!$B$5+909&gt;Ввод!$B$6,"",Ввод!$B$5+909))</f>
        <v/>
      </c>
      <c r="B911">
        <f>IF(A911="","",IFERROR(INDEX(Ввод!$B$12:$B$71,MATCH(A911,Ввод!$D$12:$D$71,1)),""))</f>
        <v/>
      </c>
      <c r="C911">
        <f>IF(A911="","",DATE(YEAR(A911),12,31)-DATE(YEAR(A911),1,1)+1)</f>
        <v/>
      </c>
      <c r="D911">
        <f>IF(A911="","",Ввод!$B$4-SUMIF(Оплаты!$A$6:$A$505,"&lt;"&amp;A911,Оплаты!$B$6:$B$505))</f>
        <v/>
      </c>
      <c r="E911">
        <f>IF(A911="","",IF(SUMPRODUCT((Ввод!$F$12:$F$31&lt;&gt;"")*(Ввод!$F$12:$F$31&lt;=A911)*(Ввод!$G$12:$G$31&gt;=A911))&gt;0,1,0))</f>
        <v/>
      </c>
      <c r="F911">
        <f>IF(OR(A911="",B911=""),"",IF(E911=1,0,D911*B911/100/C911))</f>
        <v/>
      </c>
      <c r="G911">
        <f>IF(A911="","",IF(OR(B911&lt;&gt;B910,C911&lt;&gt;C910,D911&lt;&gt;D910,E911&lt;&gt;E910),G910+1,G910))</f>
        <v/>
      </c>
    </row>
    <row r="912">
      <c r="A912" s="14">
        <f>IF(OR(NOT(ISNUMBER(Ввод!$B$5)),NOT(ISNUMBER(Ввод!$B$6))),"",IF(Ввод!$B$5+910&gt;Ввод!$B$6,"",Ввод!$B$5+910))</f>
        <v/>
      </c>
      <c r="B912">
        <f>IF(A912="","",IFERROR(INDEX(Ввод!$B$12:$B$71,MATCH(A912,Ввод!$D$12:$D$71,1)),""))</f>
        <v/>
      </c>
      <c r="C912">
        <f>IF(A912="","",DATE(YEAR(A912),12,31)-DATE(YEAR(A912),1,1)+1)</f>
        <v/>
      </c>
      <c r="D912">
        <f>IF(A912="","",Ввод!$B$4-SUMIF(Оплаты!$A$6:$A$505,"&lt;"&amp;A912,Оплаты!$B$6:$B$505))</f>
        <v/>
      </c>
      <c r="E912">
        <f>IF(A912="","",IF(SUMPRODUCT((Ввод!$F$12:$F$31&lt;&gt;"")*(Ввод!$F$12:$F$31&lt;=A912)*(Ввод!$G$12:$G$31&gt;=A912))&gt;0,1,0))</f>
        <v/>
      </c>
      <c r="F912">
        <f>IF(OR(A912="",B912=""),"",IF(E912=1,0,D912*B912/100/C912))</f>
        <v/>
      </c>
      <c r="G912">
        <f>IF(A912="","",IF(OR(B912&lt;&gt;B911,C912&lt;&gt;C911,D912&lt;&gt;D911,E912&lt;&gt;E911),G911+1,G911))</f>
        <v/>
      </c>
    </row>
    <row r="913">
      <c r="A913" s="14">
        <f>IF(OR(NOT(ISNUMBER(Ввод!$B$5)),NOT(ISNUMBER(Ввод!$B$6))),"",IF(Ввод!$B$5+911&gt;Ввод!$B$6,"",Ввод!$B$5+911))</f>
        <v/>
      </c>
      <c r="B913">
        <f>IF(A913="","",IFERROR(INDEX(Ввод!$B$12:$B$71,MATCH(A913,Ввод!$D$12:$D$71,1)),""))</f>
        <v/>
      </c>
      <c r="C913">
        <f>IF(A913="","",DATE(YEAR(A913),12,31)-DATE(YEAR(A913),1,1)+1)</f>
        <v/>
      </c>
      <c r="D913">
        <f>IF(A913="","",Ввод!$B$4-SUMIF(Оплаты!$A$6:$A$505,"&lt;"&amp;A913,Оплаты!$B$6:$B$505))</f>
        <v/>
      </c>
      <c r="E913">
        <f>IF(A913="","",IF(SUMPRODUCT((Ввод!$F$12:$F$31&lt;&gt;"")*(Ввод!$F$12:$F$31&lt;=A913)*(Ввод!$G$12:$G$31&gt;=A913))&gt;0,1,0))</f>
        <v/>
      </c>
      <c r="F913">
        <f>IF(OR(A913="",B913=""),"",IF(E913=1,0,D913*B913/100/C913))</f>
        <v/>
      </c>
      <c r="G913">
        <f>IF(A913="","",IF(OR(B913&lt;&gt;B912,C913&lt;&gt;C912,D913&lt;&gt;D912,E913&lt;&gt;E912),G912+1,G912))</f>
        <v/>
      </c>
    </row>
    <row r="914">
      <c r="A914" s="14">
        <f>IF(OR(NOT(ISNUMBER(Ввод!$B$5)),NOT(ISNUMBER(Ввод!$B$6))),"",IF(Ввод!$B$5+912&gt;Ввод!$B$6,"",Ввод!$B$5+912))</f>
        <v/>
      </c>
      <c r="B914">
        <f>IF(A914="","",IFERROR(INDEX(Ввод!$B$12:$B$71,MATCH(A914,Ввод!$D$12:$D$71,1)),""))</f>
        <v/>
      </c>
      <c r="C914">
        <f>IF(A914="","",DATE(YEAR(A914),12,31)-DATE(YEAR(A914),1,1)+1)</f>
        <v/>
      </c>
      <c r="D914">
        <f>IF(A914="","",Ввод!$B$4-SUMIF(Оплаты!$A$6:$A$505,"&lt;"&amp;A914,Оплаты!$B$6:$B$505))</f>
        <v/>
      </c>
      <c r="E914">
        <f>IF(A914="","",IF(SUMPRODUCT((Ввод!$F$12:$F$31&lt;&gt;"")*(Ввод!$F$12:$F$31&lt;=A914)*(Ввод!$G$12:$G$31&gt;=A914))&gt;0,1,0))</f>
        <v/>
      </c>
      <c r="F914">
        <f>IF(OR(A914="",B914=""),"",IF(E914=1,0,D914*B914/100/C914))</f>
        <v/>
      </c>
      <c r="G914">
        <f>IF(A914="","",IF(OR(B914&lt;&gt;B913,C914&lt;&gt;C913,D914&lt;&gt;D913,E914&lt;&gt;E913),G913+1,G913))</f>
        <v/>
      </c>
    </row>
    <row r="915">
      <c r="A915" s="14">
        <f>IF(OR(NOT(ISNUMBER(Ввод!$B$5)),NOT(ISNUMBER(Ввод!$B$6))),"",IF(Ввод!$B$5+913&gt;Ввод!$B$6,"",Ввод!$B$5+913))</f>
        <v/>
      </c>
      <c r="B915">
        <f>IF(A915="","",IFERROR(INDEX(Ввод!$B$12:$B$71,MATCH(A915,Ввод!$D$12:$D$71,1)),""))</f>
        <v/>
      </c>
      <c r="C915">
        <f>IF(A915="","",DATE(YEAR(A915),12,31)-DATE(YEAR(A915),1,1)+1)</f>
        <v/>
      </c>
      <c r="D915">
        <f>IF(A915="","",Ввод!$B$4-SUMIF(Оплаты!$A$6:$A$505,"&lt;"&amp;A915,Оплаты!$B$6:$B$505))</f>
        <v/>
      </c>
      <c r="E915">
        <f>IF(A915="","",IF(SUMPRODUCT((Ввод!$F$12:$F$31&lt;&gt;"")*(Ввод!$F$12:$F$31&lt;=A915)*(Ввод!$G$12:$G$31&gt;=A915))&gt;0,1,0))</f>
        <v/>
      </c>
      <c r="F915">
        <f>IF(OR(A915="",B915=""),"",IF(E915=1,0,D915*B915/100/C915))</f>
        <v/>
      </c>
      <c r="G915">
        <f>IF(A915="","",IF(OR(B915&lt;&gt;B914,C915&lt;&gt;C914,D915&lt;&gt;D914,E915&lt;&gt;E914),G914+1,G914))</f>
        <v/>
      </c>
    </row>
    <row r="916">
      <c r="A916" s="14">
        <f>IF(OR(NOT(ISNUMBER(Ввод!$B$5)),NOT(ISNUMBER(Ввод!$B$6))),"",IF(Ввод!$B$5+914&gt;Ввод!$B$6,"",Ввод!$B$5+914))</f>
        <v/>
      </c>
      <c r="B916">
        <f>IF(A916="","",IFERROR(INDEX(Ввод!$B$12:$B$71,MATCH(A916,Ввод!$D$12:$D$71,1)),""))</f>
        <v/>
      </c>
      <c r="C916">
        <f>IF(A916="","",DATE(YEAR(A916),12,31)-DATE(YEAR(A916),1,1)+1)</f>
        <v/>
      </c>
      <c r="D916">
        <f>IF(A916="","",Ввод!$B$4-SUMIF(Оплаты!$A$6:$A$505,"&lt;"&amp;A916,Оплаты!$B$6:$B$505))</f>
        <v/>
      </c>
      <c r="E916">
        <f>IF(A916="","",IF(SUMPRODUCT((Ввод!$F$12:$F$31&lt;&gt;"")*(Ввод!$F$12:$F$31&lt;=A916)*(Ввод!$G$12:$G$31&gt;=A916))&gt;0,1,0))</f>
        <v/>
      </c>
      <c r="F916">
        <f>IF(OR(A916="",B916=""),"",IF(E916=1,0,D916*B916/100/C916))</f>
        <v/>
      </c>
      <c r="G916">
        <f>IF(A916="","",IF(OR(B916&lt;&gt;B915,C916&lt;&gt;C915,D916&lt;&gt;D915,E916&lt;&gt;E915),G915+1,G915))</f>
        <v/>
      </c>
    </row>
    <row r="917">
      <c r="A917" s="14">
        <f>IF(OR(NOT(ISNUMBER(Ввод!$B$5)),NOT(ISNUMBER(Ввод!$B$6))),"",IF(Ввод!$B$5+915&gt;Ввод!$B$6,"",Ввод!$B$5+915))</f>
        <v/>
      </c>
      <c r="B917">
        <f>IF(A917="","",IFERROR(INDEX(Ввод!$B$12:$B$71,MATCH(A917,Ввод!$D$12:$D$71,1)),""))</f>
        <v/>
      </c>
      <c r="C917">
        <f>IF(A917="","",DATE(YEAR(A917),12,31)-DATE(YEAR(A917),1,1)+1)</f>
        <v/>
      </c>
      <c r="D917">
        <f>IF(A917="","",Ввод!$B$4-SUMIF(Оплаты!$A$6:$A$505,"&lt;"&amp;A917,Оплаты!$B$6:$B$505))</f>
        <v/>
      </c>
      <c r="E917">
        <f>IF(A917="","",IF(SUMPRODUCT((Ввод!$F$12:$F$31&lt;&gt;"")*(Ввод!$F$12:$F$31&lt;=A917)*(Ввод!$G$12:$G$31&gt;=A917))&gt;0,1,0))</f>
        <v/>
      </c>
      <c r="F917">
        <f>IF(OR(A917="",B917=""),"",IF(E917=1,0,D917*B917/100/C917))</f>
        <v/>
      </c>
      <c r="G917">
        <f>IF(A917="","",IF(OR(B917&lt;&gt;B916,C917&lt;&gt;C916,D917&lt;&gt;D916,E917&lt;&gt;E916),G916+1,G916))</f>
        <v/>
      </c>
    </row>
    <row r="918">
      <c r="A918" s="14">
        <f>IF(OR(NOT(ISNUMBER(Ввод!$B$5)),NOT(ISNUMBER(Ввод!$B$6))),"",IF(Ввод!$B$5+916&gt;Ввод!$B$6,"",Ввод!$B$5+916))</f>
        <v/>
      </c>
      <c r="B918">
        <f>IF(A918="","",IFERROR(INDEX(Ввод!$B$12:$B$71,MATCH(A918,Ввод!$D$12:$D$71,1)),""))</f>
        <v/>
      </c>
      <c r="C918">
        <f>IF(A918="","",DATE(YEAR(A918),12,31)-DATE(YEAR(A918),1,1)+1)</f>
        <v/>
      </c>
      <c r="D918">
        <f>IF(A918="","",Ввод!$B$4-SUMIF(Оплаты!$A$6:$A$505,"&lt;"&amp;A918,Оплаты!$B$6:$B$505))</f>
        <v/>
      </c>
      <c r="E918">
        <f>IF(A918="","",IF(SUMPRODUCT((Ввод!$F$12:$F$31&lt;&gt;"")*(Ввод!$F$12:$F$31&lt;=A918)*(Ввод!$G$12:$G$31&gt;=A918))&gt;0,1,0))</f>
        <v/>
      </c>
      <c r="F918">
        <f>IF(OR(A918="",B918=""),"",IF(E918=1,0,D918*B918/100/C918))</f>
        <v/>
      </c>
      <c r="G918">
        <f>IF(A918="","",IF(OR(B918&lt;&gt;B917,C918&lt;&gt;C917,D918&lt;&gt;D917,E918&lt;&gt;E917),G917+1,G917))</f>
        <v/>
      </c>
    </row>
    <row r="919">
      <c r="A919" s="14">
        <f>IF(OR(NOT(ISNUMBER(Ввод!$B$5)),NOT(ISNUMBER(Ввод!$B$6))),"",IF(Ввод!$B$5+917&gt;Ввод!$B$6,"",Ввод!$B$5+917))</f>
        <v/>
      </c>
      <c r="B919">
        <f>IF(A919="","",IFERROR(INDEX(Ввод!$B$12:$B$71,MATCH(A919,Ввод!$D$12:$D$71,1)),""))</f>
        <v/>
      </c>
      <c r="C919">
        <f>IF(A919="","",DATE(YEAR(A919),12,31)-DATE(YEAR(A919),1,1)+1)</f>
        <v/>
      </c>
      <c r="D919">
        <f>IF(A919="","",Ввод!$B$4-SUMIF(Оплаты!$A$6:$A$505,"&lt;"&amp;A919,Оплаты!$B$6:$B$505))</f>
        <v/>
      </c>
      <c r="E919">
        <f>IF(A919="","",IF(SUMPRODUCT((Ввод!$F$12:$F$31&lt;&gt;"")*(Ввод!$F$12:$F$31&lt;=A919)*(Ввод!$G$12:$G$31&gt;=A919))&gt;0,1,0))</f>
        <v/>
      </c>
      <c r="F919">
        <f>IF(OR(A919="",B919=""),"",IF(E919=1,0,D919*B919/100/C919))</f>
        <v/>
      </c>
      <c r="G919">
        <f>IF(A919="","",IF(OR(B919&lt;&gt;B918,C919&lt;&gt;C918,D919&lt;&gt;D918,E919&lt;&gt;E918),G918+1,G918))</f>
        <v/>
      </c>
    </row>
    <row r="920">
      <c r="A920" s="14">
        <f>IF(OR(NOT(ISNUMBER(Ввод!$B$5)),NOT(ISNUMBER(Ввод!$B$6))),"",IF(Ввод!$B$5+918&gt;Ввод!$B$6,"",Ввод!$B$5+918))</f>
        <v/>
      </c>
      <c r="B920">
        <f>IF(A920="","",IFERROR(INDEX(Ввод!$B$12:$B$71,MATCH(A920,Ввод!$D$12:$D$71,1)),""))</f>
        <v/>
      </c>
      <c r="C920">
        <f>IF(A920="","",DATE(YEAR(A920),12,31)-DATE(YEAR(A920),1,1)+1)</f>
        <v/>
      </c>
      <c r="D920">
        <f>IF(A920="","",Ввод!$B$4-SUMIF(Оплаты!$A$6:$A$505,"&lt;"&amp;A920,Оплаты!$B$6:$B$505))</f>
        <v/>
      </c>
      <c r="E920">
        <f>IF(A920="","",IF(SUMPRODUCT((Ввод!$F$12:$F$31&lt;&gt;"")*(Ввод!$F$12:$F$31&lt;=A920)*(Ввод!$G$12:$G$31&gt;=A920))&gt;0,1,0))</f>
        <v/>
      </c>
      <c r="F920">
        <f>IF(OR(A920="",B920=""),"",IF(E920=1,0,D920*B920/100/C920))</f>
        <v/>
      </c>
      <c r="G920">
        <f>IF(A920="","",IF(OR(B920&lt;&gt;B919,C920&lt;&gt;C919,D920&lt;&gt;D919,E920&lt;&gt;E919),G919+1,G919))</f>
        <v/>
      </c>
    </row>
    <row r="921">
      <c r="A921" s="14">
        <f>IF(OR(NOT(ISNUMBER(Ввод!$B$5)),NOT(ISNUMBER(Ввод!$B$6))),"",IF(Ввод!$B$5+919&gt;Ввод!$B$6,"",Ввод!$B$5+919))</f>
        <v/>
      </c>
      <c r="B921">
        <f>IF(A921="","",IFERROR(INDEX(Ввод!$B$12:$B$71,MATCH(A921,Ввод!$D$12:$D$71,1)),""))</f>
        <v/>
      </c>
      <c r="C921">
        <f>IF(A921="","",DATE(YEAR(A921),12,31)-DATE(YEAR(A921),1,1)+1)</f>
        <v/>
      </c>
      <c r="D921">
        <f>IF(A921="","",Ввод!$B$4-SUMIF(Оплаты!$A$6:$A$505,"&lt;"&amp;A921,Оплаты!$B$6:$B$505))</f>
        <v/>
      </c>
      <c r="E921">
        <f>IF(A921="","",IF(SUMPRODUCT((Ввод!$F$12:$F$31&lt;&gt;"")*(Ввод!$F$12:$F$31&lt;=A921)*(Ввод!$G$12:$G$31&gt;=A921))&gt;0,1,0))</f>
        <v/>
      </c>
      <c r="F921">
        <f>IF(OR(A921="",B921=""),"",IF(E921=1,0,D921*B921/100/C921))</f>
        <v/>
      </c>
      <c r="G921">
        <f>IF(A921="","",IF(OR(B921&lt;&gt;B920,C921&lt;&gt;C920,D921&lt;&gt;D920,E921&lt;&gt;E920),G920+1,G920))</f>
        <v/>
      </c>
    </row>
    <row r="922">
      <c r="A922" s="14">
        <f>IF(OR(NOT(ISNUMBER(Ввод!$B$5)),NOT(ISNUMBER(Ввод!$B$6))),"",IF(Ввод!$B$5+920&gt;Ввод!$B$6,"",Ввод!$B$5+920))</f>
        <v/>
      </c>
      <c r="B922">
        <f>IF(A922="","",IFERROR(INDEX(Ввод!$B$12:$B$71,MATCH(A922,Ввод!$D$12:$D$71,1)),""))</f>
        <v/>
      </c>
      <c r="C922">
        <f>IF(A922="","",DATE(YEAR(A922),12,31)-DATE(YEAR(A922),1,1)+1)</f>
        <v/>
      </c>
      <c r="D922">
        <f>IF(A922="","",Ввод!$B$4-SUMIF(Оплаты!$A$6:$A$505,"&lt;"&amp;A922,Оплаты!$B$6:$B$505))</f>
        <v/>
      </c>
      <c r="E922">
        <f>IF(A922="","",IF(SUMPRODUCT((Ввод!$F$12:$F$31&lt;&gt;"")*(Ввод!$F$12:$F$31&lt;=A922)*(Ввод!$G$12:$G$31&gt;=A922))&gt;0,1,0))</f>
        <v/>
      </c>
      <c r="F922">
        <f>IF(OR(A922="",B922=""),"",IF(E922=1,0,D922*B922/100/C922))</f>
        <v/>
      </c>
      <c r="G922">
        <f>IF(A922="","",IF(OR(B922&lt;&gt;B921,C922&lt;&gt;C921,D922&lt;&gt;D921,E922&lt;&gt;E921),G921+1,G921))</f>
        <v/>
      </c>
    </row>
    <row r="923">
      <c r="A923" s="14">
        <f>IF(OR(NOT(ISNUMBER(Ввод!$B$5)),NOT(ISNUMBER(Ввод!$B$6))),"",IF(Ввод!$B$5+921&gt;Ввод!$B$6,"",Ввод!$B$5+921))</f>
        <v/>
      </c>
      <c r="B923">
        <f>IF(A923="","",IFERROR(INDEX(Ввод!$B$12:$B$71,MATCH(A923,Ввод!$D$12:$D$71,1)),""))</f>
        <v/>
      </c>
      <c r="C923">
        <f>IF(A923="","",DATE(YEAR(A923),12,31)-DATE(YEAR(A923),1,1)+1)</f>
        <v/>
      </c>
      <c r="D923">
        <f>IF(A923="","",Ввод!$B$4-SUMIF(Оплаты!$A$6:$A$505,"&lt;"&amp;A923,Оплаты!$B$6:$B$505))</f>
        <v/>
      </c>
      <c r="E923">
        <f>IF(A923="","",IF(SUMPRODUCT((Ввод!$F$12:$F$31&lt;&gt;"")*(Ввод!$F$12:$F$31&lt;=A923)*(Ввод!$G$12:$G$31&gt;=A923))&gt;0,1,0))</f>
        <v/>
      </c>
      <c r="F923">
        <f>IF(OR(A923="",B923=""),"",IF(E923=1,0,D923*B923/100/C923))</f>
        <v/>
      </c>
      <c r="G923">
        <f>IF(A923="","",IF(OR(B923&lt;&gt;B922,C923&lt;&gt;C922,D923&lt;&gt;D922,E923&lt;&gt;E922),G922+1,G922))</f>
        <v/>
      </c>
    </row>
    <row r="924">
      <c r="A924" s="14">
        <f>IF(OR(NOT(ISNUMBER(Ввод!$B$5)),NOT(ISNUMBER(Ввод!$B$6))),"",IF(Ввод!$B$5+922&gt;Ввод!$B$6,"",Ввод!$B$5+922))</f>
        <v/>
      </c>
      <c r="B924">
        <f>IF(A924="","",IFERROR(INDEX(Ввод!$B$12:$B$71,MATCH(A924,Ввод!$D$12:$D$71,1)),""))</f>
        <v/>
      </c>
      <c r="C924">
        <f>IF(A924="","",DATE(YEAR(A924),12,31)-DATE(YEAR(A924),1,1)+1)</f>
        <v/>
      </c>
      <c r="D924">
        <f>IF(A924="","",Ввод!$B$4-SUMIF(Оплаты!$A$6:$A$505,"&lt;"&amp;A924,Оплаты!$B$6:$B$505))</f>
        <v/>
      </c>
      <c r="E924">
        <f>IF(A924="","",IF(SUMPRODUCT((Ввод!$F$12:$F$31&lt;&gt;"")*(Ввод!$F$12:$F$31&lt;=A924)*(Ввод!$G$12:$G$31&gt;=A924))&gt;0,1,0))</f>
        <v/>
      </c>
      <c r="F924">
        <f>IF(OR(A924="",B924=""),"",IF(E924=1,0,D924*B924/100/C924))</f>
        <v/>
      </c>
      <c r="G924">
        <f>IF(A924="","",IF(OR(B924&lt;&gt;B923,C924&lt;&gt;C923,D924&lt;&gt;D923,E924&lt;&gt;E923),G923+1,G923))</f>
        <v/>
      </c>
    </row>
    <row r="925">
      <c r="A925" s="14">
        <f>IF(OR(NOT(ISNUMBER(Ввод!$B$5)),NOT(ISNUMBER(Ввод!$B$6))),"",IF(Ввод!$B$5+923&gt;Ввод!$B$6,"",Ввод!$B$5+923))</f>
        <v/>
      </c>
      <c r="B925">
        <f>IF(A925="","",IFERROR(INDEX(Ввод!$B$12:$B$71,MATCH(A925,Ввод!$D$12:$D$71,1)),""))</f>
        <v/>
      </c>
      <c r="C925">
        <f>IF(A925="","",DATE(YEAR(A925),12,31)-DATE(YEAR(A925),1,1)+1)</f>
        <v/>
      </c>
      <c r="D925">
        <f>IF(A925="","",Ввод!$B$4-SUMIF(Оплаты!$A$6:$A$505,"&lt;"&amp;A925,Оплаты!$B$6:$B$505))</f>
        <v/>
      </c>
      <c r="E925">
        <f>IF(A925="","",IF(SUMPRODUCT((Ввод!$F$12:$F$31&lt;&gt;"")*(Ввод!$F$12:$F$31&lt;=A925)*(Ввод!$G$12:$G$31&gt;=A925))&gt;0,1,0))</f>
        <v/>
      </c>
      <c r="F925">
        <f>IF(OR(A925="",B925=""),"",IF(E925=1,0,D925*B925/100/C925))</f>
        <v/>
      </c>
      <c r="G925">
        <f>IF(A925="","",IF(OR(B925&lt;&gt;B924,C925&lt;&gt;C924,D925&lt;&gt;D924,E925&lt;&gt;E924),G924+1,G924))</f>
        <v/>
      </c>
    </row>
    <row r="926">
      <c r="A926" s="14">
        <f>IF(OR(NOT(ISNUMBER(Ввод!$B$5)),NOT(ISNUMBER(Ввод!$B$6))),"",IF(Ввод!$B$5+924&gt;Ввод!$B$6,"",Ввод!$B$5+924))</f>
        <v/>
      </c>
      <c r="B926">
        <f>IF(A926="","",IFERROR(INDEX(Ввод!$B$12:$B$71,MATCH(A926,Ввод!$D$12:$D$71,1)),""))</f>
        <v/>
      </c>
      <c r="C926">
        <f>IF(A926="","",DATE(YEAR(A926),12,31)-DATE(YEAR(A926),1,1)+1)</f>
        <v/>
      </c>
      <c r="D926">
        <f>IF(A926="","",Ввод!$B$4-SUMIF(Оплаты!$A$6:$A$505,"&lt;"&amp;A926,Оплаты!$B$6:$B$505))</f>
        <v/>
      </c>
      <c r="E926">
        <f>IF(A926="","",IF(SUMPRODUCT((Ввод!$F$12:$F$31&lt;&gt;"")*(Ввод!$F$12:$F$31&lt;=A926)*(Ввод!$G$12:$G$31&gt;=A926))&gt;0,1,0))</f>
        <v/>
      </c>
      <c r="F926">
        <f>IF(OR(A926="",B926=""),"",IF(E926=1,0,D926*B926/100/C926))</f>
        <v/>
      </c>
      <c r="G926">
        <f>IF(A926="","",IF(OR(B926&lt;&gt;B925,C926&lt;&gt;C925,D926&lt;&gt;D925,E926&lt;&gt;E925),G925+1,G925))</f>
        <v/>
      </c>
    </row>
    <row r="927">
      <c r="A927" s="14">
        <f>IF(OR(NOT(ISNUMBER(Ввод!$B$5)),NOT(ISNUMBER(Ввод!$B$6))),"",IF(Ввод!$B$5+925&gt;Ввод!$B$6,"",Ввод!$B$5+925))</f>
        <v/>
      </c>
      <c r="B927">
        <f>IF(A927="","",IFERROR(INDEX(Ввод!$B$12:$B$71,MATCH(A927,Ввод!$D$12:$D$71,1)),""))</f>
        <v/>
      </c>
      <c r="C927">
        <f>IF(A927="","",DATE(YEAR(A927),12,31)-DATE(YEAR(A927),1,1)+1)</f>
        <v/>
      </c>
      <c r="D927">
        <f>IF(A927="","",Ввод!$B$4-SUMIF(Оплаты!$A$6:$A$505,"&lt;"&amp;A927,Оплаты!$B$6:$B$505))</f>
        <v/>
      </c>
      <c r="E927">
        <f>IF(A927="","",IF(SUMPRODUCT((Ввод!$F$12:$F$31&lt;&gt;"")*(Ввод!$F$12:$F$31&lt;=A927)*(Ввод!$G$12:$G$31&gt;=A927))&gt;0,1,0))</f>
        <v/>
      </c>
      <c r="F927">
        <f>IF(OR(A927="",B927=""),"",IF(E927=1,0,D927*B927/100/C927))</f>
        <v/>
      </c>
      <c r="G927">
        <f>IF(A927="","",IF(OR(B927&lt;&gt;B926,C927&lt;&gt;C926,D927&lt;&gt;D926,E927&lt;&gt;E926),G926+1,G926))</f>
        <v/>
      </c>
    </row>
    <row r="928">
      <c r="A928" s="14">
        <f>IF(OR(NOT(ISNUMBER(Ввод!$B$5)),NOT(ISNUMBER(Ввод!$B$6))),"",IF(Ввод!$B$5+926&gt;Ввод!$B$6,"",Ввод!$B$5+926))</f>
        <v/>
      </c>
      <c r="B928">
        <f>IF(A928="","",IFERROR(INDEX(Ввод!$B$12:$B$71,MATCH(A928,Ввод!$D$12:$D$71,1)),""))</f>
        <v/>
      </c>
      <c r="C928">
        <f>IF(A928="","",DATE(YEAR(A928),12,31)-DATE(YEAR(A928),1,1)+1)</f>
        <v/>
      </c>
      <c r="D928">
        <f>IF(A928="","",Ввод!$B$4-SUMIF(Оплаты!$A$6:$A$505,"&lt;"&amp;A928,Оплаты!$B$6:$B$505))</f>
        <v/>
      </c>
      <c r="E928">
        <f>IF(A928="","",IF(SUMPRODUCT((Ввод!$F$12:$F$31&lt;&gt;"")*(Ввод!$F$12:$F$31&lt;=A928)*(Ввод!$G$12:$G$31&gt;=A928))&gt;0,1,0))</f>
        <v/>
      </c>
      <c r="F928">
        <f>IF(OR(A928="",B928=""),"",IF(E928=1,0,D928*B928/100/C928))</f>
        <v/>
      </c>
      <c r="G928">
        <f>IF(A928="","",IF(OR(B928&lt;&gt;B927,C928&lt;&gt;C927,D928&lt;&gt;D927,E928&lt;&gt;E927),G927+1,G927))</f>
        <v/>
      </c>
    </row>
    <row r="929">
      <c r="A929" s="14">
        <f>IF(OR(NOT(ISNUMBER(Ввод!$B$5)),NOT(ISNUMBER(Ввод!$B$6))),"",IF(Ввод!$B$5+927&gt;Ввод!$B$6,"",Ввод!$B$5+927))</f>
        <v/>
      </c>
      <c r="B929">
        <f>IF(A929="","",IFERROR(INDEX(Ввод!$B$12:$B$71,MATCH(A929,Ввод!$D$12:$D$71,1)),""))</f>
        <v/>
      </c>
      <c r="C929">
        <f>IF(A929="","",DATE(YEAR(A929),12,31)-DATE(YEAR(A929),1,1)+1)</f>
        <v/>
      </c>
      <c r="D929">
        <f>IF(A929="","",Ввод!$B$4-SUMIF(Оплаты!$A$6:$A$505,"&lt;"&amp;A929,Оплаты!$B$6:$B$505))</f>
        <v/>
      </c>
      <c r="E929">
        <f>IF(A929="","",IF(SUMPRODUCT((Ввод!$F$12:$F$31&lt;&gt;"")*(Ввод!$F$12:$F$31&lt;=A929)*(Ввод!$G$12:$G$31&gt;=A929))&gt;0,1,0))</f>
        <v/>
      </c>
      <c r="F929">
        <f>IF(OR(A929="",B929=""),"",IF(E929=1,0,D929*B929/100/C929))</f>
        <v/>
      </c>
      <c r="G929">
        <f>IF(A929="","",IF(OR(B929&lt;&gt;B928,C929&lt;&gt;C928,D929&lt;&gt;D928,E929&lt;&gt;E928),G928+1,G928))</f>
        <v/>
      </c>
    </row>
    <row r="930">
      <c r="A930" s="14">
        <f>IF(OR(NOT(ISNUMBER(Ввод!$B$5)),NOT(ISNUMBER(Ввод!$B$6))),"",IF(Ввод!$B$5+928&gt;Ввод!$B$6,"",Ввод!$B$5+928))</f>
        <v/>
      </c>
      <c r="B930">
        <f>IF(A930="","",IFERROR(INDEX(Ввод!$B$12:$B$71,MATCH(A930,Ввод!$D$12:$D$71,1)),""))</f>
        <v/>
      </c>
      <c r="C930">
        <f>IF(A930="","",DATE(YEAR(A930),12,31)-DATE(YEAR(A930),1,1)+1)</f>
        <v/>
      </c>
      <c r="D930">
        <f>IF(A930="","",Ввод!$B$4-SUMIF(Оплаты!$A$6:$A$505,"&lt;"&amp;A930,Оплаты!$B$6:$B$505))</f>
        <v/>
      </c>
      <c r="E930">
        <f>IF(A930="","",IF(SUMPRODUCT((Ввод!$F$12:$F$31&lt;&gt;"")*(Ввод!$F$12:$F$31&lt;=A930)*(Ввод!$G$12:$G$31&gt;=A930))&gt;0,1,0))</f>
        <v/>
      </c>
      <c r="F930">
        <f>IF(OR(A930="",B930=""),"",IF(E930=1,0,D930*B930/100/C930))</f>
        <v/>
      </c>
      <c r="G930">
        <f>IF(A930="","",IF(OR(B930&lt;&gt;B929,C930&lt;&gt;C929,D930&lt;&gt;D929,E930&lt;&gt;E929),G929+1,G929))</f>
        <v/>
      </c>
    </row>
    <row r="931">
      <c r="A931" s="14">
        <f>IF(OR(NOT(ISNUMBER(Ввод!$B$5)),NOT(ISNUMBER(Ввод!$B$6))),"",IF(Ввод!$B$5+929&gt;Ввод!$B$6,"",Ввод!$B$5+929))</f>
        <v/>
      </c>
      <c r="B931">
        <f>IF(A931="","",IFERROR(INDEX(Ввод!$B$12:$B$71,MATCH(A931,Ввод!$D$12:$D$71,1)),""))</f>
        <v/>
      </c>
      <c r="C931">
        <f>IF(A931="","",DATE(YEAR(A931),12,31)-DATE(YEAR(A931),1,1)+1)</f>
        <v/>
      </c>
      <c r="D931">
        <f>IF(A931="","",Ввод!$B$4-SUMIF(Оплаты!$A$6:$A$505,"&lt;"&amp;A931,Оплаты!$B$6:$B$505))</f>
        <v/>
      </c>
      <c r="E931">
        <f>IF(A931="","",IF(SUMPRODUCT((Ввод!$F$12:$F$31&lt;&gt;"")*(Ввод!$F$12:$F$31&lt;=A931)*(Ввод!$G$12:$G$31&gt;=A931))&gt;0,1,0))</f>
        <v/>
      </c>
      <c r="F931">
        <f>IF(OR(A931="",B931=""),"",IF(E931=1,0,D931*B931/100/C931))</f>
        <v/>
      </c>
      <c r="G931">
        <f>IF(A931="","",IF(OR(B931&lt;&gt;B930,C931&lt;&gt;C930,D931&lt;&gt;D930,E931&lt;&gt;E930),G930+1,G930))</f>
        <v/>
      </c>
    </row>
    <row r="932">
      <c r="A932" s="14">
        <f>IF(OR(NOT(ISNUMBER(Ввод!$B$5)),NOT(ISNUMBER(Ввод!$B$6))),"",IF(Ввод!$B$5+930&gt;Ввод!$B$6,"",Ввод!$B$5+930))</f>
        <v/>
      </c>
      <c r="B932">
        <f>IF(A932="","",IFERROR(INDEX(Ввод!$B$12:$B$71,MATCH(A932,Ввод!$D$12:$D$71,1)),""))</f>
        <v/>
      </c>
      <c r="C932">
        <f>IF(A932="","",DATE(YEAR(A932),12,31)-DATE(YEAR(A932),1,1)+1)</f>
        <v/>
      </c>
      <c r="D932">
        <f>IF(A932="","",Ввод!$B$4-SUMIF(Оплаты!$A$6:$A$505,"&lt;"&amp;A932,Оплаты!$B$6:$B$505))</f>
        <v/>
      </c>
      <c r="E932">
        <f>IF(A932="","",IF(SUMPRODUCT((Ввод!$F$12:$F$31&lt;&gt;"")*(Ввод!$F$12:$F$31&lt;=A932)*(Ввод!$G$12:$G$31&gt;=A932))&gt;0,1,0))</f>
        <v/>
      </c>
      <c r="F932">
        <f>IF(OR(A932="",B932=""),"",IF(E932=1,0,D932*B932/100/C932))</f>
        <v/>
      </c>
      <c r="G932">
        <f>IF(A932="","",IF(OR(B932&lt;&gt;B931,C932&lt;&gt;C931,D932&lt;&gt;D931,E932&lt;&gt;E931),G931+1,G931))</f>
        <v/>
      </c>
    </row>
    <row r="933">
      <c r="A933" s="14">
        <f>IF(OR(NOT(ISNUMBER(Ввод!$B$5)),NOT(ISNUMBER(Ввод!$B$6))),"",IF(Ввод!$B$5+931&gt;Ввод!$B$6,"",Ввод!$B$5+931))</f>
        <v/>
      </c>
      <c r="B933">
        <f>IF(A933="","",IFERROR(INDEX(Ввод!$B$12:$B$71,MATCH(A933,Ввод!$D$12:$D$71,1)),""))</f>
        <v/>
      </c>
      <c r="C933">
        <f>IF(A933="","",DATE(YEAR(A933),12,31)-DATE(YEAR(A933),1,1)+1)</f>
        <v/>
      </c>
      <c r="D933">
        <f>IF(A933="","",Ввод!$B$4-SUMIF(Оплаты!$A$6:$A$505,"&lt;"&amp;A933,Оплаты!$B$6:$B$505))</f>
        <v/>
      </c>
      <c r="E933">
        <f>IF(A933="","",IF(SUMPRODUCT((Ввод!$F$12:$F$31&lt;&gt;"")*(Ввод!$F$12:$F$31&lt;=A933)*(Ввод!$G$12:$G$31&gt;=A933))&gt;0,1,0))</f>
        <v/>
      </c>
      <c r="F933">
        <f>IF(OR(A933="",B933=""),"",IF(E933=1,0,D933*B933/100/C933))</f>
        <v/>
      </c>
      <c r="G933">
        <f>IF(A933="","",IF(OR(B933&lt;&gt;B932,C933&lt;&gt;C932,D933&lt;&gt;D932,E933&lt;&gt;E932),G932+1,G932))</f>
        <v/>
      </c>
    </row>
    <row r="934">
      <c r="A934" s="14">
        <f>IF(OR(NOT(ISNUMBER(Ввод!$B$5)),NOT(ISNUMBER(Ввод!$B$6))),"",IF(Ввод!$B$5+932&gt;Ввод!$B$6,"",Ввод!$B$5+932))</f>
        <v/>
      </c>
      <c r="B934">
        <f>IF(A934="","",IFERROR(INDEX(Ввод!$B$12:$B$71,MATCH(A934,Ввод!$D$12:$D$71,1)),""))</f>
        <v/>
      </c>
      <c r="C934">
        <f>IF(A934="","",DATE(YEAR(A934),12,31)-DATE(YEAR(A934),1,1)+1)</f>
        <v/>
      </c>
      <c r="D934">
        <f>IF(A934="","",Ввод!$B$4-SUMIF(Оплаты!$A$6:$A$505,"&lt;"&amp;A934,Оплаты!$B$6:$B$505))</f>
        <v/>
      </c>
      <c r="E934">
        <f>IF(A934="","",IF(SUMPRODUCT((Ввод!$F$12:$F$31&lt;&gt;"")*(Ввод!$F$12:$F$31&lt;=A934)*(Ввод!$G$12:$G$31&gt;=A934))&gt;0,1,0))</f>
        <v/>
      </c>
      <c r="F934">
        <f>IF(OR(A934="",B934=""),"",IF(E934=1,0,D934*B934/100/C934))</f>
        <v/>
      </c>
      <c r="G934">
        <f>IF(A934="","",IF(OR(B934&lt;&gt;B933,C934&lt;&gt;C933,D934&lt;&gt;D933,E934&lt;&gt;E933),G933+1,G933))</f>
        <v/>
      </c>
    </row>
    <row r="935">
      <c r="A935" s="14">
        <f>IF(OR(NOT(ISNUMBER(Ввод!$B$5)),NOT(ISNUMBER(Ввод!$B$6))),"",IF(Ввод!$B$5+933&gt;Ввод!$B$6,"",Ввод!$B$5+933))</f>
        <v/>
      </c>
      <c r="B935">
        <f>IF(A935="","",IFERROR(INDEX(Ввод!$B$12:$B$71,MATCH(A935,Ввод!$D$12:$D$71,1)),""))</f>
        <v/>
      </c>
      <c r="C935">
        <f>IF(A935="","",DATE(YEAR(A935),12,31)-DATE(YEAR(A935),1,1)+1)</f>
        <v/>
      </c>
      <c r="D935">
        <f>IF(A935="","",Ввод!$B$4-SUMIF(Оплаты!$A$6:$A$505,"&lt;"&amp;A935,Оплаты!$B$6:$B$505))</f>
        <v/>
      </c>
      <c r="E935">
        <f>IF(A935="","",IF(SUMPRODUCT((Ввод!$F$12:$F$31&lt;&gt;"")*(Ввод!$F$12:$F$31&lt;=A935)*(Ввод!$G$12:$G$31&gt;=A935))&gt;0,1,0))</f>
        <v/>
      </c>
      <c r="F935">
        <f>IF(OR(A935="",B935=""),"",IF(E935=1,0,D935*B935/100/C935))</f>
        <v/>
      </c>
      <c r="G935">
        <f>IF(A935="","",IF(OR(B935&lt;&gt;B934,C935&lt;&gt;C934,D935&lt;&gt;D934,E935&lt;&gt;E934),G934+1,G934))</f>
        <v/>
      </c>
    </row>
    <row r="936">
      <c r="A936" s="14">
        <f>IF(OR(NOT(ISNUMBER(Ввод!$B$5)),NOT(ISNUMBER(Ввод!$B$6))),"",IF(Ввод!$B$5+934&gt;Ввод!$B$6,"",Ввод!$B$5+934))</f>
        <v/>
      </c>
      <c r="B936">
        <f>IF(A936="","",IFERROR(INDEX(Ввод!$B$12:$B$71,MATCH(A936,Ввод!$D$12:$D$71,1)),""))</f>
        <v/>
      </c>
      <c r="C936">
        <f>IF(A936="","",DATE(YEAR(A936),12,31)-DATE(YEAR(A936),1,1)+1)</f>
        <v/>
      </c>
      <c r="D936">
        <f>IF(A936="","",Ввод!$B$4-SUMIF(Оплаты!$A$6:$A$505,"&lt;"&amp;A936,Оплаты!$B$6:$B$505))</f>
        <v/>
      </c>
      <c r="E936">
        <f>IF(A936="","",IF(SUMPRODUCT((Ввод!$F$12:$F$31&lt;&gt;"")*(Ввод!$F$12:$F$31&lt;=A936)*(Ввод!$G$12:$G$31&gt;=A936))&gt;0,1,0))</f>
        <v/>
      </c>
      <c r="F936">
        <f>IF(OR(A936="",B936=""),"",IF(E936=1,0,D936*B936/100/C936))</f>
        <v/>
      </c>
      <c r="G936">
        <f>IF(A936="","",IF(OR(B936&lt;&gt;B935,C936&lt;&gt;C935,D936&lt;&gt;D935,E936&lt;&gt;E935),G935+1,G935))</f>
        <v/>
      </c>
    </row>
    <row r="937">
      <c r="A937" s="14">
        <f>IF(OR(NOT(ISNUMBER(Ввод!$B$5)),NOT(ISNUMBER(Ввод!$B$6))),"",IF(Ввод!$B$5+935&gt;Ввод!$B$6,"",Ввод!$B$5+935))</f>
        <v/>
      </c>
      <c r="B937">
        <f>IF(A937="","",IFERROR(INDEX(Ввод!$B$12:$B$71,MATCH(A937,Ввод!$D$12:$D$71,1)),""))</f>
        <v/>
      </c>
      <c r="C937">
        <f>IF(A937="","",DATE(YEAR(A937),12,31)-DATE(YEAR(A937),1,1)+1)</f>
        <v/>
      </c>
      <c r="D937">
        <f>IF(A937="","",Ввод!$B$4-SUMIF(Оплаты!$A$6:$A$505,"&lt;"&amp;A937,Оплаты!$B$6:$B$505))</f>
        <v/>
      </c>
      <c r="E937">
        <f>IF(A937="","",IF(SUMPRODUCT((Ввод!$F$12:$F$31&lt;&gt;"")*(Ввод!$F$12:$F$31&lt;=A937)*(Ввод!$G$12:$G$31&gt;=A937))&gt;0,1,0))</f>
        <v/>
      </c>
      <c r="F937">
        <f>IF(OR(A937="",B937=""),"",IF(E937=1,0,D937*B937/100/C937))</f>
        <v/>
      </c>
      <c r="G937">
        <f>IF(A937="","",IF(OR(B937&lt;&gt;B936,C937&lt;&gt;C936,D937&lt;&gt;D936,E937&lt;&gt;E936),G936+1,G936))</f>
        <v/>
      </c>
    </row>
    <row r="938">
      <c r="A938" s="14">
        <f>IF(OR(NOT(ISNUMBER(Ввод!$B$5)),NOT(ISNUMBER(Ввод!$B$6))),"",IF(Ввод!$B$5+936&gt;Ввод!$B$6,"",Ввод!$B$5+936))</f>
        <v/>
      </c>
      <c r="B938">
        <f>IF(A938="","",IFERROR(INDEX(Ввод!$B$12:$B$71,MATCH(A938,Ввод!$D$12:$D$71,1)),""))</f>
        <v/>
      </c>
      <c r="C938">
        <f>IF(A938="","",DATE(YEAR(A938),12,31)-DATE(YEAR(A938),1,1)+1)</f>
        <v/>
      </c>
      <c r="D938">
        <f>IF(A938="","",Ввод!$B$4-SUMIF(Оплаты!$A$6:$A$505,"&lt;"&amp;A938,Оплаты!$B$6:$B$505))</f>
        <v/>
      </c>
      <c r="E938">
        <f>IF(A938="","",IF(SUMPRODUCT((Ввод!$F$12:$F$31&lt;&gt;"")*(Ввод!$F$12:$F$31&lt;=A938)*(Ввод!$G$12:$G$31&gt;=A938))&gt;0,1,0))</f>
        <v/>
      </c>
      <c r="F938">
        <f>IF(OR(A938="",B938=""),"",IF(E938=1,0,D938*B938/100/C938))</f>
        <v/>
      </c>
      <c r="G938">
        <f>IF(A938="","",IF(OR(B938&lt;&gt;B937,C938&lt;&gt;C937,D938&lt;&gt;D937,E938&lt;&gt;E937),G937+1,G937))</f>
        <v/>
      </c>
    </row>
    <row r="939">
      <c r="A939" s="14">
        <f>IF(OR(NOT(ISNUMBER(Ввод!$B$5)),NOT(ISNUMBER(Ввод!$B$6))),"",IF(Ввод!$B$5+937&gt;Ввод!$B$6,"",Ввод!$B$5+937))</f>
        <v/>
      </c>
      <c r="B939">
        <f>IF(A939="","",IFERROR(INDEX(Ввод!$B$12:$B$71,MATCH(A939,Ввод!$D$12:$D$71,1)),""))</f>
        <v/>
      </c>
      <c r="C939">
        <f>IF(A939="","",DATE(YEAR(A939),12,31)-DATE(YEAR(A939),1,1)+1)</f>
        <v/>
      </c>
      <c r="D939">
        <f>IF(A939="","",Ввод!$B$4-SUMIF(Оплаты!$A$6:$A$505,"&lt;"&amp;A939,Оплаты!$B$6:$B$505))</f>
        <v/>
      </c>
      <c r="E939">
        <f>IF(A939="","",IF(SUMPRODUCT((Ввод!$F$12:$F$31&lt;&gt;"")*(Ввод!$F$12:$F$31&lt;=A939)*(Ввод!$G$12:$G$31&gt;=A939))&gt;0,1,0))</f>
        <v/>
      </c>
      <c r="F939">
        <f>IF(OR(A939="",B939=""),"",IF(E939=1,0,D939*B939/100/C939))</f>
        <v/>
      </c>
      <c r="G939">
        <f>IF(A939="","",IF(OR(B939&lt;&gt;B938,C939&lt;&gt;C938,D939&lt;&gt;D938,E939&lt;&gt;E938),G938+1,G938))</f>
        <v/>
      </c>
    </row>
    <row r="940">
      <c r="A940" s="14">
        <f>IF(OR(NOT(ISNUMBER(Ввод!$B$5)),NOT(ISNUMBER(Ввод!$B$6))),"",IF(Ввод!$B$5+938&gt;Ввод!$B$6,"",Ввод!$B$5+938))</f>
        <v/>
      </c>
      <c r="B940">
        <f>IF(A940="","",IFERROR(INDEX(Ввод!$B$12:$B$71,MATCH(A940,Ввод!$D$12:$D$71,1)),""))</f>
        <v/>
      </c>
      <c r="C940">
        <f>IF(A940="","",DATE(YEAR(A940),12,31)-DATE(YEAR(A940),1,1)+1)</f>
        <v/>
      </c>
      <c r="D940">
        <f>IF(A940="","",Ввод!$B$4-SUMIF(Оплаты!$A$6:$A$505,"&lt;"&amp;A940,Оплаты!$B$6:$B$505))</f>
        <v/>
      </c>
      <c r="E940">
        <f>IF(A940="","",IF(SUMPRODUCT((Ввод!$F$12:$F$31&lt;&gt;"")*(Ввод!$F$12:$F$31&lt;=A940)*(Ввод!$G$12:$G$31&gt;=A940))&gt;0,1,0))</f>
        <v/>
      </c>
      <c r="F940">
        <f>IF(OR(A940="",B940=""),"",IF(E940=1,0,D940*B940/100/C940))</f>
        <v/>
      </c>
      <c r="G940">
        <f>IF(A940="","",IF(OR(B940&lt;&gt;B939,C940&lt;&gt;C939,D940&lt;&gt;D939,E940&lt;&gt;E939),G939+1,G939))</f>
        <v/>
      </c>
    </row>
    <row r="941">
      <c r="A941" s="14">
        <f>IF(OR(NOT(ISNUMBER(Ввод!$B$5)),NOT(ISNUMBER(Ввод!$B$6))),"",IF(Ввод!$B$5+939&gt;Ввод!$B$6,"",Ввод!$B$5+939))</f>
        <v/>
      </c>
      <c r="B941">
        <f>IF(A941="","",IFERROR(INDEX(Ввод!$B$12:$B$71,MATCH(A941,Ввод!$D$12:$D$71,1)),""))</f>
        <v/>
      </c>
      <c r="C941">
        <f>IF(A941="","",DATE(YEAR(A941),12,31)-DATE(YEAR(A941),1,1)+1)</f>
        <v/>
      </c>
      <c r="D941">
        <f>IF(A941="","",Ввод!$B$4-SUMIF(Оплаты!$A$6:$A$505,"&lt;"&amp;A941,Оплаты!$B$6:$B$505))</f>
        <v/>
      </c>
      <c r="E941">
        <f>IF(A941="","",IF(SUMPRODUCT((Ввод!$F$12:$F$31&lt;&gt;"")*(Ввод!$F$12:$F$31&lt;=A941)*(Ввод!$G$12:$G$31&gt;=A941))&gt;0,1,0))</f>
        <v/>
      </c>
      <c r="F941">
        <f>IF(OR(A941="",B941=""),"",IF(E941=1,0,D941*B941/100/C941))</f>
        <v/>
      </c>
      <c r="G941">
        <f>IF(A941="","",IF(OR(B941&lt;&gt;B940,C941&lt;&gt;C940,D941&lt;&gt;D940,E941&lt;&gt;E940),G940+1,G940))</f>
        <v/>
      </c>
    </row>
    <row r="942">
      <c r="A942" s="14">
        <f>IF(OR(NOT(ISNUMBER(Ввод!$B$5)),NOT(ISNUMBER(Ввод!$B$6))),"",IF(Ввод!$B$5+940&gt;Ввод!$B$6,"",Ввод!$B$5+940))</f>
        <v/>
      </c>
      <c r="B942">
        <f>IF(A942="","",IFERROR(INDEX(Ввод!$B$12:$B$71,MATCH(A942,Ввод!$D$12:$D$71,1)),""))</f>
        <v/>
      </c>
      <c r="C942">
        <f>IF(A942="","",DATE(YEAR(A942),12,31)-DATE(YEAR(A942),1,1)+1)</f>
        <v/>
      </c>
      <c r="D942">
        <f>IF(A942="","",Ввод!$B$4-SUMIF(Оплаты!$A$6:$A$505,"&lt;"&amp;A942,Оплаты!$B$6:$B$505))</f>
        <v/>
      </c>
      <c r="E942">
        <f>IF(A942="","",IF(SUMPRODUCT((Ввод!$F$12:$F$31&lt;&gt;"")*(Ввод!$F$12:$F$31&lt;=A942)*(Ввод!$G$12:$G$31&gt;=A942))&gt;0,1,0))</f>
        <v/>
      </c>
      <c r="F942">
        <f>IF(OR(A942="",B942=""),"",IF(E942=1,0,D942*B942/100/C942))</f>
        <v/>
      </c>
      <c r="G942">
        <f>IF(A942="","",IF(OR(B942&lt;&gt;B941,C942&lt;&gt;C941,D942&lt;&gt;D941,E942&lt;&gt;E941),G941+1,G941))</f>
        <v/>
      </c>
    </row>
    <row r="943">
      <c r="A943" s="14">
        <f>IF(OR(NOT(ISNUMBER(Ввод!$B$5)),NOT(ISNUMBER(Ввод!$B$6))),"",IF(Ввод!$B$5+941&gt;Ввод!$B$6,"",Ввод!$B$5+941))</f>
        <v/>
      </c>
      <c r="B943">
        <f>IF(A943="","",IFERROR(INDEX(Ввод!$B$12:$B$71,MATCH(A943,Ввод!$D$12:$D$71,1)),""))</f>
        <v/>
      </c>
      <c r="C943">
        <f>IF(A943="","",DATE(YEAR(A943),12,31)-DATE(YEAR(A943),1,1)+1)</f>
        <v/>
      </c>
      <c r="D943">
        <f>IF(A943="","",Ввод!$B$4-SUMIF(Оплаты!$A$6:$A$505,"&lt;"&amp;A943,Оплаты!$B$6:$B$505))</f>
        <v/>
      </c>
      <c r="E943">
        <f>IF(A943="","",IF(SUMPRODUCT((Ввод!$F$12:$F$31&lt;&gt;"")*(Ввод!$F$12:$F$31&lt;=A943)*(Ввод!$G$12:$G$31&gt;=A943))&gt;0,1,0))</f>
        <v/>
      </c>
      <c r="F943">
        <f>IF(OR(A943="",B943=""),"",IF(E943=1,0,D943*B943/100/C943))</f>
        <v/>
      </c>
      <c r="G943">
        <f>IF(A943="","",IF(OR(B943&lt;&gt;B942,C943&lt;&gt;C942,D943&lt;&gt;D942,E943&lt;&gt;E942),G942+1,G942))</f>
        <v/>
      </c>
    </row>
    <row r="944">
      <c r="A944" s="14">
        <f>IF(OR(NOT(ISNUMBER(Ввод!$B$5)),NOT(ISNUMBER(Ввод!$B$6))),"",IF(Ввод!$B$5+942&gt;Ввод!$B$6,"",Ввод!$B$5+942))</f>
        <v/>
      </c>
      <c r="B944">
        <f>IF(A944="","",IFERROR(INDEX(Ввод!$B$12:$B$71,MATCH(A944,Ввод!$D$12:$D$71,1)),""))</f>
        <v/>
      </c>
      <c r="C944">
        <f>IF(A944="","",DATE(YEAR(A944),12,31)-DATE(YEAR(A944),1,1)+1)</f>
        <v/>
      </c>
      <c r="D944">
        <f>IF(A944="","",Ввод!$B$4-SUMIF(Оплаты!$A$6:$A$505,"&lt;"&amp;A944,Оплаты!$B$6:$B$505))</f>
        <v/>
      </c>
      <c r="E944">
        <f>IF(A944="","",IF(SUMPRODUCT((Ввод!$F$12:$F$31&lt;&gt;"")*(Ввод!$F$12:$F$31&lt;=A944)*(Ввод!$G$12:$G$31&gt;=A944))&gt;0,1,0))</f>
        <v/>
      </c>
      <c r="F944">
        <f>IF(OR(A944="",B944=""),"",IF(E944=1,0,D944*B944/100/C944))</f>
        <v/>
      </c>
      <c r="G944">
        <f>IF(A944="","",IF(OR(B944&lt;&gt;B943,C944&lt;&gt;C943,D944&lt;&gt;D943,E944&lt;&gt;E943),G943+1,G943))</f>
        <v/>
      </c>
    </row>
    <row r="945">
      <c r="A945" s="14">
        <f>IF(OR(NOT(ISNUMBER(Ввод!$B$5)),NOT(ISNUMBER(Ввод!$B$6))),"",IF(Ввод!$B$5+943&gt;Ввод!$B$6,"",Ввод!$B$5+943))</f>
        <v/>
      </c>
      <c r="B945">
        <f>IF(A945="","",IFERROR(INDEX(Ввод!$B$12:$B$71,MATCH(A945,Ввод!$D$12:$D$71,1)),""))</f>
        <v/>
      </c>
      <c r="C945">
        <f>IF(A945="","",DATE(YEAR(A945),12,31)-DATE(YEAR(A945),1,1)+1)</f>
        <v/>
      </c>
      <c r="D945">
        <f>IF(A945="","",Ввод!$B$4-SUMIF(Оплаты!$A$6:$A$505,"&lt;"&amp;A945,Оплаты!$B$6:$B$505))</f>
        <v/>
      </c>
      <c r="E945">
        <f>IF(A945="","",IF(SUMPRODUCT((Ввод!$F$12:$F$31&lt;&gt;"")*(Ввод!$F$12:$F$31&lt;=A945)*(Ввод!$G$12:$G$31&gt;=A945))&gt;0,1,0))</f>
        <v/>
      </c>
      <c r="F945">
        <f>IF(OR(A945="",B945=""),"",IF(E945=1,0,D945*B945/100/C945))</f>
        <v/>
      </c>
      <c r="G945">
        <f>IF(A945="","",IF(OR(B945&lt;&gt;B944,C945&lt;&gt;C944,D945&lt;&gt;D944,E945&lt;&gt;E944),G944+1,G944))</f>
        <v/>
      </c>
    </row>
    <row r="946">
      <c r="A946" s="14">
        <f>IF(OR(NOT(ISNUMBER(Ввод!$B$5)),NOT(ISNUMBER(Ввод!$B$6))),"",IF(Ввод!$B$5+944&gt;Ввод!$B$6,"",Ввод!$B$5+944))</f>
        <v/>
      </c>
      <c r="B946">
        <f>IF(A946="","",IFERROR(INDEX(Ввод!$B$12:$B$71,MATCH(A946,Ввод!$D$12:$D$71,1)),""))</f>
        <v/>
      </c>
      <c r="C946">
        <f>IF(A946="","",DATE(YEAR(A946),12,31)-DATE(YEAR(A946),1,1)+1)</f>
        <v/>
      </c>
      <c r="D946">
        <f>IF(A946="","",Ввод!$B$4-SUMIF(Оплаты!$A$6:$A$505,"&lt;"&amp;A946,Оплаты!$B$6:$B$505))</f>
        <v/>
      </c>
      <c r="E946">
        <f>IF(A946="","",IF(SUMPRODUCT((Ввод!$F$12:$F$31&lt;&gt;"")*(Ввод!$F$12:$F$31&lt;=A946)*(Ввод!$G$12:$G$31&gt;=A946))&gt;0,1,0))</f>
        <v/>
      </c>
      <c r="F946">
        <f>IF(OR(A946="",B946=""),"",IF(E946=1,0,D946*B946/100/C946))</f>
        <v/>
      </c>
      <c r="G946">
        <f>IF(A946="","",IF(OR(B946&lt;&gt;B945,C946&lt;&gt;C945,D946&lt;&gt;D945,E946&lt;&gt;E945),G945+1,G945))</f>
        <v/>
      </c>
    </row>
    <row r="947">
      <c r="A947" s="14">
        <f>IF(OR(NOT(ISNUMBER(Ввод!$B$5)),NOT(ISNUMBER(Ввод!$B$6))),"",IF(Ввод!$B$5+945&gt;Ввод!$B$6,"",Ввод!$B$5+945))</f>
        <v/>
      </c>
      <c r="B947">
        <f>IF(A947="","",IFERROR(INDEX(Ввод!$B$12:$B$71,MATCH(A947,Ввод!$D$12:$D$71,1)),""))</f>
        <v/>
      </c>
      <c r="C947">
        <f>IF(A947="","",DATE(YEAR(A947),12,31)-DATE(YEAR(A947),1,1)+1)</f>
        <v/>
      </c>
      <c r="D947">
        <f>IF(A947="","",Ввод!$B$4-SUMIF(Оплаты!$A$6:$A$505,"&lt;"&amp;A947,Оплаты!$B$6:$B$505))</f>
        <v/>
      </c>
      <c r="E947">
        <f>IF(A947="","",IF(SUMPRODUCT((Ввод!$F$12:$F$31&lt;&gt;"")*(Ввод!$F$12:$F$31&lt;=A947)*(Ввод!$G$12:$G$31&gt;=A947))&gt;0,1,0))</f>
        <v/>
      </c>
      <c r="F947">
        <f>IF(OR(A947="",B947=""),"",IF(E947=1,0,D947*B947/100/C947))</f>
        <v/>
      </c>
      <c r="G947">
        <f>IF(A947="","",IF(OR(B947&lt;&gt;B946,C947&lt;&gt;C946,D947&lt;&gt;D946,E947&lt;&gt;E946),G946+1,G946))</f>
        <v/>
      </c>
    </row>
    <row r="948">
      <c r="A948" s="14">
        <f>IF(OR(NOT(ISNUMBER(Ввод!$B$5)),NOT(ISNUMBER(Ввод!$B$6))),"",IF(Ввод!$B$5+946&gt;Ввод!$B$6,"",Ввод!$B$5+946))</f>
        <v/>
      </c>
      <c r="B948">
        <f>IF(A948="","",IFERROR(INDEX(Ввод!$B$12:$B$71,MATCH(A948,Ввод!$D$12:$D$71,1)),""))</f>
        <v/>
      </c>
      <c r="C948">
        <f>IF(A948="","",DATE(YEAR(A948),12,31)-DATE(YEAR(A948),1,1)+1)</f>
        <v/>
      </c>
      <c r="D948">
        <f>IF(A948="","",Ввод!$B$4-SUMIF(Оплаты!$A$6:$A$505,"&lt;"&amp;A948,Оплаты!$B$6:$B$505))</f>
        <v/>
      </c>
      <c r="E948">
        <f>IF(A948="","",IF(SUMPRODUCT((Ввод!$F$12:$F$31&lt;&gt;"")*(Ввод!$F$12:$F$31&lt;=A948)*(Ввод!$G$12:$G$31&gt;=A948))&gt;0,1,0))</f>
        <v/>
      </c>
      <c r="F948">
        <f>IF(OR(A948="",B948=""),"",IF(E948=1,0,D948*B948/100/C948))</f>
        <v/>
      </c>
      <c r="G948">
        <f>IF(A948="","",IF(OR(B948&lt;&gt;B947,C948&lt;&gt;C947,D948&lt;&gt;D947,E948&lt;&gt;E947),G947+1,G947))</f>
        <v/>
      </c>
    </row>
    <row r="949">
      <c r="A949" s="14">
        <f>IF(OR(NOT(ISNUMBER(Ввод!$B$5)),NOT(ISNUMBER(Ввод!$B$6))),"",IF(Ввод!$B$5+947&gt;Ввод!$B$6,"",Ввод!$B$5+947))</f>
        <v/>
      </c>
      <c r="B949">
        <f>IF(A949="","",IFERROR(INDEX(Ввод!$B$12:$B$71,MATCH(A949,Ввод!$D$12:$D$71,1)),""))</f>
        <v/>
      </c>
      <c r="C949">
        <f>IF(A949="","",DATE(YEAR(A949),12,31)-DATE(YEAR(A949),1,1)+1)</f>
        <v/>
      </c>
      <c r="D949">
        <f>IF(A949="","",Ввод!$B$4-SUMIF(Оплаты!$A$6:$A$505,"&lt;"&amp;A949,Оплаты!$B$6:$B$505))</f>
        <v/>
      </c>
      <c r="E949">
        <f>IF(A949="","",IF(SUMPRODUCT((Ввод!$F$12:$F$31&lt;&gt;"")*(Ввод!$F$12:$F$31&lt;=A949)*(Ввод!$G$12:$G$31&gt;=A949))&gt;0,1,0))</f>
        <v/>
      </c>
      <c r="F949">
        <f>IF(OR(A949="",B949=""),"",IF(E949=1,0,D949*B949/100/C949))</f>
        <v/>
      </c>
      <c r="G949">
        <f>IF(A949="","",IF(OR(B949&lt;&gt;B948,C949&lt;&gt;C948,D949&lt;&gt;D948,E949&lt;&gt;E948),G948+1,G948))</f>
        <v/>
      </c>
    </row>
    <row r="950">
      <c r="A950" s="14">
        <f>IF(OR(NOT(ISNUMBER(Ввод!$B$5)),NOT(ISNUMBER(Ввод!$B$6))),"",IF(Ввод!$B$5+948&gt;Ввод!$B$6,"",Ввод!$B$5+948))</f>
        <v/>
      </c>
      <c r="B950">
        <f>IF(A950="","",IFERROR(INDEX(Ввод!$B$12:$B$71,MATCH(A950,Ввод!$D$12:$D$71,1)),""))</f>
        <v/>
      </c>
      <c r="C950">
        <f>IF(A950="","",DATE(YEAR(A950),12,31)-DATE(YEAR(A950),1,1)+1)</f>
        <v/>
      </c>
      <c r="D950">
        <f>IF(A950="","",Ввод!$B$4-SUMIF(Оплаты!$A$6:$A$505,"&lt;"&amp;A950,Оплаты!$B$6:$B$505))</f>
        <v/>
      </c>
      <c r="E950">
        <f>IF(A950="","",IF(SUMPRODUCT((Ввод!$F$12:$F$31&lt;&gt;"")*(Ввод!$F$12:$F$31&lt;=A950)*(Ввод!$G$12:$G$31&gt;=A950))&gt;0,1,0))</f>
        <v/>
      </c>
      <c r="F950">
        <f>IF(OR(A950="",B950=""),"",IF(E950=1,0,D950*B950/100/C950))</f>
        <v/>
      </c>
      <c r="G950">
        <f>IF(A950="","",IF(OR(B950&lt;&gt;B949,C950&lt;&gt;C949,D950&lt;&gt;D949,E950&lt;&gt;E949),G949+1,G949))</f>
        <v/>
      </c>
    </row>
    <row r="951">
      <c r="A951" s="14">
        <f>IF(OR(NOT(ISNUMBER(Ввод!$B$5)),NOT(ISNUMBER(Ввод!$B$6))),"",IF(Ввод!$B$5+949&gt;Ввод!$B$6,"",Ввод!$B$5+949))</f>
        <v/>
      </c>
      <c r="B951">
        <f>IF(A951="","",IFERROR(INDEX(Ввод!$B$12:$B$71,MATCH(A951,Ввод!$D$12:$D$71,1)),""))</f>
        <v/>
      </c>
      <c r="C951">
        <f>IF(A951="","",DATE(YEAR(A951),12,31)-DATE(YEAR(A951),1,1)+1)</f>
        <v/>
      </c>
      <c r="D951">
        <f>IF(A951="","",Ввод!$B$4-SUMIF(Оплаты!$A$6:$A$505,"&lt;"&amp;A951,Оплаты!$B$6:$B$505))</f>
        <v/>
      </c>
      <c r="E951">
        <f>IF(A951="","",IF(SUMPRODUCT((Ввод!$F$12:$F$31&lt;&gt;"")*(Ввод!$F$12:$F$31&lt;=A951)*(Ввод!$G$12:$G$31&gt;=A951))&gt;0,1,0))</f>
        <v/>
      </c>
      <c r="F951">
        <f>IF(OR(A951="",B951=""),"",IF(E951=1,0,D951*B951/100/C951))</f>
        <v/>
      </c>
      <c r="G951">
        <f>IF(A951="","",IF(OR(B951&lt;&gt;B950,C951&lt;&gt;C950,D951&lt;&gt;D950,E951&lt;&gt;E950),G950+1,G950))</f>
        <v/>
      </c>
    </row>
    <row r="952">
      <c r="A952" s="14">
        <f>IF(OR(NOT(ISNUMBER(Ввод!$B$5)),NOT(ISNUMBER(Ввод!$B$6))),"",IF(Ввод!$B$5+950&gt;Ввод!$B$6,"",Ввод!$B$5+950))</f>
        <v/>
      </c>
      <c r="B952">
        <f>IF(A952="","",IFERROR(INDEX(Ввод!$B$12:$B$71,MATCH(A952,Ввод!$D$12:$D$71,1)),""))</f>
        <v/>
      </c>
      <c r="C952">
        <f>IF(A952="","",DATE(YEAR(A952),12,31)-DATE(YEAR(A952),1,1)+1)</f>
        <v/>
      </c>
      <c r="D952">
        <f>IF(A952="","",Ввод!$B$4-SUMIF(Оплаты!$A$6:$A$505,"&lt;"&amp;A952,Оплаты!$B$6:$B$505))</f>
        <v/>
      </c>
      <c r="E952">
        <f>IF(A952="","",IF(SUMPRODUCT((Ввод!$F$12:$F$31&lt;&gt;"")*(Ввод!$F$12:$F$31&lt;=A952)*(Ввод!$G$12:$G$31&gt;=A952))&gt;0,1,0))</f>
        <v/>
      </c>
      <c r="F952">
        <f>IF(OR(A952="",B952=""),"",IF(E952=1,0,D952*B952/100/C952))</f>
        <v/>
      </c>
      <c r="G952">
        <f>IF(A952="","",IF(OR(B952&lt;&gt;B951,C952&lt;&gt;C951,D952&lt;&gt;D951,E952&lt;&gt;E951),G951+1,G951))</f>
        <v/>
      </c>
    </row>
    <row r="953">
      <c r="A953" s="14">
        <f>IF(OR(NOT(ISNUMBER(Ввод!$B$5)),NOT(ISNUMBER(Ввод!$B$6))),"",IF(Ввод!$B$5+951&gt;Ввод!$B$6,"",Ввод!$B$5+951))</f>
        <v/>
      </c>
      <c r="B953">
        <f>IF(A953="","",IFERROR(INDEX(Ввод!$B$12:$B$71,MATCH(A953,Ввод!$D$12:$D$71,1)),""))</f>
        <v/>
      </c>
      <c r="C953">
        <f>IF(A953="","",DATE(YEAR(A953),12,31)-DATE(YEAR(A953),1,1)+1)</f>
        <v/>
      </c>
      <c r="D953">
        <f>IF(A953="","",Ввод!$B$4-SUMIF(Оплаты!$A$6:$A$505,"&lt;"&amp;A953,Оплаты!$B$6:$B$505))</f>
        <v/>
      </c>
      <c r="E953">
        <f>IF(A953="","",IF(SUMPRODUCT((Ввод!$F$12:$F$31&lt;&gt;"")*(Ввод!$F$12:$F$31&lt;=A953)*(Ввод!$G$12:$G$31&gt;=A953))&gt;0,1,0))</f>
        <v/>
      </c>
      <c r="F953">
        <f>IF(OR(A953="",B953=""),"",IF(E953=1,0,D953*B953/100/C953))</f>
        <v/>
      </c>
      <c r="G953">
        <f>IF(A953="","",IF(OR(B953&lt;&gt;B952,C953&lt;&gt;C952,D953&lt;&gt;D952,E953&lt;&gt;E952),G952+1,G952))</f>
        <v/>
      </c>
    </row>
    <row r="954">
      <c r="A954" s="14">
        <f>IF(OR(NOT(ISNUMBER(Ввод!$B$5)),NOT(ISNUMBER(Ввод!$B$6))),"",IF(Ввод!$B$5+952&gt;Ввод!$B$6,"",Ввод!$B$5+952))</f>
        <v/>
      </c>
      <c r="B954">
        <f>IF(A954="","",IFERROR(INDEX(Ввод!$B$12:$B$71,MATCH(A954,Ввод!$D$12:$D$71,1)),""))</f>
        <v/>
      </c>
      <c r="C954">
        <f>IF(A954="","",DATE(YEAR(A954),12,31)-DATE(YEAR(A954),1,1)+1)</f>
        <v/>
      </c>
      <c r="D954">
        <f>IF(A954="","",Ввод!$B$4-SUMIF(Оплаты!$A$6:$A$505,"&lt;"&amp;A954,Оплаты!$B$6:$B$505))</f>
        <v/>
      </c>
      <c r="E954">
        <f>IF(A954="","",IF(SUMPRODUCT((Ввод!$F$12:$F$31&lt;&gt;"")*(Ввод!$F$12:$F$31&lt;=A954)*(Ввод!$G$12:$G$31&gt;=A954))&gt;0,1,0))</f>
        <v/>
      </c>
      <c r="F954">
        <f>IF(OR(A954="",B954=""),"",IF(E954=1,0,D954*B954/100/C954))</f>
        <v/>
      </c>
      <c r="G954">
        <f>IF(A954="","",IF(OR(B954&lt;&gt;B953,C954&lt;&gt;C953,D954&lt;&gt;D953,E954&lt;&gt;E953),G953+1,G953))</f>
        <v/>
      </c>
    </row>
    <row r="955">
      <c r="A955" s="14">
        <f>IF(OR(NOT(ISNUMBER(Ввод!$B$5)),NOT(ISNUMBER(Ввод!$B$6))),"",IF(Ввод!$B$5+953&gt;Ввод!$B$6,"",Ввод!$B$5+953))</f>
        <v/>
      </c>
      <c r="B955">
        <f>IF(A955="","",IFERROR(INDEX(Ввод!$B$12:$B$71,MATCH(A955,Ввод!$D$12:$D$71,1)),""))</f>
        <v/>
      </c>
      <c r="C955">
        <f>IF(A955="","",DATE(YEAR(A955),12,31)-DATE(YEAR(A955),1,1)+1)</f>
        <v/>
      </c>
      <c r="D955">
        <f>IF(A955="","",Ввод!$B$4-SUMIF(Оплаты!$A$6:$A$505,"&lt;"&amp;A955,Оплаты!$B$6:$B$505))</f>
        <v/>
      </c>
      <c r="E955">
        <f>IF(A955="","",IF(SUMPRODUCT((Ввод!$F$12:$F$31&lt;&gt;"")*(Ввод!$F$12:$F$31&lt;=A955)*(Ввод!$G$12:$G$31&gt;=A955))&gt;0,1,0))</f>
        <v/>
      </c>
      <c r="F955">
        <f>IF(OR(A955="",B955=""),"",IF(E955=1,0,D955*B955/100/C955))</f>
        <v/>
      </c>
      <c r="G955">
        <f>IF(A955="","",IF(OR(B955&lt;&gt;B954,C955&lt;&gt;C954,D955&lt;&gt;D954,E955&lt;&gt;E954),G954+1,G954))</f>
        <v/>
      </c>
    </row>
    <row r="956">
      <c r="A956" s="14">
        <f>IF(OR(NOT(ISNUMBER(Ввод!$B$5)),NOT(ISNUMBER(Ввод!$B$6))),"",IF(Ввод!$B$5+954&gt;Ввод!$B$6,"",Ввод!$B$5+954))</f>
        <v/>
      </c>
      <c r="B956">
        <f>IF(A956="","",IFERROR(INDEX(Ввод!$B$12:$B$71,MATCH(A956,Ввод!$D$12:$D$71,1)),""))</f>
        <v/>
      </c>
      <c r="C956">
        <f>IF(A956="","",DATE(YEAR(A956),12,31)-DATE(YEAR(A956),1,1)+1)</f>
        <v/>
      </c>
      <c r="D956">
        <f>IF(A956="","",Ввод!$B$4-SUMIF(Оплаты!$A$6:$A$505,"&lt;"&amp;A956,Оплаты!$B$6:$B$505))</f>
        <v/>
      </c>
      <c r="E956">
        <f>IF(A956="","",IF(SUMPRODUCT((Ввод!$F$12:$F$31&lt;&gt;"")*(Ввод!$F$12:$F$31&lt;=A956)*(Ввод!$G$12:$G$31&gt;=A956))&gt;0,1,0))</f>
        <v/>
      </c>
      <c r="F956">
        <f>IF(OR(A956="",B956=""),"",IF(E956=1,0,D956*B956/100/C956))</f>
        <v/>
      </c>
      <c r="G956">
        <f>IF(A956="","",IF(OR(B956&lt;&gt;B955,C956&lt;&gt;C955,D956&lt;&gt;D955,E956&lt;&gt;E955),G955+1,G955))</f>
        <v/>
      </c>
    </row>
    <row r="957">
      <c r="A957" s="14">
        <f>IF(OR(NOT(ISNUMBER(Ввод!$B$5)),NOT(ISNUMBER(Ввод!$B$6))),"",IF(Ввод!$B$5+955&gt;Ввод!$B$6,"",Ввод!$B$5+955))</f>
        <v/>
      </c>
      <c r="B957">
        <f>IF(A957="","",IFERROR(INDEX(Ввод!$B$12:$B$71,MATCH(A957,Ввод!$D$12:$D$71,1)),""))</f>
        <v/>
      </c>
      <c r="C957">
        <f>IF(A957="","",DATE(YEAR(A957),12,31)-DATE(YEAR(A957),1,1)+1)</f>
        <v/>
      </c>
      <c r="D957">
        <f>IF(A957="","",Ввод!$B$4-SUMIF(Оплаты!$A$6:$A$505,"&lt;"&amp;A957,Оплаты!$B$6:$B$505))</f>
        <v/>
      </c>
      <c r="E957">
        <f>IF(A957="","",IF(SUMPRODUCT((Ввод!$F$12:$F$31&lt;&gt;"")*(Ввод!$F$12:$F$31&lt;=A957)*(Ввод!$G$12:$G$31&gt;=A957))&gt;0,1,0))</f>
        <v/>
      </c>
      <c r="F957">
        <f>IF(OR(A957="",B957=""),"",IF(E957=1,0,D957*B957/100/C957))</f>
        <v/>
      </c>
      <c r="G957">
        <f>IF(A957="","",IF(OR(B957&lt;&gt;B956,C957&lt;&gt;C956,D957&lt;&gt;D956,E957&lt;&gt;E956),G956+1,G956))</f>
        <v/>
      </c>
    </row>
    <row r="958">
      <c r="A958" s="14">
        <f>IF(OR(NOT(ISNUMBER(Ввод!$B$5)),NOT(ISNUMBER(Ввод!$B$6))),"",IF(Ввод!$B$5+956&gt;Ввод!$B$6,"",Ввод!$B$5+956))</f>
        <v/>
      </c>
      <c r="B958">
        <f>IF(A958="","",IFERROR(INDEX(Ввод!$B$12:$B$71,MATCH(A958,Ввод!$D$12:$D$71,1)),""))</f>
        <v/>
      </c>
      <c r="C958">
        <f>IF(A958="","",DATE(YEAR(A958),12,31)-DATE(YEAR(A958),1,1)+1)</f>
        <v/>
      </c>
      <c r="D958">
        <f>IF(A958="","",Ввод!$B$4-SUMIF(Оплаты!$A$6:$A$505,"&lt;"&amp;A958,Оплаты!$B$6:$B$505))</f>
        <v/>
      </c>
      <c r="E958">
        <f>IF(A958="","",IF(SUMPRODUCT((Ввод!$F$12:$F$31&lt;&gt;"")*(Ввод!$F$12:$F$31&lt;=A958)*(Ввод!$G$12:$G$31&gt;=A958))&gt;0,1,0))</f>
        <v/>
      </c>
      <c r="F958">
        <f>IF(OR(A958="",B958=""),"",IF(E958=1,0,D958*B958/100/C958))</f>
        <v/>
      </c>
      <c r="G958">
        <f>IF(A958="","",IF(OR(B958&lt;&gt;B957,C958&lt;&gt;C957,D958&lt;&gt;D957,E958&lt;&gt;E957),G957+1,G957))</f>
        <v/>
      </c>
    </row>
    <row r="959">
      <c r="A959" s="14">
        <f>IF(OR(NOT(ISNUMBER(Ввод!$B$5)),NOT(ISNUMBER(Ввод!$B$6))),"",IF(Ввод!$B$5+957&gt;Ввод!$B$6,"",Ввод!$B$5+957))</f>
        <v/>
      </c>
      <c r="B959">
        <f>IF(A959="","",IFERROR(INDEX(Ввод!$B$12:$B$71,MATCH(A959,Ввод!$D$12:$D$71,1)),""))</f>
        <v/>
      </c>
      <c r="C959">
        <f>IF(A959="","",DATE(YEAR(A959),12,31)-DATE(YEAR(A959),1,1)+1)</f>
        <v/>
      </c>
      <c r="D959">
        <f>IF(A959="","",Ввод!$B$4-SUMIF(Оплаты!$A$6:$A$505,"&lt;"&amp;A959,Оплаты!$B$6:$B$505))</f>
        <v/>
      </c>
      <c r="E959">
        <f>IF(A959="","",IF(SUMPRODUCT((Ввод!$F$12:$F$31&lt;&gt;"")*(Ввод!$F$12:$F$31&lt;=A959)*(Ввод!$G$12:$G$31&gt;=A959))&gt;0,1,0))</f>
        <v/>
      </c>
      <c r="F959">
        <f>IF(OR(A959="",B959=""),"",IF(E959=1,0,D959*B959/100/C959))</f>
        <v/>
      </c>
      <c r="G959">
        <f>IF(A959="","",IF(OR(B959&lt;&gt;B958,C959&lt;&gt;C958,D959&lt;&gt;D958,E959&lt;&gt;E958),G958+1,G958))</f>
        <v/>
      </c>
    </row>
    <row r="960">
      <c r="A960" s="14">
        <f>IF(OR(NOT(ISNUMBER(Ввод!$B$5)),NOT(ISNUMBER(Ввод!$B$6))),"",IF(Ввод!$B$5+958&gt;Ввод!$B$6,"",Ввод!$B$5+958))</f>
        <v/>
      </c>
      <c r="B960">
        <f>IF(A960="","",IFERROR(INDEX(Ввод!$B$12:$B$71,MATCH(A960,Ввод!$D$12:$D$71,1)),""))</f>
        <v/>
      </c>
      <c r="C960">
        <f>IF(A960="","",DATE(YEAR(A960),12,31)-DATE(YEAR(A960),1,1)+1)</f>
        <v/>
      </c>
      <c r="D960">
        <f>IF(A960="","",Ввод!$B$4-SUMIF(Оплаты!$A$6:$A$505,"&lt;"&amp;A960,Оплаты!$B$6:$B$505))</f>
        <v/>
      </c>
      <c r="E960">
        <f>IF(A960="","",IF(SUMPRODUCT((Ввод!$F$12:$F$31&lt;&gt;"")*(Ввод!$F$12:$F$31&lt;=A960)*(Ввод!$G$12:$G$31&gt;=A960))&gt;0,1,0))</f>
        <v/>
      </c>
      <c r="F960">
        <f>IF(OR(A960="",B960=""),"",IF(E960=1,0,D960*B960/100/C960))</f>
        <v/>
      </c>
      <c r="G960">
        <f>IF(A960="","",IF(OR(B960&lt;&gt;B959,C960&lt;&gt;C959,D960&lt;&gt;D959,E960&lt;&gt;E959),G959+1,G959))</f>
        <v/>
      </c>
    </row>
    <row r="961">
      <c r="A961" s="14">
        <f>IF(OR(NOT(ISNUMBER(Ввод!$B$5)),NOT(ISNUMBER(Ввод!$B$6))),"",IF(Ввод!$B$5+959&gt;Ввод!$B$6,"",Ввод!$B$5+959))</f>
        <v/>
      </c>
      <c r="B961">
        <f>IF(A961="","",IFERROR(INDEX(Ввод!$B$12:$B$71,MATCH(A961,Ввод!$D$12:$D$71,1)),""))</f>
        <v/>
      </c>
      <c r="C961">
        <f>IF(A961="","",DATE(YEAR(A961),12,31)-DATE(YEAR(A961),1,1)+1)</f>
        <v/>
      </c>
      <c r="D961">
        <f>IF(A961="","",Ввод!$B$4-SUMIF(Оплаты!$A$6:$A$505,"&lt;"&amp;A961,Оплаты!$B$6:$B$505))</f>
        <v/>
      </c>
      <c r="E961">
        <f>IF(A961="","",IF(SUMPRODUCT((Ввод!$F$12:$F$31&lt;&gt;"")*(Ввод!$F$12:$F$31&lt;=A961)*(Ввод!$G$12:$G$31&gt;=A961))&gt;0,1,0))</f>
        <v/>
      </c>
      <c r="F961">
        <f>IF(OR(A961="",B961=""),"",IF(E961=1,0,D961*B961/100/C961))</f>
        <v/>
      </c>
      <c r="G961">
        <f>IF(A961="","",IF(OR(B961&lt;&gt;B960,C961&lt;&gt;C960,D961&lt;&gt;D960,E961&lt;&gt;E960),G960+1,G960))</f>
        <v/>
      </c>
    </row>
    <row r="962">
      <c r="A962" s="14">
        <f>IF(OR(NOT(ISNUMBER(Ввод!$B$5)),NOT(ISNUMBER(Ввод!$B$6))),"",IF(Ввод!$B$5+960&gt;Ввод!$B$6,"",Ввод!$B$5+960))</f>
        <v/>
      </c>
      <c r="B962">
        <f>IF(A962="","",IFERROR(INDEX(Ввод!$B$12:$B$71,MATCH(A962,Ввод!$D$12:$D$71,1)),""))</f>
        <v/>
      </c>
      <c r="C962">
        <f>IF(A962="","",DATE(YEAR(A962),12,31)-DATE(YEAR(A962),1,1)+1)</f>
        <v/>
      </c>
      <c r="D962">
        <f>IF(A962="","",Ввод!$B$4-SUMIF(Оплаты!$A$6:$A$505,"&lt;"&amp;A962,Оплаты!$B$6:$B$505))</f>
        <v/>
      </c>
      <c r="E962">
        <f>IF(A962="","",IF(SUMPRODUCT((Ввод!$F$12:$F$31&lt;&gt;"")*(Ввод!$F$12:$F$31&lt;=A962)*(Ввод!$G$12:$G$31&gt;=A962))&gt;0,1,0))</f>
        <v/>
      </c>
      <c r="F962">
        <f>IF(OR(A962="",B962=""),"",IF(E962=1,0,D962*B962/100/C962))</f>
        <v/>
      </c>
      <c r="G962">
        <f>IF(A962="","",IF(OR(B962&lt;&gt;B961,C962&lt;&gt;C961,D962&lt;&gt;D961,E962&lt;&gt;E961),G961+1,G961))</f>
        <v/>
      </c>
    </row>
    <row r="963">
      <c r="A963" s="14">
        <f>IF(OR(NOT(ISNUMBER(Ввод!$B$5)),NOT(ISNUMBER(Ввод!$B$6))),"",IF(Ввод!$B$5+961&gt;Ввод!$B$6,"",Ввод!$B$5+961))</f>
        <v/>
      </c>
      <c r="B963">
        <f>IF(A963="","",IFERROR(INDEX(Ввод!$B$12:$B$71,MATCH(A963,Ввод!$D$12:$D$71,1)),""))</f>
        <v/>
      </c>
      <c r="C963">
        <f>IF(A963="","",DATE(YEAR(A963),12,31)-DATE(YEAR(A963),1,1)+1)</f>
        <v/>
      </c>
      <c r="D963">
        <f>IF(A963="","",Ввод!$B$4-SUMIF(Оплаты!$A$6:$A$505,"&lt;"&amp;A963,Оплаты!$B$6:$B$505))</f>
        <v/>
      </c>
      <c r="E963">
        <f>IF(A963="","",IF(SUMPRODUCT((Ввод!$F$12:$F$31&lt;&gt;"")*(Ввод!$F$12:$F$31&lt;=A963)*(Ввод!$G$12:$G$31&gt;=A963))&gt;0,1,0))</f>
        <v/>
      </c>
      <c r="F963">
        <f>IF(OR(A963="",B963=""),"",IF(E963=1,0,D963*B963/100/C963))</f>
        <v/>
      </c>
      <c r="G963">
        <f>IF(A963="","",IF(OR(B963&lt;&gt;B962,C963&lt;&gt;C962,D963&lt;&gt;D962,E963&lt;&gt;E962),G962+1,G962))</f>
        <v/>
      </c>
    </row>
    <row r="964">
      <c r="A964" s="14">
        <f>IF(OR(NOT(ISNUMBER(Ввод!$B$5)),NOT(ISNUMBER(Ввод!$B$6))),"",IF(Ввод!$B$5+962&gt;Ввод!$B$6,"",Ввод!$B$5+962))</f>
        <v/>
      </c>
      <c r="B964">
        <f>IF(A964="","",IFERROR(INDEX(Ввод!$B$12:$B$71,MATCH(A964,Ввод!$D$12:$D$71,1)),""))</f>
        <v/>
      </c>
      <c r="C964">
        <f>IF(A964="","",DATE(YEAR(A964),12,31)-DATE(YEAR(A964),1,1)+1)</f>
        <v/>
      </c>
      <c r="D964">
        <f>IF(A964="","",Ввод!$B$4-SUMIF(Оплаты!$A$6:$A$505,"&lt;"&amp;A964,Оплаты!$B$6:$B$505))</f>
        <v/>
      </c>
      <c r="E964">
        <f>IF(A964="","",IF(SUMPRODUCT((Ввод!$F$12:$F$31&lt;&gt;"")*(Ввод!$F$12:$F$31&lt;=A964)*(Ввод!$G$12:$G$31&gt;=A964))&gt;0,1,0))</f>
        <v/>
      </c>
      <c r="F964">
        <f>IF(OR(A964="",B964=""),"",IF(E964=1,0,D964*B964/100/C964))</f>
        <v/>
      </c>
      <c r="G964">
        <f>IF(A964="","",IF(OR(B964&lt;&gt;B963,C964&lt;&gt;C963,D964&lt;&gt;D963,E964&lt;&gt;E963),G963+1,G963))</f>
        <v/>
      </c>
    </row>
    <row r="965">
      <c r="A965" s="14">
        <f>IF(OR(NOT(ISNUMBER(Ввод!$B$5)),NOT(ISNUMBER(Ввод!$B$6))),"",IF(Ввод!$B$5+963&gt;Ввод!$B$6,"",Ввод!$B$5+963))</f>
        <v/>
      </c>
      <c r="B965">
        <f>IF(A965="","",IFERROR(INDEX(Ввод!$B$12:$B$71,MATCH(A965,Ввод!$D$12:$D$71,1)),""))</f>
        <v/>
      </c>
      <c r="C965">
        <f>IF(A965="","",DATE(YEAR(A965),12,31)-DATE(YEAR(A965),1,1)+1)</f>
        <v/>
      </c>
      <c r="D965">
        <f>IF(A965="","",Ввод!$B$4-SUMIF(Оплаты!$A$6:$A$505,"&lt;"&amp;A965,Оплаты!$B$6:$B$505))</f>
        <v/>
      </c>
      <c r="E965">
        <f>IF(A965="","",IF(SUMPRODUCT((Ввод!$F$12:$F$31&lt;&gt;"")*(Ввод!$F$12:$F$31&lt;=A965)*(Ввод!$G$12:$G$31&gt;=A965))&gt;0,1,0))</f>
        <v/>
      </c>
      <c r="F965">
        <f>IF(OR(A965="",B965=""),"",IF(E965=1,0,D965*B965/100/C965))</f>
        <v/>
      </c>
      <c r="G965">
        <f>IF(A965="","",IF(OR(B965&lt;&gt;B964,C965&lt;&gt;C964,D965&lt;&gt;D964,E965&lt;&gt;E964),G964+1,G964))</f>
        <v/>
      </c>
    </row>
    <row r="966">
      <c r="A966" s="14">
        <f>IF(OR(NOT(ISNUMBER(Ввод!$B$5)),NOT(ISNUMBER(Ввод!$B$6))),"",IF(Ввод!$B$5+964&gt;Ввод!$B$6,"",Ввод!$B$5+964))</f>
        <v/>
      </c>
      <c r="B966">
        <f>IF(A966="","",IFERROR(INDEX(Ввод!$B$12:$B$71,MATCH(A966,Ввод!$D$12:$D$71,1)),""))</f>
        <v/>
      </c>
      <c r="C966">
        <f>IF(A966="","",DATE(YEAR(A966),12,31)-DATE(YEAR(A966),1,1)+1)</f>
        <v/>
      </c>
      <c r="D966">
        <f>IF(A966="","",Ввод!$B$4-SUMIF(Оплаты!$A$6:$A$505,"&lt;"&amp;A966,Оплаты!$B$6:$B$505))</f>
        <v/>
      </c>
      <c r="E966">
        <f>IF(A966="","",IF(SUMPRODUCT((Ввод!$F$12:$F$31&lt;&gt;"")*(Ввод!$F$12:$F$31&lt;=A966)*(Ввод!$G$12:$G$31&gt;=A966))&gt;0,1,0))</f>
        <v/>
      </c>
      <c r="F966">
        <f>IF(OR(A966="",B966=""),"",IF(E966=1,0,D966*B966/100/C966))</f>
        <v/>
      </c>
      <c r="G966">
        <f>IF(A966="","",IF(OR(B966&lt;&gt;B965,C966&lt;&gt;C965,D966&lt;&gt;D965,E966&lt;&gt;E965),G965+1,G965))</f>
        <v/>
      </c>
    </row>
    <row r="967">
      <c r="A967" s="14">
        <f>IF(OR(NOT(ISNUMBER(Ввод!$B$5)),NOT(ISNUMBER(Ввод!$B$6))),"",IF(Ввод!$B$5+965&gt;Ввод!$B$6,"",Ввод!$B$5+965))</f>
        <v/>
      </c>
      <c r="B967">
        <f>IF(A967="","",IFERROR(INDEX(Ввод!$B$12:$B$71,MATCH(A967,Ввод!$D$12:$D$71,1)),""))</f>
        <v/>
      </c>
      <c r="C967">
        <f>IF(A967="","",DATE(YEAR(A967),12,31)-DATE(YEAR(A967),1,1)+1)</f>
        <v/>
      </c>
      <c r="D967">
        <f>IF(A967="","",Ввод!$B$4-SUMIF(Оплаты!$A$6:$A$505,"&lt;"&amp;A967,Оплаты!$B$6:$B$505))</f>
        <v/>
      </c>
      <c r="E967">
        <f>IF(A967="","",IF(SUMPRODUCT((Ввод!$F$12:$F$31&lt;&gt;"")*(Ввод!$F$12:$F$31&lt;=A967)*(Ввод!$G$12:$G$31&gt;=A967))&gt;0,1,0))</f>
        <v/>
      </c>
      <c r="F967">
        <f>IF(OR(A967="",B967=""),"",IF(E967=1,0,D967*B967/100/C967))</f>
        <v/>
      </c>
      <c r="G967">
        <f>IF(A967="","",IF(OR(B967&lt;&gt;B966,C967&lt;&gt;C966,D967&lt;&gt;D966,E967&lt;&gt;E966),G966+1,G966))</f>
        <v/>
      </c>
    </row>
    <row r="968">
      <c r="A968" s="14">
        <f>IF(OR(NOT(ISNUMBER(Ввод!$B$5)),NOT(ISNUMBER(Ввод!$B$6))),"",IF(Ввод!$B$5+966&gt;Ввод!$B$6,"",Ввод!$B$5+966))</f>
        <v/>
      </c>
      <c r="B968">
        <f>IF(A968="","",IFERROR(INDEX(Ввод!$B$12:$B$71,MATCH(A968,Ввод!$D$12:$D$71,1)),""))</f>
        <v/>
      </c>
      <c r="C968">
        <f>IF(A968="","",DATE(YEAR(A968),12,31)-DATE(YEAR(A968),1,1)+1)</f>
        <v/>
      </c>
      <c r="D968">
        <f>IF(A968="","",Ввод!$B$4-SUMIF(Оплаты!$A$6:$A$505,"&lt;"&amp;A968,Оплаты!$B$6:$B$505))</f>
        <v/>
      </c>
      <c r="E968">
        <f>IF(A968="","",IF(SUMPRODUCT((Ввод!$F$12:$F$31&lt;&gt;"")*(Ввод!$F$12:$F$31&lt;=A968)*(Ввод!$G$12:$G$31&gt;=A968))&gt;0,1,0))</f>
        <v/>
      </c>
      <c r="F968">
        <f>IF(OR(A968="",B968=""),"",IF(E968=1,0,D968*B968/100/C968))</f>
        <v/>
      </c>
      <c r="G968">
        <f>IF(A968="","",IF(OR(B968&lt;&gt;B967,C968&lt;&gt;C967,D968&lt;&gt;D967,E968&lt;&gt;E967),G967+1,G967))</f>
        <v/>
      </c>
    </row>
    <row r="969">
      <c r="A969" s="14">
        <f>IF(OR(NOT(ISNUMBER(Ввод!$B$5)),NOT(ISNUMBER(Ввод!$B$6))),"",IF(Ввод!$B$5+967&gt;Ввод!$B$6,"",Ввод!$B$5+967))</f>
        <v/>
      </c>
      <c r="B969">
        <f>IF(A969="","",IFERROR(INDEX(Ввод!$B$12:$B$71,MATCH(A969,Ввод!$D$12:$D$71,1)),""))</f>
        <v/>
      </c>
      <c r="C969">
        <f>IF(A969="","",DATE(YEAR(A969),12,31)-DATE(YEAR(A969),1,1)+1)</f>
        <v/>
      </c>
      <c r="D969">
        <f>IF(A969="","",Ввод!$B$4-SUMIF(Оплаты!$A$6:$A$505,"&lt;"&amp;A969,Оплаты!$B$6:$B$505))</f>
        <v/>
      </c>
      <c r="E969">
        <f>IF(A969="","",IF(SUMPRODUCT((Ввод!$F$12:$F$31&lt;&gt;"")*(Ввод!$F$12:$F$31&lt;=A969)*(Ввод!$G$12:$G$31&gt;=A969))&gt;0,1,0))</f>
        <v/>
      </c>
      <c r="F969">
        <f>IF(OR(A969="",B969=""),"",IF(E969=1,0,D969*B969/100/C969))</f>
        <v/>
      </c>
      <c r="G969">
        <f>IF(A969="","",IF(OR(B969&lt;&gt;B968,C969&lt;&gt;C968,D969&lt;&gt;D968,E969&lt;&gt;E968),G968+1,G968))</f>
        <v/>
      </c>
    </row>
    <row r="970">
      <c r="A970" s="14">
        <f>IF(OR(NOT(ISNUMBER(Ввод!$B$5)),NOT(ISNUMBER(Ввод!$B$6))),"",IF(Ввод!$B$5+968&gt;Ввод!$B$6,"",Ввод!$B$5+968))</f>
        <v/>
      </c>
      <c r="B970">
        <f>IF(A970="","",IFERROR(INDEX(Ввод!$B$12:$B$71,MATCH(A970,Ввод!$D$12:$D$71,1)),""))</f>
        <v/>
      </c>
      <c r="C970">
        <f>IF(A970="","",DATE(YEAR(A970),12,31)-DATE(YEAR(A970),1,1)+1)</f>
        <v/>
      </c>
      <c r="D970">
        <f>IF(A970="","",Ввод!$B$4-SUMIF(Оплаты!$A$6:$A$505,"&lt;"&amp;A970,Оплаты!$B$6:$B$505))</f>
        <v/>
      </c>
      <c r="E970">
        <f>IF(A970="","",IF(SUMPRODUCT((Ввод!$F$12:$F$31&lt;&gt;"")*(Ввод!$F$12:$F$31&lt;=A970)*(Ввод!$G$12:$G$31&gt;=A970))&gt;0,1,0))</f>
        <v/>
      </c>
      <c r="F970">
        <f>IF(OR(A970="",B970=""),"",IF(E970=1,0,D970*B970/100/C970))</f>
        <v/>
      </c>
      <c r="G970">
        <f>IF(A970="","",IF(OR(B970&lt;&gt;B969,C970&lt;&gt;C969,D970&lt;&gt;D969,E970&lt;&gt;E969),G969+1,G969))</f>
        <v/>
      </c>
    </row>
    <row r="971">
      <c r="A971" s="14">
        <f>IF(OR(NOT(ISNUMBER(Ввод!$B$5)),NOT(ISNUMBER(Ввод!$B$6))),"",IF(Ввод!$B$5+969&gt;Ввод!$B$6,"",Ввод!$B$5+969))</f>
        <v/>
      </c>
      <c r="B971">
        <f>IF(A971="","",IFERROR(INDEX(Ввод!$B$12:$B$71,MATCH(A971,Ввод!$D$12:$D$71,1)),""))</f>
        <v/>
      </c>
      <c r="C971">
        <f>IF(A971="","",DATE(YEAR(A971),12,31)-DATE(YEAR(A971),1,1)+1)</f>
        <v/>
      </c>
      <c r="D971">
        <f>IF(A971="","",Ввод!$B$4-SUMIF(Оплаты!$A$6:$A$505,"&lt;"&amp;A971,Оплаты!$B$6:$B$505))</f>
        <v/>
      </c>
      <c r="E971">
        <f>IF(A971="","",IF(SUMPRODUCT((Ввод!$F$12:$F$31&lt;&gt;"")*(Ввод!$F$12:$F$31&lt;=A971)*(Ввод!$G$12:$G$31&gt;=A971))&gt;0,1,0))</f>
        <v/>
      </c>
      <c r="F971">
        <f>IF(OR(A971="",B971=""),"",IF(E971=1,0,D971*B971/100/C971))</f>
        <v/>
      </c>
      <c r="G971">
        <f>IF(A971="","",IF(OR(B971&lt;&gt;B970,C971&lt;&gt;C970,D971&lt;&gt;D970,E971&lt;&gt;E970),G970+1,G970))</f>
        <v/>
      </c>
    </row>
    <row r="972">
      <c r="A972" s="14">
        <f>IF(OR(NOT(ISNUMBER(Ввод!$B$5)),NOT(ISNUMBER(Ввод!$B$6))),"",IF(Ввод!$B$5+970&gt;Ввод!$B$6,"",Ввод!$B$5+970))</f>
        <v/>
      </c>
      <c r="B972">
        <f>IF(A972="","",IFERROR(INDEX(Ввод!$B$12:$B$71,MATCH(A972,Ввод!$D$12:$D$71,1)),""))</f>
        <v/>
      </c>
      <c r="C972">
        <f>IF(A972="","",DATE(YEAR(A972),12,31)-DATE(YEAR(A972),1,1)+1)</f>
        <v/>
      </c>
      <c r="D972">
        <f>IF(A972="","",Ввод!$B$4-SUMIF(Оплаты!$A$6:$A$505,"&lt;"&amp;A972,Оплаты!$B$6:$B$505))</f>
        <v/>
      </c>
      <c r="E972">
        <f>IF(A972="","",IF(SUMPRODUCT((Ввод!$F$12:$F$31&lt;&gt;"")*(Ввод!$F$12:$F$31&lt;=A972)*(Ввод!$G$12:$G$31&gt;=A972))&gt;0,1,0))</f>
        <v/>
      </c>
      <c r="F972">
        <f>IF(OR(A972="",B972=""),"",IF(E972=1,0,D972*B972/100/C972))</f>
        <v/>
      </c>
      <c r="G972">
        <f>IF(A972="","",IF(OR(B972&lt;&gt;B971,C972&lt;&gt;C971,D972&lt;&gt;D971,E972&lt;&gt;E971),G971+1,G971))</f>
        <v/>
      </c>
    </row>
    <row r="973">
      <c r="A973" s="14">
        <f>IF(OR(NOT(ISNUMBER(Ввод!$B$5)),NOT(ISNUMBER(Ввод!$B$6))),"",IF(Ввод!$B$5+971&gt;Ввод!$B$6,"",Ввод!$B$5+971))</f>
        <v/>
      </c>
      <c r="B973">
        <f>IF(A973="","",IFERROR(INDEX(Ввод!$B$12:$B$71,MATCH(A973,Ввод!$D$12:$D$71,1)),""))</f>
        <v/>
      </c>
      <c r="C973">
        <f>IF(A973="","",DATE(YEAR(A973),12,31)-DATE(YEAR(A973),1,1)+1)</f>
        <v/>
      </c>
      <c r="D973">
        <f>IF(A973="","",Ввод!$B$4-SUMIF(Оплаты!$A$6:$A$505,"&lt;"&amp;A973,Оплаты!$B$6:$B$505))</f>
        <v/>
      </c>
      <c r="E973">
        <f>IF(A973="","",IF(SUMPRODUCT((Ввод!$F$12:$F$31&lt;&gt;"")*(Ввод!$F$12:$F$31&lt;=A973)*(Ввод!$G$12:$G$31&gt;=A973))&gt;0,1,0))</f>
        <v/>
      </c>
      <c r="F973">
        <f>IF(OR(A973="",B973=""),"",IF(E973=1,0,D973*B973/100/C973))</f>
        <v/>
      </c>
      <c r="G973">
        <f>IF(A973="","",IF(OR(B973&lt;&gt;B972,C973&lt;&gt;C972,D973&lt;&gt;D972,E973&lt;&gt;E972),G972+1,G972))</f>
        <v/>
      </c>
    </row>
    <row r="974">
      <c r="A974" s="14">
        <f>IF(OR(NOT(ISNUMBER(Ввод!$B$5)),NOT(ISNUMBER(Ввод!$B$6))),"",IF(Ввод!$B$5+972&gt;Ввод!$B$6,"",Ввод!$B$5+972))</f>
        <v/>
      </c>
      <c r="B974">
        <f>IF(A974="","",IFERROR(INDEX(Ввод!$B$12:$B$71,MATCH(A974,Ввод!$D$12:$D$71,1)),""))</f>
        <v/>
      </c>
      <c r="C974">
        <f>IF(A974="","",DATE(YEAR(A974),12,31)-DATE(YEAR(A974),1,1)+1)</f>
        <v/>
      </c>
      <c r="D974">
        <f>IF(A974="","",Ввод!$B$4-SUMIF(Оплаты!$A$6:$A$505,"&lt;"&amp;A974,Оплаты!$B$6:$B$505))</f>
        <v/>
      </c>
      <c r="E974">
        <f>IF(A974="","",IF(SUMPRODUCT((Ввод!$F$12:$F$31&lt;&gt;"")*(Ввод!$F$12:$F$31&lt;=A974)*(Ввод!$G$12:$G$31&gt;=A974))&gt;0,1,0))</f>
        <v/>
      </c>
      <c r="F974">
        <f>IF(OR(A974="",B974=""),"",IF(E974=1,0,D974*B974/100/C974))</f>
        <v/>
      </c>
      <c r="G974">
        <f>IF(A974="","",IF(OR(B974&lt;&gt;B973,C974&lt;&gt;C973,D974&lt;&gt;D973,E974&lt;&gt;E973),G973+1,G973))</f>
        <v/>
      </c>
    </row>
    <row r="975">
      <c r="A975" s="14">
        <f>IF(OR(NOT(ISNUMBER(Ввод!$B$5)),NOT(ISNUMBER(Ввод!$B$6))),"",IF(Ввод!$B$5+973&gt;Ввод!$B$6,"",Ввод!$B$5+973))</f>
        <v/>
      </c>
      <c r="B975">
        <f>IF(A975="","",IFERROR(INDEX(Ввод!$B$12:$B$71,MATCH(A975,Ввод!$D$12:$D$71,1)),""))</f>
        <v/>
      </c>
      <c r="C975">
        <f>IF(A975="","",DATE(YEAR(A975),12,31)-DATE(YEAR(A975),1,1)+1)</f>
        <v/>
      </c>
      <c r="D975">
        <f>IF(A975="","",Ввод!$B$4-SUMIF(Оплаты!$A$6:$A$505,"&lt;"&amp;A975,Оплаты!$B$6:$B$505))</f>
        <v/>
      </c>
      <c r="E975">
        <f>IF(A975="","",IF(SUMPRODUCT((Ввод!$F$12:$F$31&lt;&gt;"")*(Ввод!$F$12:$F$31&lt;=A975)*(Ввод!$G$12:$G$31&gt;=A975))&gt;0,1,0))</f>
        <v/>
      </c>
      <c r="F975">
        <f>IF(OR(A975="",B975=""),"",IF(E975=1,0,D975*B975/100/C975))</f>
        <v/>
      </c>
      <c r="G975">
        <f>IF(A975="","",IF(OR(B975&lt;&gt;B974,C975&lt;&gt;C974,D975&lt;&gt;D974,E975&lt;&gt;E974),G974+1,G974))</f>
        <v/>
      </c>
    </row>
    <row r="976">
      <c r="A976" s="14">
        <f>IF(OR(NOT(ISNUMBER(Ввод!$B$5)),NOT(ISNUMBER(Ввод!$B$6))),"",IF(Ввод!$B$5+974&gt;Ввод!$B$6,"",Ввод!$B$5+974))</f>
        <v/>
      </c>
      <c r="B976">
        <f>IF(A976="","",IFERROR(INDEX(Ввод!$B$12:$B$71,MATCH(A976,Ввод!$D$12:$D$71,1)),""))</f>
        <v/>
      </c>
      <c r="C976">
        <f>IF(A976="","",DATE(YEAR(A976),12,31)-DATE(YEAR(A976),1,1)+1)</f>
        <v/>
      </c>
      <c r="D976">
        <f>IF(A976="","",Ввод!$B$4-SUMIF(Оплаты!$A$6:$A$505,"&lt;"&amp;A976,Оплаты!$B$6:$B$505))</f>
        <v/>
      </c>
      <c r="E976">
        <f>IF(A976="","",IF(SUMPRODUCT((Ввод!$F$12:$F$31&lt;&gt;"")*(Ввод!$F$12:$F$31&lt;=A976)*(Ввод!$G$12:$G$31&gt;=A976))&gt;0,1,0))</f>
        <v/>
      </c>
      <c r="F976">
        <f>IF(OR(A976="",B976=""),"",IF(E976=1,0,D976*B976/100/C976))</f>
        <v/>
      </c>
      <c r="G976">
        <f>IF(A976="","",IF(OR(B976&lt;&gt;B975,C976&lt;&gt;C975,D976&lt;&gt;D975,E976&lt;&gt;E975),G975+1,G975))</f>
        <v/>
      </c>
    </row>
    <row r="977">
      <c r="A977" s="14">
        <f>IF(OR(NOT(ISNUMBER(Ввод!$B$5)),NOT(ISNUMBER(Ввод!$B$6))),"",IF(Ввод!$B$5+975&gt;Ввод!$B$6,"",Ввод!$B$5+975))</f>
        <v/>
      </c>
      <c r="B977">
        <f>IF(A977="","",IFERROR(INDEX(Ввод!$B$12:$B$71,MATCH(A977,Ввод!$D$12:$D$71,1)),""))</f>
        <v/>
      </c>
      <c r="C977">
        <f>IF(A977="","",DATE(YEAR(A977),12,31)-DATE(YEAR(A977),1,1)+1)</f>
        <v/>
      </c>
      <c r="D977">
        <f>IF(A977="","",Ввод!$B$4-SUMIF(Оплаты!$A$6:$A$505,"&lt;"&amp;A977,Оплаты!$B$6:$B$505))</f>
        <v/>
      </c>
      <c r="E977">
        <f>IF(A977="","",IF(SUMPRODUCT((Ввод!$F$12:$F$31&lt;&gt;"")*(Ввод!$F$12:$F$31&lt;=A977)*(Ввод!$G$12:$G$31&gt;=A977))&gt;0,1,0))</f>
        <v/>
      </c>
      <c r="F977">
        <f>IF(OR(A977="",B977=""),"",IF(E977=1,0,D977*B977/100/C977))</f>
        <v/>
      </c>
      <c r="G977">
        <f>IF(A977="","",IF(OR(B977&lt;&gt;B976,C977&lt;&gt;C976,D977&lt;&gt;D976,E977&lt;&gt;E976),G976+1,G976))</f>
        <v/>
      </c>
    </row>
    <row r="978">
      <c r="A978" s="14">
        <f>IF(OR(NOT(ISNUMBER(Ввод!$B$5)),NOT(ISNUMBER(Ввод!$B$6))),"",IF(Ввод!$B$5+976&gt;Ввод!$B$6,"",Ввод!$B$5+976))</f>
        <v/>
      </c>
      <c r="B978">
        <f>IF(A978="","",IFERROR(INDEX(Ввод!$B$12:$B$71,MATCH(A978,Ввод!$D$12:$D$71,1)),""))</f>
        <v/>
      </c>
      <c r="C978">
        <f>IF(A978="","",DATE(YEAR(A978),12,31)-DATE(YEAR(A978),1,1)+1)</f>
        <v/>
      </c>
      <c r="D978">
        <f>IF(A978="","",Ввод!$B$4-SUMIF(Оплаты!$A$6:$A$505,"&lt;"&amp;A978,Оплаты!$B$6:$B$505))</f>
        <v/>
      </c>
      <c r="E978">
        <f>IF(A978="","",IF(SUMPRODUCT((Ввод!$F$12:$F$31&lt;&gt;"")*(Ввод!$F$12:$F$31&lt;=A978)*(Ввод!$G$12:$G$31&gt;=A978))&gt;0,1,0))</f>
        <v/>
      </c>
      <c r="F978">
        <f>IF(OR(A978="",B978=""),"",IF(E978=1,0,D978*B978/100/C978))</f>
        <v/>
      </c>
      <c r="G978">
        <f>IF(A978="","",IF(OR(B978&lt;&gt;B977,C978&lt;&gt;C977,D978&lt;&gt;D977,E978&lt;&gt;E977),G977+1,G977))</f>
        <v/>
      </c>
    </row>
    <row r="979">
      <c r="A979" s="14">
        <f>IF(OR(NOT(ISNUMBER(Ввод!$B$5)),NOT(ISNUMBER(Ввод!$B$6))),"",IF(Ввод!$B$5+977&gt;Ввод!$B$6,"",Ввод!$B$5+977))</f>
        <v/>
      </c>
      <c r="B979">
        <f>IF(A979="","",IFERROR(INDEX(Ввод!$B$12:$B$71,MATCH(A979,Ввод!$D$12:$D$71,1)),""))</f>
        <v/>
      </c>
      <c r="C979">
        <f>IF(A979="","",DATE(YEAR(A979),12,31)-DATE(YEAR(A979),1,1)+1)</f>
        <v/>
      </c>
      <c r="D979">
        <f>IF(A979="","",Ввод!$B$4-SUMIF(Оплаты!$A$6:$A$505,"&lt;"&amp;A979,Оплаты!$B$6:$B$505))</f>
        <v/>
      </c>
      <c r="E979">
        <f>IF(A979="","",IF(SUMPRODUCT((Ввод!$F$12:$F$31&lt;&gt;"")*(Ввод!$F$12:$F$31&lt;=A979)*(Ввод!$G$12:$G$31&gt;=A979))&gt;0,1,0))</f>
        <v/>
      </c>
      <c r="F979">
        <f>IF(OR(A979="",B979=""),"",IF(E979=1,0,D979*B979/100/C979))</f>
        <v/>
      </c>
      <c r="G979">
        <f>IF(A979="","",IF(OR(B979&lt;&gt;B978,C979&lt;&gt;C978,D979&lt;&gt;D978,E979&lt;&gt;E978),G978+1,G978))</f>
        <v/>
      </c>
    </row>
    <row r="980">
      <c r="A980" s="14">
        <f>IF(OR(NOT(ISNUMBER(Ввод!$B$5)),NOT(ISNUMBER(Ввод!$B$6))),"",IF(Ввод!$B$5+978&gt;Ввод!$B$6,"",Ввод!$B$5+978))</f>
        <v/>
      </c>
      <c r="B980">
        <f>IF(A980="","",IFERROR(INDEX(Ввод!$B$12:$B$71,MATCH(A980,Ввод!$D$12:$D$71,1)),""))</f>
        <v/>
      </c>
      <c r="C980">
        <f>IF(A980="","",DATE(YEAR(A980),12,31)-DATE(YEAR(A980),1,1)+1)</f>
        <v/>
      </c>
      <c r="D980">
        <f>IF(A980="","",Ввод!$B$4-SUMIF(Оплаты!$A$6:$A$505,"&lt;"&amp;A980,Оплаты!$B$6:$B$505))</f>
        <v/>
      </c>
      <c r="E980">
        <f>IF(A980="","",IF(SUMPRODUCT((Ввод!$F$12:$F$31&lt;&gt;"")*(Ввод!$F$12:$F$31&lt;=A980)*(Ввод!$G$12:$G$31&gt;=A980))&gt;0,1,0))</f>
        <v/>
      </c>
      <c r="F980">
        <f>IF(OR(A980="",B980=""),"",IF(E980=1,0,D980*B980/100/C980))</f>
        <v/>
      </c>
      <c r="G980">
        <f>IF(A980="","",IF(OR(B980&lt;&gt;B979,C980&lt;&gt;C979,D980&lt;&gt;D979,E980&lt;&gt;E979),G979+1,G979))</f>
        <v/>
      </c>
    </row>
    <row r="981">
      <c r="A981" s="14">
        <f>IF(OR(NOT(ISNUMBER(Ввод!$B$5)),NOT(ISNUMBER(Ввод!$B$6))),"",IF(Ввод!$B$5+979&gt;Ввод!$B$6,"",Ввод!$B$5+979))</f>
        <v/>
      </c>
      <c r="B981">
        <f>IF(A981="","",IFERROR(INDEX(Ввод!$B$12:$B$71,MATCH(A981,Ввод!$D$12:$D$71,1)),""))</f>
        <v/>
      </c>
      <c r="C981">
        <f>IF(A981="","",DATE(YEAR(A981),12,31)-DATE(YEAR(A981),1,1)+1)</f>
        <v/>
      </c>
      <c r="D981">
        <f>IF(A981="","",Ввод!$B$4-SUMIF(Оплаты!$A$6:$A$505,"&lt;"&amp;A981,Оплаты!$B$6:$B$505))</f>
        <v/>
      </c>
      <c r="E981">
        <f>IF(A981="","",IF(SUMPRODUCT((Ввод!$F$12:$F$31&lt;&gt;"")*(Ввод!$F$12:$F$31&lt;=A981)*(Ввод!$G$12:$G$31&gt;=A981))&gt;0,1,0))</f>
        <v/>
      </c>
      <c r="F981">
        <f>IF(OR(A981="",B981=""),"",IF(E981=1,0,D981*B981/100/C981))</f>
        <v/>
      </c>
      <c r="G981">
        <f>IF(A981="","",IF(OR(B981&lt;&gt;B980,C981&lt;&gt;C980,D981&lt;&gt;D980,E981&lt;&gt;E980),G980+1,G980))</f>
        <v/>
      </c>
    </row>
    <row r="982">
      <c r="A982" s="14">
        <f>IF(OR(NOT(ISNUMBER(Ввод!$B$5)),NOT(ISNUMBER(Ввод!$B$6))),"",IF(Ввод!$B$5+980&gt;Ввод!$B$6,"",Ввод!$B$5+980))</f>
        <v/>
      </c>
      <c r="B982">
        <f>IF(A982="","",IFERROR(INDEX(Ввод!$B$12:$B$71,MATCH(A982,Ввод!$D$12:$D$71,1)),""))</f>
        <v/>
      </c>
      <c r="C982">
        <f>IF(A982="","",DATE(YEAR(A982),12,31)-DATE(YEAR(A982),1,1)+1)</f>
        <v/>
      </c>
      <c r="D982">
        <f>IF(A982="","",Ввод!$B$4-SUMIF(Оплаты!$A$6:$A$505,"&lt;"&amp;A982,Оплаты!$B$6:$B$505))</f>
        <v/>
      </c>
      <c r="E982">
        <f>IF(A982="","",IF(SUMPRODUCT((Ввод!$F$12:$F$31&lt;&gt;"")*(Ввод!$F$12:$F$31&lt;=A982)*(Ввод!$G$12:$G$31&gt;=A982))&gt;0,1,0))</f>
        <v/>
      </c>
      <c r="F982">
        <f>IF(OR(A982="",B982=""),"",IF(E982=1,0,D982*B982/100/C982))</f>
        <v/>
      </c>
      <c r="G982">
        <f>IF(A982="","",IF(OR(B982&lt;&gt;B981,C982&lt;&gt;C981,D982&lt;&gt;D981,E982&lt;&gt;E981),G981+1,G981))</f>
        <v/>
      </c>
    </row>
    <row r="983">
      <c r="A983" s="14">
        <f>IF(OR(NOT(ISNUMBER(Ввод!$B$5)),NOT(ISNUMBER(Ввод!$B$6))),"",IF(Ввод!$B$5+981&gt;Ввод!$B$6,"",Ввод!$B$5+981))</f>
        <v/>
      </c>
      <c r="B983">
        <f>IF(A983="","",IFERROR(INDEX(Ввод!$B$12:$B$71,MATCH(A983,Ввод!$D$12:$D$71,1)),""))</f>
        <v/>
      </c>
      <c r="C983">
        <f>IF(A983="","",DATE(YEAR(A983),12,31)-DATE(YEAR(A983),1,1)+1)</f>
        <v/>
      </c>
      <c r="D983">
        <f>IF(A983="","",Ввод!$B$4-SUMIF(Оплаты!$A$6:$A$505,"&lt;"&amp;A983,Оплаты!$B$6:$B$505))</f>
        <v/>
      </c>
      <c r="E983">
        <f>IF(A983="","",IF(SUMPRODUCT((Ввод!$F$12:$F$31&lt;&gt;"")*(Ввод!$F$12:$F$31&lt;=A983)*(Ввод!$G$12:$G$31&gt;=A983))&gt;0,1,0))</f>
        <v/>
      </c>
      <c r="F983">
        <f>IF(OR(A983="",B983=""),"",IF(E983=1,0,D983*B983/100/C983))</f>
        <v/>
      </c>
      <c r="G983">
        <f>IF(A983="","",IF(OR(B983&lt;&gt;B982,C983&lt;&gt;C982,D983&lt;&gt;D982,E983&lt;&gt;E982),G982+1,G982))</f>
        <v/>
      </c>
    </row>
    <row r="984">
      <c r="A984" s="14">
        <f>IF(OR(NOT(ISNUMBER(Ввод!$B$5)),NOT(ISNUMBER(Ввод!$B$6))),"",IF(Ввод!$B$5+982&gt;Ввод!$B$6,"",Ввод!$B$5+982))</f>
        <v/>
      </c>
      <c r="B984">
        <f>IF(A984="","",IFERROR(INDEX(Ввод!$B$12:$B$71,MATCH(A984,Ввод!$D$12:$D$71,1)),""))</f>
        <v/>
      </c>
      <c r="C984">
        <f>IF(A984="","",DATE(YEAR(A984),12,31)-DATE(YEAR(A984),1,1)+1)</f>
        <v/>
      </c>
      <c r="D984">
        <f>IF(A984="","",Ввод!$B$4-SUMIF(Оплаты!$A$6:$A$505,"&lt;"&amp;A984,Оплаты!$B$6:$B$505))</f>
        <v/>
      </c>
      <c r="E984">
        <f>IF(A984="","",IF(SUMPRODUCT((Ввод!$F$12:$F$31&lt;&gt;"")*(Ввод!$F$12:$F$31&lt;=A984)*(Ввод!$G$12:$G$31&gt;=A984))&gt;0,1,0))</f>
        <v/>
      </c>
      <c r="F984">
        <f>IF(OR(A984="",B984=""),"",IF(E984=1,0,D984*B984/100/C984))</f>
        <v/>
      </c>
      <c r="G984">
        <f>IF(A984="","",IF(OR(B984&lt;&gt;B983,C984&lt;&gt;C983,D984&lt;&gt;D983,E984&lt;&gt;E983),G983+1,G983))</f>
        <v/>
      </c>
    </row>
    <row r="985">
      <c r="A985" s="14">
        <f>IF(OR(NOT(ISNUMBER(Ввод!$B$5)),NOT(ISNUMBER(Ввод!$B$6))),"",IF(Ввод!$B$5+983&gt;Ввод!$B$6,"",Ввод!$B$5+983))</f>
        <v/>
      </c>
      <c r="B985">
        <f>IF(A985="","",IFERROR(INDEX(Ввод!$B$12:$B$71,MATCH(A985,Ввод!$D$12:$D$71,1)),""))</f>
        <v/>
      </c>
      <c r="C985">
        <f>IF(A985="","",DATE(YEAR(A985),12,31)-DATE(YEAR(A985),1,1)+1)</f>
        <v/>
      </c>
      <c r="D985">
        <f>IF(A985="","",Ввод!$B$4-SUMIF(Оплаты!$A$6:$A$505,"&lt;"&amp;A985,Оплаты!$B$6:$B$505))</f>
        <v/>
      </c>
      <c r="E985">
        <f>IF(A985="","",IF(SUMPRODUCT((Ввод!$F$12:$F$31&lt;&gt;"")*(Ввод!$F$12:$F$31&lt;=A985)*(Ввод!$G$12:$G$31&gt;=A985))&gt;0,1,0))</f>
        <v/>
      </c>
      <c r="F985">
        <f>IF(OR(A985="",B985=""),"",IF(E985=1,0,D985*B985/100/C985))</f>
        <v/>
      </c>
      <c r="G985">
        <f>IF(A985="","",IF(OR(B985&lt;&gt;B984,C985&lt;&gt;C984,D985&lt;&gt;D984,E985&lt;&gt;E984),G984+1,G984))</f>
        <v/>
      </c>
    </row>
    <row r="986">
      <c r="A986" s="14">
        <f>IF(OR(NOT(ISNUMBER(Ввод!$B$5)),NOT(ISNUMBER(Ввод!$B$6))),"",IF(Ввод!$B$5+984&gt;Ввод!$B$6,"",Ввод!$B$5+984))</f>
        <v/>
      </c>
      <c r="B986">
        <f>IF(A986="","",IFERROR(INDEX(Ввод!$B$12:$B$71,MATCH(A986,Ввод!$D$12:$D$71,1)),""))</f>
        <v/>
      </c>
      <c r="C986">
        <f>IF(A986="","",DATE(YEAR(A986),12,31)-DATE(YEAR(A986),1,1)+1)</f>
        <v/>
      </c>
      <c r="D986">
        <f>IF(A986="","",Ввод!$B$4-SUMIF(Оплаты!$A$6:$A$505,"&lt;"&amp;A986,Оплаты!$B$6:$B$505))</f>
        <v/>
      </c>
      <c r="E986">
        <f>IF(A986="","",IF(SUMPRODUCT((Ввод!$F$12:$F$31&lt;&gt;"")*(Ввод!$F$12:$F$31&lt;=A986)*(Ввод!$G$12:$G$31&gt;=A986))&gt;0,1,0))</f>
        <v/>
      </c>
      <c r="F986">
        <f>IF(OR(A986="",B986=""),"",IF(E986=1,0,D986*B986/100/C986))</f>
        <v/>
      </c>
      <c r="G986">
        <f>IF(A986="","",IF(OR(B986&lt;&gt;B985,C986&lt;&gt;C985,D986&lt;&gt;D985,E986&lt;&gt;E985),G985+1,G985))</f>
        <v/>
      </c>
    </row>
    <row r="987">
      <c r="A987" s="14">
        <f>IF(OR(NOT(ISNUMBER(Ввод!$B$5)),NOT(ISNUMBER(Ввод!$B$6))),"",IF(Ввод!$B$5+985&gt;Ввод!$B$6,"",Ввод!$B$5+985))</f>
        <v/>
      </c>
      <c r="B987">
        <f>IF(A987="","",IFERROR(INDEX(Ввод!$B$12:$B$71,MATCH(A987,Ввод!$D$12:$D$71,1)),""))</f>
        <v/>
      </c>
      <c r="C987">
        <f>IF(A987="","",DATE(YEAR(A987),12,31)-DATE(YEAR(A987),1,1)+1)</f>
        <v/>
      </c>
      <c r="D987">
        <f>IF(A987="","",Ввод!$B$4-SUMIF(Оплаты!$A$6:$A$505,"&lt;"&amp;A987,Оплаты!$B$6:$B$505))</f>
        <v/>
      </c>
      <c r="E987">
        <f>IF(A987="","",IF(SUMPRODUCT((Ввод!$F$12:$F$31&lt;&gt;"")*(Ввод!$F$12:$F$31&lt;=A987)*(Ввод!$G$12:$G$31&gt;=A987))&gt;0,1,0))</f>
        <v/>
      </c>
      <c r="F987">
        <f>IF(OR(A987="",B987=""),"",IF(E987=1,0,D987*B987/100/C987))</f>
        <v/>
      </c>
      <c r="G987">
        <f>IF(A987="","",IF(OR(B987&lt;&gt;B986,C987&lt;&gt;C986,D987&lt;&gt;D986,E987&lt;&gt;E986),G986+1,G986))</f>
        <v/>
      </c>
    </row>
    <row r="988">
      <c r="A988" s="14">
        <f>IF(OR(NOT(ISNUMBER(Ввод!$B$5)),NOT(ISNUMBER(Ввод!$B$6))),"",IF(Ввод!$B$5+986&gt;Ввод!$B$6,"",Ввод!$B$5+986))</f>
        <v/>
      </c>
      <c r="B988">
        <f>IF(A988="","",IFERROR(INDEX(Ввод!$B$12:$B$71,MATCH(A988,Ввод!$D$12:$D$71,1)),""))</f>
        <v/>
      </c>
      <c r="C988">
        <f>IF(A988="","",DATE(YEAR(A988),12,31)-DATE(YEAR(A988),1,1)+1)</f>
        <v/>
      </c>
      <c r="D988">
        <f>IF(A988="","",Ввод!$B$4-SUMIF(Оплаты!$A$6:$A$505,"&lt;"&amp;A988,Оплаты!$B$6:$B$505))</f>
        <v/>
      </c>
      <c r="E988">
        <f>IF(A988="","",IF(SUMPRODUCT((Ввод!$F$12:$F$31&lt;&gt;"")*(Ввод!$F$12:$F$31&lt;=A988)*(Ввод!$G$12:$G$31&gt;=A988))&gt;0,1,0))</f>
        <v/>
      </c>
      <c r="F988">
        <f>IF(OR(A988="",B988=""),"",IF(E988=1,0,D988*B988/100/C988))</f>
        <v/>
      </c>
      <c r="G988">
        <f>IF(A988="","",IF(OR(B988&lt;&gt;B987,C988&lt;&gt;C987,D988&lt;&gt;D987,E988&lt;&gt;E987),G987+1,G987))</f>
        <v/>
      </c>
    </row>
    <row r="989">
      <c r="A989" s="14">
        <f>IF(OR(NOT(ISNUMBER(Ввод!$B$5)),NOT(ISNUMBER(Ввод!$B$6))),"",IF(Ввод!$B$5+987&gt;Ввод!$B$6,"",Ввод!$B$5+987))</f>
        <v/>
      </c>
      <c r="B989">
        <f>IF(A989="","",IFERROR(INDEX(Ввод!$B$12:$B$71,MATCH(A989,Ввод!$D$12:$D$71,1)),""))</f>
        <v/>
      </c>
      <c r="C989">
        <f>IF(A989="","",DATE(YEAR(A989),12,31)-DATE(YEAR(A989),1,1)+1)</f>
        <v/>
      </c>
      <c r="D989">
        <f>IF(A989="","",Ввод!$B$4-SUMIF(Оплаты!$A$6:$A$505,"&lt;"&amp;A989,Оплаты!$B$6:$B$505))</f>
        <v/>
      </c>
      <c r="E989">
        <f>IF(A989="","",IF(SUMPRODUCT((Ввод!$F$12:$F$31&lt;&gt;"")*(Ввод!$F$12:$F$31&lt;=A989)*(Ввод!$G$12:$G$31&gt;=A989))&gt;0,1,0))</f>
        <v/>
      </c>
      <c r="F989">
        <f>IF(OR(A989="",B989=""),"",IF(E989=1,0,D989*B989/100/C989))</f>
        <v/>
      </c>
      <c r="G989">
        <f>IF(A989="","",IF(OR(B989&lt;&gt;B988,C989&lt;&gt;C988,D989&lt;&gt;D988,E989&lt;&gt;E988),G988+1,G988))</f>
        <v/>
      </c>
    </row>
    <row r="990">
      <c r="A990" s="14">
        <f>IF(OR(NOT(ISNUMBER(Ввод!$B$5)),NOT(ISNUMBER(Ввод!$B$6))),"",IF(Ввод!$B$5+988&gt;Ввод!$B$6,"",Ввод!$B$5+988))</f>
        <v/>
      </c>
      <c r="B990">
        <f>IF(A990="","",IFERROR(INDEX(Ввод!$B$12:$B$71,MATCH(A990,Ввод!$D$12:$D$71,1)),""))</f>
        <v/>
      </c>
      <c r="C990">
        <f>IF(A990="","",DATE(YEAR(A990),12,31)-DATE(YEAR(A990),1,1)+1)</f>
        <v/>
      </c>
      <c r="D990">
        <f>IF(A990="","",Ввод!$B$4-SUMIF(Оплаты!$A$6:$A$505,"&lt;"&amp;A990,Оплаты!$B$6:$B$505))</f>
        <v/>
      </c>
      <c r="E990">
        <f>IF(A990="","",IF(SUMPRODUCT((Ввод!$F$12:$F$31&lt;&gt;"")*(Ввод!$F$12:$F$31&lt;=A990)*(Ввод!$G$12:$G$31&gt;=A990))&gt;0,1,0))</f>
        <v/>
      </c>
      <c r="F990">
        <f>IF(OR(A990="",B990=""),"",IF(E990=1,0,D990*B990/100/C990))</f>
        <v/>
      </c>
      <c r="G990">
        <f>IF(A990="","",IF(OR(B990&lt;&gt;B989,C990&lt;&gt;C989,D990&lt;&gt;D989,E990&lt;&gt;E989),G989+1,G989))</f>
        <v/>
      </c>
    </row>
    <row r="991">
      <c r="A991" s="14">
        <f>IF(OR(NOT(ISNUMBER(Ввод!$B$5)),NOT(ISNUMBER(Ввод!$B$6))),"",IF(Ввод!$B$5+989&gt;Ввод!$B$6,"",Ввод!$B$5+989))</f>
        <v/>
      </c>
      <c r="B991">
        <f>IF(A991="","",IFERROR(INDEX(Ввод!$B$12:$B$71,MATCH(A991,Ввод!$D$12:$D$71,1)),""))</f>
        <v/>
      </c>
      <c r="C991">
        <f>IF(A991="","",DATE(YEAR(A991),12,31)-DATE(YEAR(A991),1,1)+1)</f>
        <v/>
      </c>
      <c r="D991">
        <f>IF(A991="","",Ввод!$B$4-SUMIF(Оплаты!$A$6:$A$505,"&lt;"&amp;A991,Оплаты!$B$6:$B$505))</f>
        <v/>
      </c>
      <c r="E991">
        <f>IF(A991="","",IF(SUMPRODUCT((Ввод!$F$12:$F$31&lt;&gt;"")*(Ввод!$F$12:$F$31&lt;=A991)*(Ввод!$G$12:$G$31&gt;=A991))&gt;0,1,0))</f>
        <v/>
      </c>
      <c r="F991">
        <f>IF(OR(A991="",B991=""),"",IF(E991=1,0,D991*B991/100/C991))</f>
        <v/>
      </c>
      <c r="G991">
        <f>IF(A991="","",IF(OR(B991&lt;&gt;B990,C991&lt;&gt;C990,D991&lt;&gt;D990,E991&lt;&gt;E990),G990+1,G990))</f>
        <v/>
      </c>
    </row>
    <row r="992">
      <c r="A992" s="14">
        <f>IF(OR(NOT(ISNUMBER(Ввод!$B$5)),NOT(ISNUMBER(Ввод!$B$6))),"",IF(Ввод!$B$5+990&gt;Ввод!$B$6,"",Ввод!$B$5+990))</f>
        <v/>
      </c>
      <c r="B992">
        <f>IF(A992="","",IFERROR(INDEX(Ввод!$B$12:$B$71,MATCH(A992,Ввод!$D$12:$D$71,1)),""))</f>
        <v/>
      </c>
      <c r="C992">
        <f>IF(A992="","",DATE(YEAR(A992),12,31)-DATE(YEAR(A992),1,1)+1)</f>
        <v/>
      </c>
      <c r="D992">
        <f>IF(A992="","",Ввод!$B$4-SUMIF(Оплаты!$A$6:$A$505,"&lt;"&amp;A992,Оплаты!$B$6:$B$505))</f>
        <v/>
      </c>
      <c r="E992">
        <f>IF(A992="","",IF(SUMPRODUCT((Ввод!$F$12:$F$31&lt;&gt;"")*(Ввод!$F$12:$F$31&lt;=A992)*(Ввод!$G$12:$G$31&gt;=A992))&gt;0,1,0))</f>
        <v/>
      </c>
      <c r="F992">
        <f>IF(OR(A992="",B992=""),"",IF(E992=1,0,D992*B992/100/C992))</f>
        <v/>
      </c>
      <c r="G992">
        <f>IF(A992="","",IF(OR(B992&lt;&gt;B991,C992&lt;&gt;C991,D992&lt;&gt;D991,E992&lt;&gt;E991),G991+1,G991))</f>
        <v/>
      </c>
    </row>
    <row r="993">
      <c r="A993" s="14">
        <f>IF(OR(NOT(ISNUMBER(Ввод!$B$5)),NOT(ISNUMBER(Ввод!$B$6))),"",IF(Ввод!$B$5+991&gt;Ввод!$B$6,"",Ввод!$B$5+991))</f>
        <v/>
      </c>
      <c r="B993">
        <f>IF(A993="","",IFERROR(INDEX(Ввод!$B$12:$B$71,MATCH(A993,Ввод!$D$12:$D$71,1)),""))</f>
        <v/>
      </c>
      <c r="C993">
        <f>IF(A993="","",DATE(YEAR(A993),12,31)-DATE(YEAR(A993),1,1)+1)</f>
        <v/>
      </c>
      <c r="D993">
        <f>IF(A993="","",Ввод!$B$4-SUMIF(Оплаты!$A$6:$A$505,"&lt;"&amp;A993,Оплаты!$B$6:$B$505))</f>
        <v/>
      </c>
      <c r="E993">
        <f>IF(A993="","",IF(SUMPRODUCT((Ввод!$F$12:$F$31&lt;&gt;"")*(Ввод!$F$12:$F$31&lt;=A993)*(Ввод!$G$12:$G$31&gt;=A993))&gt;0,1,0))</f>
        <v/>
      </c>
      <c r="F993">
        <f>IF(OR(A993="",B993=""),"",IF(E993=1,0,D993*B993/100/C993))</f>
        <v/>
      </c>
      <c r="G993">
        <f>IF(A993="","",IF(OR(B993&lt;&gt;B992,C993&lt;&gt;C992,D993&lt;&gt;D992,E993&lt;&gt;E992),G992+1,G992))</f>
        <v/>
      </c>
    </row>
    <row r="994">
      <c r="A994" s="14">
        <f>IF(OR(NOT(ISNUMBER(Ввод!$B$5)),NOT(ISNUMBER(Ввод!$B$6))),"",IF(Ввод!$B$5+992&gt;Ввод!$B$6,"",Ввод!$B$5+992))</f>
        <v/>
      </c>
      <c r="B994">
        <f>IF(A994="","",IFERROR(INDEX(Ввод!$B$12:$B$71,MATCH(A994,Ввод!$D$12:$D$71,1)),""))</f>
        <v/>
      </c>
      <c r="C994">
        <f>IF(A994="","",DATE(YEAR(A994),12,31)-DATE(YEAR(A994),1,1)+1)</f>
        <v/>
      </c>
      <c r="D994">
        <f>IF(A994="","",Ввод!$B$4-SUMIF(Оплаты!$A$6:$A$505,"&lt;"&amp;A994,Оплаты!$B$6:$B$505))</f>
        <v/>
      </c>
      <c r="E994">
        <f>IF(A994="","",IF(SUMPRODUCT((Ввод!$F$12:$F$31&lt;&gt;"")*(Ввод!$F$12:$F$31&lt;=A994)*(Ввод!$G$12:$G$31&gt;=A994))&gt;0,1,0))</f>
        <v/>
      </c>
      <c r="F994">
        <f>IF(OR(A994="",B994=""),"",IF(E994=1,0,D994*B994/100/C994))</f>
        <v/>
      </c>
      <c r="G994">
        <f>IF(A994="","",IF(OR(B994&lt;&gt;B993,C994&lt;&gt;C993,D994&lt;&gt;D993,E994&lt;&gt;E993),G993+1,G993))</f>
        <v/>
      </c>
    </row>
    <row r="995">
      <c r="A995" s="14">
        <f>IF(OR(NOT(ISNUMBER(Ввод!$B$5)),NOT(ISNUMBER(Ввод!$B$6))),"",IF(Ввод!$B$5+993&gt;Ввод!$B$6,"",Ввод!$B$5+993))</f>
        <v/>
      </c>
      <c r="B995">
        <f>IF(A995="","",IFERROR(INDEX(Ввод!$B$12:$B$71,MATCH(A995,Ввод!$D$12:$D$71,1)),""))</f>
        <v/>
      </c>
      <c r="C995">
        <f>IF(A995="","",DATE(YEAR(A995),12,31)-DATE(YEAR(A995),1,1)+1)</f>
        <v/>
      </c>
      <c r="D995">
        <f>IF(A995="","",Ввод!$B$4-SUMIF(Оплаты!$A$6:$A$505,"&lt;"&amp;A995,Оплаты!$B$6:$B$505))</f>
        <v/>
      </c>
      <c r="E995">
        <f>IF(A995="","",IF(SUMPRODUCT((Ввод!$F$12:$F$31&lt;&gt;"")*(Ввод!$F$12:$F$31&lt;=A995)*(Ввод!$G$12:$G$31&gt;=A995))&gt;0,1,0))</f>
        <v/>
      </c>
      <c r="F995">
        <f>IF(OR(A995="",B995=""),"",IF(E995=1,0,D995*B995/100/C995))</f>
        <v/>
      </c>
      <c r="G995">
        <f>IF(A995="","",IF(OR(B995&lt;&gt;B994,C995&lt;&gt;C994,D995&lt;&gt;D994,E995&lt;&gt;E994),G994+1,G994))</f>
        <v/>
      </c>
    </row>
    <row r="996">
      <c r="A996" s="14">
        <f>IF(OR(NOT(ISNUMBER(Ввод!$B$5)),NOT(ISNUMBER(Ввод!$B$6))),"",IF(Ввод!$B$5+994&gt;Ввод!$B$6,"",Ввод!$B$5+994))</f>
        <v/>
      </c>
      <c r="B996">
        <f>IF(A996="","",IFERROR(INDEX(Ввод!$B$12:$B$71,MATCH(A996,Ввод!$D$12:$D$71,1)),""))</f>
        <v/>
      </c>
      <c r="C996">
        <f>IF(A996="","",DATE(YEAR(A996),12,31)-DATE(YEAR(A996),1,1)+1)</f>
        <v/>
      </c>
      <c r="D996">
        <f>IF(A996="","",Ввод!$B$4-SUMIF(Оплаты!$A$6:$A$505,"&lt;"&amp;A996,Оплаты!$B$6:$B$505))</f>
        <v/>
      </c>
      <c r="E996">
        <f>IF(A996="","",IF(SUMPRODUCT((Ввод!$F$12:$F$31&lt;&gt;"")*(Ввод!$F$12:$F$31&lt;=A996)*(Ввод!$G$12:$G$31&gt;=A996))&gt;0,1,0))</f>
        <v/>
      </c>
      <c r="F996">
        <f>IF(OR(A996="",B996=""),"",IF(E996=1,0,D996*B996/100/C996))</f>
        <v/>
      </c>
      <c r="G996">
        <f>IF(A996="","",IF(OR(B996&lt;&gt;B995,C996&lt;&gt;C995,D996&lt;&gt;D995,E996&lt;&gt;E995),G995+1,G995))</f>
        <v/>
      </c>
    </row>
    <row r="997">
      <c r="A997" s="14">
        <f>IF(OR(NOT(ISNUMBER(Ввод!$B$5)),NOT(ISNUMBER(Ввод!$B$6))),"",IF(Ввод!$B$5+995&gt;Ввод!$B$6,"",Ввод!$B$5+995))</f>
        <v/>
      </c>
      <c r="B997">
        <f>IF(A997="","",IFERROR(INDEX(Ввод!$B$12:$B$71,MATCH(A997,Ввод!$D$12:$D$71,1)),""))</f>
        <v/>
      </c>
      <c r="C997">
        <f>IF(A997="","",DATE(YEAR(A997),12,31)-DATE(YEAR(A997),1,1)+1)</f>
        <v/>
      </c>
      <c r="D997">
        <f>IF(A997="","",Ввод!$B$4-SUMIF(Оплаты!$A$6:$A$505,"&lt;"&amp;A997,Оплаты!$B$6:$B$505))</f>
        <v/>
      </c>
      <c r="E997">
        <f>IF(A997="","",IF(SUMPRODUCT((Ввод!$F$12:$F$31&lt;&gt;"")*(Ввод!$F$12:$F$31&lt;=A997)*(Ввод!$G$12:$G$31&gt;=A997))&gt;0,1,0))</f>
        <v/>
      </c>
      <c r="F997">
        <f>IF(OR(A997="",B997=""),"",IF(E997=1,0,D997*B997/100/C997))</f>
        <v/>
      </c>
      <c r="G997">
        <f>IF(A997="","",IF(OR(B997&lt;&gt;B996,C997&lt;&gt;C996,D997&lt;&gt;D996,E997&lt;&gt;E996),G996+1,G996))</f>
        <v/>
      </c>
    </row>
    <row r="998">
      <c r="A998" s="14">
        <f>IF(OR(NOT(ISNUMBER(Ввод!$B$5)),NOT(ISNUMBER(Ввод!$B$6))),"",IF(Ввод!$B$5+996&gt;Ввод!$B$6,"",Ввод!$B$5+996))</f>
        <v/>
      </c>
      <c r="B998">
        <f>IF(A998="","",IFERROR(INDEX(Ввод!$B$12:$B$71,MATCH(A998,Ввод!$D$12:$D$71,1)),""))</f>
        <v/>
      </c>
      <c r="C998">
        <f>IF(A998="","",DATE(YEAR(A998),12,31)-DATE(YEAR(A998),1,1)+1)</f>
        <v/>
      </c>
      <c r="D998">
        <f>IF(A998="","",Ввод!$B$4-SUMIF(Оплаты!$A$6:$A$505,"&lt;"&amp;A998,Оплаты!$B$6:$B$505))</f>
        <v/>
      </c>
      <c r="E998">
        <f>IF(A998="","",IF(SUMPRODUCT((Ввод!$F$12:$F$31&lt;&gt;"")*(Ввод!$F$12:$F$31&lt;=A998)*(Ввод!$G$12:$G$31&gt;=A998))&gt;0,1,0))</f>
        <v/>
      </c>
      <c r="F998">
        <f>IF(OR(A998="",B998=""),"",IF(E998=1,0,D998*B998/100/C998))</f>
        <v/>
      </c>
      <c r="G998">
        <f>IF(A998="","",IF(OR(B998&lt;&gt;B997,C998&lt;&gt;C997,D998&lt;&gt;D997,E998&lt;&gt;E997),G997+1,G997))</f>
        <v/>
      </c>
    </row>
    <row r="999">
      <c r="A999" s="14">
        <f>IF(OR(NOT(ISNUMBER(Ввод!$B$5)),NOT(ISNUMBER(Ввод!$B$6))),"",IF(Ввод!$B$5+997&gt;Ввод!$B$6,"",Ввод!$B$5+997))</f>
        <v/>
      </c>
      <c r="B999">
        <f>IF(A999="","",IFERROR(INDEX(Ввод!$B$12:$B$71,MATCH(A999,Ввод!$D$12:$D$71,1)),""))</f>
        <v/>
      </c>
      <c r="C999">
        <f>IF(A999="","",DATE(YEAR(A999),12,31)-DATE(YEAR(A999),1,1)+1)</f>
        <v/>
      </c>
      <c r="D999">
        <f>IF(A999="","",Ввод!$B$4-SUMIF(Оплаты!$A$6:$A$505,"&lt;"&amp;A999,Оплаты!$B$6:$B$505))</f>
        <v/>
      </c>
      <c r="E999">
        <f>IF(A999="","",IF(SUMPRODUCT((Ввод!$F$12:$F$31&lt;&gt;"")*(Ввод!$F$12:$F$31&lt;=A999)*(Ввод!$G$12:$G$31&gt;=A999))&gt;0,1,0))</f>
        <v/>
      </c>
      <c r="F999">
        <f>IF(OR(A999="",B999=""),"",IF(E999=1,0,D999*B999/100/C999))</f>
        <v/>
      </c>
      <c r="G999">
        <f>IF(A999="","",IF(OR(B999&lt;&gt;B998,C999&lt;&gt;C998,D999&lt;&gt;D998,E999&lt;&gt;E998),G998+1,G998))</f>
        <v/>
      </c>
    </row>
    <row r="1000">
      <c r="A1000" s="14">
        <f>IF(OR(NOT(ISNUMBER(Ввод!$B$5)),NOT(ISNUMBER(Ввод!$B$6))),"",IF(Ввод!$B$5+998&gt;Ввод!$B$6,"",Ввод!$B$5+998))</f>
        <v/>
      </c>
      <c r="B1000">
        <f>IF(A1000="","",IFERROR(INDEX(Ввод!$B$12:$B$71,MATCH(A1000,Ввод!$D$12:$D$71,1)),""))</f>
        <v/>
      </c>
      <c r="C1000">
        <f>IF(A1000="","",DATE(YEAR(A1000),12,31)-DATE(YEAR(A1000),1,1)+1)</f>
        <v/>
      </c>
      <c r="D1000">
        <f>IF(A1000="","",Ввод!$B$4-SUMIF(Оплаты!$A$6:$A$505,"&lt;"&amp;A1000,Оплаты!$B$6:$B$505))</f>
        <v/>
      </c>
      <c r="E1000">
        <f>IF(A1000="","",IF(SUMPRODUCT((Ввод!$F$12:$F$31&lt;&gt;"")*(Ввод!$F$12:$F$31&lt;=A1000)*(Ввод!$G$12:$G$31&gt;=A1000))&gt;0,1,0))</f>
        <v/>
      </c>
      <c r="F1000">
        <f>IF(OR(A1000="",B1000=""),"",IF(E1000=1,0,D1000*B1000/100/C1000))</f>
        <v/>
      </c>
      <c r="G1000">
        <f>IF(A1000="","",IF(OR(B1000&lt;&gt;B999,C1000&lt;&gt;C999,D1000&lt;&gt;D999,E1000&lt;&gt;E999),G999+1,G999))</f>
        <v/>
      </c>
    </row>
    <row r="1001">
      <c r="A1001" s="14">
        <f>IF(OR(NOT(ISNUMBER(Ввод!$B$5)),NOT(ISNUMBER(Ввод!$B$6))),"",IF(Ввод!$B$5+999&gt;Ввод!$B$6,"",Ввод!$B$5+999))</f>
        <v/>
      </c>
      <c r="B1001">
        <f>IF(A1001="","",IFERROR(INDEX(Ввод!$B$12:$B$71,MATCH(A1001,Ввод!$D$12:$D$71,1)),""))</f>
        <v/>
      </c>
      <c r="C1001">
        <f>IF(A1001="","",DATE(YEAR(A1001),12,31)-DATE(YEAR(A1001),1,1)+1)</f>
        <v/>
      </c>
      <c r="D1001">
        <f>IF(A1001="","",Ввод!$B$4-SUMIF(Оплаты!$A$6:$A$505,"&lt;"&amp;A1001,Оплаты!$B$6:$B$505))</f>
        <v/>
      </c>
      <c r="E1001">
        <f>IF(A1001="","",IF(SUMPRODUCT((Ввод!$F$12:$F$31&lt;&gt;"")*(Ввод!$F$12:$F$31&lt;=A1001)*(Ввод!$G$12:$G$31&gt;=A1001))&gt;0,1,0))</f>
        <v/>
      </c>
      <c r="F1001">
        <f>IF(OR(A1001="",B1001=""),"",IF(E1001=1,0,D1001*B1001/100/C1001))</f>
        <v/>
      </c>
      <c r="G1001">
        <f>IF(A1001="","",IF(OR(B1001&lt;&gt;B1000,C1001&lt;&gt;C1000,D1001&lt;&gt;D1000,E1001&lt;&gt;E1000),G1000+1,G1000))</f>
        <v/>
      </c>
    </row>
    <row r="1002">
      <c r="A1002" s="14">
        <f>IF(OR(NOT(ISNUMBER(Ввод!$B$5)),NOT(ISNUMBER(Ввод!$B$6))),"",IF(Ввод!$B$5+1000&gt;Ввод!$B$6,"",Ввод!$B$5+1000))</f>
        <v/>
      </c>
      <c r="B1002">
        <f>IF(A1002="","",IFERROR(INDEX(Ввод!$B$12:$B$71,MATCH(A1002,Ввод!$D$12:$D$71,1)),""))</f>
        <v/>
      </c>
      <c r="C1002">
        <f>IF(A1002="","",DATE(YEAR(A1002),12,31)-DATE(YEAR(A1002),1,1)+1)</f>
        <v/>
      </c>
      <c r="D1002">
        <f>IF(A1002="","",Ввод!$B$4-SUMIF(Оплаты!$A$6:$A$505,"&lt;"&amp;A1002,Оплаты!$B$6:$B$505))</f>
        <v/>
      </c>
      <c r="E1002">
        <f>IF(A1002="","",IF(SUMPRODUCT((Ввод!$F$12:$F$31&lt;&gt;"")*(Ввод!$F$12:$F$31&lt;=A1002)*(Ввод!$G$12:$G$31&gt;=A1002))&gt;0,1,0))</f>
        <v/>
      </c>
      <c r="F1002">
        <f>IF(OR(A1002="",B1002=""),"",IF(E1002=1,0,D1002*B1002/100/C1002))</f>
        <v/>
      </c>
      <c r="G1002">
        <f>IF(A1002="","",IF(OR(B1002&lt;&gt;B1001,C1002&lt;&gt;C1001,D1002&lt;&gt;D1001,E1002&lt;&gt;E1001),G1001+1,G1001))</f>
        <v/>
      </c>
    </row>
    <row r="1003">
      <c r="A1003" s="14">
        <f>IF(OR(NOT(ISNUMBER(Ввод!$B$5)),NOT(ISNUMBER(Ввод!$B$6))),"",IF(Ввод!$B$5+1001&gt;Ввод!$B$6,"",Ввод!$B$5+1001))</f>
        <v/>
      </c>
      <c r="B1003">
        <f>IF(A1003="","",IFERROR(INDEX(Ввод!$B$12:$B$71,MATCH(A1003,Ввод!$D$12:$D$71,1)),""))</f>
        <v/>
      </c>
      <c r="C1003">
        <f>IF(A1003="","",DATE(YEAR(A1003),12,31)-DATE(YEAR(A1003),1,1)+1)</f>
        <v/>
      </c>
      <c r="D1003">
        <f>IF(A1003="","",Ввод!$B$4-SUMIF(Оплаты!$A$6:$A$505,"&lt;"&amp;A1003,Оплаты!$B$6:$B$505))</f>
        <v/>
      </c>
      <c r="E1003">
        <f>IF(A1003="","",IF(SUMPRODUCT((Ввод!$F$12:$F$31&lt;&gt;"")*(Ввод!$F$12:$F$31&lt;=A1003)*(Ввод!$G$12:$G$31&gt;=A1003))&gt;0,1,0))</f>
        <v/>
      </c>
      <c r="F1003">
        <f>IF(OR(A1003="",B1003=""),"",IF(E1003=1,0,D1003*B1003/100/C1003))</f>
        <v/>
      </c>
      <c r="G1003">
        <f>IF(A1003="","",IF(OR(B1003&lt;&gt;B1002,C1003&lt;&gt;C1002,D1003&lt;&gt;D1002,E1003&lt;&gt;E1002),G1002+1,G1002))</f>
        <v/>
      </c>
    </row>
    <row r="1004">
      <c r="A1004" s="14">
        <f>IF(OR(NOT(ISNUMBER(Ввод!$B$5)),NOT(ISNUMBER(Ввод!$B$6))),"",IF(Ввод!$B$5+1002&gt;Ввод!$B$6,"",Ввод!$B$5+1002))</f>
        <v/>
      </c>
      <c r="B1004">
        <f>IF(A1004="","",IFERROR(INDEX(Ввод!$B$12:$B$71,MATCH(A1004,Ввод!$D$12:$D$71,1)),""))</f>
        <v/>
      </c>
      <c r="C1004">
        <f>IF(A1004="","",DATE(YEAR(A1004),12,31)-DATE(YEAR(A1004),1,1)+1)</f>
        <v/>
      </c>
      <c r="D1004">
        <f>IF(A1004="","",Ввод!$B$4-SUMIF(Оплаты!$A$6:$A$505,"&lt;"&amp;A1004,Оплаты!$B$6:$B$505))</f>
        <v/>
      </c>
      <c r="E1004">
        <f>IF(A1004="","",IF(SUMPRODUCT((Ввод!$F$12:$F$31&lt;&gt;"")*(Ввод!$F$12:$F$31&lt;=A1004)*(Ввод!$G$12:$G$31&gt;=A1004))&gt;0,1,0))</f>
        <v/>
      </c>
      <c r="F1004">
        <f>IF(OR(A1004="",B1004=""),"",IF(E1004=1,0,D1004*B1004/100/C1004))</f>
        <v/>
      </c>
      <c r="G1004">
        <f>IF(A1004="","",IF(OR(B1004&lt;&gt;B1003,C1004&lt;&gt;C1003,D1004&lt;&gt;D1003,E1004&lt;&gt;E1003),G1003+1,G1003))</f>
        <v/>
      </c>
    </row>
    <row r="1005">
      <c r="A1005" s="14">
        <f>IF(OR(NOT(ISNUMBER(Ввод!$B$5)),NOT(ISNUMBER(Ввод!$B$6))),"",IF(Ввод!$B$5+1003&gt;Ввод!$B$6,"",Ввод!$B$5+1003))</f>
        <v/>
      </c>
      <c r="B1005">
        <f>IF(A1005="","",IFERROR(INDEX(Ввод!$B$12:$B$71,MATCH(A1005,Ввод!$D$12:$D$71,1)),""))</f>
        <v/>
      </c>
      <c r="C1005">
        <f>IF(A1005="","",DATE(YEAR(A1005),12,31)-DATE(YEAR(A1005),1,1)+1)</f>
        <v/>
      </c>
      <c r="D1005">
        <f>IF(A1005="","",Ввод!$B$4-SUMIF(Оплаты!$A$6:$A$505,"&lt;"&amp;A1005,Оплаты!$B$6:$B$505))</f>
        <v/>
      </c>
      <c r="E1005">
        <f>IF(A1005="","",IF(SUMPRODUCT((Ввод!$F$12:$F$31&lt;&gt;"")*(Ввод!$F$12:$F$31&lt;=A1005)*(Ввод!$G$12:$G$31&gt;=A1005))&gt;0,1,0))</f>
        <v/>
      </c>
      <c r="F1005">
        <f>IF(OR(A1005="",B1005=""),"",IF(E1005=1,0,D1005*B1005/100/C1005))</f>
        <v/>
      </c>
      <c r="G1005">
        <f>IF(A1005="","",IF(OR(B1005&lt;&gt;B1004,C1005&lt;&gt;C1004,D1005&lt;&gt;D1004,E1005&lt;&gt;E1004),G1004+1,G1004))</f>
        <v/>
      </c>
    </row>
    <row r="1006">
      <c r="A1006" s="14">
        <f>IF(OR(NOT(ISNUMBER(Ввод!$B$5)),NOT(ISNUMBER(Ввод!$B$6))),"",IF(Ввод!$B$5+1004&gt;Ввод!$B$6,"",Ввод!$B$5+1004))</f>
        <v/>
      </c>
      <c r="B1006">
        <f>IF(A1006="","",IFERROR(INDEX(Ввод!$B$12:$B$71,MATCH(A1006,Ввод!$D$12:$D$71,1)),""))</f>
        <v/>
      </c>
      <c r="C1006">
        <f>IF(A1006="","",DATE(YEAR(A1006),12,31)-DATE(YEAR(A1006),1,1)+1)</f>
        <v/>
      </c>
      <c r="D1006">
        <f>IF(A1006="","",Ввод!$B$4-SUMIF(Оплаты!$A$6:$A$505,"&lt;"&amp;A1006,Оплаты!$B$6:$B$505))</f>
        <v/>
      </c>
      <c r="E1006">
        <f>IF(A1006="","",IF(SUMPRODUCT((Ввод!$F$12:$F$31&lt;&gt;"")*(Ввод!$F$12:$F$31&lt;=A1006)*(Ввод!$G$12:$G$31&gt;=A1006))&gt;0,1,0))</f>
        <v/>
      </c>
      <c r="F1006">
        <f>IF(OR(A1006="",B1006=""),"",IF(E1006=1,0,D1006*B1006/100/C1006))</f>
        <v/>
      </c>
      <c r="G1006">
        <f>IF(A1006="","",IF(OR(B1006&lt;&gt;B1005,C1006&lt;&gt;C1005,D1006&lt;&gt;D1005,E1006&lt;&gt;E1005),G1005+1,G1005))</f>
        <v/>
      </c>
    </row>
    <row r="1007">
      <c r="A1007" s="14">
        <f>IF(OR(NOT(ISNUMBER(Ввод!$B$5)),NOT(ISNUMBER(Ввод!$B$6))),"",IF(Ввод!$B$5+1005&gt;Ввод!$B$6,"",Ввод!$B$5+1005))</f>
        <v/>
      </c>
      <c r="B1007">
        <f>IF(A1007="","",IFERROR(INDEX(Ввод!$B$12:$B$71,MATCH(A1007,Ввод!$D$12:$D$71,1)),""))</f>
        <v/>
      </c>
      <c r="C1007">
        <f>IF(A1007="","",DATE(YEAR(A1007),12,31)-DATE(YEAR(A1007),1,1)+1)</f>
        <v/>
      </c>
      <c r="D1007">
        <f>IF(A1007="","",Ввод!$B$4-SUMIF(Оплаты!$A$6:$A$505,"&lt;"&amp;A1007,Оплаты!$B$6:$B$505))</f>
        <v/>
      </c>
      <c r="E1007">
        <f>IF(A1007="","",IF(SUMPRODUCT((Ввод!$F$12:$F$31&lt;&gt;"")*(Ввод!$F$12:$F$31&lt;=A1007)*(Ввод!$G$12:$G$31&gt;=A1007))&gt;0,1,0))</f>
        <v/>
      </c>
      <c r="F1007">
        <f>IF(OR(A1007="",B1007=""),"",IF(E1007=1,0,D1007*B1007/100/C1007))</f>
        <v/>
      </c>
      <c r="G1007">
        <f>IF(A1007="","",IF(OR(B1007&lt;&gt;B1006,C1007&lt;&gt;C1006,D1007&lt;&gt;D1006,E1007&lt;&gt;E1006),G1006+1,G1006))</f>
        <v/>
      </c>
    </row>
    <row r="1008">
      <c r="A1008" s="14">
        <f>IF(OR(NOT(ISNUMBER(Ввод!$B$5)),NOT(ISNUMBER(Ввод!$B$6))),"",IF(Ввод!$B$5+1006&gt;Ввод!$B$6,"",Ввод!$B$5+1006))</f>
        <v/>
      </c>
      <c r="B1008">
        <f>IF(A1008="","",IFERROR(INDEX(Ввод!$B$12:$B$71,MATCH(A1008,Ввод!$D$12:$D$71,1)),""))</f>
        <v/>
      </c>
      <c r="C1008">
        <f>IF(A1008="","",DATE(YEAR(A1008),12,31)-DATE(YEAR(A1008),1,1)+1)</f>
        <v/>
      </c>
      <c r="D1008">
        <f>IF(A1008="","",Ввод!$B$4-SUMIF(Оплаты!$A$6:$A$505,"&lt;"&amp;A1008,Оплаты!$B$6:$B$505))</f>
        <v/>
      </c>
      <c r="E1008">
        <f>IF(A1008="","",IF(SUMPRODUCT((Ввод!$F$12:$F$31&lt;&gt;"")*(Ввод!$F$12:$F$31&lt;=A1008)*(Ввод!$G$12:$G$31&gt;=A1008))&gt;0,1,0))</f>
        <v/>
      </c>
      <c r="F1008">
        <f>IF(OR(A1008="",B1008=""),"",IF(E1008=1,0,D1008*B1008/100/C1008))</f>
        <v/>
      </c>
      <c r="G1008">
        <f>IF(A1008="","",IF(OR(B1008&lt;&gt;B1007,C1008&lt;&gt;C1007,D1008&lt;&gt;D1007,E1008&lt;&gt;E1007),G1007+1,G1007))</f>
        <v/>
      </c>
    </row>
    <row r="1009">
      <c r="A1009" s="14">
        <f>IF(OR(NOT(ISNUMBER(Ввод!$B$5)),NOT(ISNUMBER(Ввод!$B$6))),"",IF(Ввод!$B$5+1007&gt;Ввод!$B$6,"",Ввод!$B$5+1007))</f>
        <v/>
      </c>
      <c r="B1009">
        <f>IF(A1009="","",IFERROR(INDEX(Ввод!$B$12:$B$71,MATCH(A1009,Ввод!$D$12:$D$71,1)),""))</f>
        <v/>
      </c>
      <c r="C1009">
        <f>IF(A1009="","",DATE(YEAR(A1009),12,31)-DATE(YEAR(A1009),1,1)+1)</f>
        <v/>
      </c>
      <c r="D1009">
        <f>IF(A1009="","",Ввод!$B$4-SUMIF(Оплаты!$A$6:$A$505,"&lt;"&amp;A1009,Оплаты!$B$6:$B$505))</f>
        <v/>
      </c>
      <c r="E1009">
        <f>IF(A1009="","",IF(SUMPRODUCT((Ввод!$F$12:$F$31&lt;&gt;"")*(Ввод!$F$12:$F$31&lt;=A1009)*(Ввод!$G$12:$G$31&gt;=A1009))&gt;0,1,0))</f>
        <v/>
      </c>
      <c r="F1009">
        <f>IF(OR(A1009="",B1009=""),"",IF(E1009=1,0,D1009*B1009/100/C1009))</f>
        <v/>
      </c>
      <c r="G1009">
        <f>IF(A1009="","",IF(OR(B1009&lt;&gt;B1008,C1009&lt;&gt;C1008,D1009&lt;&gt;D1008,E1009&lt;&gt;E1008),G1008+1,G1008))</f>
        <v/>
      </c>
    </row>
    <row r="1010">
      <c r="A1010" s="14">
        <f>IF(OR(NOT(ISNUMBER(Ввод!$B$5)),NOT(ISNUMBER(Ввод!$B$6))),"",IF(Ввод!$B$5+1008&gt;Ввод!$B$6,"",Ввод!$B$5+1008))</f>
        <v/>
      </c>
      <c r="B1010">
        <f>IF(A1010="","",IFERROR(INDEX(Ввод!$B$12:$B$71,MATCH(A1010,Ввод!$D$12:$D$71,1)),""))</f>
        <v/>
      </c>
      <c r="C1010">
        <f>IF(A1010="","",DATE(YEAR(A1010),12,31)-DATE(YEAR(A1010),1,1)+1)</f>
        <v/>
      </c>
      <c r="D1010">
        <f>IF(A1010="","",Ввод!$B$4-SUMIF(Оплаты!$A$6:$A$505,"&lt;"&amp;A1010,Оплаты!$B$6:$B$505))</f>
        <v/>
      </c>
      <c r="E1010">
        <f>IF(A1010="","",IF(SUMPRODUCT((Ввод!$F$12:$F$31&lt;&gt;"")*(Ввод!$F$12:$F$31&lt;=A1010)*(Ввод!$G$12:$G$31&gt;=A1010))&gt;0,1,0))</f>
        <v/>
      </c>
      <c r="F1010">
        <f>IF(OR(A1010="",B1010=""),"",IF(E1010=1,0,D1010*B1010/100/C1010))</f>
        <v/>
      </c>
      <c r="G1010">
        <f>IF(A1010="","",IF(OR(B1010&lt;&gt;B1009,C1010&lt;&gt;C1009,D1010&lt;&gt;D1009,E1010&lt;&gt;E1009),G1009+1,G1009))</f>
        <v/>
      </c>
    </row>
    <row r="1011">
      <c r="A1011" s="14">
        <f>IF(OR(NOT(ISNUMBER(Ввод!$B$5)),NOT(ISNUMBER(Ввод!$B$6))),"",IF(Ввод!$B$5+1009&gt;Ввод!$B$6,"",Ввод!$B$5+1009))</f>
        <v/>
      </c>
      <c r="B1011">
        <f>IF(A1011="","",IFERROR(INDEX(Ввод!$B$12:$B$71,MATCH(A1011,Ввод!$D$12:$D$71,1)),""))</f>
        <v/>
      </c>
      <c r="C1011">
        <f>IF(A1011="","",DATE(YEAR(A1011),12,31)-DATE(YEAR(A1011),1,1)+1)</f>
        <v/>
      </c>
      <c r="D1011">
        <f>IF(A1011="","",Ввод!$B$4-SUMIF(Оплаты!$A$6:$A$505,"&lt;"&amp;A1011,Оплаты!$B$6:$B$505))</f>
        <v/>
      </c>
      <c r="E1011">
        <f>IF(A1011="","",IF(SUMPRODUCT((Ввод!$F$12:$F$31&lt;&gt;"")*(Ввод!$F$12:$F$31&lt;=A1011)*(Ввод!$G$12:$G$31&gt;=A1011))&gt;0,1,0))</f>
        <v/>
      </c>
      <c r="F1011">
        <f>IF(OR(A1011="",B1011=""),"",IF(E1011=1,0,D1011*B1011/100/C1011))</f>
        <v/>
      </c>
      <c r="G1011">
        <f>IF(A1011="","",IF(OR(B1011&lt;&gt;B1010,C1011&lt;&gt;C1010,D1011&lt;&gt;D1010,E1011&lt;&gt;E1010),G1010+1,G1010))</f>
        <v/>
      </c>
    </row>
    <row r="1012">
      <c r="A1012" s="14">
        <f>IF(OR(NOT(ISNUMBER(Ввод!$B$5)),NOT(ISNUMBER(Ввод!$B$6))),"",IF(Ввод!$B$5+1010&gt;Ввод!$B$6,"",Ввод!$B$5+1010))</f>
        <v/>
      </c>
      <c r="B1012">
        <f>IF(A1012="","",IFERROR(INDEX(Ввод!$B$12:$B$71,MATCH(A1012,Ввод!$D$12:$D$71,1)),""))</f>
        <v/>
      </c>
      <c r="C1012">
        <f>IF(A1012="","",DATE(YEAR(A1012),12,31)-DATE(YEAR(A1012),1,1)+1)</f>
        <v/>
      </c>
      <c r="D1012">
        <f>IF(A1012="","",Ввод!$B$4-SUMIF(Оплаты!$A$6:$A$505,"&lt;"&amp;A1012,Оплаты!$B$6:$B$505))</f>
        <v/>
      </c>
      <c r="E1012">
        <f>IF(A1012="","",IF(SUMPRODUCT((Ввод!$F$12:$F$31&lt;&gt;"")*(Ввод!$F$12:$F$31&lt;=A1012)*(Ввод!$G$12:$G$31&gt;=A1012))&gt;0,1,0))</f>
        <v/>
      </c>
      <c r="F1012">
        <f>IF(OR(A1012="",B1012=""),"",IF(E1012=1,0,D1012*B1012/100/C1012))</f>
        <v/>
      </c>
      <c r="G1012">
        <f>IF(A1012="","",IF(OR(B1012&lt;&gt;B1011,C1012&lt;&gt;C1011,D1012&lt;&gt;D1011,E1012&lt;&gt;E1011),G1011+1,G1011))</f>
        <v/>
      </c>
    </row>
    <row r="1013">
      <c r="A1013" s="14">
        <f>IF(OR(NOT(ISNUMBER(Ввод!$B$5)),NOT(ISNUMBER(Ввод!$B$6))),"",IF(Ввод!$B$5+1011&gt;Ввод!$B$6,"",Ввод!$B$5+1011))</f>
        <v/>
      </c>
      <c r="B1013">
        <f>IF(A1013="","",IFERROR(INDEX(Ввод!$B$12:$B$71,MATCH(A1013,Ввод!$D$12:$D$71,1)),""))</f>
        <v/>
      </c>
      <c r="C1013">
        <f>IF(A1013="","",DATE(YEAR(A1013),12,31)-DATE(YEAR(A1013),1,1)+1)</f>
        <v/>
      </c>
      <c r="D1013">
        <f>IF(A1013="","",Ввод!$B$4-SUMIF(Оплаты!$A$6:$A$505,"&lt;"&amp;A1013,Оплаты!$B$6:$B$505))</f>
        <v/>
      </c>
      <c r="E1013">
        <f>IF(A1013="","",IF(SUMPRODUCT((Ввод!$F$12:$F$31&lt;&gt;"")*(Ввод!$F$12:$F$31&lt;=A1013)*(Ввод!$G$12:$G$31&gt;=A1013))&gt;0,1,0))</f>
        <v/>
      </c>
      <c r="F1013">
        <f>IF(OR(A1013="",B1013=""),"",IF(E1013=1,0,D1013*B1013/100/C1013))</f>
        <v/>
      </c>
      <c r="G1013">
        <f>IF(A1013="","",IF(OR(B1013&lt;&gt;B1012,C1013&lt;&gt;C1012,D1013&lt;&gt;D1012,E1013&lt;&gt;E1012),G1012+1,G1012))</f>
        <v/>
      </c>
    </row>
    <row r="1014">
      <c r="A1014" s="14">
        <f>IF(OR(NOT(ISNUMBER(Ввод!$B$5)),NOT(ISNUMBER(Ввод!$B$6))),"",IF(Ввод!$B$5+1012&gt;Ввод!$B$6,"",Ввод!$B$5+1012))</f>
        <v/>
      </c>
      <c r="B1014">
        <f>IF(A1014="","",IFERROR(INDEX(Ввод!$B$12:$B$71,MATCH(A1014,Ввод!$D$12:$D$71,1)),""))</f>
        <v/>
      </c>
      <c r="C1014">
        <f>IF(A1014="","",DATE(YEAR(A1014),12,31)-DATE(YEAR(A1014),1,1)+1)</f>
        <v/>
      </c>
      <c r="D1014">
        <f>IF(A1014="","",Ввод!$B$4-SUMIF(Оплаты!$A$6:$A$505,"&lt;"&amp;A1014,Оплаты!$B$6:$B$505))</f>
        <v/>
      </c>
      <c r="E1014">
        <f>IF(A1014="","",IF(SUMPRODUCT((Ввод!$F$12:$F$31&lt;&gt;"")*(Ввод!$F$12:$F$31&lt;=A1014)*(Ввод!$G$12:$G$31&gt;=A1014))&gt;0,1,0))</f>
        <v/>
      </c>
      <c r="F1014">
        <f>IF(OR(A1014="",B1014=""),"",IF(E1014=1,0,D1014*B1014/100/C1014))</f>
        <v/>
      </c>
      <c r="G1014">
        <f>IF(A1014="","",IF(OR(B1014&lt;&gt;B1013,C1014&lt;&gt;C1013,D1014&lt;&gt;D1013,E1014&lt;&gt;E1013),G1013+1,G1013))</f>
        <v/>
      </c>
    </row>
    <row r="1015">
      <c r="A1015" s="14">
        <f>IF(OR(NOT(ISNUMBER(Ввод!$B$5)),NOT(ISNUMBER(Ввод!$B$6))),"",IF(Ввод!$B$5+1013&gt;Ввод!$B$6,"",Ввод!$B$5+1013))</f>
        <v/>
      </c>
      <c r="B1015">
        <f>IF(A1015="","",IFERROR(INDEX(Ввод!$B$12:$B$71,MATCH(A1015,Ввод!$D$12:$D$71,1)),""))</f>
        <v/>
      </c>
      <c r="C1015">
        <f>IF(A1015="","",DATE(YEAR(A1015),12,31)-DATE(YEAR(A1015),1,1)+1)</f>
        <v/>
      </c>
      <c r="D1015">
        <f>IF(A1015="","",Ввод!$B$4-SUMIF(Оплаты!$A$6:$A$505,"&lt;"&amp;A1015,Оплаты!$B$6:$B$505))</f>
        <v/>
      </c>
      <c r="E1015">
        <f>IF(A1015="","",IF(SUMPRODUCT((Ввод!$F$12:$F$31&lt;&gt;"")*(Ввод!$F$12:$F$31&lt;=A1015)*(Ввод!$G$12:$G$31&gt;=A1015))&gt;0,1,0))</f>
        <v/>
      </c>
      <c r="F1015">
        <f>IF(OR(A1015="",B1015=""),"",IF(E1015=1,0,D1015*B1015/100/C1015))</f>
        <v/>
      </c>
      <c r="G1015">
        <f>IF(A1015="","",IF(OR(B1015&lt;&gt;B1014,C1015&lt;&gt;C1014,D1015&lt;&gt;D1014,E1015&lt;&gt;E1014),G1014+1,G1014))</f>
        <v/>
      </c>
    </row>
    <row r="1016">
      <c r="A1016" s="14">
        <f>IF(OR(NOT(ISNUMBER(Ввод!$B$5)),NOT(ISNUMBER(Ввод!$B$6))),"",IF(Ввод!$B$5+1014&gt;Ввод!$B$6,"",Ввод!$B$5+1014))</f>
        <v/>
      </c>
      <c r="B1016">
        <f>IF(A1016="","",IFERROR(INDEX(Ввод!$B$12:$B$71,MATCH(A1016,Ввод!$D$12:$D$71,1)),""))</f>
        <v/>
      </c>
      <c r="C1016">
        <f>IF(A1016="","",DATE(YEAR(A1016),12,31)-DATE(YEAR(A1016),1,1)+1)</f>
        <v/>
      </c>
      <c r="D1016">
        <f>IF(A1016="","",Ввод!$B$4-SUMIF(Оплаты!$A$6:$A$505,"&lt;"&amp;A1016,Оплаты!$B$6:$B$505))</f>
        <v/>
      </c>
      <c r="E1016">
        <f>IF(A1016="","",IF(SUMPRODUCT((Ввод!$F$12:$F$31&lt;&gt;"")*(Ввод!$F$12:$F$31&lt;=A1016)*(Ввод!$G$12:$G$31&gt;=A1016))&gt;0,1,0))</f>
        <v/>
      </c>
      <c r="F1016">
        <f>IF(OR(A1016="",B1016=""),"",IF(E1016=1,0,D1016*B1016/100/C1016))</f>
        <v/>
      </c>
      <c r="G1016">
        <f>IF(A1016="","",IF(OR(B1016&lt;&gt;B1015,C1016&lt;&gt;C1015,D1016&lt;&gt;D1015,E1016&lt;&gt;E1015),G1015+1,G1015))</f>
        <v/>
      </c>
    </row>
    <row r="1017">
      <c r="A1017" s="14">
        <f>IF(OR(NOT(ISNUMBER(Ввод!$B$5)),NOT(ISNUMBER(Ввод!$B$6))),"",IF(Ввод!$B$5+1015&gt;Ввод!$B$6,"",Ввод!$B$5+1015))</f>
        <v/>
      </c>
      <c r="B1017">
        <f>IF(A1017="","",IFERROR(INDEX(Ввод!$B$12:$B$71,MATCH(A1017,Ввод!$D$12:$D$71,1)),""))</f>
        <v/>
      </c>
      <c r="C1017">
        <f>IF(A1017="","",DATE(YEAR(A1017),12,31)-DATE(YEAR(A1017),1,1)+1)</f>
        <v/>
      </c>
      <c r="D1017">
        <f>IF(A1017="","",Ввод!$B$4-SUMIF(Оплаты!$A$6:$A$505,"&lt;"&amp;A1017,Оплаты!$B$6:$B$505))</f>
        <v/>
      </c>
      <c r="E1017">
        <f>IF(A1017="","",IF(SUMPRODUCT((Ввод!$F$12:$F$31&lt;&gt;"")*(Ввод!$F$12:$F$31&lt;=A1017)*(Ввод!$G$12:$G$31&gt;=A1017))&gt;0,1,0))</f>
        <v/>
      </c>
      <c r="F1017">
        <f>IF(OR(A1017="",B1017=""),"",IF(E1017=1,0,D1017*B1017/100/C1017))</f>
        <v/>
      </c>
      <c r="G1017">
        <f>IF(A1017="","",IF(OR(B1017&lt;&gt;B1016,C1017&lt;&gt;C1016,D1017&lt;&gt;D1016,E1017&lt;&gt;E1016),G1016+1,G1016))</f>
        <v/>
      </c>
    </row>
    <row r="1018">
      <c r="A1018" s="14">
        <f>IF(OR(NOT(ISNUMBER(Ввод!$B$5)),NOT(ISNUMBER(Ввод!$B$6))),"",IF(Ввод!$B$5+1016&gt;Ввод!$B$6,"",Ввод!$B$5+1016))</f>
        <v/>
      </c>
      <c r="B1018">
        <f>IF(A1018="","",IFERROR(INDEX(Ввод!$B$12:$B$71,MATCH(A1018,Ввод!$D$12:$D$71,1)),""))</f>
        <v/>
      </c>
      <c r="C1018">
        <f>IF(A1018="","",DATE(YEAR(A1018),12,31)-DATE(YEAR(A1018),1,1)+1)</f>
        <v/>
      </c>
      <c r="D1018">
        <f>IF(A1018="","",Ввод!$B$4-SUMIF(Оплаты!$A$6:$A$505,"&lt;"&amp;A1018,Оплаты!$B$6:$B$505))</f>
        <v/>
      </c>
      <c r="E1018">
        <f>IF(A1018="","",IF(SUMPRODUCT((Ввод!$F$12:$F$31&lt;&gt;"")*(Ввод!$F$12:$F$31&lt;=A1018)*(Ввод!$G$12:$G$31&gt;=A1018))&gt;0,1,0))</f>
        <v/>
      </c>
      <c r="F1018">
        <f>IF(OR(A1018="",B1018=""),"",IF(E1018=1,0,D1018*B1018/100/C1018))</f>
        <v/>
      </c>
      <c r="G1018">
        <f>IF(A1018="","",IF(OR(B1018&lt;&gt;B1017,C1018&lt;&gt;C1017,D1018&lt;&gt;D1017,E1018&lt;&gt;E1017),G1017+1,G1017))</f>
        <v/>
      </c>
    </row>
    <row r="1019">
      <c r="A1019" s="14">
        <f>IF(OR(NOT(ISNUMBER(Ввод!$B$5)),NOT(ISNUMBER(Ввод!$B$6))),"",IF(Ввод!$B$5+1017&gt;Ввод!$B$6,"",Ввод!$B$5+1017))</f>
        <v/>
      </c>
      <c r="B1019">
        <f>IF(A1019="","",IFERROR(INDEX(Ввод!$B$12:$B$71,MATCH(A1019,Ввод!$D$12:$D$71,1)),""))</f>
        <v/>
      </c>
      <c r="C1019">
        <f>IF(A1019="","",DATE(YEAR(A1019),12,31)-DATE(YEAR(A1019),1,1)+1)</f>
        <v/>
      </c>
      <c r="D1019">
        <f>IF(A1019="","",Ввод!$B$4-SUMIF(Оплаты!$A$6:$A$505,"&lt;"&amp;A1019,Оплаты!$B$6:$B$505))</f>
        <v/>
      </c>
      <c r="E1019">
        <f>IF(A1019="","",IF(SUMPRODUCT((Ввод!$F$12:$F$31&lt;&gt;"")*(Ввод!$F$12:$F$31&lt;=A1019)*(Ввод!$G$12:$G$31&gt;=A1019))&gt;0,1,0))</f>
        <v/>
      </c>
      <c r="F1019">
        <f>IF(OR(A1019="",B1019=""),"",IF(E1019=1,0,D1019*B1019/100/C1019))</f>
        <v/>
      </c>
      <c r="G1019">
        <f>IF(A1019="","",IF(OR(B1019&lt;&gt;B1018,C1019&lt;&gt;C1018,D1019&lt;&gt;D1018,E1019&lt;&gt;E1018),G1018+1,G1018))</f>
        <v/>
      </c>
    </row>
    <row r="1020">
      <c r="A1020" s="14">
        <f>IF(OR(NOT(ISNUMBER(Ввод!$B$5)),NOT(ISNUMBER(Ввод!$B$6))),"",IF(Ввод!$B$5+1018&gt;Ввод!$B$6,"",Ввод!$B$5+1018))</f>
        <v/>
      </c>
      <c r="B1020">
        <f>IF(A1020="","",IFERROR(INDEX(Ввод!$B$12:$B$71,MATCH(A1020,Ввод!$D$12:$D$71,1)),""))</f>
        <v/>
      </c>
      <c r="C1020">
        <f>IF(A1020="","",DATE(YEAR(A1020),12,31)-DATE(YEAR(A1020),1,1)+1)</f>
        <v/>
      </c>
      <c r="D1020">
        <f>IF(A1020="","",Ввод!$B$4-SUMIF(Оплаты!$A$6:$A$505,"&lt;"&amp;A1020,Оплаты!$B$6:$B$505))</f>
        <v/>
      </c>
      <c r="E1020">
        <f>IF(A1020="","",IF(SUMPRODUCT((Ввод!$F$12:$F$31&lt;&gt;"")*(Ввод!$F$12:$F$31&lt;=A1020)*(Ввод!$G$12:$G$31&gt;=A1020))&gt;0,1,0))</f>
        <v/>
      </c>
      <c r="F1020">
        <f>IF(OR(A1020="",B1020=""),"",IF(E1020=1,0,D1020*B1020/100/C1020))</f>
        <v/>
      </c>
      <c r="G1020">
        <f>IF(A1020="","",IF(OR(B1020&lt;&gt;B1019,C1020&lt;&gt;C1019,D1020&lt;&gt;D1019,E1020&lt;&gt;E1019),G1019+1,G1019))</f>
        <v/>
      </c>
    </row>
    <row r="1021">
      <c r="A1021" s="14">
        <f>IF(OR(NOT(ISNUMBER(Ввод!$B$5)),NOT(ISNUMBER(Ввод!$B$6))),"",IF(Ввод!$B$5+1019&gt;Ввод!$B$6,"",Ввод!$B$5+1019))</f>
        <v/>
      </c>
      <c r="B1021">
        <f>IF(A1021="","",IFERROR(INDEX(Ввод!$B$12:$B$71,MATCH(A1021,Ввод!$D$12:$D$71,1)),""))</f>
        <v/>
      </c>
      <c r="C1021">
        <f>IF(A1021="","",DATE(YEAR(A1021),12,31)-DATE(YEAR(A1021),1,1)+1)</f>
        <v/>
      </c>
      <c r="D1021">
        <f>IF(A1021="","",Ввод!$B$4-SUMIF(Оплаты!$A$6:$A$505,"&lt;"&amp;A1021,Оплаты!$B$6:$B$505))</f>
        <v/>
      </c>
      <c r="E1021">
        <f>IF(A1021="","",IF(SUMPRODUCT((Ввод!$F$12:$F$31&lt;&gt;"")*(Ввод!$F$12:$F$31&lt;=A1021)*(Ввод!$G$12:$G$31&gt;=A1021))&gt;0,1,0))</f>
        <v/>
      </c>
      <c r="F1021">
        <f>IF(OR(A1021="",B1021=""),"",IF(E1021=1,0,D1021*B1021/100/C1021))</f>
        <v/>
      </c>
      <c r="G1021">
        <f>IF(A1021="","",IF(OR(B1021&lt;&gt;B1020,C1021&lt;&gt;C1020,D1021&lt;&gt;D1020,E1021&lt;&gt;E1020),G1020+1,G1020))</f>
        <v/>
      </c>
    </row>
    <row r="1022">
      <c r="A1022" s="14">
        <f>IF(OR(NOT(ISNUMBER(Ввод!$B$5)),NOT(ISNUMBER(Ввод!$B$6))),"",IF(Ввод!$B$5+1020&gt;Ввод!$B$6,"",Ввод!$B$5+1020))</f>
        <v/>
      </c>
      <c r="B1022">
        <f>IF(A1022="","",IFERROR(INDEX(Ввод!$B$12:$B$71,MATCH(A1022,Ввод!$D$12:$D$71,1)),""))</f>
        <v/>
      </c>
      <c r="C1022">
        <f>IF(A1022="","",DATE(YEAR(A1022),12,31)-DATE(YEAR(A1022),1,1)+1)</f>
        <v/>
      </c>
      <c r="D1022">
        <f>IF(A1022="","",Ввод!$B$4-SUMIF(Оплаты!$A$6:$A$505,"&lt;"&amp;A1022,Оплаты!$B$6:$B$505))</f>
        <v/>
      </c>
      <c r="E1022">
        <f>IF(A1022="","",IF(SUMPRODUCT((Ввод!$F$12:$F$31&lt;&gt;"")*(Ввод!$F$12:$F$31&lt;=A1022)*(Ввод!$G$12:$G$31&gt;=A1022))&gt;0,1,0))</f>
        <v/>
      </c>
      <c r="F1022">
        <f>IF(OR(A1022="",B1022=""),"",IF(E1022=1,0,D1022*B1022/100/C1022))</f>
        <v/>
      </c>
      <c r="G1022">
        <f>IF(A1022="","",IF(OR(B1022&lt;&gt;B1021,C1022&lt;&gt;C1021,D1022&lt;&gt;D1021,E1022&lt;&gt;E1021),G1021+1,G1021))</f>
        <v/>
      </c>
    </row>
    <row r="1023">
      <c r="A1023" s="14">
        <f>IF(OR(NOT(ISNUMBER(Ввод!$B$5)),NOT(ISNUMBER(Ввод!$B$6))),"",IF(Ввод!$B$5+1021&gt;Ввод!$B$6,"",Ввод!$B$5+1021))</f>
        <v/>
      </c>
      <c r="B1023">
        <f>IF(A1023="","",IFERROR(INDEX(Ввод!$B$12:$B$71,MATCH(A1023,Ввод!$D$12:$D$71,1)),""))</f>
        <v/>
      </c>
      <c r="C1023">
        <f>IF(A1023="","",DATE(YEAR(A1023),12,31)-DATE(YEAR(A1023),1,1)+1)</f>
        <v/>
      </c>
      <c r="D1023">
        <f>IF(A1023="","",Ввод!$B$4-SUMIF(Оплаты!$A$6:$A$505,"&lt;"&amp;A1023,Оплаты!$B$6:$B$505))</f>
        <v/>
      </c>
      <c r="E1023">
        <f>IF(A1023="","",IF(SUMPRODUCT((Ввод!$F$12:$F$31&lt;&gt;"")*(Ввод!$F$12:$F$31&lt;=A1023)*(Ввод!$G$12:$G$31&gt;=A1023))&gt;0,1,0))</f>
        <v/>
      </c>
      <c r="F1023">
        <f>IF(OR(A1023="",B1023=""),"",IF(E1023=1,0,D1023*B1023/100/C1023))</f>
        <v/>
      </c>
      <c r="G1023">
        <f>IF(A1023="","",IF(OR(B1023&lt;&gt;B1022,C1023&lt;&gt;C1022,D1023&lt;&gt;D1022,E1023&lt;&gt;E1022),G1022+1,G1022))</f>
        <v/>
      </c>
    </row>
    <row r="1024">
      <c r="A1024" s="14">
        <f>IF(OR(NOT(ISNUMBER(Ввод!$B$5)),NOT(ISNUMBER(Ввод!$B$6))),"",IF(Ввод!$B$5+1022&gt;Ввод!$B$6,"",Ввод!$B$5+1022))</f>
        <v/>
      </c>
      <c r="B1024">
        <f>IF(A1024="","",IFERROR(INDEX(Ввод!$B$12:$B$71,MATCH(A1024,Ввод!$D$12:$D$71,1)),""))</f>
        <v/>
      </c>
      <c r="C1024">
        <f>IF(A1024="","",DATE(YEAR(A1024),12,31)-DATE(YEAR(A1024),1,1)+1)</f>
        <v/>
      </c>
      <c r="D1024">
        <f>IF(A1024="","",Ввод!$B$4-SUMIF(Оплаты!$A$6:$A$505,"&lt;"&amp;A1024,Оплаты!$B$6:$B$505))</f>
        <v/>
      </c>
      <c r="E1024">
        <f>IF(A1024="","",IF(SUMPRODUCT((Ввод!$F$12:$F$31&lt;&gt;"")*(Ввод!$F$12:$F$31&lt;=A1024)*(Ввод!$G$12:$G$31&gt;=A1024))&gt;0,1,0))</f>
        <v/>
      </c>
      <c r="F1024">
        <f>IF(OR(A1024="",B1024=""),"",IF(E1024=1,0,D1024*B1024/100/C1024))</f>
        <v/>
      </c>
      <c r="G1024">
        <f>IF(A1024="","",IF(OR(B1024&lt;&gt;B1023,C1024&lt;&gt;C1023,D1024&lt;&gt;D1023,E1024&lt;&gt;E1023),G1023+1,G1023))</f>
        <v/>
      </c>
    </row>
    <row r="1025">
      <c r="A1025" s="14">
        <f>IF(OR(NOT(ISNUMBER(Ввод!$B$5)),NOT(ISNUMBER(Ввод!$B$6))),"",IF(Ввод!$B$5+1023&gt;Ввод!$B$6,"",Ввод!$B$5+1023))</f>
        <v/>
      </c>
      <c r="B1025">
        <f>IF(A1025="","",IFERROR(INDEX(Ввод!$B$12:$B$71,MATCH(A1025,Ввод!$D$12:$D$71,1)),""))</f>
        <v/>
      </c>
      <c r="C1025">
        <f>IF(A1025="","",DATE(YEAR(A1025),12,31)-DATE(YEAR(A1025),1,1)+1)</f>
        <v/>
      </c>
      <c r="D1025">
        <f>IF(A1025="","",Ввод!$B$4-SUMIF(Оплаты!$A$6:$A$505,"&lt;"&amp;A1025,Оплаты!$B$6:$B$505))</f>
        <v/>
      </c>
      <c r="E1025">
        <f>IF(A1025="","",IF(SUMPRODUCT((Ввод!$F$12:$F$31&lt;&gt;"")*(Ввод!$F$12:$F$31&lt;=A1025)*(Ввод!$G$12:$G$31&gt;=A1025))&gt;0,1,0))</f>
        <v/>
      </c>
      <c r="F1025">
        <f>IF(OR(A1025="",B1025=""),"",IF(E1025=1,0,D1025*B1025/100/C1025))</f>
        <v/>
      </c>
      <c r="G1025">
        <f>IF(A1025="","",IF(OR(B1025&lt;&gt;B1024,C1025&lt;&gt;C1024,D1025&lt;&gt;D1024,E1025&lt;&gt;E1024),G1024+1,G1024))</f>
        <v/>
      </c>
    </row>
    <row r="1026">
      <c r="A1026" s="14">
        <f>IF(OR(NOT(ISNUMBER(Ввод!$B$5)),NOT(ISNUMBER(Ввод!$B$6))),"",IF(Ввод!$B$5+1024&gt;Ввод!$B$6,"",Ввод!$B$5+1024))</f>
        <v/>
      </c>
      <c r="B1026">
        <f>IF(A1026="","",IFERROR(INDEX(Ввод!$B$12:$B$71,MATCH(A1026,Ввод!$D$12:$D$71,1)),""))</f>
        <v/>
      </c>
      <c r="C1026">
        <f>IF(A1026="","",DATE(YEAR(A1026),12,31)-DATE(YEAR(A1026),1,1)+1)</f>
        <v/>
      </c>
      <c r="D1026">
        <f>IF(A1026="","",Ввод!$B$4-SUMIF(Оплаты!$A$6:$A$505,"&lt;"&amp;A1026,Оплаты!$B$6:$B$505))</f>
        <v/>
      </c>
      <c r="E1026">
        <f>IF(A1026="","",IF(SUMPRODUCT((Ввод!$F$12:$F$31&lt;&gt;"")*(Ввод!$F$12:$F$31&lt;=A1026)*(Ввод!$G$12:$G$31&gt;=A1026))&gt;0,1,0))</f>
        <v/>
      </c>
      <c r="F1026">
        <f>IF(OR(A1026="",B1026=""),"",IF(E1026=1,0,D1026*B1026/100/C1026))</f>
        <v/>
      </c>
      <c r="G1026">
        <f>IF(A1026="","",IF(OR(B1026&lt;&gt;B1025,C1026&lt;&gt;C1025,D1026&lt;&gt;D1025,E1026&lt;&gt;E1025),G1025+1,G1025))</f>
        <v/>
      </c>
    </row>
    <row r="1027">
      <c r="A1027" s="14">
        <f>IF(OR(NOT(ISNUMBER(Ввод!$B$5)),NOT(ISNUMBER(Ввод!$B$6))),"",IF(Ввод!$B$5+1025&gt;Ввод!$B$6,"",Ввод!$B$5+1025))</f>
        <v/>
      </c>
      <c r="B1027">
        <f>IF(A1027="","",IFERROR(INDEX(Ввод!$B$12:$B$71,MATCH(A1027,Ввод!$D$12:$D$71,1)),""))</f>
        <v/>
      </c>
      <c r="C1027">
        <f>IF(A1027="","",DATE(YEAR(A1027),12,31)-DATE(YEAR(A1027),1,1)+1)</f>
        <v/>
      </c>
      <c r="D1027">
        <f>IF(A1027="","",Ввод!$B$4-SUMIF(Оплаты!$A$6:$A$505,"&lt;"&amp;A1027,Оплаты!$B$6:$B$505))</f>
        <v/>
      </c>
      <c r="E1027">
        <f>IF(A1027="","",IF(SUMPRODUCT((Ввод!$F$12:$F$31&lt;&gt;"")*(Ввод!$F$12:$F$31&lt;=A1027)*(Ввод!$G$12:$G$31&gt;=A1027))&gt;0,1,0))</f>
        <v/>
      </c>
      <c r="F1027">
        <f>IF(OR(A1027="",B1027=""),"",IF(E1027=1,0,D1027*B1027/100/C1027))</f>
        <v/>
      </c>
      <c r="G1027">
        <f>IF(A1027="","",IF(OR(B1027&lt;&gt;B1026,C1027&lt;&gt;C1026,D1027&lt;&gt;D1026,E1027&lt;&gt;E1026),G1026+1,G1026))</f>
        <v/>
      </c>
    </row>
    <row r="1028">
      <c r="A1028" s="14">
        <f>IF(OR(NOT(ISNUMBER(Ввод!$B$5)),NOT(ISNUMBER(Ввод!$B$6))),"",IF(Ввод!$B$5+1026&gt;Ввод!$B$6,"",Ввод!$B$5+1026))</f>
        <v/>
      </c>
      <c r="B1028">
        <f>IF(A1028="","",IFERROR(INDEX(Ввод!$B$12:$B$71,MATCH(A1028,Ввод!$D$12:$D$71,1)),""))</f>
        <v/>
      </c>
      <c r="C1028">
        <f>IF(A1028="","",DATE(YEAR(A1028),12,31)-DATE(YEAR(A1028),1,1)+1)</f>
        <v/>
      </c>
      <c r="D1028">
        <f>IF(A1028="","",Ввод!$B$4-SUMIF(Оплаты!$A$6:$A$505,"&lt;"&amp;A1028,Оплаты!$B$6:$B$505))</f>
        <v/>
      </c>
      <c r="E1028">
        <f>IF(A1028="","",IF(SUMPRODUCT((Ввод!$F$12:$F$31&lt;&gt;"")*(Ввод!$F$12:$F$31&lt;=A1028)*(Ввод!$G$12:$G$31&gt;=A1028))&gt;0,1,0))</f>
        <v/>
      </c>
      <c r="F1028">
        <f>IF(OR(A1028="",B1028=""),"",IF(E1028=1,0,D1028*B1028/100/C1028))</f>
        <v/>
      </c>
      <c r="G1028">
        <f>IF(A1028="","",IF(OR(B1028&lt;&gt;B1027,C1028&lt;&gt;C1027,D1028&lt;&gt;D1027,E1028&lt;&gt;E1027),G1027+1,G1027))</f>
        <v/>
      </c>
    </row>
    <row r="1029">
      <c r="A1029" s="14">
        <f>IF(OR(NOT(ISNUMBER(Ввод!$B$5)),NOT(ISNUMBER(Ввод!$B$6))),"",IF(Ввод!$B$5+1027&gt;Ввод!$B$6,"",Ввод!$B$5+1027))</f>
        <v/>
      </c>
      <c r="B1029">
        <f>IF(A1029="","",IFERROR(INDEX(Ввод!$B$12:$B$71,MATCH(A1029,Ввод!$D$12:$D$71,1)),""))</f>
        <v/>
      </c>
      <c r="C1029">
        <f>IF(A1029="","",DATE(YEAR(A1029),12,31)-DATE(YEAR(A1029),1,1)+1)</f>
        <v/>
      </c>
      <c r="D1029">
        <f>IF(A1029="","",Ввод!$B$4-SUMIF(Оплаты!$A$6:$A$505,"&lt;"&amp;A1029,Оплаты!$B$6:$B$505))</f>
        <v/>
      </c>
      <c r="E1029">
        <f>IF(A1029="","",IF(SUMPRODUCT((Ввод!$F$12:$F$31&lt;&gt;"")*(Ввод!$F$12:$F$31&lt;=A1029)*(Ввод!$G$12:$G$31&gt;=A1029))&gt;0,1,0))</f>
        <v/>
      </c>
      <c r="F1029">
        <f>IF(OR(A1029="",B1029=""),"",IF(E1029=1,0,D1029*B1029/100/C1029))</f>
        <v/>
      </c>
      <c r="G1029">
        <f>IF(A1029="","",IF(OR(B1029&lt;&gt;B1028,C1029&lt;&gt;C1028,D1029&lt;&gt;D1028,E1029&lt;&gt;E1028),G1028+1,G1028))</f>
        <v/>
      </c>
    </row>
    <row r="1030">
      <c r="A1030" s="14">
        <f>IF(OR(NOT(ISNUMBER(Ввод!$B$5)),NOT(ISNUMBER(Ввод!$B$6))),"",IF(Ввод!$B$5+1028&gt;Ввод!$B$6,"",Ввод!$B$5+1028))</f>
        <v/>
      </c>
      <c r="B1030">
        <f>IF(A1030="","",IFERROR(INDEX(Ввод!$B$12:$B$71,MATCH(A1030,Ввод!$D$12:$D$71,1)),""))</f>
        <v/>
      </c>
      <c r="C1030">
        <f>IF(A1030="","",DATE(YEAR(A1030),12,31)-DATE(YEAR(A1030),1,1)+1)</f>
        <v/>
      </c>
      <c r="D1030">
        <f>IF(A1030="","",Ввод!$B$4-SUMIF(Оплаты!$A$6:$A$505,"&lt;"&amp;A1030,Оплаты!$B$6:$B$505))</f>
        <v/>
      </c>
      <c r="E1030">
        <f>IF(A1030="","",IF(SUMPRODUCT((Ввод!$F$12:$F$31&lt;&gt;"")*(Ввод!$F$12:$F$31&lt;=A1030)*(Ввод!$G$12:$G$31&gt;=A1030))&gt;0,1,0))</f>
        <v/>
      </c>
      <c r="F1030">
        <f>IF(OR(A1030="",B1030=""),"",IF(E1030=1,0,D1030*B1030/100/C1030))</f>
        <v/>
      </c>
      <c r="G1030">
        <f>IF(A1030="","",IF(OR(B1030&lt;&gt;B1029,C1030&lt;&gt;C1029,D1030&lt;&gt;D1029,E1030&lt;&gt;E1029),G1029+1,G1029))</f>
        <v/>
      </c>
    </row>
    <row r="1031">
      <c r="A1031" s="14">
        <f>IF(OR(NOT(ISNUMBER(Ввод!$B$5)),NOT(ISNUMBER(Ввод!$B$6))),"",IF(Ввод!$B$5+1029&gt;Ввод!$B$6,"",Ввод!$B$5+1029))</f>
        <v/>
      </c>
      <c r="B1031">
        <f>IF(A1031="","",IFERROR(INDEX(Ввод!$B$12:$B$71,MATCH(A1031,Ввод!$D$12:$D$71,1)),""))</f>
        <v/>
      </c>
      <c r="C1031">
        <f>IF(A1031="","",DATE(YEAR(A1031),12,31)-DATE(YEAR(A1031),1,1)+1)</f>
        <v/>
      </c>
      <c r="D1031">
        <f>IF(A1031="","",Ввод!$B$4-SUMIF(Оплаты!$A$6:$A$505,"&lt;"&amp;A1031,Оплаты!$B$6:$B$505))</f>
        <v/>
      </c>
      <c r="E1031">
        <f>IF(A1031="","",IF(SUMPRODUCT((Ввод!$F$12:$F$31&lt;&gt;"")*(Ввод!$F$12:$F$31&lt;=A1031)*(Ввод!$G$12:$G$31&gt;=A1031))&gt;0,1,0))</f>
        <v/>
      </c>
      <c r="F1031">
        <f>IF(OR(A1031="",B1031=""),"",IF(E1031=1,0,D1031*B1031/100/C1031))</f>
        <v/>
      </c>
      <c r="G1031">
        <f>IF(A1031="","",IF(OR(B1031&lt;&gt;B1030,C1031&lt;&gt;C1030,D1031&lt;&gt;D1030,E1031&lt;&gt;E1030),G1030+1,G1030))</f>
        <v/>
      </c>
    </row>
    <row r="1032">
      <c r="A1032" s="14">
        <f>IF(OR(NOT(ISNUMBER(Ввод!$B$5)),NOT(ISNUMBER(Ввод!$B$6))),"",IF(Ввод!$B$5+1030&gt;Ввод!$B$6,"",Ввод!$B$5+1030))</f>
        <v/>
      </c>
      <c r="B1032">
        <f>IF(A1032="","",IFERROR(INDEX(Ввод!$B$12:$B$71,MATCH(A1032,Ввод!$D$12:$D$71,1)),""))</f>
        <v/>
      </c>
      <c r="C1032">
        <f>IF(A1032="","",DATE(YEAR(A1032),12,31)-DATE(YEAR(A1032),1,1)+1)</f>
        <v/>
      </c>
      <c r="D1032">
        <f>IF(A1032="","",Ввод!$B$4-SUMIF(Оплаты!$A$6:$A$505,"&lt;"&amp;A1032,Оплаты!$B$6:$B$505))</f>
        <v/>
      </c>
      <c r="E1032">
        <f>IF(A1032="","",IF(SUMPRODUCT((Ввод!$F$12:$F$31&lt;&gt;"")*(Ввод!$F$12:$F$31&lt;=A1032)*(Ввод!$G$12:$G$31&gt;=A1032))&gt;0,1,0))</f>
        <v/>
      </c>
      <c r="F1032">
        <f>IF(OR(A1032="",B1032=""),"",IF(E1032=1,0,D1032*B1032/100/C1032))</f>
        <v/>
      </c>
      <c r="G1032">
        <f>IF(A1032="","",IF(OR(B1032&lt;&gt;B1031,C1032&lt;&gt;C1031,D1032&lt;&gt;D1031,E1032&lt;&gt;E1031),G1031+1,G1031))</f>
        <v/>
      </c>
    </row>
    <row r="1033">
      <c r="A1033" s="14">
        <f>IF(OR(NOT(ISNUMBER(Ввод!$B$5)),NOT(ISNUMBER(Ввод!$B$6))),"",IF(Ввод!$B$5+1031&gt;Ввод!$B$6,"",Ввод!$B$5+1031))</f>
        <v/>
      </c>
      <c r="B1033">
        <f>IF(A1033="","",IFERROR(INDEX(Ввод!$B$12:$B$71,MATCH(A1033,Ввод!$D$12:$D$71,1)),""))</f>
        <v/>
      </c>
      <c r="C1033">
        <f>IF(A1033="","",DATE(YEAR(A1033),12,31)-DATE(YEAR(A1033),1,1)+1)</f>
        <v/>
      </c>
      <c r="D1033">
        <f>IF(A1033="","",Ввод!$B$4-SUMIF(Оплаты!$A$6:$A$505,"&lt;"&amp;A1033,Оплаты!$B$6:$B$505))</f>
        <v/>
      </c>
      <c r="E1033">
        <f>IF(A1033="","",IF(SUMPRODUCT((Ввод!$F$12:$F$31&lt;&gt;"")*(Ввод!$F$12:$F$31&lt;=A1033)*(Ввод!$G$12:$G$31&gt;=A1033))&gt;0,1,0))</f>
        <v/>
      </c>
      <c r="F1033">
        <f>IF(OR(A1033="",B1033=""),"",IF(E1033=1,0,D1033*B1033/100/C1033))</f>
        <v/>
      </c>
      <c r="G1033">
        <f>IF(A1033="","",IF(OR(B1033&lt;&gt;B1032,C1033&lt;&gt;C1032,D1033&lt;&gt;D1032,E1033&lt;&gt;E1032),G1032+1,G1032))</f>
        <v/>
      </c>
    </row>
    <row r="1034">
      <c r="A1034" s="14">
        <f>IF(OR(NOT(ISNUMBER(Ввод!$B$5)),NOT(ISNUMBER(Ввод!$B$6))),"",IF(Ввод!$B$5+1032&gt;Ввод!$B$6,"",Ввод!$B$5+1032))</f>
        <v/>
      </c>
      <c r="B1034">
        <f>IF(A1034="","",IFERROR(INDEX(Ввод!$B$12:$B$71,MATCH(A1034,Ввод!$D$12:$D$71,1)),""))</f>
        <v/>
      </c>
      <c r="C1034">
        <f>IF(A1034="","",DATE(YEAR(A1034),12,31)-DATE(YEAR(A1034),1,1)+1)</f>
        <v/>
      </c>
      <c r="D1034">
        <f>IF(A1034="","",Ввод!$B$4-SUMIF(Оплаты!$A$6:$A$505,"&lt;"&amp;A1034,Оплаты!$B$6:$B$505))</f>
        <v/>
      </c>
      <c r="E1034">
        <f>IF(A1034="","",IF(SUMPRODUCT((Ввод!$F$12:$F$31&lt;&gt;"")*(Ввод!$F$12:$F$31&lt;=A1034)*(Ввод!$G$12:$G$31&gt;=A1034))&gt;0,1,0))</f>
        <v/>
      </c>
      <c r="F1034">
        <f>IF(OR(A1034="",B1034=""),"",IF(E1034=1,0,D1034*B1034/100/C1034))</f>
        <v/>
      </c>
      <c r="G1034">
        <f>IF(A1034="","",IF(OR(B1034&lt;&gt;B1033,C1034&lt;&gt;C1033,D1034&lt;&gt;D1033,E1034&lt;&gt;E1033),G1033+1,G1033))</f>
        <v/>
      </c>
    </row>
    <row r="1035">
      <c r="A1035" s="14">
        <f>IF(OR(NOT(ISNUMBER(Ввод!$B$5)),NOT(ISNUMBER(Ввод!$B$6))),"",IF(Ввод!$B$5+1033&gt;Ввод!$B$6,"",Ввод!$B$5+1033))</f>
        <v/>
      </c>
      <c r="B1035">
        <f>IF(A1035="","",IFERROR(INDEX(Ввод!$B$12:$B$71,MATCH(A1035,Ввод!$D$12:$D$71,1)),""))</f>
        <v/>
      </c>
      <c r="C1035">
        <f>IF(A1035="","",DATE(YEAR(A1035),12,31)-DATE(YEAR(A1035),1,1)+1)</f>
        <v/>
      </c>
      <c r="D1035">
        <f>IF(A1035="","",Ввод!$B$4-SUMIF(Оплаты!$A$6:$A$505,"&lt;"&amp;A1035,Оплаты!$B$6:$B$505))</f>
        <v/>
      </c>
      <c r="E1035">
        <f>IF(A1035="","",IF(SUMPRODUCT((Ввод!$F$12:$F$31&lt;&gt;"")*(Ввод!$F$12:$F$31&lt;=A1035)*(Ввод!$G$12:$G$31&gt;=A1035))&gt;0,1,0))</f>
        <v/>
      </c>
      <c r="F1035">
        <f>IF(OR(A1035="",B1035=""),"",IF(E1035=1,0,D1035*B1035/100/C1035))</f>
        <v/>
      </c>
      <c r="G1035">
        <f>IF(A1035="","",IF(OR(B1035&lt;&gt;B1034,C1035&lt;&gt;C1034,D1035&lt;&gt;D1034,E1035&lt;&gt;E1034),G1034+1,G1034))</f>
        <v/>
      </c>
    </row>
    <row r="1036">
      <c r="A1036" s="14">
        <f>IF(OR(NOT(ISNUMBER(Ввод!$B$5)),NOT(ISNUMBER(Ввод!$B$6))),"",IF(Ввод!$B$5+1034&gt;Ввод!$B$6,"",Ввод!$B$5+1034))</f>
        <v/>
      </c>
      <c r="B1036">
        <f>IF(A1036="","",IFERROR(INDEX(Ввод!$B$12:$B$71,MATCH(A1036,Ввод!$D$12:$D$71,1)),""))</f>
        <v/>
      </c>
      <c r="C1036">
        <f>IF(A1036="","",DATE(YEAR(A1036),12,31)-DATE(YEAR(A1036),1,1)+1)</f>
        <v/>
      </c>
      <c r="D1036">
        <f>IF(A1036="","",Ввод!$B$4-SUMIF(Оплаты!$A$6:$A$505,"&lt;"&amp;A1036,Оплаты!$B$6:$B$505))</f>
        <v/>
      </c>
      <c r="E1036">
        <f>IF(A1036="","",IF(SUMPRODUCT((Ввод!$F$12:$F$31&lt;&gt;"")*(Ввод!$F$12:$F$31&lt;=A1036)*(Ввод!$G$12:$G$31&gt;=A1036))&gt;0,1,0))</f>
        <v/>
      </c>
      <c r="F1036">
        <f>IF(OR(A1036="",B1036=""),"",IF(E1036=1,0,D1036*B1036/100/C1036))</f>
        <v/>
      </c>
      <c r="G1036">
        <f>IF(A1036="","",IF(OR(B1036&lt;&gt;B1035,C1036&lt;&gt;C1035,D1036&lt;&gt;D1035,E1036&lt;&gt;E1035),G1035+1,G1035))</f>
        <v/>
      </c>
    </row>
    <row r="1037">
      <c r="A1037" s="14">
        <f>IF(OR(NOT(ISNUMBER(Ввод!$B$5)),NOT(ISNUMBER(Ввод!$B$6))),"",IF(Ввод!$B$5+1035&gt;Ввод!$B$6,"",Ввод!$B$5+1035))</f>
        <v/>
      </c>
      <c r="B1037">
        <f>IF(A1037="","",IFERROR(INDEX(Ввод!$B$12:$B$71,MATCH(A1037,Ввод!$D$12:$D$71,1)),""))</f>
        <v/>
      </c>
      <c r="C1037">
        <f>IF(A1037="","",DATE(YEAR(A1037),12,31)-DATE(YEAR(A1037),1,1)+1)</f>
        <v/>
      </c>
      <c r="D1037">
        <f>IF(A1037="","",Ввод!$B$4-SUMIF(Оплаты!$A$6:$A$505,"&lt;"&amp;A1037,Оплаты!$B$6:$B$505))</f>
        <v/>
      </c>
      <c r="E1037">
        <f>IF(A1037="","",IF(SUMPRODUCT((Ввод!$F$12:$F$31&lt;&gt;"")*(Ввод!$F$12:$F$31&lt;=A1037)*(Ввод!$G$12:$G$31&gt;=A1037))&gt;0,1,0))</f>
        <v/>
      </c>
      <c r="F1037">
        <f>IF(OR(A1037="",B1037=""),"",IF(E1037=1,0,D1037*B1037/100/C1037))</f>
        <v/>
      </c>
      <c r="G1037">
        <f>IF(A1037="","",IF(OR(B1037&lt;&gt;B1036,C1037&lt;&gt;C1036,D1037&lt;&gt;D1036,E1037&lt;&gt;E1036),G1036+1,G1036))</f>
        <v/>
      </c>
    </row>
    <row r="1038">
      <c r="A1038" s="14">
        <f>IF(OR(NOT(ISNUMBER(Ввод!$B$5)),NOT(ISNUMBER(Ввод!$B$6))),"",IF(Ввод!$B$5+1036&gt;Ввод!$B$6,"",Ввод!$B$5+1036))</f>
        <v/>
      </c>
      <c r="B1038">
        <f>IF(A1038="","",IFERROR(INDEX(Ввод!$B$12:$B$71,MATCH(A1038,Ввод!$D$12:$D$71,1)),""))</f>
        <v/>
      </c>
      <c r="C1038">
        <f>IF(A1038="","",DATE(YEAR(A1038),12,31)-DATE(YEAR(A1038),1,1)+1)</f>
        <v/>
      </c>
      <c r="D1038">
        <f>IF(A1038="","",Ввод!$B$4-SUMIF(Оплаты!$A$6:$A$505,"&lt;"&amp;A1038,Оплаты!$B$6:$B$505))</f>
        <v/>
      </c>
      <c r="E1038">
        <f>IF(A1038="","",IF(SUMPRODUCT((Ввод!$F$12:$F$31&lt;&gt;"")*(Ввод!$F$12:$F$31&lt;=A1038)*(Ввод!$G$12:$G$31&gt;=A1038))&gt;0,1,0))</f>
        <v/>
      </c>
      <c r="F1038">
        <f>IF(OR(A1038="",B1038=""),"",IF(E1038=1,0,D1038*B1038/100/C1038))</f>
        <v/>
      </c>
      <c r="G1038">
        <f>IF(A1038="","",IF(OR(B1038&lt;&gt;B1037,C1038&lt;&gt;C1037,D1038&lt;&gt;D1037,E1038&lt;&gt;E1037),G1037+1,G1037))</f>
        <v/>
      </c>
    </row>
    <row r="1039">
      <c r="A1039" s="14">
        <f>IF(OR(NOT(ISNUMBER(Ввод!$B$5)),NOT(ISNUMBER(Ввод!$B$6))),"",IF(Ввод!$B$5+1037&gt;Ввод!$B$6,"",Ввод!$B$5+1037))</f>
        <v/>
      </c>
      <c r="B1039">
        <f>IF(A1039="","",IFERROR(INDEX(Ввод!$B$12:$B$71,MATCH(A1039,Ввод!$D$12:$D$71,1)),""))</f>
        <v/>
      </c>
      <c r="C1039">
        <f>IF(A1039="","",DATE(YEAR(A1039),12,31)-DATE(YEAR(A1039),1,1)+1)</f>
        <v/>
      </c>
      <c r="D1039">
        <f>IF(A1039="","",Ввод!$B$4-SUMIF(Оплаты!$A$6:$A$505,"&lt;"&amp;A1039,Оплаты!$B$6:$B$505))</f>
        <v/>
      </c>
      <c r="E1039">
        <f>IF(A1039="","",IF(SUMPRODUCT((Ввод!$F$12:$F$31&lt;&gt;"")*(Ввод!$F$12:$F$31&lt;=A1039)*(Ввод!$G$12:$G$31&gt;=A1039))&gt;0,1,0))</f>
        <v/>
      </c>
      <c r="F1039">
        <f>IF(OR(A1039="",B1039=""),"",IF(E1039=1,0,D1039*B1039/100/C1039))</f>
        <v/>
      </c>
      <c r="G1039">
        <f>IF(A1039="","",IF(OR(B1039&lt;&gt;B1038,C1039&lt;&gt;C1038,D1039&lt;&gt;D1038,E1039&lt;&gt;E1038),G1038+1,G1038))</f>
        <v/>
      </c>
    </row>
    <row r="1040">
      <c r="A1040" s="14">
        <f>IF(OR(NOT(ISNUMBER(Ввод!$B$5)),NOT(ISNUMBER(Ввод!$B$6))),"",IF(Ввод!$B$5+1038&gt;Ввод!$B$6,"",Ввод!$B$5+1038))</f>
        <v/>
      </c>
      <c r="B1040">
        <f>IF(A1040="","",IFERROR(INDEX(Ввод!$B$12:$B$71,MATCH(A1040,Ввод!$D$12:$D$71,1)),""))</f>
        <v/>
      </c>
      <c r="C1040">
        <f>IF(A1040="","",DATE(YEAR(A1040),12,31)-DATE(YEAR(A1040),1,1)+1)</f>
        <v/>
      </c>
      <c r="D1040">
        <f>IF(A1040="","",Ввод!$B$4-SUMIF(Оплаты!$A$6:$A$505,"&lt;"&amp;A1040,Оплаты!$B$6:$B$505))</f>
        <v/>
      </c>
      <c r="E1040">
        <f>IF(A1040="","",IF(SUMPRODUCT((Ввод!$F$12:$F$31&lt;&gt;"")*(Ввод!$F$12:$F$31&lt;=A1040)*(Ввод!$G$12:$G$31&gt;=A1040))&gt;0,1,0))</f>
        <v/>
      </c>
      <c r="F1040">
        <f>IF(OR(A1040="",B1040=""),"",IF(E1040=1,0,D1040*B1040/100/C1040))</f>
        <v/>
      </c>
      <c r="G1040">
        <f>IF(A1040="","",IF(OR(B1040&lt;&gt;B1039,C1040&lt;&gt;C1039,D1040&lt;&gt;D1039,E1040&lt;&gt;E1039),G1039+1,G1039))</f>
        <v/>
      </c>
    </row>
    <row r="1041">
      <c r="A1041" s="14">
        <f>IF(OR(NOT(ISNUMBER(Ввод!$B$5)),NOT(ISNUMBER(Ввод!$B$6))),"",IF(Ввод!$B$5+1039&gt;Ввод!$B$6,"",Ввод!$B$5+1039))</f>
        <v/>
      </c>
      <c r="B1041">
        <f>IF(A1041="","",IFERROR(INDEX(Ввод!$B$12:$B$71,MATCH(A1041,Ввод!$D$12:$D$71,1)),""))</f>
        <v/>
      </c>
      <c r="C1041">
        <f>IF(A1041="","",DATE(YEAR(A1041),12,31)-DATE(YEAR(A1041),1,1)+1)</f>
        <v/>
      </c>
      <c r="D1041">
        <f>IF(A1041="","",Ввод!$B$4-SUMIF(Оплаты!$A$6:$A$505,"&lt;"&amp;A1041,Оплаты!$B$6:$B$505))</f>
        <v/>
      </c>
      <c r="E1041">
        <f>IF(A1041="","",IF(SUMPRODUCT((Ввод!$F$12:$F$31&lt;&gt;"")*(Ввод!$F$12:$F$31&lt;=A1041)*(Ввод!$G$12:$G$31&gt;=A1041))&gt;0,1,0))</f>
        <v/>
      </c>
      <c r="F1041">
        <f>IF(OR(A1041="",B1041=""),"",IF(E1041=1,0,D1041*B1041/100/C1041))</f>
        <v/>
      </c>
      <c r="G1041">
        <f>IF(A1041="","",IF(OR(B1041&lt;&gt;B1040,C1041&lt;&gt;C1040,D1041&lt;&gt;D1040,E1041&lt;&gt;E1040),G1040+1,G1040))</f>
        <v/>
      </c>
    </row>
    <row r="1042">
      <c r="A1042" s="14">
        <f>IF(OR(NOT(ISNUMBER(Ввод!$B$5)),NOT(ISNUMBER(Ввод!$B$6))),"",IF(Ввод!$B$5+1040&gt;Ввод!$B$6,"",Ввод!$B$5+1040))</f>
        <v/>
      </c>
      <c r="B1042">
        <f>IF(A1042="","",IFERROR(INDEX(Ввод!$B$12:$B$71,MATCH(A1042,Ввод!$D$12:$D$71,1)),""))</f>
        <v/>
      </c>
      <c r="C1042">
        <f>IF(A1042="","",DATE(YEAR(A1042),12,31)-DATE(YEAR(A1042),1,1)+1)</f>
        <v/>
      </c>
      <c r="D1042">
        <f>IF(A1042="","",Ввод!$B$4-SUMIF(Оплаты!$A$6:$A$505,"&lt;"&amp;A1042,Оплаты!$B$6:$B$505))</f>
        <v/>
      </c>
      <c r="E1042">
        <f>IF(A1042="","",IF(SUMPRODUCT((Ввод!$F$12:$F$31&lt;&gt;"")*(Ввод!$F$12:$F$31&lt;=A1042)*(Ввод!$G$12:$G$31&gt;=A1042))&gt;0,1,0))</f>
        <v/>
      </c>
      <c r="F1042">
        <f>IF(OR(A1042="",B1042=""),"",IF(E1042=1,0,D1042*B1042/100/C1042))</f>
        <v/>
      </c>
      <c r="G1042">
        <f>IF(A1042="","",IF(OR(B1042&lt;&gt;B1041,C1042&lt;&gt;C1041,D1042&lt;&gt;D1041,E1042&lt;&gt;E1041),G1041+1,G1041))</f>
        <v/>
      </c>
    </row>
    <row r="1043">
      <c r="A1043" s="14">
        <f>IF(OR(NOT(ISNUMBER(Ввод!$B$5)),NOT(ISNUMBER(Ввод!$B$6))),"",IF(Ввод!$B$5+1041&gt;Ввод!$B$6,"",Ввод!$B$5+1041))</f>
        <v/>
      </c>
      <c r="B1043">
        <f>IF(A1043="","",IFERROR(INDEX(Ввод!$B$12:$B$71,MATCH(A1043,Ввод!$D$12:$D$71,1)),""))</f>
        <v/>
      </c>
      <c r="C1043">
        <f>IF(A1043="","",DATE(YEAR(A1043),12,31)-DATE(YEAR(A1043),1,1)+1)</f>
        <v/>
      </c>
      <c r="D1043">
        <f>IF(A1043="","",Ввод!$B$4-SUMIF(Оплаты!$A$6:$A$505,"&lt;"&amp;A1043,Оплаты!$B$6:$B$505))</f>
        <v/>
      </c>
      <c r="E1043">
        <f>IF(A1043="","",IF(SUMPRODUCT((Ввод!$F$12:$F$31&lt;&gt;"")*(Ввод!$F$12:$F$31&lt;=A1043)*(Ввод!$G$12:$G$31&gt;=A1043))&gt;0,1,0))</f>
        <v/>
      </c>
      <c r="F1043">
        <f>IF(OR(A1043="",B1043=""),"",IF(E1043=1,0,D1043*B1043/100/C1043))</f>
        <v/>
      </c>
      <c r="G1043">
        <f>IF(A1043="","",IF(OR(B1043&lt;&gt;B1042,C1043&lt;&gt;C1042,D1043&lt;&gt;D1042,E1043&lt;&gt;E1042),G1042+1,G1042))</f>
        <v/>
      </c>
    </row>
    <row r="1044">
      <c r="A1044" s="14">
        <f>IF(OR(NOT(ISNUMBER(Ввод!$B$5)),NOT(ISNUMBER(Ввод!$B$6))),"",IF(Ввод!$B$5+1042&gt;Ввод!$B$6,"",Ввод!$B$5+1042))</f>
        <v/>
      </c>
      <c r="B1044">
        <f>IF(A1044="","",IFERROR(INDEX(Ввод!$B$12:$B$71,MATCH(A1044,Ввод!$D$12:$D$71,1)),""))</f>
        <v/>
      </c>
      <c r="C1044">
        <f>IF(A1044="","",DATE(YEAR(A1044),12,31)-DATE(YEAR(A1044),1,1)+1)</f>
        <v/>
      </c>
      <c r="D1044">
        <f>IF(A1044="","",Ввод!$B$4-SUMIF(Оплаты!$A$6:$A$505,"&lt;"&amp;A1044,Оплаты!$B$6:$B$505))</f>
        <v/>
      </c>
      <c r="E1044">
        <f>IF(A1044="","",IF(SUMPRODUCT((Ввод!$F$12:$F$31&lt;&gt;"")*(Ввод!$F$12:$F$31&lt;=A1044)*(Ввод!$G$12:$G$31&gt;=A1044))&gt;0,1,0))</f>
        <v/>
      </c>
      <c r="F1044">
        <f>IF(OR(A1044="",B1044=""),"",IF(E1044=1,0,D1044*B1044/100/C1044))</f>
        <v/>
      </c>
      <c r="G1044">
        <f>IF(A1044="","",IF(OR(B1044&lt;&gt;B1043,C1044&lt;&gt;C1043,D1044&lt;&gt;D1043,E1044&lt;&gt;E1043),G1043+1,G1043))</f>
        <v/>
      </c>
    </row>
    <row r="1045">
      <c r="A1045" s="14">
        <f>IF(OR(NOT(ISNUMBER(Ввод!$B$5)),NOT(ISNUMBER(Ввод!$B$6))),"",IF(Ввод!$B$5+1043&gt;Ввод!$B$6,"",Ввод!$B$5+1043))</f>
        <v/>
      </c>
      <c r="B1045">
        <f>IF(A1045="","",IFERROR(INDEX(Ввод!$B$12:$B$71,MATCH(A1045,Ввод!$D$12:$D$71,1)),""))</f>
        <v/>
      </c>
      <c r="C1045">
        <f>IF(A1045="","",DATE(YEAR(A1045),12,31)-DATE(YEAR(A1045),1,1)+1)</f>
        <v/>
      </c>
      <c r="D1045">
        <f>IF(A1045="","",Ввод!$B$4-SUMIF(Оплаты!$A$6:$A$505,"&lt;"&amp;A1045,Оплаты!$B$6:$B$505))</f>
        <v/>
      </c>
      <c r="E1045">
        <f>IF(A1045="","",IF(SUMPRODUCT((Ввод!$F$12:$F$31&lt;&gt;"")*(Ввод!$F$12:$F$31&lt;=A1045)*(Ввод!$G$12:$G$31&gt;=A1045))&gt;0,1,0))</f>
        <v/>
      </c>
      <c r="F1045">
        <f>IF(OR(A1045="",B1045=""),"",IF(E1045=1,0,D1045*B1045/100/C1045))</f>
        <v/>
      </c>
      <c r="G1045">
        <f>IF(A1045="","",IF(OR(B1045&lt;&gt;B1044,C1045&lt;&gt;C1044,D1045&lt;&gt;D1044,E1045&lt;&gt;E1044),G1044+1,G1044))</f>
        <v/>
      </c>
    </row>
    <row r="1046">
      <c r="A1046" s="14">
        <f>IF(OR(NOT(ISNUMBER(Ввод!$B$5)),NOT(ISNUMBER(Ввод!$B$6))),"",IF(Ввод!$B$5+1044&gt;Ввод!$B$6,"",Ввод!$B$5+1044))</f>
        <v/>
      </c>
      <c r="B1046">
        <f>IF(A1046="","",IFERROR(INDEX(Ввод!$B$12:$B$71,MATCH(A1046,Ввод!$D$12:$D$71,1)),""))</f>
        <v/>
      </c>
      <c r="C1046">
        <f>IF(A1046="","",DATE(YEAR(A1046),12,31)-DATE(YEAR(A1046),1,1)+1)</f>
        <v/>
      </c>
      <c r="D1046">
        <f>IF(A1046="","",Ввод!$B$4-SUMIF(Оплаты!$A$6:$A$505,"&lt;"&amp;A1046,Оплаты!$B$6:$B$505))</f>
        <v/>
      </c>
      <c r="E1046">
        <f>IF(A1046="","",IF(SUMPRODUCT((Ввод!$F$12:$F$31&lt;&gt;"")*(Ввод!$F$12:$F$31&lt;=A1046)*(Ввод!$G$12:$G$31&gt;=A1046))&gt;0,1,0))</f>
        <v/>
      </c>
      <c r="F1046">
        <f>IF(OR(A1046="",B1046=""),"",IF(E1046=1,0,D1046*B1046/100/C1046))</f>
        <v/>
      </c>
      <c r="G1046">
        <f>IF(A1046="","",IF(OR(B1046&lt;&gt;B1045,C1046&lt;&gt;C1045,D1046&lt;&gt;D1045,E1046&lt;&gt;E1045),G1045+1,G1045))</f>
        <v/>
      </c>
    </row>
    <row r="1047">
      <c r="A1047" s="14">
        <f>IF(OR(NOT(ISNUMBER(Ввод!$B$5)),NOT(ISNUMBER(Ввод!$B$6))),"",IF(Ввод!$B$5+1045&gt;Ввод!$B$6,"",Ввод!$B$5+1045))</f>
        <v/>
      </c>
      <c r="B1047">
        <f>IF(A1047="","",IFERROR(INDEX(Ввод!$B$12:$B$71,MATCH(A1047,Ввод!$D$12:$D$71,1)),""))</f>
        <v/>
      </c>
      <c r="C1047">
        <f>IF(A1047="","",DATE(YEAR(A1047),12,31)-DATE(YEAR(A1047),1,1)+1)</f>
        <v/>
      </c>
      <c r="D1047">
        <f>IF(A1047="","",Ввод!$B$4-SUMIF(Оплаты!$A$6:$A$505,"&lt;"&amp;A1047,Оплаты!$B$6:$B$505))</f>
        <v/>
      </c>
      <c r="E1047">
        <f>IF(A1047="","",IF(SUMPRODUCT((Ввод!$F$12:$F$31&lt;&gt;"")*(Ввод!$F$12:$F$31&lt;=A1047)*(Ввод!$G$12:$G$31&gt;=A1047))&gt;0,1,0))</f>
        <v/>
      </c>
      <c r="F1047">
        <f>IF(OR(A1047="",B1047=""),"",IF(E1047=1,0,D1047*B1047/100/C1047))</f>
        <v/>
      </c>
      <c r="G1047">
        <f>IF(A1047="","",IF(OR(B1047&lt;&gt;B1046,C1047&lt;&gt;C1046,D1047&lt;&gt;D1046,E1047&lt;&gt;E1046),G1046+1,G1046))</f>
        <v/>
      </c>
    </row>
    <row r="1048">
      <c r="A1048" s="14">
        <f>IF(OR(NOT(ISNUMBER(Ввод!$B$5)),NOT(ISNUMBER(Ввод!$B$6))),"",IF(Ввод!$B$5+1046&gt;Ввод!$B$6,"",Ввод!$B$5+1046))</f>
        <v/>
      </c>
      <c r="B1048">
        <f>IF(A1048="","",IFERROR(INDEX(Ввод!$B$12:$B$71,MATCH(A1048,Ввод!$D$12:$D$71,1)),""))</f>
        <v/>
      </c>
      <c r="C1048">
        <f>IF(A1048="","",DATE(YEAR(A1048),12,31)-DATE(YEAR(A1048),1,1)+1)</f>
        <v/>
      </c>
      <c r="D1048">
        <f>IF(A1048="","",Ввод!$B$4-SUMIF(Оплаты!$A$6:$A$505,"&lt;"&amp;A1048,Оплаты!$B$6:$B$505))</f>
        <v/>
      </c>
      <c r="E1048">
        <f>IF(A1048="","",IF(SUMPRODUCT((Ввод!$F$12:$F$31&lt;&gt;"")*(Ввод!$F$12:$F$31&lt;=A1048)*(Ввод!$G$12:$G$31&gt;=A1048))&gt;0,1,0))</f>
        <v/>
      </c>
      <c r="F1048">
        <f>IF(OR(A1048="",B1048=""),"",IF(E1048=1,0,D1048*B1048/100/C1048))</f>
        <v/>
      </c>
      <c r="G1048">
        <f>IF(A1048="","",IF(OR(B1048&lt;&gt;B1047,C1048&lt;&gt;C1047,D1048&lt;&gt;D1047,E1048&lt;&gt;E1047),G1047+1,G1047))</f>
        <v/>
      </c>
    </row>
    <row r="1049">
      <c r="A1049" s="14">
        <f>IF(OR(NOT(ISNUMBER(Ввод!$B$5)),NOT(ISNUMBER(Ввод!$B$6))),"",IF(Ввод!$B$5+1047&gt;Ввод!$B$6,"",Ввод!$B$5+1047))</f>
        <v/>
      </c>
      <c r="B1049">
        <f>IF(A1049="","",IFERROR(INDEX(Ввод!$B$12:$B$71,MATCH(A1049,Ввод!$D$12:$D$71,1)),""))</f>
        <v/>
      </c>
      <c r="C1049">
        <f>IF(A1049="","",DATE(YEAR(A1049),12,31)-DATE(YEAR(A1049),1,1)+1)</f>
        <v/>
      </c>
      <c r="D1049">
        <f>IF(A1049="","",Ввод!$B$4-SUMIF(Оплаты!$A$6:$A$505,"&lt;"&amp;A1049,Оплаты!$B$6:$B$505))</f>
        <v/>
      </c>
      <c r="E1049">
        <f>IF(A1049="","",IF(SUMPRODUCT((Ввод!$F$12:$F$31&lt;&gt;"")*(Ввод!$F$12:$F$31&lt;=A1049)*(Ввод!$G$12:$G$31&gt;=A1049))&gt;0,1,0))</f>
        <v/>
      </c>
      <c r="F1049">
        <f>IF(OR(A1049="",B1049=""),"",IF(E1049=1,0,D1049*B1049/100/C1049))</f>
        <v/>
      </c>
      <c r="G1049">
        <f>IF(A1049="","",IF(OR(B1049&lt;&gt;B1048,C1049&lt;&gt;C1048,D1049&lt;&gt;D1048,E1049&lt;&gt;E1048),G1048+1,G1048))</f>
        <v/>
      </c>
    </row>
    <row r="1050">
      <c r="A1050" s="14">
        <f>IF(OR(NOT(ISNUMBER(Ввод!$B$5)),NOT(ISNUMBER(Ввод!$B$6))),"",IF(Ввод!$B$5+1048&gt;Ввод!$B$6,"",Ввод!$B$5+1048))</f>
        <v/>
      </c>
      <c r="B1050">
        <f>IF(A1050="","",IFERROR(INDEX(Ввод!$B$12:$B$71,MATCH(A1050,Ввод!$D$12:$D$71,1)),""))</f>
        <v/>
      </c>
      <c r="C1050">
        <f>IF(A1050="","",DATE(YEAR(A1050),12,31)-DATE(YEAR(A1050),1,1)+1)</f>
        <v/>
      </c>
      <c r="D1050">
        <f>IF(A1050="","",Ввод!$B$4-SUMIF(Оплаты!$A$6:$A$505,"&lt;"&amp;A1050,Оплаты!$B$6:$B$505))</f>
        <v/>
      </c>
      <c r="E1050">
        <f>IF(A1050="","",IF(SUMPRODUCT((Ввод!$F$12:$F$31&lt;&gt;"")*(Ввод!$F$12:$F$31&lt;=A1050)*(Ввод!$G$12:$G$31&gt;=A1050))&gt;0,1,0))</f>
        <v/>
      </c>
      <c r="F1050">
        <f>IF(OR(A1050="",B1050=""),"",IF(E1050=1,0,D1050*B1050/100/C1050))</f>
        <v/>
      </c>
      <c r="G1050">
        <f>IF(A1050="","",IF(OR(B1050&lt;&gt;B1049,C1050&lt;&gt;C1049,D1050&lt;&gt;D1049,E1050&lt;&gt;E1049),G1049+1,G1049))</f>
        <v/>
      </c>
    </row>
    <row r="1051">
      <c r="A1051" s="14">
        <f>IF(OR(NOT(ISNUMBER(Ввод!$B$5)),NOT(ISNUMBER(Ввод!$B$6))),"",IF(Ввод!$B$5+1049&gt;Ввод!$B$6,"",Ввод!$B$5+1049))</f>
        <v/>
      </c>
      <c r="B1051">
        <f>IF(A1051="","",IFERROR(INDEX(Ввод!$B$12:$B$71,MATCH(A1051,Ввод!$D$12:$D$71,1)),""))</f>
        <v/>
      </c>
      <c r="C1051">
        <f>IF(A1051="","",DATE(YEAR(A1051),12,31)-DATE(YEAR(A1051),1,1)+1)</f>
        <v/>
      </c>
      <c r="D1051">
        <f>IF(A1051="","",Ввод!$B$4-SUMIF(Оплаты!$A$6:$A$505,"&lt;"&amp;A1051,Оплаты!$B$6:$B$505))</f>
        <v/>
      </c>
      <c r="E1051">
        <f>IF(A1051="","",IF(SUMPRODUCT((Ввод!$F$12:$F$31&lt;&gt;"")*(Ввод!$F$12:$F$31&lt;=A1051)*(Ввод!$G$12:$G$31&gt;=A1051))&gt;0,1,0))</f>
        <v/>
      </c>
      <c r="F1051">
        <f>IF(OR(A1051="",B1051=""),"",IF(E1051=1,0,D1051*B1051/100/C1051))</f>
        <v/>
      </c>
      <c r="G1051">
        <f>IF(A1051="","",IF(OR(B1051&lt;&gt;B1050,C1051&lt;&gt;C1050,D1051&lt;&gt;D1050,E1051&lt;&gt;E1050),G1050+1,G1050))</f>
        <v/>
      </c>
    </row>
    <row r="1052">
      <c r="A1052" s="14">
        <f>IF(OR(NOT(ISNUMBER(Ввод!$B$5)),NOT(ISNUMBER(Ввод!$B$6))),"",IF(Ввод!$B$5+1050&gt;Ввод!$B$6,"",Ввод!$B$5+1050))</f>
        <v/>
      </c>
      <c r="B1052">
        <f>IF(A1052="","",IFERROR(INDEX(Ввод!$B$12:$B$71,MATCH(A1052,Ввод!$D$12:$D$71,1)),""))</f>
        <v/>
      </c>
      <c r="C1052">
        <f>IF(A1052="","",DATE(YEAR(A1052),12,31)-DATE(YEAR(A1052),1,1)+1)</f>
        <v/>
      </c>
      <c r="D1052">
        <f>IF(A1052="","",Ввод!$B$4-SUMIF(Оплаты!$A$6:$A$505,"&lt;"&amp;A1052,Оплаты!$B$6:$B$505))</f>
        <v/>
      </c>
      <c r="E1052">
        <f>IF(A1052="","",IF(SUMPRODUCT((Ввод!$F$12:$F$31&lt;&gt;"")*(Ввод!$F$12:$F$31&lt;=A1052)*(Ввод!$G$12:$G$31&gt;=A1052))&gt;0,1,0))</f>
        <v/>
      </c>
      <c r="F1052">
        <f>IF(OR(A1052="",B1052=""),"",IF(E1052=1,0,D1052*B1052/100/C1052))</f>
        <v/>
      </c>
      <c r="G1052">
        <f>IF(A1052="","",IF(OR(B1052&lt;&gt;B1051,C1052&lt;&gt;C1051,D1052&lt;&gt;D1051,E1052&lt;&gt;E1051),G1051+1,G1051))</f>
        <v/>
      </c>
    </row>
    <row r="1053">
      <c r="A1053" s="14">
        <f>IF(OR(NOT(ISNUMBER(Ввод!$B$5)),NOT(ISNUMBER(Ввод!$B$6))),"",IF(Ввод!$B$5+1051&gt;Ввод!$B$6,"",Ввод!$B$5+1051))</f>
        <v/>
      </c>
      <c r="B1053">
        <f>IF(A1053="","",IFERROR(INDEX(Ввод!$B$12:$B$71,MATCH(A1053,Ввод!$D$12:$D$71,1)),""))</f>
        <v/>
      </c>
      <c r="C1053">
        <f>IF(A1053="","",DATE(YEAR(A1053),12,31)-DATE(YEAR(A1053),1,1)+1)</f>
        <v/>
      </c>
      <c r="D1053">
        <f>IF(A1053="","",Ввод!$B$4-SUMIF(Оплаты!$A$6:$A$505,"&lt;"&amp;A1053,Оплаты!$B$6:$B$505))</f>
        <v/>
      </c>
      <c r="E1053">
        <f>IF(A1053="","",IF(SUMPRODUCT((Ввод!$F$12:$F$31&lt;&gt;"")*(Ввод!$F$12:$F$31&lt;=A1053)*(Ввод!$G$12:$G$31&gt;=A1053))&gt;0,1,0))</f>
        <v/>
      </c>
      <c r="F1053">
        <f>IF(OR(A1053="",B1053=""),"",IF(E1053=1,0,D1053*B1053/100/C1053))</f>
        <v/>
      </c>
      <c r="G1053">
        <f>IF(A1053="","",IF(OR(B1053&lt;&gt;B1052,C1053&lt;&gt;C1052,D1053&lt;&gt;D1052,E1053&lt;&gt;E1052),G1052+1,G1052))</f>
        <v/>
      </c>
    </row>
    <row r="1054">
      <c r="A1054" s="14">
        <f>IF(OR(NOT(ISNUMBER(Ввод!$B$5)),NOT(ISNUMBER(Ввод!$B$6))),"",IF(Ввод!$B$5+1052&gt;Ввод!$B$6,"",Ввод!$B$5+1052))</f>
        <v/>
      </c>
      <c r="B1054">
        <f>IF(A1054="","",IFERROR(INDEX(Ввод!$B$12:$B$71,MATCH(A1054,Ввод!$D$12:$D$71,1)),""))</f>
        <v/>
      </c>
      <c r="C1054">
        <f>IF(A1054="","",DATE(YEAR(A1054),12,31)-DATE(YEAR(A1054),1,1)+1)</f>
        <v/>
      </c>
      <c r="D1054">
        <f>IF(A1054="","",Ввод!$B$4-SUMIF(Оплаты!$A$6:$A$505,"&lt;"&amp;A1054,Оплаты!$B$6:$B$505))</f>
        <v/>
      </c>
      <c r="E1054">
        <f>IF(A1054="","",IF(SUMPRODUCT((Ввод!$F$12:$F$31&lt;&gt;"")*(Ввод!$F$12:$F$31&lt;=A1054)*(Ввод!$G$12:$G$31&gt;=A1054))&gt;0,1,0))</f>
        <v/>
      </c>
      <c r="F1054">
        <f>IF(OR(A1054="",B1054=""),"",IF(E1054=1,0,D1054*B1054/100/C1054))</f>
        <v/>
      </c>
      <c r="G1054">
        <f>IF(A1054="","",IF(OR(B1054&lt;&gt;B1053,C1054&lt;&gt;C1053,D1054&lt;&gt;D1053,E1054&lt;&gt;E1053),G1053+1,G1053))</f>
        <v/>
      </c>
    </row>
    <row r="1055">
      <c r="A1055" s="14">
        <f>IF(OR(NOT(ISNUMBER(Ввод!$B$5)),NOT(ISNUMBER(Ввод!$B$6))),"",IF(Ввод!$B$5+1053&gt;Ввод!$B$6,"",Ввод!$B$5+1053))</f>
        <v/>
      </c>
      <c r="B1055">
        <f>IF(A1055="","",IFERROR(INDEX(Ввод!$B$12:$B$71,MATCH(A1055,Ввод!$D$12:$D$71,1)),""))</f>
        <v/>
      </c>
      <c r="C1055">
        <f>IF(A1055="","",DATE(YEAR(A1055),12,31)-DATE(YEAR(A1055),1,1)+1)</f>
        <v/>
      </c>
      <c r="D1055">
        <f>IF(A1055="","",Ввод!$B$4-SUMIF(Оплаты!$A$6:$A$505,"&lt;"&amp;A1055,Оплаты!$B$6:$B$505))</f>
        <v/>
      </c>
      <c r="E1055">
        <f>IF(A1055="","",IF(SUMPRODUCT((Ввод!$F$12:$F$31&lt;&gt;"")*(Ввод!$F$12:$F$31&lt;=A1055)*(Ввод!$G$12:$G$31&gt;=A1055))&gt;0,1,0))</f>
        <v/>
      </c>
      <c r="F1055">
        <f>IF(OR(A1055="",B1055=""),"",IF(E1055=1,0,D1055*B1055/100/C1055))</f>
        <v/>
      </c>
      <c r="G1055">
        <f>IF(A1055="","",IF(OR(B1055&lt;&gt;B1054,C1055&lt;&gt;C1054,D1055&lt;&gt;D1054,E1055&lt;&gt;E1054),G1054+1,G1054))</f>
        <v/>
      </c>
    </row>
    <row r="1056">
      <c r="A1056" s="14">
        <f>IF(OR(NOT(ISNUMBER(Ввод!$B$5)),NOT(ISNUMBER(Ввод!$B$6))),"",IF(Ввод!$B$5+1054&gt;Ввод!$B$6,"",Ввод!$B$5+1054))</f>
        <v/>
      </c>
      <c r="B1056">
        <f>IF(A1056="","",IFERROR(INDEX(Ввод!$B$12:$B$71,MATCH(A1056,Ввод!$D$12:$D$71,1)),""))</f>
        <v/>
      </c>
      <c r="C1056">
        <f>IF(A1056="","",DATE(YEAR(A1056),12,31)-DATE(YEAR(A1056),1,1)+1)</f>
        <v/>
      </c>
      <c r="D1056">
        <f>IF(A1056="","",Ввод!$B$4-SUMIF(Оплаты!$A$6:$A$505,"&lt;"&amp;A1056,Оплаты!$B$6:$B$505))</f>
        <v/>
      </c>
      <c r="E1056">
        <f>IF(A1056="","",IF(SUMPRODUCT((Ввод!$F$12:$F$31&lt;&gt;"")*(Ввод!$F$12:$F$31&lt;=A1056)*(Ввод!$G$12:$G$31&gt;=A1056))&gt;0,1,0))</f>
        <v/>
      </c>
      <c r="F1056">
        <f>IF(OR(A1056="",B1056=""),"",IF(E1056=1,0,D1056*B1056/100/C1056))</f>
        <v/>
      </c>
      <c r="G1056">
        <f>IF(A1056="","",IF(OR(B1056&lt;&gt;B1055,C1056&lt;&gt;C1055,D1056&lt;&gt;D1055,E1056&lt;&gt;E1055),G1055+1,G1055))</f>
        <v/>
      </c>
    </row>
    <row r="1057">
      <c r="A1057" s="14">
        <f>IF(OR(NOT(ISNUMBER(Ввод!$B$5)),NOT(ISNUMBER(Ввод!$B$6))),"",IF(Ввод!$B$5+1055&gt;Ввод!$B$6,"",Ввод!$B$5+1055))</f>
        <v/>
      </c>
      <c r="B1057">
        <f>IF(A1057="","",IFERROR(INDEX(Ввод!$B$12:$B$71,MATCH(A1057,Ввод!$D$12:$D$71,1)),""))</f>
        <v/>
      </c>
      <c r="C1057">
        <f>IF(A1057="","",DATE(YEAR(A1057),12,31)-DATE(YEAR(A1057),1,1)+1)</f>
        <v/>
      </c>
      <c r="D1057">
        <f>IF(A1057="","",Ввод!$B$4-SUMIF(Оплаты!$A$6:$A$505,"&lt;"&amp;A1057,Оплаты!$B$6:$B$505))</f>
        <v/>
      </c>
      <c r="E1057">
        <f>IF(A1057="","",IF(SUMPRODUCT((Ввод!$F$12:$F$31&lt;&gt;"")*(Ввод!$F$12:$F$31&lt;=A1057)*(Ввод!$G$12:$G$31&gt;=A1057))&gt;0,1,0))</f>
        <v/>
      </c>
      <c r="F1057">
        <f>IF(OR(A1057="",B1057=""),"",IF(E1057=1,0,D1057*B1057/100/C1057))</f>
        <v/>
      </c>
      <c r="G1057">
        <f>IF(A1057="","",IF(OR(B1057&lt;&gt;B1056,C1057&lt;&gt;C1056,D1057&lt;&gt;D1056,E1057&lt;&gt;E1056),G1056+1,G1056))</f>
        <v/>
      </c>
    </row>
    <row r="1058">
      <c r="A1058" s="14">
        <f>IF(OR(NOT(ISNUMBER(Ввод!$B$5)),NOT(ISNUMBER(Ввод!$B$6))),"",IF(Ввод!$B$5+1056&gt;Ввод!$B$6,"",Ввод!$B$5+1056))</f>
        <v/>
      </c>
      <c r="B1058">
        <f>IF(A1058="","",IFERROR(INDEX(Ввод!$B$12:$B$71,MATCH(A1058,Ввод!$D$12:$D$71,1)),""))</f>
        <v/>
      </c>
      <c r="C1058">
        <f>IF(A1058="","",DATE(YEAR(A1058),12,31)-DATE(YEAR(A1058),1,1)+1)</f>
        <v/>
      </c>
      <c r="D1058">
        <f>IF(A1058="","",Ввод!$B$4-SUMIF(Оплаты!$A$6:$A$505,"&lt;"&amp;A1058,Оплаты!$B$6:$B$505))</f>
        <v/>
      </c>
      <c r="E1058">
        <f>IF(A1058="","",IF(SUMPRODUCT((Ввод!$F$12:$F$31&lt;&gt;"")*(Ввод!$F$12:$F$31&lt;=A1058)*(Ввод!$G$12:$G$31&gt;=A1058))&gt;0,1,0))</f>
        <v/>
      </c>
      <c r="F1058">
        <f>IF(OR(A1058="",B1058=""),"",IF(E1058=1,0,D1058*B1058/100/C1058))</f>
        <v/>
      </c>
      <c r="G1058">
        <f>IF(A1058="","",IF(OR(B1058&lt;&gt;B1057,C1058&lt;&gt;C1057,D1058&lt;&gt;D1057,E1058&lt;&gt;E1057),G1057+1,G1057))</f>
        <v/>
      </c>
    </row>
    <row r="1059">
      <c r="A1059" s="14">
        <f>IF(OR(NOT(ISNUMBER(Ввод!$B$5)),NOT(ISNUMBER(Ввод!$B$6))),"",IF(Ввод!$B$5+1057&gt;Ввод!$B$6,"",Ввод!$B$5+1057))</f>
        <v/>
      </c>
      <c r="B1059">
        <f>IF(A1059="","",IFERROR(INDEX(Ввод!$B$12:$B$71,MATCH(A1059,Ввод!$D$12:$D$71,1)),""))</f>
        <v/>
      </c>
      <c r="C1059">
        <f>IF(A1059="","",DATE(YEAR(A1059),12,31)-DATE(YEAR(A1059),1,1)+1)</f>
        <v/>
      </c>
      <c r="D1059">
        <f>IF(A1059="","",Ввод!$B$4-SUMIF(Оплаты!$A$6:$A$505,"&lt;"&amp;A1059,Оплаты!$B$6:$B$505))</f>
        <v/>
      </c>
      <c r="E1059">
        <f>IF(A1059="","",IF(SUMPRODUCT((Ввод!$F$12:$F$31&lt;&gt;"")*(Ввод!$F$12:$F$31&lt;=A1059)*(Ввод!$G$12:$G$31&gt;=A1059))&gt;0,1,0))</f>
        <v/>
      </c>
      <c r="F1059">
        <f>IF(OR(A1059="",B1059=""),"",IF(E1059=1,0,D1059*B1059/100/C1059))</f>
        <v/>
      </c>
      <c r="G1059">
        <f>IF(A1059="","",IF(OR(B1059&lt;&gt;B1058,C1059&lt;&gt;C1058,D1059&lt;&gt;D1058,E1059&lt;&gt;E1058),G1058+1,G1058))</f>
        <v/>
      </c>
    </row>
    <row r="1060">
      <c r="A1060" s="14">
        <f>IF(OR(NOT(ISNUMBER(Ввод!$B$5)),NOT(ISNUMBER(Ввод!$B$6))),"",IF(Ввод!$B$5+1058&gt;Ввод!$B$6,"",Ввод!$B$5+1058))</f>
        <v/>
      </c>
      <c r="B1060">
        <f>IF(A1060="","",IFERROR(INDEX(Ввод!$B$12:$B$71,MATCH(A1060,Ввод!$D$12:$D$71,1)),""))</f>
        <v/>
      </c>
      <c r="C1060">
        <f>IF(A1060="","",DATE(YEAR(A1060),12,31)-DATE(YEAR(A1060),1,1)+1)</f>
        <v/>
      </c>
      <c r="D1060">
        <f>IF(A1060="","",Ввод!$B$4-SUMIF(Оплаты!$A$6:$A$505,"&lt;"&amp;A1060,Оплаты!$B$6:$B$505))</f>
        <v/>
      </c>
      <c r="E1060">
        <f>IF(A1060="","",IF(SUMPRODUCT((Ввод!$F$12:$F$31&lt;&gt;"")*(Ввод!$F$12:$F$31&lt;=A1060)*(Ввод!$G$12:$G$31&gt;=A1060))&gt;0,1,0))</f>
        <v/>
      </c>
      <c r="F1060">
        <f>IF(OR(A1060="",B1060=""),"",IF(E1060=1,0,D1060*B1060/100/C1060))</f>
        <v/>
      </c>
      <c r="G1060">
        <f>IF(A1060="","",IF(OR(B1060&lt;&gt;B1059,C1060&lt;&gt;C1059,D1060&lt;&gt;D1059,E1060&lt;&gt;E1059),G1059+1,G1059))</f>
        <v/>
      </c>
    </row>
    <row r="1061">
      <c r="A1061" s="14">
        <f>IF(OR(NOT(ISNUMBER(Ввод!$B$5)),NOT(ISNUMBER(Ввод!$B$6))),"",IF(Ввод!$B$5+1059&gt;Ввод!$B$6,"",Ввод!$B$5+1059))</f>
        <v/>
      </c>
      <c r="B1061">
        <f>IF(A1061="","",IFERROR(INDEX(Ввод!$B$12:$B$71,MATCH(A1061,Ввод!$D$12:$D$71,1)),""))</f>
        <v/>
      </c>
      <c r="C1061">
        <f>IF(A1061="","",DATE(YEAR(A1061),12,31)-DATE(YEAR(A1061),1,1)+1)</f>
        <v/>
      </c>
      <c r="D1061">
        <f>IF(A1061="","",Ввод!$B$4-SUMIF(Оплаты!$A$6:$A$505,"&lt;"&amp;A1061,Оплаты!$B$6:$B$505))</f>
        <v/>
      </c>
      <c r="E1061">
        <f>IF(A1061="","",IF(SUMPRODUCT((Ввод!$F$12:$F$31&lt;&gt;"")*(Ввод!$F$12:$F$31&lt;=A1061)*(Ввод!$G$12:$G$31&gt;=A1061))&gt;0,1,0))</f>
        <v/>
      </c>
      <c r="F1061">
        <f>IF(OR(A1061="",B1061=""),"",IF(E1061=1,0,D1061*B1061/100/C1061))</f>
        <v/>
      </c>
      <c r="G1061">
        <f>IF(A1061="","",IF(OR(B1061&lt;&gt;B1060,C1061&lt;&gt;C1060,D1061&lt;&gt;D1060,E1061&lt;&gt;E1060),G1060+1,G1060))</f>
        <v/>
      </c>
    </row>
    <row r="1062">
      <c r="A1062" s="14">
        <f>IF(OR(NOT(ISNUMBER(Ввод!$B$5)),NOT(ISNUMBER(Ввод!$B$6))),"",IF(Ввод!$B$5+1060&gt;Ввод!$B$6,"",Ввод!$B$5+1060))</f>
        <v/>
      </c>
      <c r="B1062">
        <f>IF(A1062="","",IFERROR(INDEX(Ввод!$B$12:$B$71,MATCH(A1062,Ввод!$D$12:$D$71,1)),""))</f>
        <v/>
      </c>
      <c r="C1062">
        <f>IF(A1062="","",DATE(YEAR(A1062),12,31)-DATE(YEAR(A1062),1,1)+1)</f>
        <v/>
      </c>
      <c r="D1062">
        <f>IF(A1062="","",Ввод!$B$4-SUMIF(Оплаты!$A$6:$A$505,"&lt;"&amp;A1062,Оплаты!$B$6:$B$505))</f>
        <v/>
      </c>
      <c r="E1062">
        <f>IF(A1062="","",IF(SUMPRODUCT((Ввод!$F$12:$F$31&lt;&gt;"")*(Ввод!$F$12:$F$31&lt;=A1062)*(Ввод!$G$12:$G$31&gt;=A1062))&gt;0,1,0))</f>
        <v/>
      </c>
      <c r="F1062">
        <f>IF(OR(A1062="",B1062=""),"",IF(E1062=1,0,D1062*B1062/100/C1062))</f>
        <v/>
      </c>
      <c r="G1062">
        <f>IF(A1062="","",IF(OR(B1062&lt;&gt;B1061,C1062&lt;&gt;C1061,D1062&lt;&gt;D1061,E1062&lt;&gt;E1061),G1061+1,G1061))</f>
        <v/>
      </c>
    </row>
    <row r="1063">
      <c r="A1063" s="14">
        <f>IF(OR(NOT(ISNUMBER(Ввод!$B$5)),NOT(ISNUMBER(Ввод!$B$6))),"",IF(Ввод!$B$5+1061&gt;Ввод!$B$6,"",Ввод!$B$5+1061))</f>
        <v/>
      </c>
      <c r="B1063">
        <f>IF(A1063="","",IFERROR(INDEX(Ввод!$B$12:$B$71,MATCH(A1063,Ввод!$D$12:$D$71,1)),""))</f>
        <v/>
      </c>
      <c r="C1063">
        <f>IF(A1063="","",DATE(YEAR(A1063),12,31)-DATE(YEAR(A1063),1,1)+1)</f>
        <v/>
      </c>
      <c r="D1063">
        <f>IF(A1063="","",Ввод!$B$4-SUMIF(Оплаты!$A$6:$A$505,"&lt;"&amp;A1063,Оплаты!$B$6:$B$505))</f>
        <v/>
      </c>
      <c r="E1063">
        <f>IF(A1063="","",IF(SUMPRODUCT((Ввод!$F$12:$F$31&lt;&gt;"")*(Ввод!$F$12:$F$31&lt;=A1063)*(Ввод!$G$12:$G$31&gt;=A1063))&gt;0,1,0))</f>
        <v/>
      </c>
      <c r="F1063">
        <f>IF(OR(A1063="",B1063=""),"",IF(E1063=1,0,D1063*B1063/100/C1063))</f>
        <v/>
      </c>
      <c r="G1063">
        <f>IF(A1063="","",IF(OR(B1063&lt;&gt;B1062,C1063&lt;&gt;C1062,D1063&lt;&gt;D1062,E1063&lt;&gt;E1062),G1062+1,G1062))</f>
        <v/>
      </c>
    </row>
    <row r="1064">
      <c r="A1064" s="14">
        <f>IF(OR(NOT(ISNUMBER(Ввод!$B$5)),NOT(ISNUMBER(Ввод!$B$6))),"",IF(Ввод!$B$5+1062&gt;Ввод!$B$6,"",Ввод!$B$5+1062))</f>
        <v/>
      </c>
      <c r="B1064">
        <f>IF(A1064="","",IFERROR(INDEX(Ввод!$B$12:$B$71,MATCH(A1064,Ввод!$D$12:$D$71,1)),""))</f>
        <v/>
      </c>
      <c r="C1064">
        <f>IF(A1064="","",DATE(YEAR(A1064),12,31)-DATE(YEAR(A1064),1,1)+1)</f>
        <v/>
      </c>
      <c r="D1064">
        <f>IF(A1064="","",Ввод!$B$4-SUMIF(Оплаты!$A$6:$A$505,"&lt;"&amp;A1064,Оплаты!$B$6:$B$505))</f>
        <v/>
      </c>
      <c r="E1064">
        <f>IF(A1064="","",IF(SUMPRODUCT((Ввод!$F$12:$F$31&lt;&gt;"")*(Ввод!$F$12:$F$31&lt;=A1064)*(Ввод!$G$12:$G$31&gt;=A1064))&gt;0,1,0))</f>
        <v/>
      </c>
      <c r="F1064">
        <f>IF(OR(A1064="",B1064=""),"",IF(E1064=1,0,D1064*B1064/100/C1064))</f>
        <v/>
      </c>
      <c r="G1064">
        <f>IF(A1064="","",IF(OR(B1064&lt;&gt;B1063,C1064&lt;&gt;C1063,D1064&lt;&gt;D1063,E1064&lt;&gt;E1063),G1063+1,G1063))</f>
        <v/>
      </c>
    </row>
    <row r="1065">
      <c r="A1065" s="14">
        <f>IF(OR(NOT(ISNUMBER(Ввод!$B$5)),NOT(ISNUMBER(Ввод!$B$6))),"",IF(Ввод!$B$5+1063&gt;Ввод!$B$6,"",Ввод!$B$5+1063))</f>
        <v/>
      </c>
      <c r="B1065">
        <f>IF(A1065="","",IFERROR(INDEX(Ввод!$B$12:$B$71,MATCH(A1065,Ввод!$D$12:$D$71,1)),""))</f>
        <v/>
      </c>
      <c r="C1065">
        <f>IF(A1065="","",DATE(YEAR(A1065),12,31)-DATE(YEAR(A1065),1,1)+1)</f>
        <v/>
      </c>
      <c r="D1065">
        <f>IF(A1065="","",Ввод!$B$4-SUMIF(Оплаты!$A$6:$A$505,"&lt;"&amp;A1065,Оплаты!$B$6:$B$505))</f>
        <v/>
      </c>
      <c r="E1065">
        <f>IF(A1065="","",IF(SUMPRODUCT((Ввод!$F$12:$F$31&lt;&gt;"")*(Ввод!$F$12:$F$31&lt;=A1065)*(Ввод!$G$12:$G$31&gt;=A1065))&gt;0,1,0))</f>
        <v/>
      </c>
      <c r="F1065">
        <f>IF(OR(A1065="",B1065=""),"",IF(E1065=1,0,D1065*B1065/100/C1065))</f>
        <v/>
      </c>
      <c r="G1065">
        <f>IF(A1065="","",IF(OR(B1065&lt;&gt;B1064,C1065&lt;&gt;C1064,D1065&lt;&gt;D1064,E1065&lt;&gt;E1064),G1064+1,G1064))</f>
        <v/>
      </c>
    </row>
    <row r="1066">
      <c r="A1066" s="14">
        <f>IF(OR(NOT(ISNUMBER(Ввод!$B$5)),NOT(ISNUMBER(Ввод!$B$6))),"",IF(Ввод!$B$5+1064&gt;Ввод!$B$6,"",Ввод!$B$5+1064))</f>
        <v/>
      </c>
      <c r="B1066">
        <f>IF(A1066="","",IFERROR(INDEX(Ввод!$B$12:$B$71,MATCH(A1066,Ввод!$D$12:$D$71,1)),""))</f>
        <v/>
      </c>
      <c r="C1066">
        <f>IF(A1066="","",DATE(YEAR(A1066),12,31)-DATE(YEAR(A1066),1,1)+1)</f>
        <v/>
      </c>
      <c r="D1066">
        <f>IF(A1066="","",Ввод!$B$4-SUMIF(Оплаты!$A$6:$A$505,"&lt;"&amp;A1066,Оплаты!$B$6:$B$505))</f>
        <v/>
      </c>
      <c r="E1066">
        <f>IF(A1066="","",IF(SUMPRODUCT((Ввод!$F$12:$F$31&lt;&gt;"")*(Ввод!$F$12:$F$31&lt;=A1066)*(Ввод!$G$12:$G$31&gt;=A1066))&gt;0,1,0))</f>
        <v/>
      </c>
      <c r="F1066">
        <f>IF(OR(A1066="",B1066=""),"",IF(E1066=1,0,D1066*B1066/100/C1066))</f>
        <v/>
      </c>
      <c r="G1066">
        <f>IF(A1066="","",IF(OR(B1066&lt;&gt;B1065,C1066&lt;&gt;C1065,D1066&lt;&gt;D1065,E1066&lt;&gt;E1065),G1065+1,G1065))</f>
        <v/>
      </c>
    </row>
    <row r="1067">
      <c r="A1067" s="14">
        <f>IF(OR(NOT(ISNUMBER(Ввод!$B$5)),NOT(ISNUMBER(Ввод!$B$6))),"",IF(Ввод!$B$5+1065&gt;Ввод!$B$6,"",Ввод!$B$5+1065))</f>
        <v/>
      </c>
      <c r="B1067">
        <f>IF(A1067="","",IFERROR(INDEX(Ввод!$B$12:$B$71,MATCH(A1067,Ввод!$D$12:$D$71,1)),""))</f>
        <v/>
      </c>
      <c r="C1067">
        <f>IF(A1067="","",DATE(YEAR(A1067),12,31)-DATE(YEAR(A1067),1,1)+1)</f>
        <v/>
      </c>
      <c r="D1067">
        <f>IF(A1067="","",Ввод!$B$4-SUMIF(Оплаты!$A$6:$A$505,"&lt;"&amp;A1067,Оплаты!$B$6:$B$505))</f>
        <v/>
      </c>
      <c r="E1067">
        <f>IF(A1067="","",IF(SUMPRODUCT((Ввод!$F$12:$F$31&lt;&gt;"")*(Ввод!$F$12:$F$31&lt;=A1067)*(Ввод!$G$12:$G$31&gt;=A1067))&gt;0,1,0))</f>
        <v/>
      </c>
      <c r="F1067">
        <f>IF(OR(A1067="",B1067=""),"",IF(E1067=1,0,D1067*B1067/100/C1067))</f>
        <v/>
      </c>
      <c r="G1067">
        <f>IF(A1067="","",IF(OR(B1067&lt;&gt;B1066,C1067&lt;&gt;C1066,D1067&lt;&gt;D1066,E1067&lt;&gt;E1066),G1066+1,G1066))</f>
        <v/>
      </c>
    </row>
    <row r="1068">
      <c r="A1068" s="14">
        <f>IF(OR(NOT(ISNUMBER(Ввод!$B$5)),NOT(ISNUMBER(Ввод!$B$6))),"",IF(Ввод!$B$5+1066&gt;Ввод!$B$6,"",Ввод!$B$5+1066))</f>
        <v/>
      </c>
      <c r="B1068">
        <f>IF(A1068="","",IFERROR(INDEX(Ввод!$B$12:$B$71,MATCH(A1068,Ввод!$D$12:$D$71,1)),""))</f>
        <v/>
      </c>
      <c r="C1068">
        <f>IF(A1068="","",DATE(YEAR(A1068),12,31)-DATE(YEAR(A1068),1,1)+1)</f>
        <v/>
      </c>
      <c r="D1068">
        <f>IF(A1068="","",Ввод!$B$4-SUMIF(Оплаты!$A$6:$A$505,"&lt;"&amp;A1068,Оплаты!$B$6:$B$505))</f>
        <v/>
      </c>
      <c r="E1068">
        <f>IF(A1068="","",IF(SUMPRODUCT((Ввод!$F$12:$F$31&lt;&gt;"")*(Ввод!$F$12:$F$31&lt;=A1068)*(Ввод!$G$12:$G$31&gt;=A1068))&gt;0,1,0))</f>
        <v/>
      </c>
      <c r="F1068">
        <f>IF(OR(A1068="",B1068=""),"",IF(E1068=1,0,D1068*B1068/100/C1068))</f>
        <v/>
      </c>
      <c r="G1068">
        <f>IF(A1068="","",IF(OR(B1068&lt;&gt;B1067,C1068&lt;&gt;C1067,D1068&lt;&gt;D1067,E1068&lt;&gt;E1067),G1067+1,G1067))</f>
        <v/>
      </c>
    </row>
    <row r="1069">
      <c r="A1069" s="14">
        <f>IF(OR(NOT(ISNUMBER(Ввод!$B$5)),NOT(ISNUMBER(Ввод!$B$6))),"",IF(Ввод!$B$5+1067&gt;Ввод!$B$6,"",Ввод!$B$5+1067))</f>
        <v/>
      </c>
      <c r="B1069">
        <f>IF(A1069="","",IFERROR(INDEX(Ввод!$B$12:$B$71,MATCH(A1069,Ввод!$D$12:$D$71,1)),""))</f>
        <v/>
      </c>
      <c r="C1069">
        <f>IF(A1069="","",DATE(YEAR(A1069),12,31)-DATE(YEAR(A1069),1,1)+1)</f>
        <v/>
      </c>
      <c r="D1069">
        <f>IF(A1069="","",Ввод!$B$4-SUMIF(Оплаты!$A$6:$A$505,"&lt;"&amp;A1069,Оплаты!$B$6:$B$505))</f>
        <v/>
      </c>
      <c r="E1069">
        <f>IF(A1069="","",IF(SUMPRODUCT((Ввод!$F$12:$F$31&lt;&gt;"")*(Ввод!$F$12:$F$31&lt;=A1069)*(Ввод!$G$12:$G$31&gt;=A1069))&gt;0,1,0))</f>
        <v/>
      </c>
      <c r="F1069">
        <f>IF(OR(A1069="",B1069=""),"",IF(E1069=1,0,D1069*B1069/100/C1069))</f>
        <v/>
      </c>
      <c r="G1069">
        <f>IF(A1069="","",IF(OR(B1069&lt;&gt;B1068,C1069&lt;&gt;C1068,D1069&lt;&gt;D1068,E1069&lt;&gt;E1068),G1068+1,G1068))</f>
        <v/>
      </c>
    </row>
    <row r="1070">
      <c r="A1070" s="14">
        <f>IF(OR(NOT(ISNUMBER(Ввод!$B$5)),NOT(ISNUMBER(Ввод!$B$6))),"",IF(Ввод!$B$5+1068&gt;Ввод!$B$6,"",Ввод!$B$5+1068))</f>
        <v/>
      </c>
      <c r="B1070">
        <f>IF(A1070="","",IFERROR(INDEX(Ввод!$B$12:$B$71,MATCH(A1070,Ввод!$D$12:$D$71,1)),""))</f>
        <v/>
      </c>
      <c r="C1070">
        <f>IF(A1070="","",DATE(YEAR(A1070),12,31)-DATE(YEAR(A1070),1,1)+1)</f>
        <v/>
      </c>
      <c r="D1070">
        <f>IF(A1070="","",Ввод!$B$4-SUMIF(Оплаты!$A$6:$A$505,"&lt;"&amp;A1070,Оплаты!$B$6:$B$505))</f>
        <v/>
      </c>
      <c r="E1070">
        <f>IF(A1070="","",IF(SUMPRODUCT((Ввод!$F$12:$F$31&lt;&gt;"")*(Ввод!$F$12:$F$31&lt;=A1070)*(Ввод!$G$12:$G$31&gt;=A1070))&gt;0,1,0))</f>
        <v/>
      </c>
      <c r="F1070">
        <f>IF(OR(A1070="",B1070=""),"",IF(E1070=1,0,D1070*B1070/100/C1070))</f>
        <v/>
      </c>
      <c r="G1070">
        <f>IF(A1070="","",IF(OR(B1070&lt;&gt;B1069,C1070&lt;&gt;C1069,D1070&lt;&gt;D1069,E1070&lt;&gt;E1069),G1069+1,G1069))</f>
        <v/>
      </c>
    </row>
    <row r="1071">
      <c r="A1071" s="14">
        <f>IF(OR(NOT(ISNUMBER(Ввод!$B$5)),NOT(ISNUMBER(Ввод!$B$6))),"",IF(Ввод!$B$5+1069&gt;Ввод!$B$6,"",Ввод!$B$5+1069))</f>
        <v/>
      </c>
      <c r="B1071">
        <f>IF(A1071="","",IFERROR(INDEX(Ввод!$B$12:$B$71,MATCH(A1071,Ввод!$D$12:$D$71,1)),""))</f>
        <v/>
      </c>
      <c r="C1071">
        <f>IF(A1071="","",DATE(YEAR(A1071),12,31)-DATE(YEAR(A1071),1,1)+1)</f>
        <v/>
      </c>
      <c r="D1071">
        <f>IF(A1071="","",Ввод!$B$4-SUMIF(Оплаты!$A$6:$A$505,"&lt;"&amp;A1071,Оплаты!$B$6:$B$505))</f>
        <v/>
      </c>
      <c r="E1071">
        <f>IF(A1071="","",IF(SUMPRODUCT((Ввод!$F$12:$F$31&lt;&gt;"")*(Ввод!$F$12:$F$31&lt;=A1071)*(Ввод!$G$12:$G$31&gt;=A1071))&gt;0,1,0))</f>
        <v/>
      </c>
      <c r="F1071">
        <f>IF(OR(A1071="",B1071=""),"",IF(E1071=1,0,D1071*B1071/100/C1071))</f>
        <v/>
      </c>
      <c r="G1071">
        <f>IF(A1071="","",IF(OR(B1071&lt;&gt;B1070,C1071&lt;&gt;C1070,D1071&lt;&gt;D1070,E1071&lt;&gt;E1070),G1070+1,G1070))</f>
        <v/>
      </c>
    </row>
    <row r="1072">
      <c r="A1072" s="14">
        <f>IF(OR(NOT(ISNUMBER(Ввод!$B$5)),NOT(ISNUMBER(Ввод!$B$6))),"",IF(Ввод!$B$5+1070&gt;Ввод!$B$6,"",Ввод!$B$5+1070))</f>
        <v/>
      </c>
      <c r="B1072">
        <f>IF(A1072="","",IFERROR(INDEX(Ввод!$B$12:$B$71,MATCH(A1072,Ввод!$D$12:$D$71,1)),""))</f>
        <v/>
      </c>
      <c r="C1072">
        <f>IF(A1072="","",DATE(YEAR(A1072),12,31)-DATE(YEAR(A1072),1,1)+1)</f>
        <v/>
      </c>
      <c r="D1072">
        <f>IF(A1072="","",Ввод!$B$4-SUMIF(Оплаты!$A$6:$A$505,"&lt;"&amp;A1072,Оплаты!$B$6:$B$505))</f>
        <v/>
      </c>
      <c r="E1072">
        <f>IF(A1072="","",IF(SUMPRODUCT((Ввод!$F$12:$F$31&lt;&gt;"")*(Ввод!$F$12:$F$31&lt;=A1072)*(Ввод!$G$12:$G$31&gt;=A1072))&gt;0,1,0))</f>
        <v/>
      </c>
      <c r="F1072">
        <f>IF(OR(A1072="",B1072=""),"",IF(E1072=1,0,D1072*B1072/100/C1072))</f>
        <v/>
      </c>
      <c r="G1072">
        <f>IF(A1072="","",IF(OR(B1072&lt;&gt;B1071,C1072&lt;&gt;C1071,D1072&lt;&gt;D1071,E1072&lt;&gt;E1071),G1071+1,G1071))</f>
        <v/>
      </c>
    </row>
    <row r="1073">
      <c r="A1073" s="14">
        <f>IF(OR(NOT(ISNUMBER(Ввод!$B$5)),NOT(ISNUMBER(Ввод!$B$6))),"",IF(Ввод!$B$5+1071&gt;Ввод!$B$6,"",Ввод!$B$5+1071))</f>
        <v/>
      </c>
      <c r="B1073">
        <f>IF(A1073="","",IFERROR(INDEX(Ввод!$B$12:$B$71,MATCH(A1073,Ввод!$D$12:$D$71,1)),""))</f>
        <v/>
      </c>
      <c r="C1073">
        <f>IF(A1073="","",DATE(YEAR(A1073),12,31)-DATE(YEAR(A1073),1,1)+1)</f>
        <v/>
      </c>
      <c r="D1073">
        <f>IF(A1073="","",Ввод!$B$4-SUMIF(Оплаты!$A$6:$A$505,"&lt;"&amp;A1073,Оплаты!$B$6:$B$505))</f>
        <v/>
      </c>
      <c r="E1073">
        <f>IF(A1073="","",IF(SUMPRODUCT((Ввод!$F$12:$F$31&lt;&gt;"")*(Ввод!$F$12:$F$31&lt;=A1073)*(Ввод!$G$12:$G$31&gt;=A1073))&gt;0,1,0))</f>
        <v/>
      </c>
      <c r="F1073">
        <f>IF(OR(A1073="",B1073=""),"",IF(E1073=1,0,D1073*B1073/100/C1073))</f>
        <v/>
      </c>
      <c r="G1073">
        <f>IF(A1073="","",IF(OR(B1073&lt;&gt;B1072,C1073&lt;&gt;C1072,D1073&lt;&gt;D1072,E1073&lt;&gt;E1072),G1072+1,G1072))</f>
        <v/>
      </c>
    </row>
    <row r="1074">
      <c r="A1074" s="14">
        <f>IF(OR(NOT(ISNUMBER(Ввод!$B$5)),NOT(ISNUMBER(Ввод!$B$6))),"",IF(Ввод!$B$5+1072&gt;Ввод!$B$6,"",Ввод!$B$5+1072))</f>
        <v/>
      </c>
      <c r="B1074">
        <f>IF(A1074="","",IFERROR(INDEX(Ввод!$B$12:$B$71,MATCH(A1074,Ввод!$D$12:$D$71,1)),""))</f>
        <v/>
      </c>
      <c r="C1074">
        <f>IF(A1074="","",DATE(YEAR(A1074),12,31)-DATE(YEAR(A1074),1,1)+1)</f>
        <v/>
      </c>
      <c r="D1074">
        <f>IF(A1074="","",Ввод!$B$4-SUMIF(Оплаты!$A$6:$A$505,"&lt;"&amp;A1074,Оплаты!$B$6:$B$505))</f>
        <v/>
      </c>
      <c r="E1074">
        <f>IF(A1074="","",IF(SUMPRODUCT((Ввод!$F$12:$F$31&lt;&gt;"")*(Ввод!$F$12:$F$31&lt;=A1074)*(Ввод!$G$12:$G$31&gt;=A1074))&gt;0,1,0))</f>
        <v/>
      </c>
      <c r="F1074">
        <f>IF(OR(A1074="",B1074=""),"",IF(E1074=1,0,D1074*B1074/100/C1074))</f>
        <v/>
      </c>
      <c r="G1074">
        <f>IF(A1074="","",IF(OR(B1074&lt;&gt;B1073,C1074&lt;&gt;C1073,D1074&lt;&gt;D1073,E1074&lt;&gt;E1073),G1073+1,G1073))</f>
        <v/>
      </c>
    </row>
    <row r="1075">
      <c r="A1075" s="14">
        <f>IF(OR(NOT(ISNUMBER(Ввод!$B$5)),NOT(ISNUMBER(Ввод!$B$6))),"",IF(Ввод!$B$5+1073&gt;Ввод!$B$6,"",Ввод!$B$5+1073))</f>
        <v/>
      </c>
      <c r="B1075">
        <f>IF(A1075="","",IFERROR(INDEX(Ввод!$B$12:$B$71,MATCH(A1075,Ввод!$D$12:$D$71,1)),""))</f>
        <v/>
      </c>
      <c r="C1075">
        <f>IF(A1075="","",DATE(YEAR(A1075),12,31)-DATE(YEAR(A1075),1,1)+1)</f>
        <v/>
      </c>
      <c r="D1075">
        <f>IF(A1075="","",Ввод!$B$4-SUMIF(Оплаты!$A$6:$A$505,"&lt;"&amp;A1075,Оплаты!$B$6:$B$505))</f>
        <v/>
      </c>
      <c r="E1075">
        <f>IF(A1075="","",IF(SUMPRODUCT((Ввод!$F$12:$F$31&lt;&gt;"")*(Ввод!$F$12:$F$31&lt;=A1075)*(Ввод!$G$12:$G$31&gt;=A1075))&gt;0,1,0))</f>
        <v/>
      </c>
      <c r="F1075">
        <f>IF(OR(A1075="",B1075=""),"",IF(E1075=1,0,D1075*B1075/100/C1075))</f>
        <v/>
      </c>
      <c r="G1075">
        <f>IF(A1075="","",IF(OR(B1075&lt;&gt;B1074,C1075&lt;&gt;C1074,D1075&lt;&gt;D1074,E1075&lt;&gt;E1074),G1074+1,G1074))</f>
        <v/>
      </c>
    </row>
    <row r="1076">
      <c r="A1076" s="14">
        <f>IF(OR(NOT(ISNUMBER(Ввод!$B$5)),NOT(ISNUMBER(Ввод!$B$6))),"",IF(Ввод!$B$5+1074&gt;Ввод!$B$6,"",Ввод!$B$5+1074))</f>
        <v/>
      </c>
      <c r="B1076">
        <f>IF(A1076="","",IFERROR(INDEX(Ввод!$B$12:$B$71,MATCH(A1076,Ввод!$D$12:$D$71,1)),""))</f>
        <v/>
      </c>
      <c r="C1076">
        <f>IF(A1076="","",DATE(YEAR(A1076),12,31)-DATE(YEAR(A1076),1,1)+1)</f>
        <v/>
      </c>
      <c r="D1076">
        <f>IF(A1076="","",Ввод!$B$4-SUMIF(Оплаты!$A$6:$A$505,"&lt;"&amp;A1076,Оплаты!$B$6:$B$505))</f>
        <v/>
      </c>
      <c r="E1076">
        <f>IF(A1076="","",IF(SUMPRODUCT((Ввод!$F$12:$F$31&lt;&gt;"")*(Ввод!$F$12:$F$31&lt;=A1076)*(Ввод!$G$12:$G$31&gt;=A1076))&gt;0,1,0))</f>
        <v/>
      </c>
      <c r="F1076">
        <f>IF(OR(A1076="",B1076=""),"",IF(E1076=1,0,D1076*B1076/100/C1076))</f>
        <v/>
      </c>
      <c r="G1076">
        <f>IF(A1076="","",IF(OR(B1076&lt;&gt;B1075,C1076&lt;&gt;C1075,D1076&lt;&gt;D1075,E1076&lt;&gt;E1075),G1075+1,G1075))</f>
        <v/>
      </c>
    </row>
    <row r="1077">
      <c r="A1077" s="14">
        <f>IF(OR(NOT(ISNUMBER(Ввод!$B$5)),NOT(ISNUMBER(Ввод!$B$6))),"",IF(Ввод!$B$5+1075&gt;Ввод!$B$6,"",Ввод!$B$5+1075))</f>
        <v/>
      </c>
      <c r="B1077">
        <f>IF(A1077="","",IFERROR(INDEX(Ввод!$B$12:$B$71,MATCH(A1077,Ввод!$D$12:$D$71,1)),""))</f>
        <v/>
      </c>
      <c r="C1077">
        <f>IF(A1077="","",DATE(YEAR(A1077),12,31)-DATE(YEAR(A1077),1,1)+1)</f>
        <v/>
      </c>
      <c r="D1077">
        <f>IF(A1077="","",Ввод!$B$4-SUMIF(Оплаты!$A$6:$A$505,"&lt;"&amp;A1077,Оплаты!$B$6:$B$505))</f>
        <v/>
      </c>
      <c r="E1077">
        <f>IF(A1077="","",IF(SUMPRODUCT((Ввод!$F$12:$F$31&lt;&gt;"")*(Ввод!$F$12:$F$31&lt;=A1077)*(Ввод!$G$12:$G$31&gt;=A1077))&gt;0,1,0))</f>
        <v/>
      </c>
      <c r="F1077">
        <f>IF(OR(A1077="",B1077=""),"",IF(E1077=1,0,D1077*B1077/100/C1077))</f>
        <v/>
      </c>
      <c r="G1077">
        <f>IF(A1077="","",IF(OR(B1077&lt;&gt;B1076,C1077&lt;&gt;C1076,D1077&lt;&gt;D1076,E1077&lt;&gt;E1076),G1076+1,G1076))</f>
        <v/>
      </c>
    </row>
    <row r="1078">
      <c r="A1078" s="14">
        <f>IF(OR(NOT(ISNUMBER(Ввод!$B$5)),NOT(ISNUMBER(Ввод!$B$6))),"",IF(Ввод!$B$5+1076&gt;Ввод!$B$6,"",Ввод!$B$5+1076))</f>
        <v/>
      </c>
      <c r="B1078">
        <f>IF(A1078="","",IFERROR(INDEX(Ввод!$B$12:$B$71,MATCH(A1078,Ввод!$D$12:$D$71,1)),""))</f>
        <v/>
      </c>
      <c r="C1078">
        <f>IF(A1078="","",DATE(YEAR(A1078),12,31)-DATE(YEAR(A1078),1,1)+1)</f>
        <v/>
      </c>
      <c r="D1078">
        <f>IF(A1078="","",Ввод!$B$4-SUMIF(Оплаты!$A$6:$A$505,"&lt;"&amp;A1078,Оплаты!$B$6:$B$505))</f>
        <v/>
      </c>
      <c r="E1078">
        <f>IF(A1078="","",IF(SUMPRODUCT((Ввод!$F$12:$F$31&lt;&gt;"")*(Ввод!$F$12:$F$31&lt;=A1078)*(Ввод!$G$12:$G$31&gt;=A1078))&gt;0,1,0))</f>
        <v/>
      </c>
      <c r="F1078">
        <f>IF(OR(A1078="",B1078=""),"",IF(E1078=1,0,D1078*B1078/100/C1078))</f>
        <v/>
      </c>
      <c r="G1078">
        <f>IF(A1078="","",IF(OR(B1078&lt;&gt;B1077,C1078&lt;&gt;C1077,D1078&lt;&gt;D1077,E1078&lt;&gt;E1077),G1077+1,G1077))</f>
        <v/>
      </c>
    </row>
    <row r="1079">
      <c r="A1079" s="14">
        <f>IF(OR(NOT(ISNUMBER(Ввод!$B$5)),NOT(ISNUMBER(Ввод!$B$6))),"",IF(Ввод!$B$5+1077&gt;Ввод!$B$6,"",Ввод!$B$5+1077))</f>
        <v/>
      </c>
      <c r="B1079">
        <f>IF(A1079="","",IFERROR(INDEX(Ввод!$B$12:$B$71,MATCH(A1079,Ввод!$D$12:$D$71,1)),""))</f>
        <v/>
      </c>
      <c r="C1079">
        <f>IF(A1079="","",DATE(YEAR(A1079),12,31)-DATE(YEAR(A1079),1,1)+1)</f>
        <v/>
      </c>
      <c r="D1079">
        <f>IF(A1079="","",Ввод!$B$4-SUMIF(Оплаты!$A$6:$A$505,"&lt;"&amp;A1079,Оплаты!$B$6:$B$505))</f>
        <v/>
      </c>
      <c r="E1079">
        <f>IF(A1079="","",IF(SUMPRODUCT((Ввод!$F$12:$F$31&lt;&gt;"")*(Ввод!$F$12:$F$31&lt;=A1079)*(Ввод!$G$12:$G$31&gt;=A1079))&gt;0,1,0))</f>
        <v/>
      </c>
      <c r="F1079">
        <f>IF(OR(A1079="",B1079=""),"",IF(E1079=1,0,D1079*B1079/100/C1079))</f>
        <v/>
      </c>
      <c r="G1079">
        <f>IF(A1079="","",IF(OR(B1079&lt;&gt;B1078,C1079&lt;&gt;C1078,D1079&lt;&gt;D1078,E1079&lt;&gt;E1078),G1078+1,G1078))</f>
        <v/>
      </c>
    </row>
    <row r="1080">
      <c r="A1080" s="14">
        <f>IF(OR(NOT(ISNUMBER(Ввод!$B$5)),NOT(ISNUMBER(Ввод!$B$6))),"",IF(Ввод!$B$5+1078&gt;Ввод!$B$6,"",Ввод!$B$5+1078))</f>
        <v/>
      </c>
      <c r="B1080">
        <f>IF(A1080="","",IFERROR(INDEX(Ввод!$B$12:$B$71,MATCH(A1080,Ввод!$D$12:$D$71,1)),""))</f>
        <v/>
      </c>
      <c r="C1080">
        <f>IF(A1080="","",DATE(YEAR(A1080),12,31)-DATE(YEAR(A1080),1,1)+1)</f>
        <v/>
      </c>
      <c r="D1080">
        <f>IF(A1080="","",Ввод!$B$4-SUMIF(Оплаты!$A$6:$A$505,"&lt;"&amp;A1080,Оплаты!$B$6:$B$505))</f>
        <v/>
      </c>
      <c r="E1080">
        <f>IF(A1080="","",IF(SUMPRODUCT((Ввод!$F$12:$F$31&lt;&gt;"")*(Ввод!$F$12:$F$31&lt;=A1080)*(Ввод!$G$12:$G$31&gt;=A1080))&gt;0,1,0))</f>
        <v/>
      </c>
      <c r="F1080">
        <f>IF(OR(A1080="",B1080=""),"",IF(E1080=1,0,D1080*B1080/100/C1080))</f>
        <v/>
      </c>
      <c r="G1080">
        <f>IF(A1080="","",IF(OR(B1080&lt;&gt;B1079,C1080&lt;&gt;C1079,D1080&lt;&gt;D1079,E1080&lt;&gt;E1079),G1079+1,G1079))</f>
        <v/>
      </c>
    </row>
    <row r="1081">
      <c r="A1081" s="14">
        <f>IF(OR(NOT(ISNUMBER(Ввод!$B$5)),NOT(ISNUMBER(Ввод!$B$6))),"",IF(Ввод!$B$5+1079&gt;Ввод!$B$6,"",Ввод!$B$5+1079))</f>
        <v/>
      </c>
      <c r="B1081">
        <f>IF(A1081="","",IFERROR(INDEX(Ввод!$B$12:$B$71,MATCH(A1081,Ввод!$D$12:$D$71,1)),""))</f>
        <v/>
      </c>
      <c r="C1081">
        <f>IF(A1081="","",DATE(YEAR(A1081),12,31)-DATE(YEAR(A1081),1,1)+1)</f>
        <v/>
      </c>
      <c r="D1081">
        <f>IF(A1081="","",Ввод!$B$4-SUMIF(Оплаты!$A$6:$A$505,"&lt;"&amp;A1081,Оплаты!$B$6:$B$505))</f>
        <v/>
      </c>
      <c r="E1081">
        <f>IF(A1081="","",IF(SUMPRODUCT((Ввод!$F$12:$F$31&lt;&gt;"")*(Ввод!$F$12:$F$31&lt;=A1081)*(Ввод!$G$12:$G$31&gt;=A1081))&gt;0,1,0))</f>
        <v/>
      </c>
      <c r="F1081">
        <f>IF(OR(A1081="",B1081=""),"",IF(E1081=1,0,D1081*B1081/100/C1081))</f>
        <v/>
      </c>
      <c r="G1081">
        <f>IF(A1081="","",IF(OR(B1081&lt;&gt;B1080,C1081&lt;&gt;C1080,D1081&lt;&gt;D1080,E1081&lt;&gt;E1080),G1080+1,G1080))</f>
        <v/>
      </c>
    </row>
    <row r="1082">
      <c r="A1082" s="14">
        <f>IF(OR(NOT(ISNUMBER(Ввод!$B$5)),NOT(ISNUMBER(Ввод!$B$6))),"",IF(Ввод!$B$5+1080&gt;Ввод!$B$6,"",Ввод!$B$5+1080))</f>
        <v/>
      </c>
      <c r="B1082">
        <f>IF(A1082="","",IFERROR(INDEX(Ввод!$B$12:$B$71,MATCH(A1082,Ввод!$D$12:$D$71,1)),""))</f>
        <v/>
      </c>
      <c r="C1082">
        <f>IF(A1082="","",DATE(YEAR(A1082),12,31)-DATE(YEAR(A1082),1,1)+1)</f>
        <v/>
      </c>
      <c r="D1082">
        <f>IF(A1082="","",Ввод!$B$4-SUMIF(Оплаты!$A$6:$A$505,"&lt;"&amp;A1082,Оплаты!$B$6:$B$505))</f>
        <v/>
      </c>
      <c r="E1082">
        <f>IF(A1082="","",IF(SUMPRODUCT((Ввод!$F$12:$F$31&lt;&gt;"")*(Ввод!$F$12:$F$31&lt;=A1082)*(Ввод!$G$12:$G$31&gt;=A1082))&gt;0,1,0))</f>
        <v/>
      </c>
      <c r="F1082">
        <f>IF(OR(A1082="",B1082=""),"",IF(E1082=1,0,D1082*B1082/100/C1082))</f>
        <v/>
      </c>
      <c r="G1082">
        <f>IF(A1082="","",IF(OR(B1082&lt;&gt;B1081,C1082&lt;&gt;C1081,D1082&lt;&gt;D1081,E1082&lt;&gt;E1081),G1081+1,G1081))</f>
        <v/>
      </c>
    </row>
    <row r="1083">
      <c r="A1083" s="14">
        <f>IF(OR(NOT(ISNUMBER(Ввод!$B$5)),NOT(ISNUMBER(Ввод!$B$6))),"",IF(Ввод!$B$5+1081&gt;Ввод!$B$6,"",Ввод!$B$5+1081))</f>
        <v/>
      </c>
      <c r="B1083">
        <f>IF(A1083="","",IFERROR(INDEX(Ввод!$B$12:$B$71,MATCH(A1083,Ввод!$D$12:$D$71,1)),""))</f>
        <v/>
      </c>
      <c r="C1083">
        <f>IF(A1083="","",DATE(YEAR(A1083),12,31)-DATE(YEAR(A1083),1,1)+1)</f>
        <v/>
      </c>
      <c r="D1083">
        <f>IF(A1083="","",Ввод!$B$4-SUMIF(Оплаты!$A$6:$A$505,"&lt;"&amp;A1083,Оплаты!$B$6:$B$505))</f>
        <v/>
      </c>
      <c r="E1083">
        <f>IF(A1083="","",IF(SUMPRODUCT((Ввод!$F$12:$F$31&lt;&gt;"")*(Ввод!$F$12:$F$31&lt;=A1083)*(Ввод!$G$12:$G$31&gt;=A1083))&gt;0,1,0))</f>
        <v/>
      </c>
      <c r="F1083">
        <f>IF(OR(A1083="",B1083=""),"",IF(E1083=1,0,D1083*B1083/100/C1083))</f>
        <v/>
      </c>
      <c r="G1083">
        <f>IF(A1083="","",IF(OR(B1083&lt;&gt;B1082,C1083&lt;&gt;C1082,D1083&lt;&gt;D1082,E1083&lt;&gt;E1082),G1082+1,G1082))</f>
        <v/>
      </c>
    </row>
    <row r="1084">
      <c r="A1084" s="14">
        <f>IF(OR(NOT(ISNUMBER(Ввод!$B$5)),NOT(ISNUMBER(Ввод!$B$6))),"",IF(Ввод!$B$5+1082&gt;Ввод!$B$6,"",Ввод!$B$5+1082))</f>
        <v/>
      </c>
      <c r="B1084">
        <f>IF(A1084="","",IFERROR(INDEX(Ввод!$B$12:$B$71,MATCH(A1084,Ввод!$D$12:$D$71,1)),""))</f>
        <v/>
      </c>
      <c r="C1084">
        <f>IF(A1084="","",DATE(YEAR(A1084),12,31)-DATE(YEAR(A1084),1,1)+1)</f>
        <v/>
      </c>
      <c r="D1084">
        <f>IF(A1084="","",Ввод!$B$4-SUMIF(Оплаты!$A$6:$A$505,"&lt;"&amp;A1084,Оплаты!$B$6:$B$505))</f>
        <v/>
      </c>
      <c r="E1084">
        <f>IF(A1084="","",IF(SUMPRODUCT((Ввод!$F$12:$F$31&lt;&gt;"")*(Ввод!$F$12:$F$31&lt;=A1084)*(Ввод!$G$12:$G$31&gt;=A1084))&gt;0,1,0))</f>
        <v/>
      </c>
      <c r="F1084">
        <f>IF(OR(A1084="",B1084=""),"",IF(E1084=1,0,D1084*B1084/100/C1084))</f>
        <v/>
      </c>
      <c r="G1084">
        <f>IF(A1084="","",IF(OR(B1084&lt;&gt;B1083,C1084&lt;&gt;C1083,D1084&lt;&gt;D1083,E1084&lt;&gt;E1083),G1083+1,G1083))</f>
        <v/>
      </c>
    </row>
    <row r="1085">
      <c r="A1085" s="14">
        <f>IF(OR(NOT(ISNUMBER(Ввод!$B$5)),NOT(ISNUMBER(Ввод!$B$6))),"",IF(Ввод!$B$5+1083&gt;Ввод!$B$6,"",Ввод!$B$5+1083))</f>
        <v/>
      </c>
      <c r="B1085">
        <f>IF(A1085="","",IFERROR(INDEX(Ввод!$B$12:$B$71,MATCH(A1085,Ввод!$D$12:$D$71,1)),""))</f>
        <v/>
      </c>
      <c r="C1085">
        <f>IF(A1085="","",DATE(YEAR(A1085),12,31)-DATE(YEAR(A1085),1,1)+1)</f>
        <v/>
      </c>
      <c r="D1085">
        <f>IF(A1085="","",Ввод!$B$4-SUMIF(Оплаты!$A$6:$A$505,"&lt;"&amp;A1085,Оплаты!$B$6:$B$505))</f>
        <v/>
      </c>
      <c r="E1085">
        <f>IF(A1085="","",IF(SUMPRODUCT((Ввод!$F$12:$F$31&lt;&gt;"")*(Ввод!$F$12:$F$31&lt;=A1085)*(Ввод!$G$12:$G$31&gt;=A1085))&gt;0,1,0))</f>
        <v/>
      </c>
      <c r="F1085">
        <f>IF(OR(A1085="",B1085=""),"",IF(E1085=1,0,D1085*B1085/100/C1085))</f>
        <v/>
      </c>
      <c r="G1085">
        <f>IF(A1085="","",IF(OR(B1085&lt;&gt;B1084,C1085&lt;&gt;C1084,D1085&lt;&gt;D1084,E1085&lt;&gt;E1084),G1084+1,G1084))</f>
        <v/>
      </c>
    </row>
    <row r="1086">
      <c r="A1086" s="14">
        <f>IF(OR(NOT(ISNUMBER(Ввод!$B$5)),NOT(ISNUMBER(Ввод!$B$6))),"",IF(Ввод!$B$5+1084&gt;Ввод!$B$6,"",Ввод!$B$5+1084))</f>
        <v/>
      </c>
      <c r="B1086">
        <f>IF(A1086="","",IFERROR(INDEX(Ввод!$B$12:$B$71,MATCH(A1086,Ввод!$D$12:$D$71,1)),""))</f>
        <v/>
      </c>
      <c r="C1086">
        <f>IF(A1086="","",DATE(YEAR(A1086),12,31)-DATE(YEAR(A1086),1,1)+1)</f>
        <v/>
      </c>
      <c r="D1086">
        <f>IF(A1086="","",Ввод!$B$4-SUMIF(Оплаты!$A$6:$A$505,"&lt;"&amp;A1086,Оплаты!$B$6:$B$505))</f>
        <v/>
      </c>
      <c r="E1086">
        <f>IF(A1086="","",IF(SUMPRODUCT((Ввод!$F$12:$F$31&lt;&gt;"")*(Ввод!$F$12:$F$31&lt;=A1086)*(Ввод!$G$12:$G$31&gt;=A1086))&gt;0,1,0))</f>
        <v/>
      </c>
      <c r="F1086">
        <f>IF(OR(A1086="",B1086=""),"",IF(E1086=1,0,D1086*B1086/100/C1086))</f>
        <v/>
      </c>
      <c r="G1086">
        <f>IF(A1086="","",IF(OR(B1086&lt;&gt;B1085,C1086&lt;&gt;C1085,D1086&lt;&gt;D1085,E1086&lt;&gt;E1085),G1085+1,G1085))</f>
        <v/>
      </c>
    </row>
    <row r="1087">
      <c r="A1087" s="14">
        <f>IF(OR(NOT(ISNUMBER(Ввод!$B$5)),NOT(ISNUMBER(Ввод!$B$6))),"",IF(Ввод!$B$5+1085&gt;Ввод!$B$6,"",Ввод!$B$5+1085))</f>
        <v/>
      </c>
      <c r="B1087">
        <f>IF(A1087="","",IFERROR(INDEX(Ввод!$B$12:$B$71,MATCH(A1087,Ввод!$D$12:$D$71,1)),""))</f>
        <v/>
      </c>
      <c r="C1087">
        <f>IF(A1087="","",DATE(YEAR(A1087),12,31)-DATE(YEAR(A1087),1,1)+1)</f>
        <v/>
      </c>
      <c r="D1087">
        <f>IF(A1087="","",Ввод!$B$4-SUMIF(Оплаты!$A$6:$A$505,"&lt;"&amp;A1087,Оплаты!$B$6:$B$505))</f>
        <v/>
      </c>
      <c r="E1087">
        <f>IF(A1087="","",IF(SUMPRODUCT((Ввод!$F$12:$F$31&lt;&gt;"")*(Ввод!$F$12:$F$31&lt;=A1087)*(Ввод!$G$12:$G$31&gt;=A1087))&gt;0,1,0))</f>
        <v/>
      </c>
      <c r="F1087">
        <f>IF(OR(A1087="",B1087=""),"",IF(E1087=1,0,D1087*B1087/100/C1087))</f>
        <v/>
      </c>
      <c r="G1087">
        <f>IF(A1087="","",IF(OR(B1087&lt;&gt;B1086,C1087&lt;&gt;C1086,D1087&lt;&gt;D1086,E1087&lt;&gt;E1086),G1086+1,G1086))</f>
        <v/>
      </c>
    </row>
    <row r="1088">
      <c r="A1088" s="14">
        <f>IF(OR(NOT(ISNUMBER(Ввод!$B$5)),NOT(ISNUMBER(Ввод!$B$6))),"",IF(Ввод!$B$5+1086&gt;Ввод!$B$6,"",Ввод!$B$5+1086))</f>
        <v/>
      </c>
      <c r="B1088">
        <f>IF(A1088="","",IFERROR(INDEX(Ввод!$B$12:$B$71,MATCH(A1088,Ввод!$D$12:$D$71,1)),""))</f>
        <v/>
      </c>
      <c r="C1088">
        <f>IF(A1088="","",DATE(YEAR(A1088),12,31)-DATE(YEAR(A1088),1,1)+1)</f>
        <v/>
      </c>
      <c r="D1088">
        <f>IF(A1088="","",Ввод!$B$4-SUMIF(Оплаты!$A$6:$A$505,"&lt;"&amp;A1088,Оплаты!$B$6:$B$505))</f>
        <v/>
      </c>
      <c r="E1088">
        <f>IF(A1088="","",IF(SUMPRODUCT((Ввод!$F$12:$F$31&lt;&gt;"")*(Ввод!$F$12:$F$31&lt;=A1088)*(Ввод!$G$12:$G$31&gt;=A1088))&gt;0,1,0))</f>
        <v/>
      </c>
      <c r="F1088">
        <f>IF(OR(A1088="",B1088=""),"",IF(E1088=1,0,D1088*B1088/100/C1088))</f>
        <v/>
      </c>
      <c r="G1088">
        <f>IF(A1088="","",IF(OR(B1088&lt;&gt;B1087,C1088&lt;&gt;C1087,D1088&lt;&gt;D1087,E1088&lt;&gt;E1087),G1087+1,G1087))</f>
        <v/>
      </c>
    </row>
    <row r="1089">
      <c r="A1089" s="14">
        <f>IF(OR(NOT(ISNUMBER(Ввод!$B$5)),NOT(ISNUMBER(Ввод!$B$6))),"",IF(Ввод!$B$5+1087&gt;Ввод!$B$6,"",Ввод!$B$5+1087))</f>
        <v/>
      </c>
      <c r="B1089">
        <f>IF(A1089="","",IFERROR(INDEX(Ввод!$B$12:$B$71,MATCH(A1089,Ввод!$D$12:$D$71,1)),""))</f>
        <v/>
      </c>
      <c r="C1089">
        <f>IF(A1089="","",DATE(YEAR(A1089),12,31)-DATE(YEAR(A1089),1,1)+1)</f>
        <v/>
      </c>
      <c r="D1089">
        <f>IF(A1089="","",Ввод!$B$4-SUMIF(Оплаты!$A$6:$A$505,"&lt;"&amp;A1089,Оплаты!$B$6:$B$505))</f>
        <v/>
      </c>
      <c r="E1089">
        <f>IF(A1089="","",IF(SUMPRODUCT((Ввод!$F$12:$F$31&lt;&gt;"")*(Ввод!$F$12:$F$31&lt;=A1089)*(Ввод!$G$12:$G$31&gt;=A1089))&gt;0,1,0))</f>
        <v/>
      </c>
      <c r="F1089">
        <f>IF(OR(A1089="",B1089=""),"",IF(E1089=1,0,D1089*B1089/100/C1089))</f>
        <v/>
      </c>
      <c r="G1089">
        <f>IF(A1089="","",IF(OR(B1089&lt;&gt;B1088,C1089&lt;&gt;C1088,D1089&lt;&gt;D1088,E1089&lt;&gt;E1088),G1088+1,G1088))</f>
        <v/>
      </c>
    </row>
    <row r="1090">
      <c r="A1090" s="14">
        <f>IF(OR(NOT(ISNUMBER(Ввод!$B$5)),NOT(ISNUMBER(Ввод!$B$6))),"",IF(Ввод!$B$5+1088&gt;Ввод!$B$6,"",Ввод!$B$5+1088))</f>
        <v/>
      </c>
      <c r="B1090">
        <f>IF(A1090="","",IFERROR(INDEX(Ввод!$B$12:$B$71,MATCH(A1090,Ввод!$D$12:$D$71,1)),""))</f>
        <v/>
      </c>
      <c r="C1090">
        <f>IF(A1090="","",DATE(YEAR(A1090),12,31)-DATE(YEAR(A1090),1,1)+1)</f>
        <v/>
      </c>
      <c r="D1090">
        <f>IF(A1090="","",Ввод!$B$4-SUMIF(Оплаты!$A$6:$A$505,"&lt;"&amp;A1090,Оплаты!$B$6:$B$505))</f>
        <v/>
      </c>
      <c r="E1090">
        <f>IF(A1090="","",IF(SUMPRODUCT((Ввод!$F$12:$F$31&lt;&gt;"")*(Ввод!$F$12:$F$31&lt;=A1090)*(Ввод!$G$12:$G$31&gt;=A1090))&gt;0,1,0))</f>
        <v/>
      </c>
      <c r="F1090">
        <f>IF(OR(A1090="",B1090=""),"",IF(E1090=1,0,D1090*B1090/100/C1090))</f>
        <v/>
      </c>
      <c r="G1090">
        <f>IF(A1090="","",IF(OR(B1090&lt;&gt;B1089,C1090&lt;&gt;C1089,D1090&lt;&gt;D1089,E1090&lt;&gt;E1089),G1089+1,G1089))</f>
        <v/>
      </c>
    </row>
    <row r="1091">
      <c r="A1091" s="14">
        <f>IF(OR(NOT(ISNUMBER(Ввод!$B$5)),NOT(ISNUMBER(Ввод!$B$6))),"",IF(Ввод!$B$5+1089&gt;Ввод!$B$6,"",Ввод!$B$5+1089))</f>
        <v/>
      </c>
      <c r="B1091">
        <f>IF(A1091="","",IFERROR(INDEX(Ввод!$B$12:$B$71,MATCH(A1091,Ввод!$D$12:$D$71,1)),""))</f>
        <v/>
      </c>
      <c r="C1091">
        <f>IF(A1091="","",DATE(YEAR(A1091),12,31)-DATE(YEAR(A1091),1,1)+1)</f>
        <v/>
      </c>
      <c r="D1091">
        <f>IF(A1091="","",Ввод!$B$4-SUMIF(Оплаты!$A$6:$A$505,"&lt;"&amp;A1091,Оплаты!$B$6:$B$505))</f>
        <v/>
      </c>
      <c r="E1091">
        <f>IF(A1091="","",IF(SUMPRODUCT((Ввод!$F$12:$F$31&lt;&gt;"")*(Ввод!$F$12:$F$31&lt;=A1091)*(Ввод!$G$12:$G$31&gt;=A1091))&gt;0,1,0))</f>
        <v/>
      </c>
      <c r="F1091">
        <f>IF(OR(A1091="",B1091=""),"",IF(E1091=1,0,D1091*B1091/100/C1091))</f>
        <v/>
      </c>
      <c r="G1091">
        <f>IF(A1091="","",IF(OR(B1091&lt;&gt;B1090,C1091&lt;&gt;C1090,D1091&lt;&gt;D1090,E1091&lt;&gt;E1090),G1090+1,G1090))</f>
        <v/>
      </c>
    </row>
    <row r="1092">
      <c r="A1092" s="14">
        <f>IF(OR(NOT(ISNUMBER(Ввод!$B$5)),NOT(ISNUMBER(Ввод!$B$6))),"",IF(Ввод!$B$5+1090&gt;Ввод!$B$6,"",Ввод!$B$5+1090))</f>
        <v/>
      </c>
      <c r="B1092">
        <f>IF(A1092="","",IFERROR(INDEX(Ввод!$B$12:$B$71,MATCH(A1092,Ввод!$D$12:$D$71,1)),""))</f>
        <v/>
      </c>
      <c r="C1092">
        <f>IF(A1092="","",DATE(YEAR(A1092),12,31)-DATE(YEAR(A1092),1,1)+1)</f>
        <v/>
      </c>
      <c r="D1092">
        <f>IF(A1092="","",Ввод!$B$4-SUMIF(Оплаты!$A$6:$A$505,"&lt;"&amp;A1092,Оплаты!$B$6:$B$505))</f>
        <v/>
      </c>
      <c r="E1092">
        <f>IF(A1092="","",IF(SUMPRODUCT((Ввод!$F$12:$F$31&lt;&gt;"")*(Ввод!$F$12:$F$31&lt;=A1092)*(Ввод!$G$12:$G$31&gt;=A1092))&gt;0,1,0))</f>
        <v/>
      </c>
      <c r="F1092">
        <f>IF(OR(A1092="",B1092=""),"",IF(E1092=1,0,D1092*B1092/100/C1092))</f>
        <v/>
      </c>
      <c r="G1092">
        <f>IF(A1092="","",IF(OR(B1092&lt;&gt;B1091,C1092&lt;&gt;C1091,D1092&lt;&gt;D1091,E1092&lt;&gt;E1091),G1091+1,G1091))</f>
        <v/>
      </c>
    </row>
    <row r="1093">
      <c r="A1093" s="14">
        <f>IF(OR(NOT(ISNUMBER(Ввод!$B$5)),NOT(ISNUMBER(Ввод!$B$6))),"",IF(Ввод!$B$5+1091&gt;Ввод!$B$6,"",Ввод!$B$5+1091))</f>
        <v/>
      </c>
      <c r="B1093">
        <f>IF(A1093="","",IFERROR(INDEX(Ввод!$B$12:$B$71,MATCH(A1093,Ввод!$D$12:$D$71,1)),""))</f>
        <v/>
      </c>
      <c r="C1093">
        <f>IF(A1093="","",DATE(YEAR(A1093),12,31)-DATE(YEAR(A1093),1,1)+1)</f>
        <v/>
      </c>
      <c r="D1093">
        <f>IF(A1093="","",Ввод!$B$4-SUMIF(Оплаты!$A$6:$A$505,"&lt;"&amp;A1093,Оплаты!$B$6:$B$505))</f>
        <v/>
      </c>
      <c r="E1093">
        <f>IF(A1093="","",IF(SUMPRODUCT((Ввод!$F$12:$F$31&lt;&gt;"")*(Ввод!$F$12:$F$31&lt;=A1093)*(Ввод!$G$12:$G$31&gt;=A1093))&gt;0,1,0))</f>
        <v/>
      </c>
      <c r="F1093">
        <f>IF(OR(A1093="",B1093=""),"",IF(E1093=1,0,D1093*B1093/100/C1093))</f>
        <v/>
      </c>
      <c r="G1093">
        <f>IF(A1093="","",IF(OR(B1093&lt;&gt;B1092,C1093&lt;&gt;C1092,D1093&lt;&gt;D1092,E1093&lt;&gt;E1092),G1092+1,G1092))</f>
        <v/>
      </c>
    </row>
    <row r="1094">
      <c r="A1094" s="14">
        <f>IF(OR(NOT(ISNUMBER(Ввод!$B$5)),NOT(ISNUMBER(Ввод!$B$6))),"",IF(Ввод!$B$5+1092&gt;Ввод!$B$6,"",Ввод!$B$5+1092))</f>
        <v/>
      </c>
      <c r="B1094">
        <f>IF(A1094="","",IFERROR(INDEX(Ввод!$B$12:$B$71,MATCH(A1094,Ввод!$D$12:$D$71,1)),""))</f>
        <v/>
      </c>
      <c r="C1094">
        <f>IF(A1094="","",DATE(YEAR(A1094),12,31)-DATE(YEAR(A1094),1,1)+1)</f>
        <v/>
      </c>
      <c r="D1094">
        <f>IF(A1094="","",Ввод!$B$4-SUMIF(Оплаты!$A$6:$A$505,"&lt;"&amp;A1094,Оплаты!$B$6:$B$505))</f>
        <v/>
      </c>
      <c r="E1094">
        <f>IF(A1094="","",IF(SUMPRODUCT((Ввод!$F$12:$F$31&lt;&gt;"")*(Ввод!$F$12:$F$31&lt;=A1094)*(Ввод!$G$12:$G$31&gt;=A1094))&gt;0,1,0))</f>
        <v/>
      </c>
      <c r="F1094">
        <f>IF(OR(A1094="",B1094=""),"",IF(E1094=1,0,D1094*B1094/100/C1094))</f>
        <v/>
      </c>
      <c r="G1094">
        <f>IF(A1094="","",IF(OR(B1094&lt;&gt;B1093,C1094&lt;&gt;C1093,D1094&lt;&gt;D1093,E1094&lt;&gt;E1093),G1093+1,G1093))</f>
        <v/>
      </c>
    </row>
    <row r="1095">
      <c r="A1095" s="14">
        <f>IF(OR(NOT(ISNUMBER(Ввод!$B$5)),NOT(ISNUMBER(Ввод!$B$6))),"",IF(Ввод!$B$5+1093&gt;Ввод!$B$6,"",Ввод!$B$5+1093))</f>
        <v/>
      </c>
      <c r="B1095">
        <f>IF(A1095="","",IFERROR(INDEX(Ввод!$B$12:$B$71,MATCH(A1095,Ввод!$D$12:$D$71,1)),""))</f>
        <v/>
      </c>
      <c r="C1095">
        <f>IF(A1095="","",DATE(YEAR(A1095),12,31)-DATE(YEAR(A1095),1,1)+1)</f>
        <v/>
      </c>
      <c r="D1095">
        <f>IF(A1095="","",Ввод!$B$4-SUMIF(Оплаты!$A$6:$A$505,"&lt;"&amp;A1095,Оплаты!$B$6:$B$505))</f>
        <v/>
      </c>
      <c r="E1095">
        <f>IF(A1095="","",IF(SUMPRODUCT((Ввод!$F$12:$F$31&lt;&gt;"")*(Ввод!$F$12:$F$31&lt;=A1095)*(Ввод!$G$12:$G$31&gt;=A1095))&gt;0,1,0))</f>
        <v/>
      </c>
      <c r="F1095">
        <f>IF(OR(A1095="",B1095=""),"",IF(E1095=1,0,D1095*B1095/100/C1095))</f>
        <v/>
      </c>
      <c r="G1095">
        <f>IF(A1095="","",IF(OR(B1095&lt;&gt;B1094,C1095&lt;&gt;C1094,D1095&lt;&gt;D1094,E1095&lt;&gt;E1094),G1094+1,G1094))</f>
        <v/>
      </c>
    </row>
    <row r="1096">
      <c r="A1096" s="14">
        <f>IF(OR(NOT(ISNUMBER(Ввод!$B$5)),NOT(ISNUMBER(Ввод!$B$6))),"",IF(Ввод!$B$5+1094&gt;Ввод!$B$6,"",Ввод!$B$5+1094))</f>
        <v/>
      </c>
      <c r="B1096">
        <f>IF(A1096="","",IFERROR(INDEX(Ввод!$B$12:$B$71,MATCH(A1096,Ввод!$D$12:$D$71,1)),""))</f>
        <v/>
      </c>
      <c r="C1096">
        <f>IF(A1096="","",DATE(YEAR(A1096),12,31)-DATE(YEAR(A1096),1,1)+1)</f>
        <v/>
      </c>
      <c r="D1096">
        <f>IF(A1096="","",Ввод!$B$4-SUMIF(Оплаты!$A$6:$A$505,"&lt;"&amp;A1096,Оплаты!$B$6:$B$505))</f>
        <v/>
      </c>
      <c r="E1096">
        <f>IF(A1096="","",IF(SUMPRODUCT((Ввод!$F$12:$F$31&lt;&gt;"")*(Ввод!$F$12:$F$31&lt;=A1096)*(Ввод!$G$12:$G$31&gt;=A1096))&gt;0,1,0))</f>
        <v/>
      </c>
      <c r="F1096">
        <f>IF(OR(A1096="",B1096=""),"",IF(E1096=1,0,D1096*B1096/100/C1096))</f>
        <v/>
      </c>
      <c r="G1096">
        <f>IF(A1096="","",IF(OR(B1096&lt;&gt;B1095,C1096&lt;&gt;C1095,D1096&lt;&gt;D1095,E1096&lt;&gt;E1095),G1095+1,G1095))</f>
        <v/>
      </c>
    </row>
    <row r="1097">
      <c r="A1097" s="14">
        <f>IF(OR(NOT(ISNUMBER(Ввод!$B$5)),NOT(ISNUMBER(Ввод!$B$6))),"",IF(Ввод!$B$5+1095&gt;Ввод!$B$6,"",Ввод!$B$5+1095))</f>
        <v/>
      </c>
      <c r="B1097">
        <f>IF(A1097="","",IFERROR(INDEX(Ввод!$B$12:$B$71,MATCH(A1097,Ввод!$D$12:$D$71,1)),""))</f>
        <v/>
      </c>
      <c r="C1097">
        <f>IF(A1097="","",DATE(YEAR(A1097),12,31)-DATE(YEAR(A1097),1,1)+1)</f>
        <v/>
      </c>
      <c r="D1097">
        <f>IF(A1097="","",Ввод!$B$4-SUMIF(Оплаты!$A$6:$A$505,"&lt;"&amp;A1097,Оплаты!$B$6:$B$505))</f>
        <v/>
      </c>
      <c r="E1097">
        <f>IF(A1097="","",IF(SUMPRODUCT((Ввод!$F$12:$F$31&lt;&gt;"")*(Ввод!$F$12:$F$31&lt;=A1097)*(Ввод!$G$12:$G$31&gt;=A1097))&gt;0,1,0))</f>
        <v/>
      </c>
      <c r="F1097">
        <f>IF(OR(A1097="",B1097=""),"",IF(E1097=1,0,D1097*B1097/100/C1097))</f>
        <v/>
      </c>
      <c r="G1097">
        <f>IF(A1097="","",IF(OR(B1097&lt;&gt;B1096,C1097&lt;&gt;C1096,D1097&lt;&gt;D1096,E1097&lt;&gt;E1096),G1096+1,G1096))</f>
        <v/>
      </c>
    </row>
    <row r="1098">
      <c r="A1098" s="14">
        <f>IF(OR(NOT(ISNUMBER(Ввод!$B$5)),NOT(ISNUMBER(Ввод!$B$6))),"",IF(Ввод!$B$5+1096&gt;Ввод!$B$6,"",Ввод!$B$5+1096))</f>
        <v/>
      </c>
      <c r="B1098">
        <f>IF(A1098="","",IFERROR(INDEX(Ввод!$B$12:$B$71,MATCH(A1098,Ввод!$D$12:$D$71,1)),""))</f>
        <v/>
      </c>
      <c r="C1098">
        <f>IF(A1098="","",DATE(YEAR(A1098),12,31)-DATE(YEAR(A1098),1,1)+1)</f>
        <v/>
      </c>
      <c r="D1098">
        <f>IF(A1098="","",Ввод!$B$4-SUMIF(Оплаты!$A$6:$A$505,"&lt;"&amp;A1098,Оплаты!$B$6:$B$505))</f>
        <v/>
      </c>
      <c r="E1098">
        <f>IF(A1098="","",IF(SUMPRODUCT((Ввод!$F$12:$F$31&lt;&gt;"")*(Ввод!$F$12:$F$31&lt;=A1098)*(Ввод!$G$12:$G$31&gt;=A1098))&gt;0,1,0))</f>
        <v/>
      </c>
      <c r="F1098">
        <f>IF(OR(A1098="",B1098=""),"",IF(E1098=1,0,D1098*B1098/100/C1098))</f>
        <v/>
      </c>
      <c r="G1098">
        <f>IF(A1098="","",IF(OR(B1098&lt;&gt;B1097,C1098&lt;&gt;C1097,D1098&lt;&gt;D1097,E1098&lt;&gt;E1097),G1097+1,G1097))</f>
        <v/>
      </c>
    </row>
    <row r="1099">
      <c r="A1099" s="14">
        <f>IF(OR(NOT(ISNUMBER(Ввод!$B$5)),NOT(ISNUMBER(Ввод!$B$6))),"",IF(Ввод!$B$5+1097&gt;Ввод!$B$6,"",Ввод!$B$5+1097))</f>
        <v/>
      </c>
      <c r="B1099">
        <f>IF(A1099="","",IFERROR(INDEX(Ввод!$B$12:$B$71,MATCH(A1099,Ввод!$D$12:$D$71,1)),""))</f>
        <v/>
      </c>
      <c r="C1099">
        <f>IF(A1099="","",DATE(YEAR(A1099),12,31)-DATE(YEAR(A1099),1,1)+1)</f>
        <v/>
      </c>
      <c r="D1099">
        <f>IF(A1099="","",Ввод!$B$4-SUMIF(Оплаты!$A$6:$A$505,"&lt;"&amp;A1099,Оплаты!$B$6:$B$505))</f>
        <v/>
      </c>
      <c r="E1099">
        <f>IF(A1099="","",IF(SUMPRODUCT((Ввод!$F$12:$F$31&lt;&gt;"")*(Ввод!$F$12:$F$31&lt;=A1099)*(Ввод!$G$12:$G$31&gt;=A1099))&gt;0,1,0))</f>
        <v/>
      </c>
      <c r="F1099">
        <f>IF(OR(A1099="",B1099=""),"",IF(E1099=1,0,D1099*B1099/100/C1099))</f>
        <v/>
      </c>
      <c r="G1099">
        <f>IF(A1099="","",IF(OR(B1099&lt;&gt;B1098,C1099&lt;&gt;C1098,D1099&lt;&gt;D1098,E1099&lt;&gt;E1098),G1098+1,G1098))</f>
        <v/>
      </c>
    </row>
    <row r="1100">
      <c r="A1100" s="14">
        <f>IF(OR(NOT(ISNUMBER(Ввод!$B$5)),NOT(ISNUMBER(Ввод!$B$6))),"",IF(Ввод!$B$5+1098&gt;Ввод!$B$6,"",Ввод!$B$5+1098))</f>
        <v/>
      </c>
      <c r="B1100">
        <f>IF(A1100="","",IFERROR(INDEX(Ввод!$B$12:$B$71,MATCH(A1100,Ввод!$D$12:$D$71,1)),""))</f>
        <v/>
      </c>
      <c r="C1100">
        <f>IF(A1100="","",DATE(YEAR(A1100),12,31)-DATE(YEAR(A1100),1,1)+1)</f>
        <v/>
      </c>
      <c r="D1100">
        <f>IF(A1100="","",Ввод!$B$4-SUMIF(Оплаты!$A$6:$A$505,"&lt;"&amp;A1100,Оплаты!$B$6:$B$505))</f>
        <v/>
      </c>
      <c r="E1100">
        <f>IF(A1100="","",IF(SUMPRODUCT((Ввод!$F$12:$F$31&lt;&gt;"")*(Ввод!$F$12:$F$31&lt;=A1100)*(Ввод!$G$12:$G$31&gt;=A1100))&gt;0,1,0))</f>
        <v/>
      </c>
      <c r="F1100">
        <f>IF(OR(A1100="",B1100=""),"",IF(E1100=1,0,D1100*B1100/100/C1100))</f>
        <v/>
      </c>
      <c r="G1100">
        <f>IF(A1100="","",IF(OR(B1100&lt;&gt;B1099,C1100&lt;&gt;C1099,D1100&lt;&gt;D1099,E1100&lt;&gt;E1099),G1099+1,G1099))</f>
        <v/>
      </c>
    </row>
    <row r="1101">
      <c r="A1101" s="14">
        <f>IF(OR(NOT(ISNUMBER(Ввод!$B$5)),NOT(ISNUMBER(Ввод!$B$6))),"",IF(Ввод!$B$5+1099&gt;Ввод!$B$6,"",Ввод!$B$5+1099))</f>
        <v/>
      </c>
      <c r="B1101">
        <f>IF(A1101="","",IFERROR(INDEX(Ввод!$B$12:$B$71,MATCH(A1101,Ввод!$D$12:$D$71,1)),""))</f>
        <v/>
      </c>
      <c r="C1101">
        <f>IF(A1101="","",DATE(YEAR(A1101),12,31)-DATE(YEAR(A1101),1,1)+1)</f>
        <v/>
      </c>
      <c r="D1101">
        <f>IF(A1101="","",Ввод!$B$4-SUMIF(Оплаты!$A$6:$A$505,"&lt;"&amp;A1101,Оплаты!$B$6:$B$505))</f>
        <v/>
      </c>
      <c r="E1101">
        <f>IF(A1101="","",IF(SUMPRODUCT((Ввод!$F$12:$F$31&lt;&gt;"")*(Ввод!$F$12:$F$31&lt;=A1101)*(Ввод!$G$12:$G$31&gt;=A1101))&gt;0,1,0))</f>
        <v/>
      </c>
      <c r="F1101">
        <f>IF(OR(A1101="",B1101=""),"",IF(E1101=1,0,D1101*B1101/100/C1101))</f>
        <v/>
      </c>
      <c r="G1101">
        <f>IF(A1101="","",IF(OR(B1101&lt;&gt;B1100,C1101&lt;&gt;C1100,D1101&lt;&gt;D1100,E1101&lt;&gt;E1100),G1100+1,G1100))</f>
        <v/>
      </c>
    </row>
    <row r="1102">
      <c r="A1102" s="14">
        <f>IF(OR(NOT(ISNUMBER(Ввод!$B$5)),NOT(ISNUMBER(Ввод!$B$6))),"",IF(Ввод!$B$5+1100&gt;Ввод!$B$6,"",Ввод!$B$5+1100))</f>
        <v/>
      </c>
      <c r="B1102">
        <f>IF(A1102="","",IFERROR(INDEX(Ввод!$B$12:$B$71,MATCH(A1102,Ввод!$D$12:$D$71,1)),""))</f>
        <v/>
      </c>
      <c r="C1102">
        <f>IF(A1102="","",DATE(YEAR(A1102),12,31)-DATE(YEAR(A1102),1,1)+1)</f>
        <v/>
      </c>
      <c r="D1102">
        <f>IF(A1102="","",Ввод!$B$4-SUMIF(Оплаты!$A$6:$A$505,"&lt;"&amp;A1102,Оплаты!$B$6:$B$505))</f>
        <v/>
      </c>
      <c r="E1102">
        <f>IF(A1102="","",IF(SUMPRODUCT((Ввод!$F$12:$F$31&lt;&gt;"")*(Ввод!$F$12:$F$31&lt;=A1102)*(Ввод!$G$12:$G$31&gt;=A1102))&gt;0,1,0))</f>
        <v/>
      </c>
      <c r="F1102">
        <f>IF(OR(A1102="",B1102=""),"",IF(E1102=1,0,D1102*B1102/100/C1102))</f>
        <v/>
      </c>
      <c r="G1102">
        <f>IF(A1102="","",IF(OR(B1102&lt;&gt;B1101,C1102&lt;&gt;C1101,D1102&lt;&gt;D1101,E1102&lt;&gt;E1101),G1101+1,G1101))</f>
        <v/>
      </c>
    </row>
    <row r="1103">
      <c r="A1103" s="14">
        <f>IF(OR(NOT(ISNUMBER(Ввод!$B$5)),NOT(ISNUMBER(Ввод!$B$6))),"",IF(Ввод!$B$5+1101&gt;Ввод!$B$6,"",Ввод!$B$5+1101))</f>
        <v/>
      </c>
      <c r="B1103">
        <f>IF(A1103="","",IFERROR(INDEX(Ввод!$B$12:$B$71,MATCH(A1103,Ввод!$D$12:$D$71,1)),""))</f>
        <v/>
      </c>
      <c r="C1103">
        <f>IF(A1103="","",DATE(YEAR(A1103),12,31)-DATE(YEAR(A1103),1,1)+1)</f>
        <v/>
      </c>
      <c r="D1103">
        <f>IF(A1103="","",Ввод!$B$4-SUMIF(Оплаты!$A$6:$A$505,"&lt;"&amp;A1103,Оплаты!$B$6:$B$505))</f>
        <v/>
      </c>
      <c r="E1103">
        <f>IF(A1103="","",IF(SUMPRODUCT((Ввод!$F$12:$F$31&lt;&gt;"")*(Ввод!$F$12:$F$31&lt;=A1103)*(Ввод!$G$12:$G$31&gt;=A1103))&gt;0,1,0))</f>
        <v/>
      </c>
      <c r="F1103">
        <f>IF(OR(A1103="",B1103=""),"",IF(E1103=1,0,D1103*B1103/100/C1103))</f>
        <v/>
      </c>
      <c r="G1103">
        <f>IF(A1103="","",IF(OR(B1103&lt;&gt;B1102,C1103&lt;&gt;C1102,D1103&lt;&gt;D1102,E1103&lt;&gt;E1102),G1102+1,G1102))</f>
        <v/>
      </c>
    </row>
    <row r="1104">
      <c r="A1104" s="14">
        <f>IF(OR(NOT(ISNUMBER(Ввод!$B$5)),NOT(ISNUMBER(Ввод!$B$6))),"",IF(Ввод!$B$5+1102&gt;Ввод!$B$6,"",Ввод!$B$5+1102))</f>
        <v/>
      </c>
      <c r="B1104">
        <f>IF(A1104="","",IFERROR(INDEX(Ввод!$B$12:$B$71,MATCH(A1104,Ввод!$D$12:$D$71,1)),""))</f>
        <v/>
      </c>
      <c r="C1104">
        <f>IF(A1104="","",DATE(YEAR(A1104),12,31)-DATE(YEAR(A1104),1,1)+1)</f>
        <v/>
      </c>
      <c r="D1104">
        <f>IF(A1104="","",Ввод!$B$4-SUMIF(Оплаты!$A$6:$A$505,"&lt;"&amp;A1104,Оплаты!$B$6:$B$505))</f>
        <v/>
      </c>
      <c r="E1104">
        <f>IF(A1104="","",IF(SUMPRODUCT((Ввод!$F$12:$F$31&lt;&gt;"")*(Ввод!$F$12:$F$31&lt;=A1104)*(Ввод!$G$12:$G$31&gt;=A1104))&gt;0,1,0))</f>
        <v/>
      </c>
      <c r="F1104">
        <f>IF(OR(A1104="",B1104=""),"",IF(E1104=1,0,D1104*B1104/100/C1104))</f>
        <v/>
      </c>
      <c r="G1104">
        <f>IF(A1104="","",IF(OR(B1104&lt;&gt;B1103,C1104&lt;&gt;C1103,D1104&lt;&gt;D1103,E1104&lt;&gt;E1103),G1103+1,G1103))</f>
        <v/>
      </c>
    </row>
    <row r="1105">
      <c r="A1105" s="14">
        <f>IF(OR(NOT(ISNUMBER(Ввод!$B$5)),NOT(ISNUMBER(Ввод!$B$6))),"",IF(Ввод!$B$5+1103&gt;Ввод!$B$6,"",Ввод!$B$5+1103))</f>
        <v/>
      </c>
      <c r="B1105">
        <f>IF(A1105="","",IFERROR(INDEX(Ввод!$B$12:$B$71,MATCH(A1105,Ввод!$D$12:$D$71,1)),""))</f>
        <v/>
      </c>
      <c r="C1105">
        <f>IF(A1105="","",DATE(YEAR(A1105),12,31)-DATE(YEAR(A1105),1,1)+1)</f>
        <v/>
      </c>
      <c r="D1105">
        <f>IF(A1105="","",Ввод!$B$4-SUMIF(Оплаты!$A$6:$A$505,"&lt;"&amp;A1105,Оплаты!$B$6:$B$505))</f>
        <v/>
      </c>
      <c r="E1105">
        <f>IF(A1105="","",IF(SUMPRODUCT((Ввод!$F$12:$F$31&lt;&gt;"")*(Ввод!$F$12:$F$31&lt;=A1105)*(Ввод!$G$12:$G$31&gt;=A1105))&gt;0,1,0))</f>
        <v/>
      </c>
      <c r="F1105">
        <f>IF(OR(A1105="",B1105=""),"",IF(E1105=1,0,D1105*B1105/100/C1105))</f>
        <v/>
      </c>
      <c r="G1105">
        <f>IF(A1105="","",IF(OR(B1105&lt;&gt;B1104,C1105&lt;&gt;C1104,D1105&lt;&gt;D1104,E1105&lt;&gt;E1104),G1104+1,G1104))</f>
        <v/>
      </c>
    </row>
    <row r="1106">
      <c r="A1106" s="14">
        <f>IF(OR(NOT(ISNUMBER(Ввод!$B$5)),NOT(ISNUMBER(Ввод!$B$6))),"",IF(Ввод!$B$5+1104&gt;Ввод!$B$6,"",Ввод!$B$5+1104))</f>
        <v/>
      </c>
      <c r="B1106">
        <f>IF(A1106="","",IFERROR(INDEX(Ввод!$B$12:$B$71,MATCH(A1106,Ввод!$D$12:$D$71,1)),""))</f>
        <v/>
      </c>
      <c r="C1106">
        <f>IF(A1106="","",DATE(YEAR(A1106),12,31)-DATE(YEAR(A1106),1,1)+1)</f>
        <v/>
      </c>
      <c r="D1106">
        <f>IF(A1106="","",Ввод!$B$4-SUMIF(Оплаты!$A$6:$A$505,"&lt;"&amp;A1106,Оплаты!$B$6:$B$505))</f>
        <v/>
      </c>
      <c r="E1106">
        <f>IF(A1106="","",IF(SUMPRODUCT((Ввод!$F$12:$F$31&lt;&gt;"")*(Ввод!$F$12:$F$31&lt;=A1106)*(Ввод!$G$12:$G$31&gt;=A1106))&gt;0,1,0))</f>
        <v/>
      </c>
      <c r="F1106">
        <f>IF(OR(A1106="",B1106=""),"",IF(E1106=1,0,D1106*B1106/100/C1106))</f>
        <v/>
      </c>
      <c r="G1106">
        <f>IF(A1106="","",IF(OR(B1106&lt;&gt;B1105,C1106&lt;&gt;C1105,D1106&lt;&gt;D1105,E1106&lt;&gt;E1105),G1105+1,G1105))</f>
        <v/>
      </c>
    </row>
    <row r="1107">
      <c r="A1107" s="14">
        <f>IF(OR(NOT(ISNUMBER(Ввод!$B$5)),NOT(ISNUMBER(Ввод!$B$6))),"",IF(Ввод!$B$5+1105&gt;Ввод!$B$6,"",Ввод!$B$5+1105))</f>
        <v/>
      </c>
      <c r="B1107">
        <f>IF(A1107="","",IFERROR(INDEX(Ввод!$B$12:$B$71,MATCH(A1107,Ввод!$D$12:$D$71,1)),""))</f>
        <v/>
      </c>
      <c r="C1107">
        <f>IF(A1107="","",DATE(YEAR(A1107),12,31)-DATE(YEAR(A1107),1,1)+1)</f>
        <v/>
      </c>
      <c r="D1107">
        <f>IF(A1107="","",Ввод!$B$4-SUMIF(Оплаты!$A$6:$A$505,"&lt;"&amp;A1107,Оплаты!$B$6:$B$505))</f>
        <v/>
      </c>
      <c r="E1107">
        <f>IF(A1107="","",IF(SUMPRODUCT((Ввод!$F$12:$F$31&lt;&gt;"")*(Ввод!$F$12:$F$31&lt;=A1107)*(Ввод!$G$12:$G$31&gt;=A1107))&gt;0,1,0))</f>
        <v/>
      </c>
      <c r="F1107">
        <f>IF(OR(A1107="",B1107=""),"",IF(E1107=1,0,D1107*B1107/100/C1107))</f>
        <v/>
      </c>
      <c r="G1107">
        <f>IF(A1107="","",IF(OR(B1107&lt;&gt;B1106,C1107&lt;&gt;C1106,D1107&lt;&gt;D1106,E1107&lt;&gt;E1106),G1106+1,G1106))</f>
        <v/>
      </c>
    </row>
    <row r="1108">
      <c r="A1108" s="14">
        <f>IF(OR(NOT(ISNUMBER(Ввод!$B$5)),NOT(ISNUMBER(Ввод!$B$6))),"",IF(Ввод!$B$5+1106&gt;Ввод!$B$6,"",Ввод!$B$5+1106))</f>
        <v/>
      </c>
      <c r="B1108">
        <f>IF(A1108="","",IFERROR(INDEX(Ввод!$B$12:$B$71,MATCH(A1108,Ввод!$D$12:$D$71,1)),""))</f>
        <v/>
      </c>
      <c r="C1108">
        <f>IF(A1108="","",DATE(YEAR(A1108),12,31)-DATE(YEAR(A1108),1,1)+1)</f>
        <v/>
      </c>
      <c r="D1108">
        <f>IF(A1108="","",Ввод!$B$4-SUMIF(Оплаты!$A$6:$A$505,"&lt;"&amp;A1108,Оплаты!$B$6:$B$505))</f>
        <v/>
      </c>
      <c r="E1108">
        <f>IF(A1108="","",IF(SUMPRODUCT((Ввод!$F$12:$F$31&lt;&gt;"")*(Ввод!$F$12:$F$31&lt;=A1108)*(Ввод!$G$12:$G$31&gt;=A1108))&gt;0,1,0))</f>
        <v/>
      </c>
      <c r="F1108">
        <f>IF(OR(A1108="",B1108=""),"",IF(E1108=1,0,D1108*B1108/100/C1108))</f>
        <v/>
      </c>
      <c r="G1108">
        <f>IF(A1108="","",IF(OR(B1108&lt;&gt;B1107,C1108&lt;&gt;C1107,D1108&lt;&gt;D1107,E1108&lt;&gt;E1107),G1107+1,G1107))</f>
        <v/>
      </c>
    </row>
    <row r="1109">
      <c r="A1109" s="14">
        <f>IF(OR(NOT(ISNUMBER(Ввод!$B$5)),NOT(ISNUMBER(Ввод!$B$6))),"",IF(Ввод!$B$5+1107&gt;Ввод!$B$6,"",Ввод!$B$5+1107))</f>
        <v/>
      </c>
      <c r="B1109">
        <f>IF(A1109="","",IFERROR(INDEX(Ввод!$B$12:$B$71,MATCH(A1109,Ввод!$D$12:$D$71,1)),""))</f>
        <v/>
      </c>
      <c r="C1109">
        <f>IF(A1109="","",DATE(YEAR(A1109),12,31)-DATE(YEAR(A1109),1,1)+1)</f>
        <v/>
      </c>
      <c r="D1109">
        <f>IF(A1109="","",Ввод!$B$4-SUMIF(Оплаты!$A$6:$A$505,"&lt;"&amp;A1109,Оплаты!$B$6:$B$505))</f>
        <v/>
      </c>
      <c r="E1109">
        <f>IF(A1109="","",IF(SUMPRODUCT((Ввод!$F$12:$F$31&lt;&gt;"")*(Ввод!$F$12:$F$31&lt;=A1109)*(Ввод!$G$12:$G$31&gt;=A1109))&gt;0,1,0))</f>
        <v/>
      </c>
      <c r="F1109">
        <f>IF(OR(A1109="",B1109=""),"",IF(E1109=1,0,D1109*B1109/100/C1109))</f>
        <v/>
      </c>
      <c r="G1109">
        <f>IF(A1109="","",IF(OR(B1109&lt;&gt;B1108,C1109&lt;&gt;C1108,D1109&lt;&gt;D1108,E1109&lt;&gt;E1108),G1108+1,G1108))</f>
        <v/>
      </c>
    </row>
    <row r="1110">
      <c r="A1110" s="14">
        <f>IF(OR(NOT(ISNUMBER(Ввод!$B$5)),NOT(ISNUMBER(Ввод!$B$6))),"",IF(Ввод!$B$5+1108&gt;Ввод!$B$6,"",Ввод!$B$5+1108))</f>
        <v/>
      </c>
      <c r="B1110">
        <f>IF(A1110="","",IFERROR(INDEX(Ввод!$B$12:$B$71,MATCH(A1110,Ввод!$D$12:$D$71,1)),""))</f>
        <v/>
      </c>
      <c r="C1110">
        <f>IF(A1110="","",DATE(YEAR(A1110),12,31)-DATE(YEAR(A1110),1,1)+1)</f>
        <v/>
      </c>
      <c r="D1110">
        <f>IF(A1110="","",Ввод!$B$4-SUMIF(Оплаты!$A$6:$A$505,"&lt;"&amp;A1110,Оплаты!$B$6:$B$505))</f>
        <v/>
      </c>
      <c r="E1110">
        <f>IF(A1110="","",IF(SUMPRODUCT((Ввод!$F$12:$F$31&lt;&gt;"")*(Ввод!$F$12:$F$31&lt;=A1110)*(Ввод!$G$12:$G$31&gt;=A1110))&gt;0,1,0))</f>
        <v/>
      </c>
      <c r="F1110">
        <f>IF(OR(A1110="",B1110=""),"",IF(E1110=1,0,D1110*B1110/100/C1110))</f>
        <v/>
      </c>
      <c r="G1110">
        <f>IF(A1110="","",IF(OR(B1110&lt;&gt;B1109,C1110&lt;&gt;C1109,D1110&lt;&gt;D1109,E1110&lt;&gt;E1109),G1109+1,G1109))</f>
        <v/>
      </c>
    </row>
    <row r="1111">
      <c r="A1111" s="14">
        <f>IF(OR(NOT(ISNUMBER(Ввод!$B$5)),NOT(ISNUMBER(Ввод!$B$6))),"",IF(Ввод!$B$5+1109&gt;Ввод!$B$6,"",Ввод!$B$5+1109))</f>
        <v/>
      </c>
      <c r="B1111">
        <f>IF(A1111="","",IFERROR(INDEX(Ввод!$B$12:$B$71,MATCH(A1111,Ввод!$D$12:$D$71,1)),""))</f>
        <v/>
      </c>
      <c r="C1111">
        <f>IF(A1111="","",DATE(YEAR(A1111),12,31)-DATE(YEAR(A1111),1,1)+1)</f>
        <v/>
      </c>
      <c r="D1111">
        <f>IF(A1111="","",Ввод!$B$4-SUMIF(Оплаты!$A$6:$A$505,"&lt;"&amp;A1111,Оплаты!$B$6:$B$505))</f>
        <v/>
      </c>
      <c r="E1111">
        <f>IF(A1111="","",IF(SUMPRODUCT((Ввод!$F$12:$F$31&lt;&gt;"")*(Ввод!$F$12:$F$31&lt;=A1111)*(Ввод!$G$12:$G$31&gt;=A1111))&gt;0,1,0))</f>
        <v/>
      </c>
      <c r="F1111">
        <f>IF(OR(A1111="",B1111=""),"",IF(E1111=1,0,D1111*B1111/100/C1111))</f>
        <v/>
      </c>
      <c r="G1111">
        <f>IF(A1111="","",IF(OR(B1111&lt;&gt;B1110,C1111&lt;&gt;C1110,D1111&lt;&gt;D1110,E1111&lt;&gt;E1110),G1110+1,G1110))</f>
        <v/>
      </c>
    </row>
    <row r="1112">
      <c r="A1112" s="14">
        <f>IF(OR(NOT(ISNUMBER(Ввод!$B$5)),NOT(ISNUMBER(Ввод!$B$6))),"",IF(Ввод!$B$5+1110&gt;Ввод!$B$6,"",Ввод!$B$5+1110))</f>
        <v/>
      </c>
      <c r="B1112">
        <f>IF(A1112="","",IFERROR(INDEX(Ввод!$B$12:$B$71,MATCH(A1112,Ввод!$D$12:$D$71,1)),""))</f>
        <v/>
      </c>
      <c r="C1112">
        <f>IF(A1112="","",DATE(YEAR(A1112),12,31)-DATE(YEAR(A1112),1,1)+1)</f>
        <v/>
      </c>
      <c r="D1112">
        <f>IF(A1112="","",Ввод!$B$4-SUMIF(Оплаты!$A$6:$A$505,"&lt;"&amp;A1112,Оплаты!$B$6:$B$505))</f>
        <v/>
      </c>
      <c r="E1112">
        <f>IF(A1112="","",IF(SUMPRODUCT((Ввод!$F$12:$F$31&lt;&gt;"")*(Ввод!$F$12:$F$31&lt;=A1112)*(Ввод!$G$12:$G$31&gt;=A1112))&gt;0,1,0))</f>
        <v/>
      </c>
      <c r="F1112">
        <f>IF(OR(A1112="",B1112=""),"",IF(E1112=1,0,D1112*B1112/100/C1112))</f>
        <v/>
      </c>
      <c r="G1112">
        <f>IF(A1112="","",IF(OR(B1112&lt;&gt;B1111,C1112&lt;&gt;C1111,D1112&lt;&gt;D1111,E1112&lt;&gt;E1111),G1111+1,G1111))</f>
        <v/>
      </c>
    </row>
    <row r="1113">
      <c r="A1113" s="14">
        <f>IF(OR(NOT(ISNUMBER(Ввод!$B$5)),NOT(ISNUMBER(Ввод!$B$6))),"",IF(Ввод!$B$5+1111&gt;Ввод!$B$6,"",Ввод!$B$5+1111))</f>
        <v/>
      </c>
      <c r="B1113">
        <f>IF(A1113="","",IFERROR(INDEX(Ввод!$B$12:$B$71,MATCH(A1113,Ввод!$D$12:$D$71,1)),""))</f>
        <v/>
      </c>
      <c r="C1113">
        <f>IF(A1113="","",DATE(YEAR(A1113),12,31)-DATE(YEAR(A1113),1,1)+1)</f>
        <v/>
      </c>
      <c r="D1113">
        <f>IF(A1113="","",Ввод!$B$4-SUMIF(Оплаты!$A$6:$A$505,"&lt;"&amp;A1113,Оплаты!$B$6:$B$505))</f>
        <v/>
      </c>
      <c r="E1113">
        <f>IF(A1113="","",IF(SUMPRODUCT((Ввод!$F$12:$F$31&lt;&gt;"")*(Ввод!$F$12:$F$31&lt;=A1113)*(Ввод!$G$12:$G$31&gt;=A1113))&gt;0,1,0))</f>
        <v/>
      </c>
      <c r="F1113">
        <f>IF(OR(A1113="",B1113=""),"",IF(E1113=1,0,D1113*B1113/100/C1113))</f>
        <v/>
      </c>
      <c r="G1113">
        <f>IF(A1113="","",IF(OR(B1113&lt;&gt;B1112,C1113&lt;&gt;C1112,D1113&lt;&gt;D1112,E1113&lt;&gt;E1112),G1112+1,G1112))</f>
        <v/>
      </c>
    </row>
    <row r="1114">
      <c r="A1114" s="14">
        <f>IF(OR(NOT(ISNUMBER(Ввод!$B$5)),NOT(ISNUMBER(Ввод!$B$6))),"",IF(Ввод!$B$5+1112&gt;Ввод!$B$6,"",Ввод!$B$5+1112))</f>
        <v/>
      </c>
      <c r="B1114">
        <f>IF(A1114="","",IFERROR(INDEX(Ввод!$B$12:$B$71,MATCH(A1114,Ввод!$D$12:$D$71,1)),""))</f>
        <v/>
      </c>
      <c r="C1114">
        <f>IF(A1114="","",DATE(YEAR(A1114),12,31)-DATE(YEAR(A1114),1,1)+1)</f>
        <v/>
      </c>
      <c r="D1114">
        <f>IF(A1114="","",Ввод!$B$4-SUMIF(Оплаты!$A$6:$A$505,"&lt;"&amp;A1114,Оплаты!$B$6:$B$505))</f>
        <v/>
      </c>
      <c r="E1114">
        <f>IF(A1114="","",IF(SUMPRODUCT((Ввод!$F$12:$F$31&lt;&gt;"")*(Ввод!$F$12:$F$31&lt;=A1114)*(Ввод!$G$12:$G$31&gt;=A1114))&gt;0,1,0))</f>
        <v/>
      </c>
      <c r="F1114">
        <f>IF(OR(A1114="",B1114=""),"",IF(E1114=1,0,D1114*B1114/100/C1114))</f>
        <v/>
      </c>
      <c r="G1114">
        <f>IF(A1114="","",IF(OR(B1114&lt;&gt;B1113,C1114&lt;&gt;C1113,D1114&lt;&gt;D1113,E1114&lt;&gt;E1113),G1113+1,G1113))</f>
        <v/>
      </c>
    </row>
    <row r="1115">
      <c r="A1115" s="14">
        <f>IF(OR(NOT(ISNUMBER(Ввод!$B$5)),NOT(ISNUMBER(Ввод!$B$6))),"",IF(Ввод!$B$5+1113&gt;Ввод!$B$6,"",Ввод!$B$5+1113))</f>
        <v/>
      </c>
      <c r="B1115">
        <f>IF(A1115="","",IFERROR(INDEX(Ввод!$B$12:$B$71,MATCH(A1115,Ввод!$D$12:$D$71,1)),""))</f>
        <v/>
      </c>
      <c r="C1115">
        <f>IF(A1115="","",DATE(YEAR(A1115),12,31)-DATE(YEAR(A1115),1,1)+1)</f>
        <v/>
      </c>
      <c r="D1115">
        <f>IF(A1115="","",Ввод!$B$4-SUMIF(Оплаты!$A$6:$A$505,"&lt;"&amp;A1115,Оплаты!$B$6:$B$505))</f>
        <v/>
      </c>
      <c r="E1115">
        <f>IF(A1115="","",IF(SUMPRODUCT((Ввод!$F$12:$F$31&lt;&gt;"")*(Ввод!$F$12:$F$31&lt;=A1115)*(Ввод!$G$12:$G$31&gt;=A1115))&gt;0,1,0))</f>
        <v/>
      </c>
      <c r="F1115">
        <f>IF(OR(A1115="",B1115=""),"",IF(E1115=1,0,D1115*B1115/100/C1115))</f>
        <v/>
      </c>
      <c r="G1115">
        <f>IF(A1115="","",IF(OR(B1115&lt;&gt;B1114,C1115&lt;&gt;C1114,D1115&lt;&gt;D1114,E1115&lt;&gt;E1114),G1114+1,G1114))</f>
        <v/>
      </c>
    </row>
    <row r="1116">
      <c r="A1116" s="14">
        <f>IF(OR(NOT(ISNUMBER(Ввод!$B$5)),NOT(ISNUMBER(Ввод!$B$6))),"",IF(Ввод!$B$5+1114&gt;Ввод!$B$6,"",Ввод!$B$5+1114))</f>
        <v/>
      </c>
      <c r="B1116">
        <f>IF(A1116="","",IFERROR(INDEX(Ввод!$B$12:$B$71,MATCH(A1116,Ввод!$D$12:$D$71,1)),""))</f>
        <v/>
      </c>
      <c r="C1116">
        <f>IF(A1116="","",DATE(YEAR(A1116),12,31)-DATE(YEAR(A1116),1,1)+1)</f>
        <v/>
      </c>
      <c r="D1116">
        <f>IF(A1116="","",Ввод!$B$4-SUMIF(Оплаты!$A$6:$A$505,"&lt;"&amp;A1116,Оплаты!$B$6:$B$505))</f>
        <v/>
      </c>
      <c r="E1116">
        <f>IF(A1116="","",IF(SUMPRODUCT((Ввод!$F$12:$F$31&lt;&gt;"")*(Ввод!$F$12:$F$31&lt;=A1116)*(Ввод!$G$12:$G$31&gt;=A1116))&gt;0,1,0))</f>
        <v/>
      </c>
      <c r="F1116">
        <f>IF(OR(A1116="",B1116=""),"",IF(E1116=1,0,D1116*B1116/100/C1116))</f>
        <v/>
      </c>
      <c r="G1116">
        <f>IF(A1116="","",IF(OR(B1116&lt;&gt;B1115,C1116&lt;&gt;C1115,D1116&lt;&gt;D1115,E1116&lt;&gt;E1115),G1115+1,G1115))</f>
        <v/>
      </c>
    </row>
    <row r="1117">
      <c r="A1117" s="14">
        <f>IF(OR(NOT(ISNUMBER(Ввод!$B$5)),NOT(ISNUMBER(Ввод!$B$6))),"",IF(Ввод!$B$5+1115&gt;Ввод!$B$6,"",Ввод!$B$5+1115))</f>
        <v/>
      </c>
      <c r="B1117">
        <f>IF(A1117="","",IFERROR(INDEX(Ввод!$B$12:$B$71,MATCH(A1117,Ввод!$D$12:$D$71,1)),""))</f>
        <v/>
      </c>
      <c r="C1117">
        <f>IF(A1117="","",DATE(YEAR(A1117),12,31)-DATE(YEAR(A1117),1,1)+1)</f>
        <v/>
      </c>
      <c r="D1117">
        <f>IF(A1117="","",Ввод!$B$4-SUMIF(Оплаты!$A$6:$A$505,"&lt;"&amp;A1117,Оплаты!$B$6:$B$505))</f>
        <v/>
      </c>
      <c r="E1117">
        <f>IF(A1117="","",IF(SUMPRODUCT((Ввод!$F$12:$F$31&lt;&gt;"")*(Ввод!$F$12:$F$31&lt;=A1117)*(Ввод!$G$12:$G$31&gt;=A1117))&gt;0,1,0))</f>
        <v/>
      </c>
      <c r="F1117">
        <f>IF(OR(A1117="",B1117=""),"",IF(E1117=1,0,D1117*B1117/100/C1117))</f>
        <v/>
      </c>
      <c r="G1117">
        <f>IF(A1117="","",IF(OR(B1117&lt;&gt;B1116,C1117&lt;&gt;C1116,D1117&lt;&gt;D1116,E1117&lt;&gt;E1116),G1116+1,G1116))</f>
        <v/>
      </c>
    </row>
    <row r="1118">
      <c r="A1118" s="14">
        <f>IF(OR(NOT(ISNUMBER(Ввод!$B$5)),NOT(ISNUMBER(Ввод!$B$6))),"",IF(Ввод!$B$5+1116&gt;Ввод!$B$6,"",Ввод!$B$5+1116))</f>
        <v/>
      </c>
      <c r="B1118">
        <f>IF(A1118="","",IFERROR(INDEX(Ввод!$B$12:$B$71,MATCH(A1118,Ввод!$D$12:$D$71,1)),""))</f>
        <v/>
      </c>
      <c r="C1118">
        <f>IF(A1118="","",DATE(YEAR(A1118),12,31)-DATE(YEAR(A1118),1,1)+1)</f>
        <v/>
      </c>
      <c r="D1118">
        <f>IF(A1118="","",Ввод!$B$4-SUMIF(Оплаты!$A$6:$A$505,"&lt;"&amp;A1118,Оплаты!$B$6:$B$505))</f>
        <v/>
      </c>
      <c r="E1118">
        <f>IF(A1118="","",IF(SUMPRODUCT((Ввод!$F$12:$F$31&lt;&gt;"")*(Ввод!$F$12:$F$31&lt;=A1118)*(Ввод!$G$12:$G$31&gt;=A1118))&gt;0,1,0))</f>
        <v/>
      </c>
      <c r="F1118">
        <f>IF(OR(A1118="",B1118=""),"",IF(E1118=1,0,D1118*B1118/100/C1118))</f>
        <v/>
      </c>
      <c r="G1118">
        <f>IF(A1118="","",IF(OR(B1118&lt;&gt;B1117,C1118&lt;&gt;C1117,D1118&lt;&gt;D1117,E1118&lt;&gt;E1117),G1117+1,G1117))</f>
        <v/>
      </c>
    </row>
    <row r="1119">
      <c r="A1119" s="14">
        <f>IF(OR(NOT(ISNUMBER(Ввод!$B$5)),NOT(ISNUMBER(Ввод!$B$6))),"",IF(Ввод!$B$5+1117&gt;Ввод!$B$6,"",Ввод!$B$5+1117))</f>
        <v/>
      </c>
      <c r="B1119">
        <f>IF(A1119="","",IFERROR(INDEX(Ввод!$B$12:$B$71,MATCH(A1119,Ввод!$D$12:$D$71,1)),""))</f>
        <v/>
      </c>
      <c r="C1119">
        <f>IF(A1119="","",DATE(YEAR(A1119),12,31)-DATE(YEAR(A1119),1,1)+1)</f>
        <v/>
      </c>
      <c r="D1119">
        <f>IF(A1119="","",Ввод!$B$4-SUMIF(Оплаты!$A$6:$A$505,"&lt;"&amp;A1119,Оплаты!$B$6:$B$505))</f>
        <v/>
      </c>
      <c r="E1119">
        <f>IF(A1119="","",IF(SUMPRODUCT((Ввод!$F$12:$F$31&lt;&gt;"")*(Ввод!$F$12:$F$31&lt;=A1119)*(Ввод!$G$12:$G$31&gt;=A1119))&gt;0,1,0))</f>
        <v/>
      </c>
      <c r="F1119">
        <f>IF(OR(A1119="",B1119=""),"",IF(E1119=1,0,D1119*B1119/100/C1119))</f>
        <v/>
      </c>
      <c r="G1119">
        <f>IF(A1119="","",IF(OR(B1119&lt;&gt;B1118,C1119&lt;&gt;C1118,D1119&lt;&gt;D1118,E1119&lt;&gt;E1118),G1118+1,G1118))</f>
        <v/>
      </c>
    </row>
    <row r="1120">
      <c r="A1120" s="14">
        <f>IF(OR(NOT(ISNUMBER(Ввод!$B$5)),NOT(ISNUMBER(Ввод!$B$6))),"",IF(Ввод!$B$5+1118&gt;Ввод!$B$6,"",Ввод!$B$5+1118))</f>
        <v/>
      </c>
      <c r="B1120">
        <f>IF(A1120="","",IFERROR(INDEX(Ввод!$B$12:$B$71,MATCH(A1120,Ввод!$D$12:$D$71,1)),""))</f>
        <v/>
      </c>
      <c r="C1120">
        <f>IF(A1120="","",DATE(YEAR(A1120),12,31)-DATE(YEAR(A1120),1,1)+1)</f>
        <v/>
      </c>
      <c r="D1120">
        <f>IF(A1120="","",Ввод!$B$4-SUMIF(Оплаты!$A$6:$A$505,"&lt;"&amp;A1120,Оплаты!$B$6:$B$505))</f>
        <v/>
      </c>
      <c r="E1120">
        <f>IF(A1120="","",IF(SUMPRODUCT((Ввод!$F$12:$F$31&lt;&gt;"")*(Ввод!$F$12:$F$31&lt;=A1120)*(Ввод!$G$12:$G$31&gt;=A1120))&gt;0,1,0))</f>
        <v/>
      </c>
      <c r="F1120">
        <f>IF(OR(A1120="",B1120=""),"",IF(E1120=1,0,D1120*B1120/100/C1120))</f>
        <v/>
      </c>
      <c r="G1120">
        <f>IF(A1120="","",IF(OR(B1120&lt;&gt;B1119,C1120&lt;&gt;C1119,D1120&lt;&gt;D1119,E1120&lt;&gt;E1119),G1119+1,G1119))</f>
        <v/>
      </c>
    </row>
    <row r="1121">
      <c r="A1121" s="14">
        <f>IF(OR(NOT(ISNUMBER(Ввод!$B$5)),NOT(ISNUMBER(Ввод!$B$6))),"",IF(Ввод!$B$5+1119&gt;Ввод!$B$6,"",Ввод!$B$5+1119))</f>
        <v/>
      </c>
      <c r="B1121">
        <f>IF(A1121="","",IFERROR(INDEX(Ввод!$B$12:$B$71,MATCH(A1121,Ввод!$D$12:$D$71,1)),""))</f>
        <v/>
      </c>
      <c r="C1121">
        <f>IF(A1121="","",DATE(YEAR(A1121),12,31)-DATE(YEAR(A1121),1,1)+1)</f>
        <v/>
      </c>
      <c r="D1121">
        <f>IF(A1121="","",Ввод!$B$4-SUMIF(Оплаты!$A$6:$A$505,"&lt;"&amp;A1121,Оплаты!$B$6:$B$505))</f>
        <v/>
      </c>
      <c r="E1121">
        <f>IF(A1121="","",IF(SUMPRODUCT((Ввод!$F$12:$F$31&lt;&gt;"")*(Ввод!$F$12:$F$31&lt;=A1121)*(Ввод!$G$12:$G$31&gt;=A1121))&gt;0,1,0))</f>
        <v/>
      </c>
      <c r="F1121">
        <f>IF(OR(A1121="",B1121=""),"",IF(E1121=1,0,D1121*B1121/100/C1121))</f>
        <v/>
      </c>
      <c r="G1121">
        <f>IF(A1121="","",IF(OR(B1121&lt;&gt;B1120,C1121&lt;&gt;C1120,D1121&lt;&gt;D1120,E1121&lt;&gt;E1120),G1120+1,G1120))</f>
        <v/>
      </c>
    </row>
    <row r="1122">
      <c r="A1122" s="14">
        <f>IF(OR(NOT(ISNUMBER(Ввод!$B$5)),NOT(ISNUMBER(Ввод!$B$6))),"",IF(Ввод!$B$5+1120&gt;Ввод!$B$6,"",Ввод!$B$5+1120))</f>
        <v/>
      </c>
      <c r="B1122">
        <f>IF(A1122="","",IFERROR(INDEX(Ввод!$B$12:$B$71,MATCH(A1122,Ввод!$D$12:$D$71,1)),""))</f>
        <v/>
      </c>
      <c r="C1122">
        <f>IF(A1122="","",DATE(YEAR(A1122),12,31)-DATE(YEAR(A1122),1,1)+1)</f>
        <v/>
      </c>
      <c r="D1122">
        <f>IF(A1122="","",Ввод!$B$4-SUMIF(Оплаты!$A$6:$A$505,"&lt;"&amp;A1122,Оплаты!$B$6:$B$505))</f>
        <v/>
      </c>
      <c r="E1122">
        <f>IF(A1122="","",IF(SUMPRODUCT((Ввод!$F$12:$F$31&lt;&gt;"")*(Ввод!$F$12:$F$31&lt;=A1122)*(Ввод!$G$12:$G$31&gt;=A1122))&gt;0,1,0))</f>
        <v/>
      </c>
      <c r="F1122">
        <f>IF(OR(A1122="",B1122=""),"",IF(E1122=1,0,D1122*B1122/100/C1122))</f>
        <v/>
      </c>
      <c r="G1122">
        <f>IF(A1122="","",IF(OR(B1122&lt;&gt;B1121,C1122&lt;&gt;C1121,D1122&lt;&gt;D1121,E1122&lt;&gt;E1121),G1121+1,G1121))</f>
        <v/>
      </c>
    </row>
    <row r="1123">
      <c r="A1123" s="14">
        <f>IF(OR(NOT(ISNUMBER(Ввод!$B$5)),NOT(ISNUMBER(Ввод!$B$6))),"",IF(Ввод!$B$5+1121&gt;Ввод!$B$6,"",Ввод!$B$5+1121))</f>
        <v/>
      </c>
      <c r="B1123">
        <f>IF(A1123="","",IFERROR(INDEX(Ввод!$B$12:$B$71,MATCH(A1123,Ввод!$D$12:$D$71,1)),""))</f>
        <v/>
      </c>
      <c r="C1123">
        <f>IF(A1123="","",DATE(YEAR(A1123),12,31)-DATE(YEAR(A1123),1,1)+1)</f>
        <v/>
      </c>
      <c r="D1123">
        <f>IF(A1123="","",Ввод!$B$4-SUMIF(Оплаты!$A$6:$A$505,"&lt;"&amp;A1123,Оплаты!$B$6:$B$505))</f>
        <v/>
      </c>
      <c r="E1123">
        <f>IF(A1123="","",IF(SUMPRODUCT((Ввод!$F$12:$F$31&lt;&gt;"")*(Ввод!$F$12:$F$31&lt;=A1123)*(Ввод!$G$12:$G$31&gt;=A1123))&gt;0,1,0))</f>
        <v/>
      </c>
      <c r="F1123">
        <f>IF(OR(A1123="",B1123=""),"",IF(E1123=1,0,D1123*B1123/100/C1123))</f>
        <v/>
      </c>
      <c r="G1123">
        <f>IF(A1123="","",IF(OR(B1123&lt;&gt;B1122,C1123&lt;&gt;C1122,D1123&lt;&gt;D1122,E1123&lt;&gt;E1122),G1122+1,G1122))</f>
        <v/>
      </c>
    </row>
    <row r="1124">
      <c r="A1124" s="14">
        <f>IF(OR(NOT(ISNUMBER(Ввод!$B$5)),NOT(ISNUMBER(Ввод!$B$6))),"",IF(Ввод!$B$5+1122&gt;Ввод!$B$6,"",Ввод!$B$5+1122))</f>
        <v/>
      </c>
      <c r="B1124">
        <f>IF(A1124="","",IFERROR(INDEX(Ввод!$B$12:$B$71,MATCH(A1124,Ввод!$D$12:$D$71,1)),""))</f>
        <v/>
      </c>
      <c r="C1124">
        <f>IF(A1124="","",DATE(YEAR(A1124),12,31)-DATE(YEAR(A1124),1,1)+1)</f>
        <v/>
      </c>
      <c r="D1124">
        <f>IF(A1124="","",Ввод!$B$4-SUMIF(Оплаты!$A$6:$A$505,"&lt;"&amp;A1124,Оплаты!$B$6:$B$505))</f>
        <v/>
      </c>
      <c r="E1124">
        <f>IF(A1124="","",IF(SUMPRODUCT((Ввод!$F$12:$F$31&lt;&gt;"")*(Ввод!$F$12:$F$31&lt;=A1124)*(Ввод!$G$12:$G$31&gt;=A1124))&gt;0,1,0))</f>
        <v/>
      </c>
      <c r="F1124">
        <f>IF(OR(A1124="",B1124=""),"",IF(E1124=1,0,D1124*B1124/100/C1124))</f>
        <v/>
      </c>
      <c r="G1124">
        <f>IF(A1124="","",IF(OR(B1124&lt;&gt;B1123,C1124&lt;&gt;C1123,D1124&lt;&gt;D1123,E1124&lt;&gt;E1123),G1123+1,G1123))</f>
        <v/>
      </c>
    </row>
    <row r="1125">
      <c r="A1125" s="14">
        <f>IF(OR(NOT(ISNUMBER(Ввод!$B$5)),NOT(ISNUMBER(Ввод!$B$6))),"",IF(Ввод!$B$5+1123&gt;Ввод!$B$6,"",Ввод!$B$5+1123))</f>
        <v/>
      </c>
      <c r="B1125">
        <f>IF(A1125="","",IFERROR(INDEX(Ввод!$B$12:$B$71,MATCH(A1125,Ввод!$D$12:$D$71,1)),""))</f>
        <v/>
      </c>
      <c r="C1125">
        <f>IF(A1125="","",DATE(YEAR(A1125),12,31)-DATE(YEAR(A1125),1,1)+1)</f>
        <v/>
      </c>
      <c r="D1125">
        <f>IF(A1125="","",Ввод!$B$4-SUMIF(Оплаты!$A$6:$A$505,"&lt;"&amp;A1125,Оплаты!$B$6:$B$505))</f>
        <v/>
      </c>
      <c r="E1125">
        <f>IF(A1125="","",IF(SUMPRODUCT((Ввод!$F$12:$F$31&lt;&gt;"")*(Ввод!$F$12:$F$31&lt;=A1125)*(Ввод!$G$12:$G$31&gt;=A1125))&gt;0,1,0))</f>
        <v/>
      </c>
      <c r="F1125">
        <f>IF(OR(A1125="",B1125=""),"",IF(E1125=1,0,D1125*B1125/100/C1125))</f>
        <v/>
      </c>
      <c r="G1125">
        <f>IF(A1125="","",IF(OR(B1125&lt;&gt;B1124,C1125&lt;&gt;C1124,D1125&lt;&gt;D1124,E1125&lt;&gt;E1124),G1124+1,G1124))</f>
        <v/>
      </c>
    </row>
    <row r="1126">
      <c r="A1126" s="14">
        <f>IF(OR(NOT(ISNUMBER(Ввод!$B$5)),NOT(ISNUMBER(Ввод!$B$6))),"",IF(Ввод!$B$5+1124&gt;Ввод!$B$6,"",Ввод!$B$5+1124))</f>
        <v/>
      </c>
      <c r="B1126">
        <f>IF(A1126="","",IFERROR(INDEX(Ввод!$B$12:$B$71,MATCH(A1126,Ввод!$D$12:$D$71,1)),""))</f>
        <v/>
      </c>
      <c r="C1126">
        <f>IF(A1126="","",DATE(YEAR(A1126),12,31)-DATE(YEAR(A1126),1,1)+1)</f>
        <v/>
      </c>
      <c r="D1126">
        <f>IF(A1126="","",Ввод!$B$4-SUMIF(Оплаты!$A$6:$A$505,"&lt;"&amp;A1126,Оплаты!$B$6:$B$505))</f>
        <v/>
      </c>
      <c r="E1126">
        <f>IF(A1126="","",IF(SUMPRODUCT((Ввод!$F$12:$F$31&lt;&gt;"")*(Ввод!$F$12:$F$31&lt;=A1126)*(Ввод!$G$12:$G$31&gt;=A1126))&gt;0,1,0))</f>
        <v/>
      </c>
      <c r="F1126">
        <f>IF(OR(A1126="",B1126=""),"",IF(E1126=1,0,D1126*B1126/100/C1126))</f>
        <v/>
      </c>
      <c r="G1126">
        <f>IF(A1126="","",IF(OR(B1126&lt;&gt;B1125,C1126&lt;&gt;C1125,D1126&lt;&gt;D1125,E1126&lt;&gt;E1125),G1125+1,G1125))</f>
        <v/>
      </c>
    </row>
    <row r="1127">
      <c r="A1127" s="14">
        <f>IF(OR(NOT(ISNUMBER(Ввод!$B$5)),NOT(ISNUMBER(Ввод!$B$6))),"",IF(Ввод!$B$5+1125&gt;Ввод!$B$6,"",Ввод!$B$5+1125))</f>
        <v/>
      </c>
      <c r="B1127">
        <f>IF(A1127="","",IFERROR(INDEX(Ввод!$B$12:$B$71,MATCH(A1127,Ввод!$D$12:$D$71,1)),""))</f>
        <v/>
      </c>
      <c r="C1127">
        <f>IF(A1127="","",DATE(YEAR(A1127),12,31)-DATE(YEAR(A1127),1,1)+1)</f>
        <v/>
      </c>
      <c r="D1127">
        <f>IF(A1127="","",Ввод!$B$4-SUMIF(Оплаты!$A$6:$A$505,"&lt;"&amp;A1127,Оплаты!$B$6:$B$505))</f>
        <v/>
      </c>
      <c r="E1127">
        <f>IF(A1127="","",IF(SUMPRODUCT((Ввод!$F$12:$F$31&lt;&gt;"")*(Ввод!$F$12:$F$31&lt;=A1127)*(Ввод!$G$12:$G$31&gt;=A1127))&gt;0,1,0))</f>
        <v/>
      </c>
      <c r="F1127">
        <f>IF(OR(A1127="",B1127=""),"",IF(E1127=1,0,D1127*B1127/100/C1127))</f>
        <v/>
      </c>
      <c r="G1127">
        <f>IF(A1127="","",IF(OR(B1127&lt;&gt;B1126,C1127&lt;&gt;C1126,D1127&lt;&gt;D1126,E1127&lt;&gt;E1126),G1126+1,G1126))</f>
        <v/>
      </c>
    </row>
    <row r="1128">
      <c r="A1128" s="14">
        <f>IF(OR(NOT(ISNUMBER(Ввод!$B$5)),NOT(ISNUMBER(Ввод!$B$6))),"",IF(Ввод!$B$5+1126&gt;Ввод!$B$6,"",Ввод!$B$5+1126))</f>
        <v/>
      </c>
      <c r="B1128">
        <f>IF(A1128="","",IFERROR(INDEX(Ввод!$B$12:$B$71,MATCH(A1128,Ввод!$D$12:$D$71,1)),""))</f>
        <v/>
      </c>
      <c r="C1128">
        <f>IF(A1128="","",DATE(YEAR(A1128),12,31)-DATE(YEAR(A1128),1,1)+1)</f>
        <v/>
      </c>
      <c r="D1128">
        <f>IF(A1128="","",Ввод!$B$4-SUMIF(Оплаты!$A$6:$A$505,"&lt;"&amp;A1128,Оплаты!$B$6:$B$505))</f>
        <v/>
      </c>
      <c r="E1128">
        <f>IF(A1128="","",IF(SUMPRODUCT((Ввод!$F$12:$F$31&lt;&gt;"")*(Ввод!$F$12:$F$31&lt;=A1128)*(Ввод!$G$12:$G$31&gt;=A1128))&gt;0,1,0))</f>
        <v/>
      </c>
      <c r="F1128">
        <f>IF(OR(A1128="",B1128=""),"",IF(E1128=1,0,D1128*B1128/100/C1128))</f>
        <v/>
      </c>
      <c r="G1128">
        <f>IF(A1128="","",IF(OR(B1128&lt;&gt;B1127,C1128&lt;&gt;C1127,D1128&lt;&gt;D1127,E1128&lt;&gt;E1127),G1127+1,G1127))</f>
        <v/>
      </c>
    </row>
    <row r="1129">
      <c r="A1129" s="14">
        <f>IF(OR(NOT(ISNUMBER(Ввод!$B$5)),NOT(ISNUMBER(Ввод!$B$6))),"",IF(Ввод!$B$5+1127&gt;Ввод!$B$6,"",Ввод!$B$5+1127))</f>
        <v/>
      </c>
      <c r="B1129">
        <f>IF(A1129="","",IFERROR(INDEX(Ввод!$B$12:$B$71,MATCH(A1129,Ввод!$D$12:$D$71,1)),""))</f>
        <v/>
      </c>
      <c r="C1129">
        <f>IF(A1129="","",DATE(YEAR(A1129),12,31)-DATE(YEAR(A1129),1,1)+1)</f>
        <v/>
      </c>
      <c r="D1129">
        <f>IF(A1129="","",Ввод!$B$4-SUMIF(Оплаты!$A$6:$A$505,"&lt;"&amp;A1129,Оплаты!$B$6:$B$505))</f>
        <v/>
      </c>
      <c r="E1129">
        <f>IF(A1129="","",IF(SUMPRODUCT((Ввод!$F$12:$F$31&lt;&gt;"")*(Ввод!$F$12:$F$31&lt;=A1129)*(Ввод!$G$12:$G$31&gt;=A1129))&gt;0,1,0))</f>
        <v/>
      </c>
      <c r="F1129">
        <f>IF(OR(A1129="",B1129=""),"",IF(E1129=1,0,D1129*B1129/100/C1129))</f>
        <v/>
      </c>
      <c r="G1129">
        <f>IF(A1129="","",IF(OR(B1129&lt;&gt;B1128,C1129&lt;&gt;C1128,D1129&lt;&gt;D1128,E1129&lt;&gt;E1128),G1128+1,G1128))</f>
        <v/>
      </c>
    </row>
    <row r="1130">
      <c r="A1130" s="14">
        <f>IF(OR(NOT(ISNUMBER(Ввод!$B$5)),NOT(ISNUMBER(Ввод!$B$6))),"",IF(Ввод!$B$5+1128&gt;Ввод!$B$6,"",Ввод!$B$5+1128))</f>
        <v/>
      </c>
      <c r="B1130">
        <f>IF(A1130="","",IFERROR(INDEX(Ввод!$B$12:$B$71,MATCH(A1130,Ввод!$D$12:$D$71,1)),""))</f>
        <v/>
      </c>
      <c r="C1130">
        <f>IF(A1130="","",DATE(YEAR(A1130),12,31)-DATE(YEAR(A1130),1,1)+1)</f>
        <v/>
      </c>
      <c r="D1130">
        <f>IF(A1130="","",Ввод!$B$4-SUMIF(Оплаты!$A$6:$A$505,"&lt;"&amp;A1130,Оплаты!$B$6:$B$505))</f>
        <v/>
      </c>
      <c r="E1130">
        <f>IF(A1130="","",IF(SUMPRODUCT((Ввод!$F$12:$F$31&lt;&gt;"")*(Ввод!$F$12:$F$31&lt;=A1130)*(Ввод!$G$12:$G$31&gt;=A1130))&gt;0,1,0))</f>
        <v/>
      </c>
      <c r="F1130">
        <f>IF(OR(A1130="",B1130=""),"",IF(E1130=1,0,D1130*B1130/100/C1130))</f>
        <v/>
      </c>
      <c r="G1130">
        <f>IF(A1130="","",IF(OR(B1130&lt;&gt;B1129,C1130&lt;&gt;C1129,D1130&lt;&gt;D1129,E1130&lt;&gt;E1129),G1129+1,G1129))</f>
        <v/>
      </c>
    </row>
    <row r="1131">
      <c r="A1131" s="14">
        <f>IF(OR(NOT(ISNUMBER(Ввод!$B$5)),NOT(ISNUMBER(Ввод!$B$6))),"",IF(Ввод!$B$5+1129&gt;Ввод!$B$6,"",Ввод!$B$5+1129))</f>
        <v/>
      </c>
      <c r="B1131">
        <f>IF(A1131="","",IFERROR(INDEX(Ввод!$B$12:$B$71,MATCH(A1131,Ввод!$D$12:$D$71,1)),""))</f>
        <v/>
      </c>
      <c r="C1131">
        <f>IF(A1131="","",DATE(YEAR(A1131),12,31)-DATE(YEAR(A1131),1,1)+1)</f>
        <v/>
      </c>
      <c r="D1131">
        <f>IF(A1131="","",Ввод!$B$4-SUMIF(Оплаты!$A$6:$A$505,"&lt;"&amp;A1131,Оплаты!$B$6:$B$505))</f>
        <v/>
      </c>
      <c r="E1131">
        <f>IF(A1131="","",IF(SUMPRODUCT((Ввод!$F$12:$F$31&lt;&gt;"")*(Ввод!$F$12:$F$31&lt;=A1131)*(Ввод!$G$12:$G$31&gt;=A1131))&gt;0,1,0))</f>
        <v/>
      </c>
      <c r="F1131">
        <f>IF(OR(A1131="",B1131=""),"",IF(E1131=1,0,D1131*B1131/100/C1131))</f>
        <v/>
      </c>
      <c r="G1131">
        <f>IF(A1131="","",IF(OR(B1131&lt;&gt;B1130,C1131&lt;&gt;C1130,D1131&lt;&gt;D1130,E1131&lt;&gt;E1130),G1130+1,G1130))</f>
        <v/>
      </c>
    </row>
    <row r="1132">
      <c r="A1132" s="14">
        <f>IF(OR(NOT(ISNUMBER(Ввод!$B$5)),NOT(ISNUMBER(Ввод!$B$6))),"",IF(Ввод!$B$5+1130&gt;Ввод!$B$6,"",Ввод!$B$5+1130))</f>
        <v/>
      </c>
      <c r="B1132">
        <f>IF(A1132="","",IFERROR(INDEX(Ввод!$B$12:$B$71,MATCH(A1132,Ввод!$D$12:$D$71,1)),""))</f>
        <v/>
      </c>
      <c r="C1132">
        <f>IF(A1132="","",DATE(YEAR(A1132),12,31)-DATE(YEAR(A1132),1,1)+1)</f>
        <v/>
      </c>
      <c r="D1132">
        <f>IF(A1132="","",Ввод!$B$4-SUMIF(Оплаты!$A$6:$A$505,"&lt;"&amp;A1132,Оплаты!$B$6:$B$505))</f>
        <v/>
      </c>
      <c r="E1132">
        <f>IF(A1132="","",IF(SUMPRODUCT((Ввод!$F$12:$F$31&lt;&gt;"")*(Ввод!$F$12:$F$31&lt;=A1132)*(Ввод!$G$12:$G$31&gt;=A1132))&gt;0,1,0))</f>
        <v/>
      </c>
      <c r="F1132">
        <f>IF(OR(A1132="",B1132=""),"",IF(E1132=1,0,D1132*B1132/100/C1132))</f>
        <v/>
      </c>
      <c r="G1132">
        <f>IF(A1132="","",IF(OR(B1132&lt;&gt;B1131,C1132&lt;&gt;C1131,D1132&lt;&gt;D1131,E1132&lt;&gt;E1131),G1131+1,G1131))</f>
        <v/>
      </c>
    </row>
    <row r="1133">
      <c r="A1133" s="14">
        <f>IF(OR(NOT(ISNUMBER(Ввод!$B$5)),NOT(ISNUMBER(Ввод!$B$6))),"",IF(Ввод!$B$5+1131&gt;Ввод!$B$6,"",Ввод!$B$5+1131))</f>
        <v/>
      </c>
      <c r="B1133">
        <f>IF(A1133="","",IFERROR(INDEX(Ввод!$B$12:$B$71,MATCH(A1133,Ввод!$D$12:$D$71,1)),""))</f>
        <v/>
      </c>
      <c r="C1133">
        <f>IF(A1133="","",DATE(YEAR(A1133),12,31)-DATE(YEAR(A1133),1,1)+1)</f>
        <v/>
      </c>
      <c r="D1133">
        <f>IF(A1133="","",Ввод!$B$4-SUMIF(Оплаты!$A$6:$A$505,"&lt;"&amp;A1133,Оплаты!$B$6:$B$505))</f>
        <v/>
      </c>
      <c r="E1133">
        <f>IF(A1133="","",IF(SUMPRODUCT((Ввод!$F$12:$F$31&lt;&gt;"")*(Ввод!$F$12:$F$31&lt;=A1133)*(Ввод!$G$12:$G$31&gt;=A1133))&gt;0,1,0))</f>
        <v/>
      </c>
      <c r="F1133">
        <f>IF(OR(A1133="",B1133=""),"",IF(E1133=1,0,D1133*B1133/100/C1133))</f>
        <v/>
      </c>
      <c r="G1133">
        <f>IF(A1133="","",IF(OR(B1133&lt;&gt;B1132,C1133&lt;&gt;C1132,D1133&lt;&gt;D1132,E1133&lt;&gt;E1132),G1132+1,G1132))</f>
        <v/>
      </c>
    </row>
    <row r="1134">
      <c r="A1134" s="14">
        <f>IF(OR(NOT(ISNUMBER(Ввод!$B$5)),NOT(ISNUMBER(Ввод!$B$6))),"",IF(Ввод!$B$5+1132&gt;Ввод!$B$6,"",Ввод!$B$5+1132))</f>
        <v/>
      </c>
      <c r="B1134">
        <f>IF(A1134="","",IFERROR(INDEX(Ввод!$B$12:$B$71,MATCH(A1134,Ввод!$D$12:$D$71,1)),""))</f>
        <v/>
      </c>
      <c r="C1134">
        <f>IF(A1134="","",DATE(YEAR(A1134),12,31)-DATE(YEAR(A1134),1,1)+1)</f>
        <v/>
      </c>
      <c r="D1134">
        <f>IF(A1134="","",Ввод!$B$4-SUMIF(Оплаты!$A$6:$A$505,"&lt;"&amp;A1134,Оплаты!$B$6:$B$505))</f>
        <v/>
      </c>
      <c r="E1134">
        <f>IF(A1134="","",IF(SUMPRODUCT((Ввод!$F$12:$F$31&lt;&gt;"")*(Ввод!$F$12:$F$31&lt;=A1134)*(Ввод!$G$12:$G$31&gt;=A1134))&gt;0,1,0))</f>
        <v/>
      </c>
      <c r="F1134">
        <f>IF(OR(A1134="",B1134=""),"",IF(E1134=1,0,D1134*B1134/100/C1134))</f>
        <v/>
      </c>
      <c r="G1134">
        <f>IF(A1134="","",IF(OR(B1134&lt;&gt;B1133,C1134&lt;&gt;C1133,D1134&lt;&gt;D1133,E1134&lt;&gt;E1133),G1133+1,G1133))</f>
        <v/>
      </c>
    </row>
    <row r="1135">
      <c r="A1135" s="14">
        <f>IF(OR(NOT(ISNUMBER(Ввод!$B$5)),NOT(ISNUMBER(Ввод!$B$6))),"",IF(Ввод!$B$5+1133&gt;Ввод!$B$6,"",Ввод!$B$5+1133))</f>
        <v/>
      </c>
      <c r="B1135">
        <f>IF(A1135="","",IFERROR(INDEX(Ввод!$B$12:$B$71,MATCH(A1135,Ввод!$D$12:$D$71,1)),""))</f>
        <v/>
      </c>
      <c r="C1135">
        <f>IF(A1135="","",DATE(YEAR(A1135),12,31)-DATE(YEAR(A1135),1,1)+1)</f>
        <v/>
      </c>
      <c r="D1135">
        <f>IF(A1135="","",Ввод!$B$4-SUMIF(Оплаты!$A$6:$A$505,"&lt;"&amp;A1135,Оплаты!$B$6:$B$505))</f>
        <v/>
      </c>
      <c r="E1135">
        <f>IF(A1135="","",IF(SUMPRODUCT((Ввод!$F$12:$F$31&lt;&gt;"")*(Ввод!$F$12:$F$31&lt;=A1135)*(Ввод!$G$12:$G$31&gt;=A1135))&gt;0,1,0))</f>
        <v/>
      </c>
      <c r="F1135">
        <f>IF(OR(A1135="",B1135=""),"",IF(E1135=1,0,D1135*B1135/100/C1135))</f>
        <v/>
      </c>
      <c r="G1135">
        <f>IF(A1135="","",IF(OR(B1135&lt;&gt;B1134,C1135&lt;&gt;C1134,D1135&lt;&gt;D1134,E1135&lt;&gt;E1134),G1134+1,G1134))</f>
        <v/>
      </c>
    </row>
    <row r="1136">
      <c r="A1136" s="14">
        <f>IF(OR(NOT(ISNUMBER(Ввод!$B$5)),NOT(ISNUMBER(Ввод!$B$6))),"",IF(Ввод!$B$5+1134&gt;Ввод!$B$6,"",Ввод!$B$5+1134))</f>
        <v/>
      </c>
      <c r="B1136">
        <f>IF(A1136="","",IFERROR(INDEX(Ввод!$B$12:$B$71,MATCH(A1136,Ввод!$D$12:$D$71,1)),""))</f>
        <v/>
      </c>
      <c r="C1136">
        <f>IF(A1136="","",DATE(YEAR(A1136),12,31)-DATE(YEAR(A1136),1,1)+1)</f>
        <v/>
      </c>
      <c r="D1136">
        <f>IF(A1136="","",Ввод!$B$4-SUMIF(Оплаты!$A$6:$A$505,"&lt;"&amp;A1136,Оплаты!$B$6:$B$505))</f>
        <v/>
      </c>
      <c r="E1136">
        <f>IF(A1136="","",IF(SUMPRODUCT((Ввод!$F$12:$F$31&lt;&gt;"")*(Ввод!$F$12:$F$31&lt;=A1136)*(Ввод!$G$12:$G$31&gt;=A1136))&gt;0,1,0))</f>
        <v/>
      </c>
      <c r="F1136">
        <f>IF(OR(A1136="",B1136=""),"",IF(E1136=1,0,D1136*B1136/100/C1136))</f>
        <v/>
      </c>
      <c r="G1136">
        <f>IF(A1136="","",IF(OR(B1136&lt;&gt;B1135,C1136&lt;&gt;C1135,D1136&lt;&gt;D1135,E1136&lt;&gt;E1135),G1135+1,G1135))</f>
        <v/>
      </c>
    </row>
    <row r="1137">
      <c r="A1137" s="14">
        <f>IF(OR(NOT(ISNUMBER(Ввод!$B$5)),NOT(ISNUMBER(Ввод!$B$6))),"",IF(Ввод!$B$5+1135&gt;Ввод!$B$6,"",Ввод!$B$5+1135))</f>
        <v/>
      </c>
      <c r="B1137">
        <f>IF(A1137="","",IFERROR(INDEX(Ввод!$B$12:$B$71,MATCH(A1137,Ввод!$D$12:$D$71,1)),""))</f>
        <v/>
      </c>
      <c r="C1137">
        <f>IF(A1137="","",DATE(YEAR(A1137),12,31)-DATE(YEAR(A1137),1,1)+1)</f>
        <v/>
      </c>
      <c r="D1137">
        <f>IF(A1137="","",Ввод!$B$4-SUMIF(Оплаты!$A$6:$A$505,"&lt;"&amp;A1137,Оплаты!$B$6:$B$505))</f>
        <v/>
      </c>
      <c r="E1137">
        <f>IF(A1137="","",IF(SUMPRODUCT((Ввод!$F$12:$F$31&lt;&gt;"")*(Ввод!$F$12:$F$31&lt;=A1137)*(Ввод!$G$12:$G$31&gt;=A1137))&gt;0,1,0))</f>
        <v/>
      </c>
      <c r="F1137">
        <f>IF(OR(A1137="",B1137=""),"",IF(E1137=1,0,D1137*B1137/100/C1137))</f>
        <v/>
      </c>
      <c r="G1137">
        <f>IF(A1137="","",IF(OR(B1137&lt;&gt;B1136,C1137&lt;&gt;C1136,D1137&lt;&gt;D1136,E1137&lt;&gt;E1136),G1136+1,G1136))</f>
        <v/>
      </c>
    </row>
    <row r="1138">
      <c r="A1138" s="14">
        <f>IF(OR(NOT(ISNUMBER(Ввод!$B$5)),NOT(ISNUMBER(Ввод!$B$6))),"",IF(Ввод!$B$5+1136&gt;Ввод!$B$6,"",Ввод!$B$5+1136))</f>
        <v/>
      </c>
      <c r="B1138">
        <f>IF(A1138="","",IFERROR(INDEX(Ввод!$B$12:$B$71,MATCH(A1138,Ввод!$D$12:$D$71,1)),""))</f>
        <v/>
      </c>
      <c r="C1138">
        <f>IF(A1138="","",DATE(YEAR(A1138),12,31)-DATE(YEAR(A1138),1,1)+1)</f>
        <v/>
      </c>
      <c r="D1138">
        <f>IF(A1138="","",Ввод!$B$4-SUMIF(Оплаты!$A$6:$A$505,"&lt;"&amp;A1138,Оплаты!$B$6:$B$505))</f>
        <v/>
      </c>
      <c r="E1138">
        <f>IF(A1138="","",IF(SUMPRODUCT((Ввод!$F$12:$F$31&lt;&gt;"")*(Ввод!$F$12:$F$31&lt;=A1138)*(Ввод!$G$12:$G$31&gt;=A1138))&gt;0,1,0))</f>
        <v/>
      </c>
      <c r="F1138">
        <f>IF(OR(A1138="",B1138=""),"",IF(E1138=1,0,D1138*B1138/100/C1138))</f>
        <v/>
      </c>
      <c r="G1138">
        <f>IF(A1138="","",IF(OR(B1138&lt;&gt;B1137,C1138&lt;&gt;C1137,D1138&lt;&gt;D1137,E1138&lt;&gt;E1137),G1137+1,G1137))</f>
        <v/>
      </c>
    </row>
    <row r="1139">
      <c r="A1139" s="14">
        <f>IF(OR(NOT(ISNUMBER(Ввод!$B$5)),NOT(ISNUMBER(Ввод!$B$6))),"",IF(Ввод!$B$5+1137&gt;Ввод!$B$6,"",Ввод!$B$5+1137))</f>
        <v/>
      </c>
      <c r="B1139">
        <f>IF(A1139="","",IFERROR(INDEX(Ввод!$B$12:$B$71,MATCH(A1139,Ввод!$D$12:$D$71,1)),""))</f>
        <v/>
      </c>
      <c r="C1139">
        <f>IF(A1139="","",DATE(YEAR(A1139),12,31)-DATE(YEAR(A1139),1,1)+1)</f>
        <v/>
      </c>
      <c r="D1139">
        <f>IF(A1139="","",Ввод!$B$4-SUMIF(Оплаты!$A$6:$A$505,"&lt;"&amp;A1139,Оплаты!$B$6:$B$505))</f>
        <v/>
      </c>
      <c r="E1139">
        <f>IF(A1139="","",IF(SUMPRODUCT((Ввод!$F$12:$F$31&lt;&gt;"")*(Ввод!$F$12:$F$31&lt;=A1139)*(Ввод!$G$12:$G$31&gt;=A1139))&gt;0,1,0))</f>
        <v/>
      </c>
      <c r="F1139">
        <f>IF(OR(A1139="",B1139=""),"",IF(E1139=1,0,D1139*B1139/100/C1139))</f>
        <v/>
      </c>
      <c r="G1139">
        <f>IF(A1139="","",IF(OR(B1139&lt;&gt;B1138,C1139&lt;&gt;C1138,D1139&lt;&gt;D1138,E1139&lt;&gt;E1138),G1138+1,G1138))</f>
        <v/>
      </c>
    </row>
    <row r="1140">
      <c r="A1140" s="14">
        <f>IF(OR(NOT(ISNUMBER(Ввод!$B$5)),NOT(ISNUMBER(Ввод!$B$6))),"",IF(Ввод!$B$5+1138&gt;Ввод!$B$6,"",Ввод!$B$5+1138))</f>
        <v/>
      </c>
      <c r="B1140">
        <f>IF(A1140="","",IFERROR(INDEX(Ввод!$B$12:$B$71,MATCH(A1140,Ввод!$D$12:$D$71,1)),""))</f>
        <v/>
      </c>
      <c r="C1140">
        <f>IF(A1140="","",DATE(YEAR(A1140),12,31)-DATE(YEAR(A1140),1,1)+1)</f>
        <v/>
      </c>
      <c r="D1140">
        <f>IF(A1140="","",Ввод!$B$4-SUMIF(Оплаты!$A$6:$A$505,"&lt;"&amp;A1140,Оплаты!$B$6:$B$505))</f>
        <v/>
      </c>
      <c r="E1140">
        <f>IF(A1140="","",IF(SUMPRODUCT((Ввод!$F$12:$F$31&lt;&gt;"")*(Ввод!$F$12:$F$31&lt;=A1140)*(Ввод!$G$12:$G$31&gt;=A1140))&gt;0,1,0))</f>
        <v/>
      </c>
      <c r="F1140">
        <f>IF(OR(A1140="",B1140=""),"",IF(E1140=1,0,D1140*B1140/100/C1140))</f>
        <v/>
      </c>
      <c r="G1140">
        <f>IF(A1140="","",IF(OR(B1140&lt;&gt;B1139,C1140&lt;&gt;C1139,D1140&lt;&gt;D1139,E1140&lt;&gt;E1139),G1139+1,G1139))</f>
        <v/>
      </c>
    </row>
    <row r="1141">
      <c r="A1141" s="14">
        <f>IF(OR(NOT(ISNUMBER(Ввод!$B$5)),NOT(ISNUMBER(Ввод!$B$6))),"",IF(Ввод!$B$5+1139&gt;Ввод!$B$6,"",Ввод!$B$5+1139))</f>
        <v/>
      </c>
      <c r="B1141">
        <f>IF(A1141="","",IFERROR(INDEX(Ввод!$B$12:$B$71,MATCH(A1141,Ввод!$D$12:$D$71,1)),""))</f>
        <v/>
      </c>
      <c r="C1141">
        <f>IF(A1141="","",DATE(YEAR(A1141),12,31)-DATE(YEAR(A1141),1,1)+1)</f>
        <v/>
      </c>
      <c r="D1141">
        <f>IF(A1141="","",Ввод!$B$4-SUMIF(Оплаты!$A$6:$A$505,"&lt;"&amp;A1141,Оплаты!$B$6:$B$505))</f>
        <v/>
      </c>
      <c r="E1141">
        <f>IF(A1141="","",IF(SUMPRODUCT((Ввод!$F$12:$F$31&lt;&gt;"")*(Ввод!$F$12:$F$31&lt;=A1141)*(Ввод!$G$12:$G$31&gt;=A1141))&gt;0,1,0))</f>
        <v/>
      </c>
      <c r="F1141">
        <f>IF(OR(A1141="",B1141=""),"",IF(E1141=1,0,D1141*B1141/100/C1141))</f>
        <v/>
      </c>
      <c r="G1141">
        <f>IF(A1141="","",IF(OR(B1141&lt;&gt;B1140,C1141&lt;&gt;C1140,D1141&lt;&gt;D1140,E1141&lt;&gt;E1140),G1140+1,G1140))</f>
        <v/>
      </c>
    </row>
    <row r="1142">
      <c r="A1142" s="14">
        <f>IF(OR(NOT(ISNUMBER(Ввод!$B$5)),NOT(ISNUMBER(Ввод!$B$6))),"",IF(Ввод!$B$5+1140&gt;Ввод!$B$6,"",Ввод!$B$5+1140))</f>
        <v/>
      </c>
      <c r="B1142">
        <f>IF(A1142="","",IFERROR(INDEX(Ввод!$B$12:$B$71,MATCH(A1142,Ввод!$D$12:$D$71,1)),""))</f>
        <v/>
      </c>
      <c r="C1142">
        <f>IF(A1142="","",DATE(YEAR(A1142),12,31)-DATE(YEAR(A1142),1,1)+1)</f>
        <v/>
      </c>
      <c r="D1142">
        <f>IF(A1142="","",Ввод!$B$4-SUMIF(Оплаты!$A$6:$A$505,"&lt;"&amp;A1142,Оплаты!$B$6:$B$505))</f>
        <v/>
      </c>
      <c r="E1142">
        <f>IF(A1142="","",IF(SUMPRODUCT((Ввод!$F$12:$F$31&lt;&gt;"")*(Ввод!$F$12:$F$31&lt;=A1142)*(Ввод!$G$12:$G$31&gt;=A1142))&gt;0,1,0))</f>
        <v/>
      </c>
      <c r="F1142">
        <f>IF(OR(A1142="",B1142=""),"",IF(E1142=1,0,D1142*B1142/100/C1142))</f>
        <v/>
      </c>
      <c r="G1142">
        <f>IF(A1142="","",IF(OR(B1142&lt;&gt;B1141,C1142&lt;&gt;C1141,D1142&lt;&gt;D1141,E1142&lt;&gt;E1141),G1141+1,G1141))</f>
        <v/>
      </c>
    </row>
    <row r="1143">
      <c r="A1143" s="14">
        <f>IF(OR(NOT(ISNUMBER(Ввод!$B$5)),NOT(ISNUMBER(Ввод!$B$6))),"",IF(Ввод!$B$5+1141&gt;Ввод!$B$6,"",Ввод!$B$5+1141))</f>
        <v/>
      </c>
      <c r="B1143">
        <f>IF(A1143="","",IFERROR(INDEX(Ввод!$B$12:$B$71,MATCH(A1143,Ввод!$D$12:$D$71,1)),""))</f>
        <v/>
      </c>
      <c r="C1143">
        <f>IF(A1143="","",DATE(YEAR(A1143),12,31)-DATE(YEAR(A1143),1,1)+1)</f>
        <v/>
      </c>
      <c r="D1143">
        <f>IF(A1143="","",Ввод!$B$4-SUMIF(Оплаты!$A$6:$A$505,"&lt;"&amp;A1143,Оплаты!$B$6:$B$505))</f>
        <v/>
      </c>
      <c r="E1143">
        <f>IF(A1143="","",IF(SUMPRODUCT((Ввод!$F$12:$F$31&lt;&gt;"")*(Ввод!$F$12:$F$31&lt;=A1143)*(Ввод!$G$12:$G$31&gt;=A1143))&gt;0,1,0))</f>
        <v/>
      </c>
      <c r="F1143">
        <f>IF(OR(A1143="",B1143=""),"",IF(E1143=1,0,D1143*B1143/100/C1143))</f>
        <v/>
      </c>
      <c r="G1143">
        <f>IF(A1143="","",IF(OR(B1143&lt;&gt;B1142,C1143&lt;&gt;C1142,D1143&lt;&gt;D1142,E1143&lt;&gt;E1142),G1142+1,G1142))</f>
        <v/>
      </c>
    </row>
    <row r="1144">
      <c r="A1144" s="14">
        <f>IF(OR(NOT(ISNUMBER(Ввод!$B$5)),NOT(ISNUMBER(Ввод!$B$6))),"",IF(Ввод!$B$5+1142&gt;Ввод!$B$6,"",Ввод!$B$5+1142))</f>
        <v/>
      </c>
      <c r="B1144">
        <f>IF(A1144="","",IFERROR(INDEX(Ввод!$B$12:$B$71,MATCH(A1144,Ввод!$D$12:$D$71,1)),""))</f>
        <v/>
      </c>
      <c r="C1144">
        <f>IF(A1144="","",DATE(YEAR(A1144),12,31)-DATE(YEAR(A1144),1,1)+1)</f>
        <v/>
      </c>
      <c r="D1144">
        <f>IF(A1144="","",Ввод!$B$4-SUMIF(Оплаты!$A$6:$A$505,"&lt;"&amp;A1144,Оплаты!$B$6:$B$505))</f>
        <v/>
      </c>
      <c r="E1144">
        <f>IF(A1144="","",IF(SUMPRODUCT((Ввод!$F$12:$F$31&lt;&gt;"")*(Ввод!$F$12:$F$31&lt;=A1144)*(Ввод!$G$12:$G$31&gt;=A1144))&gt;0,1,0))</f>
        <v/>
      </c>
      <c r="F1144">
        <f>IF(OR(A1144="",B1144=""),"",IF(E1144=1,0,D1144*B1144/100/C1144))</f>
        <v/>
      </c>
      <c r="G1144">
        <f>IF(A1144="","",IF(OR(B1144&lt;&gt;B1143,C1144&lt;&gt;C1143,D1144&lt;&gt;D1143,E1144&lt;&gt;E1143),G1143+1,G1143))</f>
        <v/>
      </c>
    </row>
    <row r="1145">
      <c r="A1145" s="14">
        <f>IF(OR(NOT(ISNUMBER(Ввод!$B$5)),NOT(ISNUMBER(Ввод!$B$6))),"",IF(Ввод!$B$5+1143&gt;Ввод!$B$6,"",Ввод!$B$5+1143))</f>
        <v/>
      </c>
      <c r="B1145">
        <f>IF(A1145="","",IFERROR(INDEX(Ввод!$B$12:$B$71,MATCH(A1145,Ввод!$D$12:$D$71,1)),""))</f>
        <v/>
      </c>
      <c r="C1145">
        <f>IF(A1145="","",DATE(YEAR(A1145),12,31)-DATE(YEAR(A1145),1,1)+1)</f>
        <v/>
      </c>
      <c r="D1145">
        <f>IF(A1145="","",Ввод!$B$4-SUMIF(Оплаты!$A$6:$A$505,"&lt;"&amp;A1145,Оплаты!$B$6:$B$505))</f>
        <v/>
      </c>
      <c r="E1145">
        <f>IF(A1145="","",IF(SUMPRODUCT((Ввод!$F$12:$F$31&lt;&gt;"")*(Ввод!$F$12:$F$31&lt;=A1145)*(Ввод!$G$12:$G$31&gt;=A1145))&gt;0,1,0))</f>
        <v/>
      </c>
      <c r="F1145">
        <f>IF(OR(A1145="",B1145=""),"",IF(E1145=1,0,D1145*B1145/100/C1145))</f>
        <v/>
      </c>
      <c r="G1145">
        <f>IF(A1145="","",IF(OR(B1145&lt;&gt;B1144,C1145&lt;&gt;C1144,D1145&lt;&gt;D1144,E1145&lt;&gt;E1144),G1144+1,G1144))</f>
        <v/>
      </c>
    </row>
    <row r="1146">
      <c r="A1146" s="14">
        <f>IF(OR(NOT(ISNUMBER(Ввод!$B$5)),NOT(ISNUMBER(Ввод!$B$6))),"",IF(Ввод!$B$5+1144&gt;Ввод!$B$6,"",Ввод!$B$5+1144))</f>
        <v/>
      </c>
      <c r="B1146">
        <f>IF(A1146="","",IFERROR(INDEX(Ввод!$B$12:$B$71,MATCH(A1146,Ввод!$D$12:$D$71,1)),""))</f>
        <v/>
      </c>
      <c r="C1146">
        <f>IF(A1146="","",DATE(YEAR(A1146),12,31)-DATE(YEAR(A1146),1,1)+1)</f>
        <v/>
      </c>
      <c r="D1146">
        <f>IF(A1146="","",Ввод!$B$4-SUMIF(Оплаты!$A$6:$A$505,"&lt;"&amp;A1146,Оплаты!$B$6:$B$505))</f>
        <v/>
      </c>
      <c r="E1146">
        <f>IF(A1146="","",IF(SUMPRODUCT((Ввод!$F$12:$F$31&lt;&gt;"")*(Ввод!$F$12:$F$31&lt;=A1146)*(Ввод!$G$12:$G$31&gt;=A1146))&gt;0,1,0))</f>
        <v/>
      </c>
      <c r="F1146">
        <f>IF(OR(A1146="",B1146=""),"",IF(E1146=1,0,D1146*B1146/100/C1146))</f>
        <v/>
      </c>
      <c r="G1146">
        <f>IF(A1146="","",IF(OR(B1146&lt;&gt;B1145,C1146&lt;&gt;C1145,D1146&lt;&gt;D1145,E1146&lt;&gt;E1145),G1145+1,G1145))</f>
        <v/>
      </c>
    </row>
    <row r="1147">
      <c r="A1147" s="14">
        <f>IF(OR(NOT(ISNUMBER(Ввод!$B$5)),NOT(ISNUMBER(Ввод!$B$6))),"",IF(Ввод!$B$5+1145&gt;Ввод!$B$6,"",Ввод!$B$5+1145))</f>
        <v/>
      </c>
      <c r="B1147">
        <f>IF(A1147="","",IFERROR(INDEX(Ввод!$B$12:$B$71,MATCH(A1147,Ввод!$D$12:$D$71,1)),""))</f>
        <v/>
      </c>
      <c r="C1147">
        <f>IF(A1147="","",DATE(YEAR(A1147),12,31)-DATE(YEAR(A1147),1,1)+1)</f>
        <v/>
      </c>
      <c r="D1147">
        <f>IF(A1147="","",Ввод!$B$4-SUMIF(Оплаты!$A$6:$A$505,"&lt;"&amp;A1147,Оплаты!$B$6:$B$505))</f>
        <v/>
      </c>
      <c r="E1147">
        <f>IF(A1147="","",IF(SUMPRODUCT((Ввод!$F$12:$F$31&lt;&gt;"")*(Ввод!$F$12:$F$31&lt;=A1147)*(Ввод!$G$12:$G$31&gt;=A1147))&gt;0,1,0))</f>
        <v/>
      </c>
      <c r="F1147">
        <f>IF(OR(A1147="",B1147=""),"",IF(E1147=1,0,D1147*B1147/100/C1147))</f>
        <v/>
      </c>
      <c r="G1147">
        <f>IF(A1147="","",IF(OR(B1147&lt;&gt;B1146,C1147&lt;&gt;C1146,D1147&lt;&gt;D1146,E1147&lt;&gt;E1146),G1146+1,G1146))</f>
        <v/>
      </c>
    </row>
    <row r="1148">
      <c r="A1148" s="14">
        <f>IF(OR(NOT(ISNUMBER(Ввод!$B$5)),NOT(ISNUMBER(Ввод!$B$6))),"",IF(Ввод!$B$5+1146&gt;Ввод!$B$6,"",Ввод!$B$5+1146))</f>
        <v/>
      </c>
      <c r="B1148">
        <f>IF(A1148="","",IFERROR(INDEX(Ввод!$B$12:$B$71,MATCH(A1148,Ввод!$D$12:$D$71,1)),""))</f>
        <v/>
      </c>
      <c r="C1148">
        <f>IF(A1148="","",DATE(YEAR(A1148),12,31)-DATE(YEAR(A1148),1,1)+1)</f>
        <v/>
      </c>
      <c r="D1148">
        <f>IF(A1148="","",Ввод!$B$4-SUMIF(Оплаты!$A$6:$A$505,"&lt;"&amp;A1148,Оплаты!$B$6:$B$505))</f>
        <v/>
      </c>
      <c r="E1148">
        <f>IF(A1148="","",IF(SUMPRODUCT((Ввод!$F$12:$F$31&lt;&gt;"")*(Ввод!$F$12:$F$31&lt;=A1148)*(Ввод!$G$12:$G$31&gt;=A1148))&gt;0,1,0))</f>
        <v/>
      </c>
      <c r="F1148">
        <f>IF(OR(A1148="",B1148=""),"",IF(E1148=1,0,D1148*B1148/100/C1148))</f>
        <v/>
      </c>
      <c r="G1148">
        <f>IF(A1148="","",IF(OR(B1148&lt;&gt;B1147,C1148&lt;&gt;C1147,D1148&lt;&gt;D1147,E1148&lt;&gt;E1147),G1147+1,G1147))</f>
        <v/>
      </c>
    </row>
    <row r="1149">
      <c r="A1149" s="14">
        <f>IF(OR(NOT(ISNUMBER(Ввод!$B$5)),NOT(ISNUMBER(Ввод!$B$6))),"",IF(Ввод!$B$5+1147&gt;Ввод!$B$6,"",Ввод!$B$5+1147))</f>
        <v/>
      </c>
      <c r="B1149">
        <f>IF(A1149="","",IFERROR(INDEX(Ввод!$B$12:$B$71,MATCH(A1149,Ввод!$D$12:$D$71,1)),""))</f>
        <v/>
      </c>
      <c r="C1149">
        <f>IF(A1149="","",DATE(YEAR(A1149),12,31)-DATE(YEAR(A1149),1,1)+1)</f>
        <v/>
      </c>
      <c r="D1149">
        <f>IF(A1149="","",Ввод!$B$4-SUMIF(Оплаты!$A$6:$A$505,"&lt;"&amp;A1149,Оплаты!$B$6:$B$505))</f>
        <v/>
      </c>
      <c r="E1149">
        <f>IF(A1149="","",IF(SUMPRODUCT((Ввод!$F$12:$F$31&lt;&gt;"")*(Ввод!$F$12:$F$31&lt;=A1149)*(Ввод!$G$12:$G$31&gt;=A1149))&gt;0,1,0))</f>
        <v/>
      </c>
      <c r="F1149">
        <f>IF(OR(A1149="",B1149=""),"",IF(E1149=1,0,D1149*B1149/100/C1149))</f>
        <v/>
      </c>
      <c r="G1149">
        <f>IF(A1149="","",IF(OR(B1149&lt;&gt;B1148,C1149&lt;&gt;C1148,D1149&lt;&gt;D1148,E1149&lt;&gt;E1148),G1148+1,G1148))</f>
        <v/>
      </c>
    </row>
    <row r="1150">
      <c r="A1150" s="14">
        <f>IF(OR(NOT(ISNUMBER(Ввод!$B$5)),NOT(ISNUMBER(Ввод!$B$6))),"",IF(Ввод!$B$5+1148&gt;Ввод!$B$6,"",Ввод!$B$5+1148))</f>
        <v/>
      </c>
      <c r="B1150">
        <f>IF(A1150="","",IFERROR(INDEX(Ввод!$B$12:$B$71,MATCH(A1150,Ввод!$D$12:$D$71,1)),""))</f>
        <v/>
      </c>
      <c r="C1150">
        <f>IF(A1150="","",DATE(YEAR(A1150),12,31)-DATE(YEAR(A1150),1,1)+1)</f>
        <v/>
      </c>
      <c r="D1150">
        <f>IF(A1150="","",Ввод!$B$4-SUMIF(Оплаты!$A$6:$A$505,"&lt;"&amp;A1150,Оплаты!$B$6:$B$505))</f>
        <v/>
      </c>
      <c r="E1150">
        <f>IF(A1150="","",IF(SUMPRODUCT((Ввод!$F$12:$F$31&lt;&gt;"")*(Ввод!$F$12:$F$31&lt;=A1150)*(Ввод!$G$12:$G$31&gt;=A1150))&gt;0,1,0))</f>
        <v/>
      </c>
      <c r="F1150">
        <f>IF(OR(A1150="",B1150=""),"",IF(E1150=1,0,D1150*B1150/100/C1150))</f>
        <v/>
      </c>
      <c r="G1150">
        <f>IF(A1150="","",IF(OR(B1150&lt;&gt;B1149,C1150&lt;&gt;C1149,D1150&lt;&gt;D1149,E1150&lt;&gt;E1149),G1149+1,G1149))</f>
        <v/>
      </c>
    </row>
    <row r="1151">
      <c r="A1151" s="14">
        <f>IF(OR(NOT(ISNUMBER(Ввод!$B$5)),NOT(ISNUMBER(Ввод!$B$6))),"",IF(Ввод!$B$5+1149&gt;Ввод!$B$6,"",Ввод!$B$5+1149))</f>
        <v/>
      </c>
      <c r="B1151">
        <f>IF(A1151="","",IFERROR(INDEX(Ввод!$B$12:$B$71,MATCH(A1151,Ввод!$D$12:$D$71,1)),""))</f>
        <v/>
      </c>
      <c r="C1151">
        <f>IF(A1151="","",DATE(YEAR(A1151),12,31)-DATE(YEAR(A1151),1,1)+1)</f>
        <v/>
      </c>
      <c r="D1151">
        <f>IF(A1151="","",Ввод!$B$4-SUMIF(Оплаты!$A$6:$A$505,"&lt;"&amp;A1151,Оплаты!$B$6:$B$505))</f>
        <v/>
      </c>
      <c r="E1151">
        <f>IF(A1151="","",IF(SUMPRODUCT((Ввод!$F$12:$F$31&lt;&gt;"")*(Ввод!$F$12:$F$31&lt;=A1151)*(Ввод!$G$12:$G$31&gt;=A1151))&gt;0,1,0))</f>
        <v/>
      </c>
      <c r="F1151">
        <f>IF(OR(A1151="",B1151=""),"",IF(E1151=1,0,D1151*B1151/100/C1151))</f>
        <v/>
      </c>
      <c r="G1151">
        <f>IF(A1151="","",IF(OR(B1151&lt;&gt;B1150,C1151&lt;&gt;C1150,D1151&lt;&gt;D1150,E1151&lt;&gt;E1150),G1150+1,G1150))</f>
        <v/>
      </c>
    </row>
    <row r="1152">
      <c r="A1152" s="14">
        <f>IF(OR(NOT(ISNUMBER(Ввод!$B$5)),NOT(ISNUMBER(Ввод!$B$6))),"",IF(Ввод!$B$5+1150&gt;Ввод!$B$6,"",Ввод!$B$5+1150))</f>
        <v/>
      </c>
      <c r="B1152">
        <f>IF(A1152="","",IFERROR(INDEX(Ввод!$B$12:$B$71,MATCH(A1152,Ввод!$D$12:$D$71,1)),""))</f>
        <v/>
      </c>
      <c r="C1152">
        <f>IF(A1152="","",DATE(YEAR(A1152),12,31)-DATE(YEAR(A1152),1,1)+1)</f>
        <v/>
      </c>
      <c r="D1152">
        <f>IF(A1152="","",Ввод!$B$4-SUMIF(Оплаты!$A$6:$A$505,"&lt;"&amp;A1152,Оплаты!$B$6:$B$505))</f>
        <v/>
      </c>
      <c r="E1152">
        <f>IF(A1152="","",IF(SUMPRODUCT((Ввод!$F$12:$F$31&lt;&gt;"")*(Ввод!$F$12:$F$31&lt;=A1152)*(Ввод!$G$12:$G$31&gt;=A1152))&gt;0,1,0))</f>
        <v/>
      </c>
      <c r="F1152">
        <f>IF(OR(A1152="",B1152=""),"",IF(E1152=1,0,D1152*B1152/100/C1152))</f>
        <v/>
      </c>
      <c r="G1152">
        <f>IF(A1152="","",IF(OR(B1152&lt;&gt;B1151,C1152&lt;&gt;C1151,D1152&lt;&gt;D1151,E1152&lt;&gt;E1151),G1151+1,G1151))</f>
        <v/>
      </c>
    </row>
    <row r="1153">
      <c r="A1153" s="14">
        <f>IF(OR(NOT(ISNUMBER(Ввод!$B$5)),NOT(ISNUMBER(Ввод!$B$6))),"",IF(Ввод!$B$5+1151&gt;Ввод!$B$6,"",Ввод!$B$5+1151))</f>
        <v/>
      </c>
      <c r="B1153">
        <f>IF(A1153="","",IFERROR(INDEX(Ввод!$B$12:$B$71,MATCH(A1153,Ввод!$D$12:$D$71,1)),""))</f>
        <v/>
      </c>
      <c r="C1153">
        <f>IF(A1153="","",DATE(YEAR(A1153),12,31)-DATE(YEAR(A1153),1,1)+1)</f>
        <v/>
      </c>
      <c r="D1153">
        <f>IF(A1153="","",Ввод!$B$4-SUMIF(Оплаты!$A$6:$A$505,"&lt;"&amp;A1153,Оплаты!$B$6:$B$505))</f>
        <v/>
      </c>
      <c r="E1153">
        <f>IF(A1153="","",IF(SUMPRODUCT((Ввод!$F$12:$F$31&lt;&gt;"")*(Ввод!$F$12:$F$31&lt;=A1153)*(Ввод!$G$12:$G$31&gt;=A1153))&gt;0,1,0))</f>
        <v/>
      </c>
      <c r="F1153">
        <f>IF(OR(A1153="",B1153=""),"",IF(E1153=1,0,D1153*B1153/100/C1153))</f>
        <v/>
      </c>
      <c r="G1153">
        <f>IF(A1153="","",IF(OR(B1153&lt;&gt;B1152,C1153&lt;&gt;C1152,D1153&lt;&gt;D1152,E1153&lt;&gt;E1152),G1152+1,G1152))</f>
        <v/>
      </c>
    </row>
    <row r="1154">
      <c r="A1154" s="14">
        <f>IF(OR(NOT(ISNUMBER(Ввод!$B$5)),NOT(ISNUMBER(Ввод!$B$6))),"",IF(Ввод!$B$5+1152&gt;Ввод!$B$6,"",Ввод!$B$5+1152))</f>
        <v/>
      </c>
      <c r="B1154">
        <f>IF(A1154="","",IFERROR(INDEX(Ввод!$B$12:$B$71,MATCH(A1154,Ввод!$D$12:$D$71,1)),""))</f>
        <v/>
      </c>
      <c r="C1154">
        <f>IF(A1154="","",DATE(YEAR(A1154),12,31)-DATE(YEAR(A1154),1,1)+1)</f>
        <v/>
      </c>
      <c r="D1154">
        <f>IF(A1154="","",Ввод!$B$4-SUMIF(Оплаты!$A$6:$A$505,"&lt;"&amp;A1154,Оплаты!$B$6:$B$505))</f>
        <v/>
      </c>
      <c r="E1154">
        <f>IF(A1154="","",IF(SUMPRODUCT((Ввод!$F$12:$F$31&lt;&gt;"")*(Ввод!$F$12:$F$31&lt;=A1154)*(Ввод!$G$12:$G$31&gt;=A1154))&gt;0,1,0))</f>
        <v/>
      </c>
      <c r="F1154">
        <f>IF(OR(A1154="",B1154=""),"",IF(E1154=1,0,D1154*B1154/100/C1154))</f>
        <v/>
      </c>
      <c r="G1154">
        <f>IF(A1154="","",IF(OR(B1154&lt;&gt;B1153,C1154&lt;&gt;C1153,D1154&lt;&gt;D1153,E1154&lt;&gt;E1153),G1153+1,G1153))</f>
        <v/>
      </c>
    </row>
    <row r="1155">
      <c r="A1155" s="14">
        <f>IF(OR(NOT(ISNUMBER(Ввод!$B$5)),NOT(ISNUMBER(Ввод!$B$6))),"",IF(Ввод!$B$5+1153&gt;Ввод!$B$6,"",Ввод!$B$5+1153))</f>
        <v/>
      </c>
      <c r="B1155">
        <f>IF(A1155="","",IFERROR(INDEX(Ввод!$B$12:$B$71,MATCH(A1155,Ввод!$D$12:$D$71,1)),""))</f>
        <v/>
      </c>
      <c r="C1155">
        <f>IF(A1155="","",DATE(YEAR(A1155),12,31)-DATE(YEAR(A1155),1,1)+1)</f>
        <v/>
      </c>
      <c r="D1155">
        <f>IF(A1155="","",Ввод!$B$4-SUMIF(Оплаты!$A$6:$A$505,"&lt;"&amp;A1155,Оплаты!$B$6:$B$505))</f>
        <v/>
      </c>
      <c r="E1155">
        <f>IF(A1155="","",IF(SUMPRODUCT((Ввод!$F$12:$F$31&lt;&gt;"")*(Ввод!$F$12:$F$31&lt;=A1155)*(Ввод!$G$12:$G$31&gt;=A1155))&gt;0,1,0))</f>
        <v/>
      </c>
      <c r="F1155">
        <f>IF(OR(A1155="",B1155=""),"",IF(E1155=1,0,D1155*B1155/100/C1155))</f>
        <v/>
      </c>
      <c r="G1155">
        <f>IF(A1155="","",IF(OR(B1155&lt;&gt;B1154,C1155&lt;&gt;C1154,D1155&lt;&gt;D1154,E1155&lt;&gt;E1154),G1154+1,G1154))</f>
        <v/>
      </c>
    </row>
    <row r="1156">
      <c r="A1156" s="14">
        <f>IF(OR(NOT(ISNUMBER(Ввод!$B$5)),NOT(ISNUMBER(Ввод!$B$6))),"",IF(Ввод!$B$5+1154&gt;Ввод!$B$6,"",Ввод!$B$5+1154))</f>
        <v/>
      </c>
      <c r="B1156">
        <f>IF(A1156="","",IFERROR(INDEX(Ввод!$B$12:$B$71,MATCH(A1156,Ввод!$D$12:$D$71,1)),""))</f>
        <v/>
      </c>
      <c r="C1156">
        <f>IF(A1156="","",DATE(YEAR(A1156),12,31)-DATE(YEAR(A1156),1,1)+1)</f>
        <v/>
      </c>
      <c r="D1156">
        <f>IF(A1156="","",Ввод!$B$4-SUMIF(Оплаты!$A$6:$A$505,"&lt;"&amp;A1156,Оплаты!$B$6:$B$505))</f>
        <v/>
      </c>
      <c r="E1156">
        <f>IF(A1156="","",IF(SUMPRODUCT((Ввод!$F$12:$F$31&lt;&gt;"")*(Ввод!$F$12:$F$31&lt;=A1156)*(Ввод!$G$12:$G$31&gt;=A1156))&gt;0,1,0))</f>
        <v/>
      </c>
      <c r="F1156">
        <f>IF(OR(A1156="",B1156=""),"",IF(E1156=1,0,D1156*B1156/100/C1156))</f>
        <v/>
      </c>
      <c r="G1156">
        <f>IF(A1156="","",IF(OR(B1156&lt;&gt;B1155,C1156&lt;&gt;C1155,D1156&lt;&gt;D1155,E1156&lt;&gt;E1155),G1155+1,G1155))</f>
        <v/>
      </c>
    </row>
    <row r="1157">
      <c r="A1157" s="14">
        <f>IF(OR(NOT(ISNUMBER(Ввод!$B$5)),NOT(ISNUMBER(Ввод!$B$6))),"",IF(Ввод!$B$5+1155&gt;Ввод!$B$6,"",Ввод!$B$5+1155))</f>
        <v/>
      </c>
      <c r="B1157">
        <f>IF(A1157="","",IFERROR(INDEX(Ввод!$B$12:$B$71,MATCH(A1157,Ввод!$D$12:$D$71,1)),""))</f>
        <v/>
      </c>
      <c r="C1157">
        <f>IF(A1157="","",DATE(YEAR(A1157),12,31)-DATE(YEAR(A1157),1,1)+1)</f>
        <v/>
      </c>
      <c r="D1157">
        <f>IF(A1157="","",Ввод!$B$4-SUMIF(Оплаты!$A$6:$A$505,"&lt;"&amp;A1157,Оплаты!$B$6:$B$505))</f>
        <v/>
      </c>
      <c r="E1157">
        <f>IF(A1157="","",IF(SUMPRODUCT((Ввод!$F$12:$F$31&lt;&gt;"")*(Ввод!$F$12:$F$31&lt;=A1157)*(Ввод!$G$12:$G$31&gt;=A1157))&gt;0,1,0))</f>
        <v/>
      </c>
      <c r="F1157">
        <f>IF(OR(A1157="",B1157=""),"",IF(E1157=1,0,D1157*B1157/100/C1157))</f>
        <v/>
      </c>
      <c r="G1157">
        <f>IF(A1157="","",IF(OR(B1157&lt;&gt;B1156,C1157&lt;&gt;C1156,D1157&lt;&gt;D1156,E1157&lt;&gt;E1156),G1156+1,G1156))</f>
        <v/>
      </c>
    </row>
    <row r="1158">
      <c r="A1158" s="14">
        <f>IF(OR(NOT(ISNUMBER(Ввод!$B$5)),NOT(ISNUMBER(Ввод!$B$6))),"",IF(Ввод!$B$5+1156&gt;Ввод!$B$6,"",Ввод!$B$5+1156))</f>
        <v/>
      </c>
      <c r="B1158">
        <f>IF(A1158="","",IFERROR(INDEX(Ввод!$B$12:$B$71,MATCH(A1158,Ввод!$D$12:$D$71,1)),""))</f>
        <v/>
      </c>
      <c r="C1158">
        <f>IF(A1158="","",DATE(YEAR(A1158),12,31)-DATE(YEAR(A1158),1,1)+1)</f>
        <v/>
      </c>
      <c r="D1158">
        <f>IF(A1158="","",Ввод!$B$4-SUMIF(Оплаты!$A$6:$A$505,"&lt;"&amp;A1158,Оплаты!$B$6:$B$505))</f>
        <v/>
      </c>
      <c r="E1158">
        <f>IF(A1158="","",IF(SUMPRODUCT((Ввод!$F$12:$F$31&lt;&gt;"")*(Ввод!$F$12:$F$31&lt;=A1158)*(Ввод!$G$12:$G$31&gt;=A1158))&gt;0,1,0))</f>
        <v/>
      </c>
      <c r="F1158">
        <f>IF(OR(A1158="",B1158=""),"",IF(E1158=1,0,D1158*B1158/100/C1158))</f>
        <v/>
      </c>
      <c r="G1158">
        <f>IF(A1158="","",IF(OR(B1158&lt;&gt;B1157,C1158&lt;&gt;C1157,D1158&lt;&gt;D1157,E1158&lt;&gt;E1157),G1157+1,G1157))</f>
        <v/>
      </c>
    </row>
    <row r="1159">
      <c r="A1159" s="14">
        <f>IF(OR(NOT(ISNUMBER(Ввод!$B$5)),NOT(ISNUMBER(Ввод!$B$6))),"",IF(Ввод!$B$5+1157&gt;Ввод!$B$6,"",Ввод!$B$5+1157))</f>
        <v/>
      </c>
      <c r="B1159">
        <f>IF(A1159="","",IFERROR(INDEX(Ввод!$B$12:$B$71,MATCH(A1159,Ввод!$D$12:$D$71,1)),""))</f>
        <v/>
      </c>
      <c r="C1159">
        <f>IF(A1159="","",DATE(YEAR(A1159),12,31)-DATE(YEAR(A1159),1,1)+1)</f>
        <v/>
      </c>
      <c r="D1159">
        <f>IF(A1159="","",Ввод!$B$4-SUMIF(Оплаты!$A$6:$A$505,"&lt;"&amp;A1159,Оплаты!$B$6:$B$505))</f>
        <v/>
      </c>
      <c r="E1159">
        <f>IF(A1159="","",IF(SUMPRODUCT((Ввод!$F$12:$F$31&lt;&gt;"")*(Ввод!$F$12:$F$31&lt;=A1159)*(Ввод!$G$12:$G$31&gt;=A1159))&gt;0,1,0))</f>
        <v/>
      </c>
      <c r="F1159">
        <f>IF(OR(A1159="",B1159=""),"",IF(E1159=1,0,D1159*B1159/100/C1159))</f>
        <v/>
      </c>
      <c r="G1159">
        <f>IF(A1159="","",IF(OR(B1159&lt;&gt;B1158,C1159&lt;&gt;C1158,D1159&lt;&gt;D1158,E1159&lt;&gt;E1158),G1158+1,G1158))</f>
        <v/>
      </c>
    </row>
    <row r="1160">
      <c r="A1160" s="14">
        <f>IF(OR(NOT(ISNUMBER(Ввод!$B$5)),NOT(ISNUMBER(Ввод!$B$6))),"",IF(Ввод!$B$5+1158&gt;Ввод!$B$6,"",Ввод!$B$5+1158))</f>
        <v/>
      </c>
      <c r="B1160">
        <f>IF(A1160="","",IFERROR(INDEX(Ввод!$B$12:$B$71,MATCH(A1160,Ввод!$D$12:$D$71,1)),""))</f>
        <v/>
      </c>
      <c r="C1160">
        <f>IF(A1160="","",DATE(YEAR(A1160),12,31)-DATE(YEAR(A1160),1,1)+1)</f>
        <v/>
      </c>
      <c r="D1160">
        <f>IF(A1160="","",Ввод!$B$4-SUMIF(Оплаты!$A$6:$A$505,"&lt;"&amp;A1160,Оплаты!$B$6:$B$505))</f>
        <v/>
      </c>
      <c r="E1160">
        <f>IF(A1160="","",IF(SUMPRODUCT((Ввод!$F$12:$F$31&lt;&gt;"")*(Ввод!$F$12:$F$31&lt;=A1160)*(Ввод!$G$12:$G$31&gt;=A1160))&gt;0,1,0))</f>
        <v/>
      </c>
      <c r="F1160">
        <f>IF(OR(A1160="",B1160=""),"",IF(E1160=1,0,D1160*B1160/100/C1160))</f>
        <v/>
      </c>
      <c r="G1160">
        <f>IF(A1160="","",IF(OR(B1160&lt;&gt;B1159,C1160&lt;&gt;C1159,D1160&lt;&gt;D1159,E1160&lt;&gt;E1159),G1159+1,G1159))</f>
        <v/>
      </c>
    </row>
    <row r="1161">
      <c r="A1161" s="14">
        <f>IF(OR(NOT(ISNUMBER(Ввод!$B$5)),NOT(ISNUMBER(Ввод!$B$6))),"",IF(Ввод!$B$5+1159&gt;Ввод!$B$6,"",Ввод!$B$5+1159))</f>
        <v/>
      </c>
      <c r="B1161">
        <f>IF(A1161="","",IFERROR(INDEX(Ввод!$B$12:$B$71,MATCH(A1161,Ввод!$D$12:$D$71,1)),""))</f>
        <v/>
      </c>
      <c r="C1161">
        <f>IF(A1161="","",DATE(YEAR(A1161),12,31)-DATE(YEAR(A1161),1,1)+1)</f>
        <v/>
      </c>
      <c r="D1161">
        <f>IF(A1161="","",Ввод!$B$4-SUMIF(Оплаты!$A$6:$A$505,"&lt;"&amp;A1161,Оплаты!$B$6:$B$505))</f>
        <v/>
      </c>
      <c r="E1161">
        <f>IF(A1161="","",IF(SUMPRODUCT((Ввод!$F$12:$F$31&lt;&gt;"")*(Ввод!$F$12:$F$31&lt;=A1161)*(Ввод!$G$12:$G$31&gt;=A1161))&gt;0,1,0))</f>
        <v/>
      </c>
      <c r="F1161">
        <f>IF(OR(A1161="",B1161=""),"",IF(E1161=1,0,D1161*B1161/100/C1161))</f>
        <v/>
      </c>
      <c r="G1161">
        <f>IF(A1161="","",IF(OR(B1161&lt;&gt;B1160,C1161&lt;&gt;C1160,D1161&lt;&gt;D1160,E1161&lt;&gt;E1160),G1160+1,G1160))</f>
        <v/>
      </c>
    </row>
    <row r="1162">
      <c r="A1162" s="14">
        <f>IF(OR(NOT(ISNUMBER(Ввод!$B$5)),NOT(ISNUMBER(Ввод!$B$6))),"",IF(Ввод!$B$5+1160&gt;Ввод!$B$6,"",Ввод!$B$5+1160))</f>
        <v/>
      </c>
      <c r="B1162">
        <f>IF(A1162="","",IFERROR(INDEX(Ввод!$B$12:$B$71,MATCH(A1162,Ввод!$D$12:$D$71,1)),""))</f>
        <v/>
      </c>
      <c r="C1162">
        <f>IF(A1162="","",DATE(YEAR(A1162),12,31)-DATE(YEAR(A1162),1,1)+1)</f>
        <v/>
      </c>
      <c r="D1162">
        <f>IF(A1162="","",Ввод!$B$4-SUMIF(Оплаты!$A$6:$A$505,"&lt;"&amp;A1162,Оплаты!$B$6:$B$505))</f>
        <v/>
      </c>
      <c r="E1162">
        <f>IF(A1162="","",IF(SUMPRODUCT((Ввод!$F$12:$F$31&lt;&gt;"")*(Ввод!$F$12:$F$31&lt;=A1162)*(Ввод!$G$12:$G$31&gt;=A1162))&gt;0,1,0))</f>
        <v/>
      </c>
      <c r="F1162">
        <f>IF(OR(A1162="",B1162=""),"",IF(E1162=1,0,D1162*B1162/100/C1162))</f>
        <v/>
      </c>
      <c r="G1162">
        <f>IF(A1162="","",IF(OR(B1162&lt;&gt;B1161,C1162&lt;&gt;C1161,D1162&lt;&gt;D1161,E1162&lt;&gt;E1161),G1161+1,G1161))</f>
        <v/>
      </c>
    </row>
    <row r="1163">
      <c r="A1163" s="14">
        <f>IF(OR(NOT(ISNUMBER(Ввод!$B$5)),NOT(ISNUMBER(Ввод!$B$6))),"",IF(Ввод!$B$5+1161&gt;Ввод!$B$6,"",Ввод!$B$5+1161))</f>
        <v/>
      </c>
      <c r="B1163">
        <f>IF(A1163="","",IFERROR(INDEX(Ввод!$B$12:$B$71,MATCH(A1163,Ввод!$D$12:$D$71,1)),""))</f>
        <v/>
      </c>
      <c r="C1163">
        <f>IF(A1163="","",DATE(YEAR(A1163),12,31)-DATE(YEAR(A1163),1,1)+1)</f>
        <v/>
      </c>
      <c r="D1163">
        <f>IF(A1163="","",Ввод!$B$4-SUMIF(Оплаты!$A$6:$A$505,"&lt;"&amp;A1163,Оплаты!$B$6:$B$505))</f>
        <v/>
      </c>
      <c r="E1163">
        <f>IF(A1163="","",IF(SUMPRODUCT((Ввод!$F$12:$F$31&lt;&gt;"")*(Ввод!$F$12:$F$31&lt;=A1163)*(Ввод!$G$12:$G$31&gt;=A1163))&gt;0,1,0))</f>
        <v/>
      </c>
      <c r="F1163">
        <f>IF(OR(A1163="",B1163=""),"",IF(E1163=1,0,D1163*B1163/100/C1163))</f>
        <v/>
      </c>
      <c r="G1163">
        <f>IF(A1163="","",IF(OR(B1163&lt;&gt;B1162,C1163&lt;&gt;C1162,D1163&lt;&gt;D1162,E1163&lt;&gt;E1162),G1162+1,G1162))</f>
        <v/>
      </c>
    </row>
    <row r="1164">
      <c r="A1164" s="14">
        <f>IF(OR(NOT(ISNUMBER(Ввод!$B$5)),NOT(ISNUMBER(Ввод!$B$6))),"",IF(Ввод!$B$5+1162&gt;Ввод!$B$6,"",Ввод!$B$5+1162))</f>
        <v/>
      </c>
      <c r="B1164">
        <f>IF(A1164="","",IFERROR(INDEX(Ввод!$B$12:$B$71,MATCH(A1164,Ввод!$D$12:$D$71,1)),""))</f>
        <v/>
      </c>
      <c r="C1164">
        <f>IF(A1164="","",DATE(YEAR(A1164),12,31)-DATE(YEAR(A1164),1,1)+1)</f>
        <v/>
      </c>
      <c r="D1164">
        <f>IF(A1164="","",Ввод!$B$4-SUMIF(Оплаты!$A$6:$A$505,"&lt;"&amp;A1164,Оплаты!$B$6:$B$505))</f>
        <v/>
      </c>
      <c r="E1164">
        <f>IF(A1164="","",IF(SUMPRODUCT((Ввод!$F$12:$F$31&lt;&gt;"")*(Ввод!$F$12:$F$31&lt;=A1164)*(Ввод!$G$12:$G$31&gt;=A1164))&gt;0,1,0))</f>
        <v/>
      </c>
      <c r="F1164">
        <f>IF(OR(A1164="",B1164=""),"",IF(E1164=1,0,D1164*B1164/100/C1164))</f>
        <v/>
      </c>
      <c r="G1164">
        <f>IF(A1164="","",IF(OR(B1164&lt;&gt;B1163,C1164&lt;&gt;C1163,D1164&lt;&gt;D1163,E1164&lt;&gt;E1163),G1163+1,G1163))</f>
        <v/>
      </c>
    </row>
    <row r="1165">
      <c r="A1165" s="14">
        <f>IF(OR(NOT(ISNUMBER(Ввод!$B$5)),NOT(ISNUMBER(Ввод!$B$6))),"",IF(Ввод!$B$5+1163&gt;Ввод!$B$6,"",Ввод!$B$5+1163))</f>
        <v/>
      </c>
      <c r="B1165">
        <f>IF(A1165="","",IFERROR(INDEX(Ввод!$B$12:$B$71,MATCH(A1165,Ввод!$D$12:$D$71,1)),""))</f>
        <v/>
      </c>
      <c r="C1165">
        <f>IF(A1165="","",DATE(YEAR(A1165),12,31)-DATE(YEAR(A1165),1,1)+1)</f>
        <v/>
      </c>
      <c r="D1165">
        <f>IF(A1165="","",Ввод!$B$4-SUMIF(Оплаты!$A$6:$A$505,"&lt;"&amp;A1165,Оплаты!$B$6:$B$505))</f>
        <v/>
      </c>
      <c r="E1165">
        <f>IF(A1165="","",IF(SUMPRODUCT((Ввод!$F$12:$F$31&lt;&gt;"")*(Ввод!$F$12:$F$31&lt;=A1165)*(Ввод!$G$12:$G$31&gt;=A1165))&gt;0,1,0))</f>
        <v/>
      </c>
      <c r="F1165">
        <f>IF(OR(A1165="",B1165=""),"",IF(E1165=1,0,D1165*B1165/100/C1165))</f>
        <v/>
      </c>
      <c r="G1165">
        <f>IF(A1165="","",IF(OR(B1165&lt;&gt;B1164,C1165&lt;&gt;C1164,D1165&lt;&gt;D1164,E1165&lt;&gt;E1164),G1164+1,G1164))</f>
        <v/>
      </c>
    </row>
    <row r="1166">
      <c r="A1166" s="14">
        <f>IF(OR(NOT(ISNUMBER(Ввод!$B$5)),NOT(ISNUMBER(Ввод!$B$6))),"",IF(Ввод!$B$5+1164&gt;Ввод!$B$6,"",Ввод!$B$5+1164))</f>
        <v/>
      </c>
      <c r="B1166">
        <f>IF(A1166="","",IFERROR(INDEX(Ввод!$B$12:$B$71,MATCH(A1166,Ввод!$D$12:$D$71,1)),""))</f>
        <v/>
      </c>
      <c r="C1166">
        <f>IF(A1166="","",DATE(YEAR(A1166),12,31)-DATE(YEAR(A1166),1,1)+1)</f>
        <v/>
      </c>
      <c r="D1166">
        <f>IF(A1166="","",Ввод!$B$4-SUMIF(Оплаты!$A$6:$A$505,"&lt;"&amp;A1166,Оплаты!$B$6:$B$505))</f>
        <v/>
      </c>
      <c r="E1166">
        <f>IF(A1166="","",IF(SUMPRODUCT((Ввод!$F$12:$F$31&lt;&gt;"")*(Ввод!$F$12:$F$31&lt;=A1166)*(Ввод!$G$12:$G$31&gt;=A1166))&gt;0,1,0))</f>
        <v/>
      </c>
      <c r="F1166">
        <f>IF(OR(A1166="",B1166=""),"",IF(E1166=1,0,D1166*B1166/100/C1166))</f>
        <v/>
      </c>
      <c r="G1166">
        <f>IF(A1166="","",IF(OR(B1166&lt;&gt;B1165,C1166&lt;&gt;C1165,D1166&lt;&gt;D1165,E1166&lt;&gt;E1165),G1165+1,G1165))</f>
        <v/>
      </c>
    </row>
    <row r="1167">
      <c r="A1167" s="14">
        <f>IF(OR(NOT(ISNUMBER(Ввод!$B$5)),NOT(ISNUMBER(Ввод!$B$6))),"",IF(Ввод!$B$5+1165&gt;Ввод!$B$6,"",Ввод!$B$5+1165))</f>
        <v/>
      </c>
      <c r="B1167">
        <f>IF(A1167="","",IFERROR(INDEX(Ввод!$B$12:$B$71,MATCH(A1167,Ввод!$D$12:$D$71,1)),""))</f>
        <v/>
      </c>
      <c r="C1167">
        <f>IF(A1167="","",DATE(YEAR(A1167),12,31)-DATE(YEAR(A1167),1,1)+1)</f>
        <v/>
      </c>
      <c r="D1167">
        <f>IF(A1167="","",Ввод!$B$4-SUMIF(Оплаты!$A$6:$A$505,"&lt;"&amp;A1167,Оплаты!$B$6:$B$505))</f>
        <v/>
      </c>
      <c r="E1167">
        <f>IF(A1167="","",IF(SUMPRODUCT((Ввод!$F$12:$F$31&lt;&gt;"")*(Ввод!$F$12:$F$31&lt;=A1167)*(Ввод!$G$12:$G$31&gt;=A1167))&gt;0,1,0))</f>
        <v/>
      </c>
      <c r="F1167">
        <f>IF(OR(A1167="",B1167=""),"",IF(E1167=1,0,D1167*B1167/100/C1167))</f>
        <v/>
      </c>
      <c r="G1167">
        <f>IF(A1167="","",IF(OR(B1167&lt;&gt;B1166,C1167&lt;&gt;C1166,D1167&lt;&gt;D1166,E1167&lt;&gt;E1166),G1166+1,G1166))</f>
        <v/>
      </c>
    </row>
    <row r="1168">
      <c r="A1168" s="14">
        <f>IF(OR(NOT(ISNUMBER(Ввод!$B$5)),NOT(ISNUMBER(Ввод!$B$6))),"",IF(Ввод!$B$5+1166&gt;Ввод!$B$6,"",Ввод!$B$5+1166))</f>
        <v/>
      </c>
      <c r="B1168">
        <f>IF(A1168="","",IFERROR(INDEX(Ввод!$B$12:$B$71,MATCH(A1168,Ввод!$D$12:$D$71,1)),""))</f>
        <v/>
      </c>
      <c r="C1168">
        <f>IF(A1168="","",DATE(YEAR(A1168),12,31)-DATE(YEAR(A1168),1,1)+1)</f>
        <v/>
      </c>
      <c r="D1168">
        <f>IF(A1168="","",Ввод!$B$4-SUMIF(Оплаты!$A$6:$A$505,"&lt;"&amp;A1168,Оплаты!$B$6:$B$505))</f>
        <v/>
      </c>
      <c r="E1168">
        <f>IF(A1168="","",IF(SUMPRODUCT((Ввод!$F$12:$F$31&lt;&gt;"")*(Ввод!$F$12:$F$31&lt;=A1168)*(Ввод!$G$12:$G$31&gt;=A1168))&gt;0,1,0))</f>
        <v/>
      </c>
      <c r="F1168">
        <f>IF(OR(A1168="",B1168=""),"",IF(E1168=1,0,D1168*B1168/100/C1168))</f>
        <v/>
      </c>
      <c r="G1168">
        <f>IF(A1168="","",IF(OR(B1168&lt;&gt;B1167,C1168&lt;&gt;C1167,D1168&lt;&gt;D1167,E1168&lt;&gt;E1167),G1167+1,G1167))</f>
        <v/>
      </c>
    </row>
    <row r="1169">
      <c r="A1169" s="14">
        <f>IF(OR(NOT(ISNUMBER(Ввод!$B$5)),NOT(ISNUMBER(Ввод!$B$6))),"",IF(Ввод!$B$5+1167&gt;Ввод!$B$6,"",Ввод!$B$5+1167))</f>
        <v/>
      </c>
      <c r="B1169">
        <f>IF(A1169="","",IFERROR(INDEX(Ввод!$B$12:$B$71,MATCH(A1169,Ввод!$D$12:$D$71,1)),""))</f>
        <v/>
      </c>
      <c r="C1169">
        <f>IF(A1169="","",DATE(YEAR(A1169),12,31)-DATE(YEAR(A1169),1,1)+1)</f>
        <v/>
      </c>
      <c r="D1169">
        <f>IF(A1169="","",Ввод!$B$4-SUMIF(Оплаты!$A$6:$A$505,"&lt;"&amp;A1169,Оплаты!$B$6:$B$505))</f>
        <v/>
      </c>
      <c r="E1169">
        <f>IF(A1169="","",IF(SUMPRODUCT((Ввод!$F$12:$F$31&lt;&gt;"")*(Ввод!$F$12:$F$31&lt;=A1169)*(Ввод!$G$12:$G$31&gt;=A1169))&gt;0,1,0))</f>
        <v/>
      </c>
      <c r="F1169">
        <f>IF(OR(A1169="",B1169=""),"",IF(E1169=1,0,D1169*B1169/100/C1169))</f>
        <v/>
      </c>
      <c r="G1169">
        <f>IF(A1169="","",IF(OR(B1169&lt;&gt;B1168,C1169&lt;&gt;C1168,D1169&lt;&gt;D1168,E1169&lt;&gt;E1168),G1168+1,G1168))</f>
        <v/>
      </c>
    </row>
    <row r="1170">
      <c r="A1170" s="14">
        <f>IF(OR(NOT(ISNUMBER(Ввод!$B$5)),NOT(ISNUMBER(Ввод!$B$6))),"",IF(Ввод!$B$5+1168&gt;Ввод!$B$6,"",Ввод!$B$5+1168))</f>
        <v/>
      </c>
      <c r="B1170">
        <f>IF(A1170="","",IFERROR(INDEX(Ввод!$B$12:$B$71,MATCH(A1170,Ввод!$D$12:$D$71,1)),""))</f>
        <v/>
      </c>
      <c r="C1170">
        <f>IF(A1170="","",DATE(YEAR(A1170),12,31)-DATE(YEAR(A1170),1,1)+1)</f>
        <v/>
      </c>
      <c r="D1170">
        <f>IF(A1170="","",Ввод!$B$4-SUMIF(Оплаты!$A$6:$A$505,"&lt;"&amp;A1170,Оплаты!$B$6:$B$505))</f>
        <v/>
      </c>
      <c r="E1170">
        <f>IF(A1170="","",IF(SUMPRODUCT((Ввод!$F$12:$F$31&lt;&gt;"")*(Ввод!$F$12:$F$31&lt;=A1170)*(Ввод!$G$12:$G$31&gt;=A1170))&gt;0,1,0))</f>
        <v/>
      </c>
      <c r="F1170">
        <f>IF(OR(A1170="",B1170=""),"",IF(E1170=1,0,D1170*B1170/100/C1170))</f>
        <v/>
      </c>
      <c r="G1170">
        <f>IF(A1170="","",IF(OR(B1170&lt;&gt;B1169,C1170&lt;&gt;C1169,D1170&lt;&gt;D1169,E1170&lt;&gt;E1169),G1169+1,G1169))</f>
        <v/>
      </c>
    </row>
    <row r="1171">
      <c r="A1171" s="14">
        <f>IF(OR(NOT(ISNUMBER(Ввод!$B$5)),NOT(ISNUMBER(Ввод!$B$6))),"",IF(Ввод!$B$5+1169&gt;Ввод!$B$6,"",Ввод!$B$5+1169))</f>
        <v/>
      </c>
      <c r="B1171">
        <f>IF(A1171="","",IFERROR(INDEX(Ввод!$B$12:$B$71,MATCH(A1171,Ввод!$D$12:$D$71,1)),""))</f>
        <v/>
      </c>
      <c r="C1171">
        <f>IF(A1171="","",DATE(YEAR(A1171),12,31)-DATE(YEAR(A1171),1,1)+1)</f>
        <v/>
      </c>
      <c r="D1171">
        <f>IF(A1171="","",Ввод!$B$4-SUMIF(Оплаты!$A$6:$A$505,"&lt;"&amp;A1171,Оплаты!$B$6:$B$505))</f>
        <v/>
      </c>
      <c r="E1171">
        <f>IF(A1171="","",IF(SUMPRODUCT((Ввод!$F$12:$F$31&lt;&gt;"")*(Ввод!$F$12:$F$31&lt;=A1171)*(Ввод!$G$12:$G$31&gt;=A1171))&gt;0,1,0))</f>
        <v/>
      </c>
      <c r="F1171">
        <f>IF(OR(A1171="",B1171=""),"",IF(E1171=1,0,D1171*B1171/100/C1171))</f>
        <v/>
      </c>
      <c r="G1171">
        <f>IF(A1171="","",IF(OR(B1171&lt;&gt;B1170,C1171&lt;&gt;C1170,D1171&lt;&gt;D1170,E1171&lt;&gt;E1170),G1170+1,G1170))</f>
        <v/>
      </c>
    </row>
    <row r="1172">
      <c r="A1172" s="14">
        <f>IF(OR(NOT(ISNUMBER(Ввод!$B$5)),NOT(ISNUMBER(Ввод!$B$6))),"",IF(Ввод!$B$5+1170&gt;Ввод!$B$6,"",Ввод!$B$5+1170))</f>
        <v/>
      </c>
      <c r="B1172">
        <f>IF(A1172="","",IFERROR(INDEX(Ввод!$B$12:$B$71,MATCH(A1172,Ввод!$D$12:$D$71,1)),""))</f>
        <v/>
      </c>
      <c r="C1172">
        <f>IF(A1172="","",DATE(YEAR(A1172),12,31)-DATE(YEAR(A1172),1,1)+1)</f>
        <v/>
      </c>
      <c r="D1172">
        <f>IF(A1172="","",Ввод!$B$4-SUMIF(Оплаты!$A$6:$A$505,"&lt;"&amp;A1172,Оплаты!$B$6:$B$505))</f>
        <v/>
      </c>
      <c r="E1172">
        <f>IF(A1172="","",IF(SUMPRODUCT((Ввод!$F$12:$F$31&lt;&gt;"")*(Ввод!$F$12:$F$31&lt;=A1172)*(Ввод!$G$12:$G$31&gt;=A1172))&gt;0,1,0))</f>
        <v/>
      </c>
      <c r="F1172">
        <f>IF(OR(A1172="",B1172=""),"",IF(E1172=1,0,D1172*B1172/100/C1172))</f>
        <v/>
      </c>
      <c r="G1172">
        <f>IF(A1172="","",IF(OR(B1172&lt;&gt;B1171,C1172&lt;&gt;C1171,D1172&lt;&gt;D1171,E1172&lt;&gt;E1171),G1171+1,G1171))</f>
        <v/>
      </c>
    </row>
    <row r="1173">
      <c r="A1173" s="14">
        <f>IF(OR(NOT(ISNUMBER(Ввод!$B$5)),NOT(ISNUMBER(Ввод!$B$6))),"",IF(Ввод!$B$5+1171&gt;Ввод!$B$6,"",Ввод!$B$5+1171))</f>
        <v/>
      </c>
      <c r="B1173">
        <f>IF(A1173="","",IFERROR(INDEX(Ввод!$B$12:$B$71,MATCH(A1173,Ввод!$D$12:$D$71,1)),""))</f>
        <v/>
      </c>
      <c r="C1173">
        <f>IF(A1173="","",DATE(YEAR(A1173),12,31)-DATE(YEAR(A1173),1,1)+1)</f>
        <v/>
      </c>
      <c r="D1173">
        <f>IF(A1173="","",Ввод!$B$4-SUMIF(Оплаты!$A$6:$A$505,"&lt;"&amp;A1173,Оплаты!$B$6:$B$505))</f>
        <v/>
      </c>
      <c r="E1173">
        <f>IF(A1173="","",IF(SUMPRODUCT((Ввод!$F$12:$F$31&lt;&gt;"")*(Ввод!$F$12:$F$31&lt;=A1173)*(Ввод!$G$12:$G$31&gt;=A1173))&gt;0,1,0))</f>
        <v/>
      </c>
      <c r="F1173">
        <f>IF(OR(A1173="",B1173=""),"",IF(E1173=1,0,D1173*B1173/100/C1173))</f>
        <v/>
      </c>
      <c r="G1173">
        <f>IF(A1173="","",IF(OR(B1173&lt;&gt;B1172,C1173&lt;&gt;C1172,D1173&lt;&gt;D1172,E1173&lt;&gt;E1172),G1172+1,G1172))</f>
        <v/>
      </c>
    </row>
    <row r="1174">
      <c r="A1174" s="14">
        <f>IF(OR(NOT(ISNUMBER(Ввод!$B$5)),NOT(ISNUMBER(Ввод!$B$6))),"",IF(Ввод!$B$5+1172&gt;Ввод!$B$6,"",Ввод!$B$5+1172))</f>
        <v/>
      </c>
      <c r="B1174">
        <f>IF(A1174="","",IFERROR(INDEX(Ввод!$B$12:$B$71,MATCH(A1174,Ввод!$D$12:$D$71,1)),""))</f>
        <v/>
      </c>
      <c r="C1174">
        <f>IF(A1174="","",DATE(YEAR(A1174),12,31)-DATE(YEAR(A1174),1,1)+1)</f>
        <v/>
      </c>
      <c r="D1174">
        <f>IF(A1174="","",Ввод!$B$4-SUMIF(Оплаты!$A$6:$A$505,"&lt;"&amp;A1174,Оплаты!$B$6:$B$505))</f>
        <v/>
      </c>
      <c r="E1174">
        <f>IF(A1174="","",IF(SUMPRODUCT((Ввод!$F$12:$F$31&lt;&gt;"")*(Ввод!$F$12:$F$31&lt;=A1174)*(Ввод!$G$12:$G$31&gt;=A1174))&gt;0,1,0))</f>
        <v/>
      </c>
      <c r="F1174">
        <f>IF(OR(A1174="",B1174=""),"",IF(E1174=1,0,D1174*B1174/100/C1174))</f>
        <v/>
      </c>
      <c r="G1174">
        <f>IF(A1174="","",IF(OR(B1174&lt;&gt;B1173,C1174&lt;&gt;C1173,D1174&lt;&gt;D1173,E1174&lt;&gt;E1173),G1173+1,G1173))</f>
        <v/>
      </c>
    </row>
    <row r="1175">
      <c r="A1175" s="14">
        <f>IF(OR(NOT(ISNUMBER(Ввод!$B$5)),NOT(ISNUMBER(Ввод!$B$6))),"",IF(Ввод!$B$5+1173&gt;Ввод!$B$6,"",Ввод!$B$5+1173))</f>
        <v/>
      </c>
      <c r="B1175">
        <f>IF(A1175="","",IFERROR(INDEX(Ввод!$B$12:$B$71,MATCH(A1175,Ввод!$D$12:$D$71,1)),""))</f>
        <v/>
      </c>
      <c r="C1175">
        <f>IF(A1175="","",DATE(YEAR(A1175),12,31)-DATE(YEAR(A1175),1,1)+1)</f>
        <v/>
      </c>
      <c r="D1175">
        <f>IF(A1175="","",Ввод!$B$4-SUMIF(Оплаты!$A$6:$A$505,"&lt;"&amp;A1175,Оплаты!$B$6:$B$505))</f>
        <v/>
      </c>
      <c r="E1175">
        <f>IF(A1175="","",IF(SUMPRODUCT((Ввод!$F$12:$F$31&lt;&gt;"")*(Ввод!$F$12:$F$31&lt;=A1175)*(Ввод!$G$12:$G$31&gt;=A1175))&gt;0,1,0))</f>
        <v/>
      </c>
      <c r="F1175">
        <f>IF(OR(A1175="",B1175=""),"",IF(E1175=1,0,D1175*B1175/100/C1175))</f>
        <v/>
      </c>
      <c r="G1175">
        <f>IF(A1175="","",IF(OR(B1175&lt;&gt;B1174,C1175&lt;&gt;C1174,D1175&lt;&gt;D1174,E1175&lt;&gt;E1174),G1174+1,G1174))</f>
        <v/>
      </c>
    </row>
    <row r="1176">
      <c r="A1176" s="14">
        <f>IF(OR(NOT(ISNUMBER(Ввод!$B$5)),NOT(ISNUMBER(Ввод!$B$6))),"",IF(Ввод!$B$5+1174&gt;Ввод!$B$6,"",Ввод!$B$5+1174))</f>
        <v/>
      </c>
      <c r="B1176">
        <f>IF(A1176="","",IFERROR(INDEX(Ввод!$B$12:$B$71,MATCH(A1176,Ввод!$D$12:$D$71,1)),""))</f>
        <v/>
      </c>
      <c r="C1176">
        <f>IF(A1176="","",DATE(YEAR(A1176),12,31)-DATE(YEAR(A1176),1,1)+1)</f>
        <v/>
      </c>
      <c r="D1176">
        <f>IF(A1176="","",Ввод!$B$4-SUMIF(Оплаты!$A$6:$A$505,"&lt;"&amp;A1176,Оплаты!$B$6:$B$505))</f>
        <v/>
      </c>
      <c r="E1176">
        <f>IF(A1176="","",IF(SUMPRODUCT((Ввод!$F$12:$F$31&lt;&gt;"")*(Ввод!$F$12:$F$31&lt;=A1176)*(Ввод!$G$12:$G$31&gt;=A1176))&gt;0,1,0))</f>
        <v/>
      </c>
      <c r="F1176">
        <f>IF(OR(A1176="",B1176=""),"",IF(E1176=1,0,D1176*B1176/100/C1176))</f>
        <v/>
      </c>
      <c r="G1176">
        <f>IF(A1176="","",IF(OR(B1176&lt;&gt;B1175,C1176&lt;&gt;C1175,D1176&lt;&gt;D1175,E1176&lt;&gt;E1175),G1175+1,G1175))</f>
        <v/>
      </c>
    </row>
    <row r="1177">
      <c r="A1177" s="14">
        <f>IF(OR(NOT(ISNUMBER(Ввод!$B$5)),NOT(ISNUMBER(Ввод!$B$6))),"",IF(Ввод!$B$5+1175&gt;Ввод!$B$6,"",Ввод!$B$5+1175))</f>
        <v/>
      </c>
      <c r="B1177">
        <f>IF(A1177="","",IFERROR(INDEX(Ввод!$B$12:$B$71,MATCH(A1177,Ввод!$D$12:$D$71,1)),""))</f>
        <v/>
      </c>
      <c r="C1177">
        <f>IF(A1177="","",DATE(YEAR(A1177),12,31)-DATE(YEAR(A1177),1,1)+1)</f>
        <v/>
      </c>
      <c r="D1177">
        <f>IF(A1177="","",Ввод!$B$4-SUMIF(Оплаты!$A$6:$A$505,"&lt;"&amp;A1177,Оплаты!$B$6:$B$505))</f>
        <v/>
      </c>
      <c r="E1177">
        <f>IF(A1177="","",IF(SUMPRODUCT((Ввод!$F$12:$F$31&lt;&gt;"")*(Ввод!$F$12:$F$31&lt;=A1177)*(Ввод!$G$12:$G$31&gt;=A1177))&gt;0,1,0))</f>
        <v/>
      </c>
      <c r="F1177">
        <f>IF(OR(A1177="",B1177=""),"",IF(E1177=1,0,D1177*B1177/100/C1177))</f>
        <v/>
      </c>
      <c r="G1177">
        <f>IF(A1177="","",IF(OR(B1177&lt;&gt;B1176,C1177&lt;&gt;C1176,D1177&lt;&gt;D1176,E1177&lt;&gt;E1176),G1176+1,G1176))</f>
        <v/>
      </c>
    </row>
    <row r="1178">
      <c r="A1178" s="14">
        <f>IF(OR(NOT(ISNUMBER(Ввод!$B$5)),NOT(ISNUMBER(Ввод!$B$6))),"",IF(Ввод!$B$5+1176&gt;Ввод!$B$6,"",Ввод!$B$5+1176))</f>
        <v/>
      </c>
      <c r="B1178">
        <f>IF(A1178="","",IFERROR(INDEX(Ввод!$B$12:$B$71,MATCH(A1178,Ввод!$D$12:$D$71,1)),""))</f>
        <v/>
      </c>
      <c r="C1178">
        <f>IF(A1178="","",DATE(YEAR(A1178),12,31)-DATE(YEAR(A1178),1,1)+1)</f>
        <v/>
      </c>
      <c r="D1178">
        <f>IF(A1178="","",Ввод!$B$4-SUMIF(Оплаты!$A$6:$A$505,"&lt;"&amp;A1178,Оплаты!$B$6:$B$505))</f>
        <v/>
      </c>
      <c r="E1178">
        <f>IF(A1178="","",IF(SUMPRODUCT((Ввод!$F$12:$F$31&lt;&gt;"")*(Ввод!$F$12:$F$31&lt;=A1178)*(Ввод!$G$12:$G$31&gt;=A1178))&gt;0,1,0))</f>
        <v/>
      </c>
      <c r="F1178">
        <f>IF(OR(A1178="",B1178=""),"",IF(E1178=1,0,D1178*B1178/100/C1178))</f>
        <v/>
      </c>
      <c r="G1178">
        <f>IF(A1178="","",IF(OR(B1178&lt;&gt;B1177,C1178&lt;&gt;C1177,D1178&lt;&gt;D1177,E1178&lt;&gt;E1177),G1177+1,G1177))</f>
        <v/>
      </c>
    </row>
    <row r="1179">
      <c r="A1179" s="14">
        <f>IF(OR(NOT(ISNUMBER(Ввод!$B$5)),NOT(ISNUMBER(Ввод!$B$6))),"",IF(Ввод!$B$5+1177&gt;Ввод!$B$6,"",Ввод!$B$5+1177))</f>
        <v/>
      </c>
      <c r="B1179">
        <f>IF(A1179="","",IFERROR(INDEX(Ввод!$B$12:$B$71,MATCH(A1179,Ввод!$D$12:$D$71,1)),""))</f>
        <v/>
      </c>
      <c r="C1179">
        <f>IF(A1179="","",DATE(YEAR(A1179),12,31)-DATE(YEAR(A1179),1,1)+1)</f>
        <v/>
      </c>
      <c r="D1179">
        <f>IF(A1179="","",Ввод!$B$4-SUMIF(Оплаты!$A$6:$A$505,"&lt;"&amp;A1179,Оплаты!$B$6:$B$505))</f>
        <v/>
      </c>
      <c r="E1179">
        <f>IF(A1179="","",IF(SUMPRODUCT((Ввод!$F$12:$F$31&lt;&gt;"")*(Ввод!$F$12:$F$31&lt;=A1179)*(Ввод!$G$12:$G$31&gt;=A1179))&gt;0,1,0))</f>
        <v/>
      </c>
      <c r="F1179">
        <f>IF(OR(A1179="",B1179=""),"",IF(E1179=1,0,D1179*B1179/100/C1179))</f>
        <v/>
      </c>
      <c r="G1179">
        <f>IF(A1179="","",IF(OR(B1179&lt;&gt;B1178,C1179&lt;&gt;C1178,D1179&lt;&gt;D1178,E1179&lt;&gt;E1178),G1178+1,G1178))</f>
        <v/>
      </c>
    </row>
    <row r="1180">
      <c r="A1180" s="14">
        <f>IF(OR(NOT(ISNUMBER(Ввод!$B$5)),NOT(ISNUMBER(Ввод!$B$6))),"",IF(Ввод!$B$5+1178&gt;Ввод!$B$6,"",Ввод!$B$5+1178))</f>
        <v/>
      </c>
      <c r="B1180">
        <f>IF(A1180="","",IFERROR(INDEX(Ввод!$B$12:$B$71,MATCH(A1180,Ввод!$D$12:$D$71,1)),""))</f>
        <v/>
      </c>
      <c r="C1180">
        <f>IF(A1180="","",DATE(YEAR(A1180),12,31)-DATE(YEAR(A1180),1,1)+1)</f>
        <v/>
      </c>
      <c r="D1180">
        <f>IF(A1180="","",Ввод!$B$4-SUMIF(Оплаты!$A$6:$A$505,"&lt;"&amp;A1180,Оплаты!$B$6:$B$505))</f>
        <v/>
      </c>
      <c r="E1180">
        <f>IF(A1180="","",IF(SUMPRODUCT((Ввод!$F$12:$F$31&lt;&gt;"")*(Ввод!$F$12:$F$31&lt;=A1180)*(Ввод!$G$12:$G$31&gt;=A1180))&gt;0,1,0))</f>
        <v/>
      </c>
      <c r="F1180">
        <f>IF(OR(A1180="",B1180=""),"",IF(E1180=1,0,D1180*B1180/100/C1180))</f>
        <v/>
      </c>
      <c r="G1180">
        <f>IF(A1180="","",IF(OR(B1180&lt;&gt;B1179,C1180&lt;&gt;C1179,D1180&lt;&gt;D1179,E1180&lt;&gt;E1179),G1179+1,G1179))</f>
        <v/>
      </c>
    </row>
    <row r="1181">
      <c r="A1181" s="14">
        <f>IF(OR(NOT(ISNUMBER(Ввод!$B$5)),NOT(ISNUMBER(Ввод!$B$6))),"",IF(Ввод!$B$5+1179&gt;Ввод!$B$6,"",Ввод!$B$5+1179))</f>
        <v/>
      </c>
      <c r="B1181">
        <f>IF(A1181="","",IFERROR(INDEX(Ввод!$B$12:$B$71,MATCH(A1181,Ввод!$D$12:$D$71,1)),""))</f>
        <v/>
      </c>
      <c r="C1181">
        <f>IF(A1181="","",DATE(YEAR(A1181),12,31)-DATE(YEAR(A1181),1,1)+1)</f>
        <v/>
      </c>
      <c r="D1181">
        <f>IF(A1181="","",Ввод!$B$4-SUMIF(Оплаты!$A$6:$A$505,"&lt;"&amp;A1181,Оплаты!$B$6:$B$505))</f>
        <v/>
      </c>
      <c r="E1181">
        <f>IF(A1181="","",IF(SUMPRODUCT((Ввод!$F$12:$F$31&lt;&gt;"")*(Ввод!$F$12:$F$31&lt;=A1181)*(Ввод!$G$12:$G$31&gt;=A1181))&gt;0,1,0))</f>
        <v/>
      </c>
      <c r="F1181">
        <f>IF(OR(A1181="",B1181=""),"",IF(E1181=1,0,D1181*B1181/100/C1181))</f>
        <v/>
      </c>
      <c r="G1181">
        <f>IF(A1181="","",IF(OR(B1181&lt;&gt;B1180,C1181&lt;&gt;C1180,D1181&lt;&gt;D1180,E1181&lt;&gt;E1180),G1180+1,G1180))</f>
        <v/>
      </c>
    </row>
    <row r="1182">
      <c r="A1182" s="14">
        <f>IF(OR(NOT(ISNUMBER(Ввод!$B$5)),NOT(ISNUMBER(Ввод!$B$6))),"",IF(Ввод!$B$5+1180&gt;Ввод!$B$6,"",Ввод!$B$5+1180))</f>
        <v/>
      </c>
      <c r="B1182">
        <f>IF(A1182="","",IFERROR(INDEX(Ввод!$B$12:$B$71,MATCH(A1182,Ввод!$D$12:$D$71,1)),""))</f>
        <v/>
      </c>
      <c r="C1182">
        <f>IF(A1182="","",DATE(YEAR(A1182),12,31)-DATE(YEAR(A1182),1,1)+1)</f>
        <v/>
      </c>
      <c r="D1182">
        <f>IF(A1182="","",Ввод!$B$4-SUMIF(Оплаты!$A$6:$A$505,"&lt;"&amp;A1182,Оплаты!$B$6:$B$505))</f>
        <v/>
      </c>
      <c r="E1182">
        <f>IF(A1182="","",IF(SUMPRODUCT((Ввод!$F$12:$F$31&lt;&gt;"")*(Ввод!$F$12:$F$31&lt;=A1182)*(Ввод!$G$12:$G$31&gt;=A1182))&gt;0,1,0))</f>
        <v/>
      </c>
      <c r="F1182">
        <f>IF(OR(A1182="",B1182=""),"",IF(E1182=1,0,D1182*B1182/100/C1182))</f>
        <v/>
      </c>
      <c r="G1182">
        <f>IF(A1182="","",IF(OR(B1182&lt;&gt;B1181,C1182&lt;&gt;C1181,D1182&lt;&gt;D1181,E1182&lt;&gt;E1181),G1181+1,G1181))</f>
        <v/>
      </c>
    </row>
    <row r="1183">
      <c r="A1183" s="14">
        <f>IF(OR(NOT(ISNUMBER(Ввод!$B$5)),NOT(ISNUMBER(Ввод!$B$6))),"",IF(Ввод!$B$5+1181&gt;Ввод!$B$6,"",Ввод!$B$5+1181))</f>
        <v/>
      </c>
      <c r="B1183">
        <f>IF(A1183="","",IFERROR(INDEX(Ввод!$B$12:$B$71,MATCH(A1183,Ввод!$D$12:$D$71,1)),""))</f>
        <v/>
      </c>
      <c r="C1183">
        <f>IF(A1183="","",DATE(YEAR(A1183),12,31)-DATE(YEAR(A1183),1,1)+1)</f>
        <v/>
      </c>
      <c r="D1183">
        <f>IF(A1183="","",Ввод!$B$4-SUMIF(Оплаты!$A$6:$A$505,"&lt;"&amp;A1183,Оплаты!$B$6:$B$505))</f>
        <v/>
      </c>
      <c r="E1183">
        <f>IF(A1183="","",IF(SUMPRODUCT((Ввод!$F$12:$F$31&lt;&gt;"")*(Ввод!$F$12:$F$31&lt;=A1183)*(Ввод!$G$12:$G$31&gt;=A1183))&gt;0,1,0))</f>
        <v/>
      </c>
      <c r="F1183">
        <f>IF(OR(A1183="",B1183=""),"",IF(E1183=1,0,D1183*B1183/100/C1183))</f>
        <v/>
      </c>
      <c r="G1183">
        <f>IF(A1183="","",IF(OR(B1183&lt;&gt;B1182,C1183&lt;&gt;C1182,D1183&lt;&gt;D1182,E1183&lt;&gt;E1182),G1182+1,G1182))</f>
        <v/>
      </c>
    </row>
    <row r="1184">
      <c r="A1184" s="14">
        <f>IF(OR(NOT(ISNUMBER(Ввод!$B$5)),NOT(ISNUMBER(Ввод!$B$6))),"",IF(Ввод!$B$5+1182&gt;Ввод!$B$6,"",Ввод!$B$5+1182))</f>
        <v/>
      </c>
      <c r="B1184">
        <f>IF(A1184="","",IFERROR(INDEX(Ввод!$B$12:$B$71,MATCH(A1184,Ввод!$D$12:$D$71,1)),""))</f>
        <v/>
      </c>
      <c r="C1184">
        <f>IF(A1184="","",DATE(YEAR(A1184),12,31)-DATE(YEAR(A1184),1,1)+1)</f>
        <v/>
      </c>
      <c r="D1184">
        <f>IF(A1184="","",Ввод!$B$4-SUMIF(Оплаты!$A$6:$A$505,"&lt;"&amp;A1184,Оплаты!$B$6:$B$505))</f>
        <v/>
      </c>
      <c r="E1184">
        <f>IF(A1184="","",IF(SUMPRODUCT((Ввод!$F$12:$F$31&lt;&gt;"")*(Ввод!$F$12:$F$31&lt;=A1184)*(Ввод!$G$12:$G$31&gt;=A1184))&gt;0,1,0))</f>
        <v/>
      </c>
      <c r="F1184">
        <f>IF(OR(A1184="",B1184=""),"",IF(E1184=1,0,D1184*B1184/100/C1184))</f>
        <v/>
      </c>
      <c r="G1184">
        <f>IF(A1184="","",IF(OR(B1184&lt;&gt;B1183,C1184&lt;&gt;C1183,D1184&lt;&gt;D1183,E1184&lt;&gt;E1183),G1183+1,G1183))</f>
        <v/>
      </c>
    </row>
    <row r="1185">
      <c r="A1185" s="14">
        <f>IF(OR(NOT(ISNUMBER(Ввод!$B$5)),NOT(ISNUMBER(Ввод!$B$6))),"",IF(Ввод!$B$5+1183&gt;Ввод!$B$6,"",Ввод!$B$5+1183))</f>
        <v/>
      </c>
      <c r="B1185">
        <f>IF(A1185="","",IFERROR(INDEX(Ввод!$B$12:$B$71,MATCH(A1185,Ввод!$D$12:$D$71,1)),""))</f>
        <v/>
      </c>
      <c r="C1185">
        <f>IF(A1185="","",DATE(YEAR(A1185),12,31)-DATE(YEAR(A1185),1,1)+1)</f>
        <v/>
      </c>
      <c r="D1185">
        <f>IF(A1185="","",Ввод!$B$4-SUMIF(Оплаты!$A$6:$A$505,"&lt;"&amp;A1185,Оплаты!$B$6:$B$505))</f>
        <v/>
      </c>
      <c r="E1185">
        <f>IF(A1185="","",IF(SUMPRODUCT((Ввод!$F$12:$F$31&lt;&gt;"")*(Ввод!$F$12:$F$31&lt;=A1185)*(Ввод!$G$12:$G$31&gt;=A1185))&gt;0,1,0))</f>
        <v/>
      </c>
      <c r="F1185">
        <f>IF(OR(A1185="",B1185=""),"",IF(E1185=1,0,D1185*B1185/100/C1185))</f>
        <v/>
      </c>
      <c r="G1185">
        <f>IF(A1185="","",IF(OR(B1185&lt;&gt;B1184,C1185&lt;&gt;C1184,D1185&lt;&gt;D1184,E1185&lt;&gt;E1184),G1184+1,G1184))</f>
        <v/>
      </c>
    </row>
    <row r="1186">
      <c r="A1186" s="14">
        <f>IF(OR(NOT(ISNUMBER(Ввод!$B$5)),NOT(ISNUMBER(Ввод!$B$6))),"",IF(Ввод!$B$5+1184&gt;Ввод!$B$6,"",Ввод!$B$5+1184))</f>
        <v/>
      </c>
      <c r="B1186">
        <f>IF(A1186="","",IFERROR(INDEX(Ввод!$B$12:$B$71,MATCH(A1186,Ввод!$D$12:$D$71,1)),""))</f>
        <v/>
      </c>
      <c r="C1186">
        <f>IF(A1186="","",DATE(YEAR(A1186),12,31)-DATE(YEAR(A1186),1,1)+1)</f>
        <v/>
      </c>
      <c r="D1186">
        <f>IF(A1186="","",Ввод!$B$4-SUMIF(Оплаты!$A$6:$A$505,"&lt;"&amp;A1186,Оплаты!$B$6:$B$505))</f>
        <v/>
      </c>
      <c r="E1186">
        <f>IF(A1186="","",IF(SUMPRODUCT((Ввод!$F$12:$F$31&lt;&gt;"")*(Ввод!$F$12:$F$31&lt;=A1186)*(Ввод!$G$12:$G$31&gt;=A1186))&gt;0,1,0))</f>
        <v/>
      </c>
      <c r="F1186">
        <f>IF(OR(A1186="",B1186=""),"",IF(E1186=1,0,D1186*B1186/100/C1186))</f>
        <v/>
      </c>
      <c r="G1186">
        <f>IF(A1186="","",IF(OR(B1186&lt;&gt;B1185,C1186&lt;&gt;C1185,D1186&lt;&gt;D1185,E1186&lt;&gt;E1185),G1185+1,G1185))</f>
        <v/>
      </c>
    </row>
    <row r="1187">
      <c r="A1187" s="14">
        <f>IF(OR(NOT(ISNUMBER(Ввод!$B$5)),NOT(ISNUMBER(Ввод!$B$6))),"",IF(Ввод!$B$5+1185&gt;Ввод!$B$6,"",Ввод!$B$5+1185))</f>
        <v/>
      </c>
      <c r="B1187">
        <f>IF(A1187="","",IFERROR(INDEX(Ввод!$B$12:$B$71,MATCH(A1187,Ввод!$D$12:$D$71,1)),""))</f>
        <v/>
      </c>
      <c r="C1187">
        <f>IF(A1187="","",DATE(YEAR(A1187),12,31)-DATE(YEAR(A1187),1,1)+1)</f>
        <v/>
      </c>
      <c r="D1187">
        <f>IF(A1187="","",Ввод!$B$4-SUMIF(Оплаты!$A$6:$A$505,"&lt;"&amp;A1187,Оплаты!$B$6:$B$505))</f>
        <v/>
      </c>
      <c r="E1187">
        <f>IF(A1187="","",IF(SUMPRODUCT((Ввод!$F$12:$F$31&lt;&gt;"")*(Ввод!$F$12:$F$31&lt;=A1187)*(Ввод!$G$12:$G$31&gt;=A1187))&gt;0,1,0))</f>
        <v/>
      </c>
      <c r="F1187">
        <f>IF(OR(A1187="",B1187=""),"",IF(E1187=1,0,D1187*B1187/100/C1187))</f>
        <v/>
      </c>
      <c r="G1187">
        <f>IF(A1187="","",IF(OR(B1187&lt;&gt;B1186,C1187&lt;&gt;C1186,D1187&lt;&gt;D1186,E1187&lt;&gt;E1186),G1186+1,G1186))</f>
        <v/>
      </c>
    </row>
    <row r="1188">
      <c r="A1188" s="14">
        <f>IF(OR(NOT(ISNUMBER(Ввод!$B$5)),NOT(ISNUMBER(Ввод!$B$6))),"",IF(Ввод!$B$5+1186&gt;Ввод!$B$6,"",Ввод!$B$5+1186))</f>
        <v/>
      </c>
      <c r="B1188">
        <f>IF(A1188="","",IFERROR(INDEX(Ввод!$B$12:$B$71,MATCH(A1188,Ввод!$D$12:$D$71,1)),""))</f>
        <v/>
      </c>
      <c r="C1188">
        <f>IF(A1188="","",DATE(YEAR(A1188),12,31)-DATE(YEAR(A1188),1,1)+1)</f>
        <v/>
      </c>
      <c r="D1188">
        <f>IF(A1188="","",Ввод!$B$4-SUMIF(Оплаты!$A$6:$A$505,"&lt;"&amp;A1188,Оплаты!$B$6:$B$505))</f>
        <v/>
      </c>
      <c r="E1188">
        <f>IF(A1188="","",IF(SUMPRODUCT((Ввод!$F$12:$F$31&lt;&gt;"")*(Ввод!$F$12:$F$31&lt;=A1188)*(Ввод!$G$12:$G$31&gt;=A1188))&gt;0,1,0))</f>
        <v/>
      </c>
      <c r="F1188">
        <f>IF(OR(A1188="",B1188=""),"",IF(E1188=1,0,D1188*B1188/100/C1188))</f>
        <v/>
      </c>
      <c r="G1188">
        <f>IF(A1188="","",IF(OR(B1188&lt;&gt;B1187,C1188&lt;&gt;C1187,D1188&lt;&gt;D1187,E1188&lt;&gt;E1187),G1187+1,G1187))</f>
        <v/>
      </c>
    </row>
    <row r="1189">
      <c r="A1189" s="14">
        <f>IF(OR(NOT(ISNUMBER(Ввод!$B$5)),NOT(ISNUMBER(Ввод!$B$6))),"",IF(Ввод!$B$5+1187&gt;Ввод!$B$6,"",Ввод!$B$5+1187))</f>
        <v/>
      </c>
      <c r="B1189">
        <f>IF(A1189="","",IFERROR(INDEX(Ввод!$B$12:$B$71,MATCH(A1189,Ввод!$D$12:$D$71,1)),""))</f>
        <v/>
      </c>
      <c r="C1189">
        <f>IF(A1189="","",DATE(YEAR(A1189),12,31)-DATE(YEAR(A1189),1,1)+1)</f>
        <v/>
      </c>
      <c r="D1189">
        <f>IF(A1189="","",Ввод!$B$4-SUMIF(Оплаты!$A$6:$A$505,"&lt;"&amp;A1189,Оплаты!$B$6:$B$505))</f>
        <v/>
      </c>
      <c r="E1189">
        <f>IF(A1189="","",IF(SUMPRODUCT((Ввод!$F$12:$F$31&lt;&gt;"")*(Ввод!$F$12:$F$31&lt;=A1189)*(Ввод!$G$12:$G$31&gt;=A1189))&gt;0,1,0))</f>
        <v/>
      </c>
      <c r="F1189">
        <f>IF(OR(A1189="",B1189=""),"",IF(E1189=1,0,D1189*B1189/100/C1189))</f>
        <v/>
      </c>
      <c r="G1189">
        <f>IF(A1189="","",IF(OR(B1189&lt;&gt;B1188,C1189&lt;&gt;C1188,D1189&lt;&gt;D1188,E1189&lt;&gt;E1188),G1188+1,G1188))</f>
        <v/>
      </c>
    </row>
    <row r="1190">
      <c r="A1190" s="14">
        <f>IF(OR(NOT(ISNUMBER(Ввод!$B$5)),NOT(ISNUMBER(Ввод!$B$6))),"",IF(Ввод!$B$5+1188&gt;Ввод!$B$6,"",Ввод!$B$5+1188))</f>
        <v/>
      </c>
      <c r="B1190">
        <f>IF(A1190="","",IFERROR(INDEX(Ввод!$B$12:$B$71,MATCH(A1190,Ввод!$D$12:$D$71,1)),""))</f>
        <v/>
      </c>
      <c r="C1190">
        <f>IF(A1190="","",DATE(YEAR(A1190),12,31)-DATE(YEAR(A1190),1,1)+1)</f>
        <v/>
      </c>
      <c r="D1190">
        <f>IF(A1190="","",Ввод!$B$4-SUMIF(Оплаты!$A$6:$A$505,"&lt;"&amp;A1190,Оплаты!$B$6:$B$505))</f>
        <v/>
      </c>
      <c r="E1190">
        <f>IF(A1190="","",IF(SUMPRODUCT((Ввод!$F$12:$F$31&lt;&gt;"")*(Ввод!$F$12:$F$31&lt;=A1190)*(Ввод!$G$12:$G$31&gt;=A1190))&gt;0,1,0))</f>
        <v/>
      </c>
      <c r="F1190">
        <f>IF(OR(A1190="",B1190=""),"",IF(E1190=1,0,D1190*B1190/100/C1190))</f>
        <v/>
      </c>
      <c r="G1190">
        <f>IF(A1190="","",IF(OR(B1190&lt;&gt;B1189,C1190&lt;&gt;C1189,D1190&lt;&gt;D1189,E1190&lt;&gt;E1189),G1189+1,G1189))</f>
        <v/>
      </c>
    </row>
    <row r="1191">
      <c r="A1191" s="14">
        <f>IF(OR(NOT(ISNUMBER(Ввод!$B$5)),NOT(ISNUMBER(Ввод!$B$6))),"",IF(Ввод!$B$5+1189&gt;Ввод!$B$6,"",Ввод!$B$5+1189))</f>
        <v/>
      </c>
      <c r="B1191">
        <f>IF(A1191="","",IFERROR(INDEX(Ввод!$B$12:$B$71,MATCH(A1191,Ввод!$D$12:$D$71,1)),""))</f>
        <v/>
      </c>
      <c r="C1191">
        <f>IF(A1191="","",DATE(YEAR(A1191),12,31)-DATE(YEAR(A1191),1,1)+1)</f>
        <v/>
      </c>
      <c r="D1191">
        <f>IF(A1191="","",Ввод!$B$4-SUMIF(Оплаты!$A$6:$A$505,"&lt;"&amp;A1191,Оплаты!$B$6:$B$505))</f>
        <v/>
      </c>
      <c r="E1191">
        <f>IF(A1191="","",IF(SUMPRODUCT((Ввод!$F$12:$F$31&lt;&gt;"")*(Ввод!$F$12:$F$31&lt;=A1191)*(Ввод!$G$12:$G$31&gt;=A1191))&gt;0,1,0))</f>
        <v/>
      </c>
      <c r="F1191">
        <f>IF(OR(A1191="",B1191=""),"",IF(E1191=1,0,D1191*B1191/100/C1191))</f>
        <v/>
      </c>
      <c r="G1191">
        <f>IF(A1191="","",IF(OR(B1191&lt;&gt;B1190,C1191&lt;&gt;C1190,D1191&lt;&gt;D1190,E1191&lt;&gt;E1190),G1190+1,G1190))</f>
        <v/>
      </c>
    </row>
    <row r="1192">
      <c r="A1192" s="14">
        <f>IF(OR(NOT(ISNUMBER(Ввод!$B$5)),NOT(ISNUMBER(Ввод!$B$6))),"",IF(Ввод!$B$5+1190&gt;Ввод!$B$6,"",Ввод!$B$5+1190))</f>
        <v/>
      </c>
      <c r="B1192">
        <f>IF(A1192="","",IFERROR(INDEX(Ввод!$B$12:$B$71,MATCH(A1192,Ввод!$D$12:$D$71,1)),""))</f>
        <v/>
      </c>
      <c r="C1192">
        <f>IF(A1192="","",DATE(YEAR(A1192),12,31)-DATE(YEAR(A1192),1,1)+1)</f>
        <v/>
      </c>
      <c r="D1192">
        <f>IF(A1192="","",Ввод!$B$4-SUMIF(Оплаты!$A$6:$A$505,"&lt;"&amp;A1192,Оплаты!$B$6:$B$505))</f>
        <v/>
      </c>
      <c r="E1192">
        <f>IF(A1192="","",IF(SUMPRODUCT((Ввод!$F$12:$F$31&lt;&gt;"")*(Ввод!$F$12:$F$31&lt;=A1192)*(Ввод!$G$12:$G$31&gt;=A1192))&gt;0,1,0))</f>
        <v/>
      </c>
      <c r="F1192">
        <f>IF(OR(A1192="",B1192=""),"",IF(E1192=1,0,D1192*B1192/100/C1192))</f>
        <v/>
      </c>
      <c r="G1192">
        <f>IF(A1192="","",IF(OR(B1192&lt;&gt;B1191,C1192&lt;&gt;C1191,D1192&lt;&gt;D1191,E1192&lt;&gt;E1191),G1191+1,G1191))</f>
        <v/>
      </c>
    </row>
    <row r="1193">
      <c r="A1193" s="14">
        <f>IF(OR(NOT(ISNUMBER(Ввод!$B$5)),NOT(ISNUMBER(Ввод!$B$6))),"",IF(Ввод!$B$5+1191&gt;Ввод!$B$6,"",Ввод!$B$5+1191))</f>
        <v/>
      </c>
      <c r="B1193">
        <f>IF(A1193="","",IFERROR(INDEX(Ввод!$B$12:$B$71,MATCH(A1193,Ввод!$D$12:$D$71,1)),""))</f>
        <v/>
      </c>
      <c r="C1193">
        <f>IF(A1193="","",DATE(YEAR(A1193),12,31)-DATE(YEAR(A1193),1,1)+1)</f>
        <v/>
      </c>
      <c r="D1193">
        <f>IF(A1193="","",Ввод!$B$4-SUMIF(Оплаты!$A$6:$A$505,"&lt;"&amp;A1193,Оплаты!$B$6:$B$505))</f>
        <v/>
      </c>
      <c r="E1193">
        <f>IF(A1193="","",IF(SUMPRODUCT((Ввод!$F$12:$F$31&lt;&gt;"")*(Ввод!$F$12:$F$31&lt;=A1193)*(Ввод!$G$12:$G$31&gt;=A1193))&gt;0,1,0))</f>
        <v/>
      </c>
      <c r="F1193">
        <f>IF(OR(A1193="",B1193=""),"",IF(E1193=1,0,D1193*B1193/100/C1193))</f>
        <v/>
      </c>
      <c r="G1193">
        <f>IF(A1193="","",IF(OR(B1193&lt;&gt;B1192,C1193&lt;&gt;C1192,D1193&lt;&gt;D1192,E1193&lt;&gt;E1192),G1192+1,G1192))</f>
        <v/>
      </c>
    </row>
    <row r="1194">
      <c r="A1194" s="14">
        <f>IF(OR(NOT(ISNUMBER(Ввод!$B$5)),NOT(ISNUMBER(Ввод!$B$6))),"",IF(Ввод!$B$5+1192&gt;Ввод!$B$6,"",Ввод!$B$5+1192))</f>
        <v/>
      </c>
      <c r="B1194">
        <f>IF(A1194="","",IFERROR(INDEX(Ввод!$B$12:$B$71,MATCH(A1194,Ввод!$D$12:$D$71,1)),""))</f>
        <v/>
      </c>
      <c r="C1194">
        <f>IF(A1194="","",DATE(YEAR(A1194),12,31)-DATE(YEAR(A1194),1,1)+1)</f>
        <v/>
      </c>
      <c r="D1194">
        <f>IF(A1194="","",Ввод!$B$4-SUMIF(Оплаты!$A$6:$A$505,"&lt;"&amp;A1194,Оплаты!$B$6:$B$505))</f>
        <v/>
      </c>
      <c r="E1194">
        <f>IF(A1194="","",IF(SUMPRODUCT((Ввод!$F$12:$F$31&lt;&gt;"")*(Ввод!$F$12:$F$31&lt;=A1194)*(Ввод!$G$12:$G$31&gt;=A1194))&gt;0,1,0))</f>
        <v/>
      </c>
      <c r="F1194">
        <f>IF(OR(A1194="",B1194=""),"",IF(E1194=1,0,D1194*B1194/100/C1194))</f>
        <v/>
      </c>
      <c r="G1194">
        <f>IF(A1194="","",IF(OR(B1194&lt;&gt;B1193,C1194&lt;&gt;C1193,D1194&lt;&gt;D1193,E1194&lt;&gt;E1193),G1193+1,G1193))</f>
        <v/>
      </c>
    </row>
    <row r="1195">
      <c r="A1195" s="14">
        <f>IF(OR(NOT(ISNUMBER(Ввод!$B$5)),NOT(ISNUMBER(Ввод!$B$6))),"",IF(Ввод!$B$5+1193&gt;Ввод!$B$6,"",Ввод!$B$5+1193))</f>
        <v/>
      </c>
      <c r="B1195">
        <f>IF(A1195="","",IFERROR(INDEX(Ввод!$B$12:$B$71,MATCH(A1195,Ввод!$D$12:$D$71,1)),""))</f>
        <v/>
      </c>
      <c r="C1195">
        <f>IF(A1195="","",DATE(YEAR(A1195),12,31)-DATE(YEAR(A1195),1,1)+1)</f>
        <v/>
      </c>
      <c r="D1195">
        <f>IF(A1195="","",Ввод!$B$4-SUMIF(Оплаты!$A$6:$A$505,"&lt;"&amp;A1195,Оплаты!$B$6:$B$505))</f>
        <v/>
      </c>
      <c r="E1195">
        <f>IF(A1195="","",IF(SUMPRODUCT((Ввод!$F$12:$F$31&lt;&gt;"")*(Ввод!$F$12:$F$31&lt;=A1195)*(Ввод!$G$12:$G$31&gt;=A1195))&gt;0,1,0))</f>
        <v/>
      </c>
      <c r="F1195">
        <f>IF(OR(A1195="",B1195=""),"",IF(E1195=1,0,D1195*B1195/100/C1195))</f>
        <v/>
      </c>
      <c r="G1195">
        <f>IF(A1195="","",IF(OR(B1195&lt;&gt;B1194,C1195&lt;&gt;C1194,D1195&lt;&gt;D1194,E1195&lt;&gt;E1194),G1194+1,G1194))</f>
        <v/>
      </c>
    </row>
    <row r="1196">
      <c r="A1196" s="14">
        <f>IF(OR(NOT(ISNUMBER(Ввод!$B$5)),NOT(ISNUMBER(Ввод!$B$6))),"",IF(Ввод!$B$5+1194&gt;Ввод!$B$6,"",Ввод!$B$5+1194))</f>
        <v/>
      </c>
      <c r="B1196">
        <f>IF(A1196="","",IFERROR(INDEX(Ввод!$B$12:$B$71,MATCH(A1196,Ввод!$D$12:$D$71,1)),""))</f>
        <v/>
      </c>
      <c r="C1196">
        <f>IF(A1196="","",DATE(YEAR(A1196),12,31)-DATE(YEAR(A1196),1,1)+1)</f>
        <v/>
      </c>
      <c r="D1196">
        <f>IF(A1196="","",Ввод!$B$4-SUMIF(Оплаты!$A$6:$A$505,"&lt;"&amp;A1196,Оплаты!$B$6:$B$505))</f>
        <v/>
      </c>
      <c r="E1196">
        <f>IF(A1196="","",IF(SUMPRODUCT((Ввод!$F$12:$F$31&lt;&gt;"")*(Ввод!$F$12:$F$31&lt;=A1196)*(Ввод!$G$12:$G$31&gt;=A1196))&gt;0,1,0))</f>
        <v/>
      </c>
      <c r="F1196">
        <f>IF(OR(A1196="",B1196=""),"",IF(E1196=1,0,D1196*B1196/100/C1196))</f>
        <v/>
      </c>
      <c r="G1196">
        <f>IF(A1196="","",IF(OR(B1196&lt;&gt;B1195,C1196&lt;&gt;C1195,D1196&lt;&gt;D1195,E1196&lt;&gt;E1195),G1195+1,G1195))</f>
        <v/>
      </c>
    </row>
    <row r="1197">
      <c r="A1197" s="14">
        <f>IF(OR(NOT(ISNUMBER(Ввод!$B$5)),NOT(ISNUMBER(Ввод!$B$6))),"",IF(Ввод!$B$5+1195&gt;Ввод!$B$6,"",Ввод!$B$5+1195))</f>
        <v/>
      </c>
      <c r="B1197">
        <f>IF(A1197="","",IFERROR(INDEX(Ввод!$B$12:$B$71,MATCH(A1197,Ввод!$D$12:$D$71,1)),""))</f>
        <v/>
      </c>
      <c r="C1197">
        <f>IF(A1197="","",DATE(YEAR(A1197),12,31)-DATE(YEAR(A1197),1,1)+1)</f>
        <v/>
      </c>
      <c r="D1197">
        <f>IF(A1197="","",Ввод!$B$4-SUMIF(Оплаты!$A$6:$A$505,"&lt;"&amp;A1197,Оплаты!$B$6:$B$505))</f>
        <v/>
      </c>
      <c r="E1197">
        <f>IF(A1197="","",IF(SUMPRODUCT((Ввод!$F$12:$F$31&lt;&gt;"")*(Ввод!$F$12:$F$31&lt;=A1197)*(Ввод!$G$12:$G$31&gt;=A1197))&gt;0,1,0))</f>
        <v/>
      </c>
      <c r="F1197">
        <f>IF(OR(A1197="",B1197=""),"",IF(E1197=1,0,D1197*B1197/100/C1197))</f>
        <v/>
      </c>
      <c r="G1197">
        <f>IF(A1197="","",IF(OR(B1197&lt;&gt;B1196,C1197&lt;&gt;C1196,D1197&lt;&gt;D1196,E1197&lt;&gt;E1196),G1196+1,G1196))</f>
        <v/>
      </c>
    </row>
    <row r="1198">
      <c r="A1198" s="14">
        <f>IF(OR(NOT(ISNUMBER(Ввод!$B$5)),NOT(ISNUMBER(Ввод!$B$6))),"",IF(Ввод!$B$5+1196&gt;Ввод!$B$6,"",Ввод!$B$5+1196))</f>
        <v/>
      </c>
      <c r="B1198">
        <f>IF(A1198="","",IFERROR(INDEX(Ввод!$B$12:$B$71,MATCH(A1198,Ввод!$D$12:$D$71,1)),""))</f>
        <v/>
      </c>
      <c r="C1198">
        <f>IF(A1198="","",DATE(YEAR(A1198),12,31)-DATE(YEAR(A1198),1,1)+1)</f>
        <v/>
      </c>
      <c r="D1198">
        <f>IF(A1198="","",Ввод!$B$4-SUMIF(Оплаты!$A$6:$A$505,"&lt;"&amp;A1198,Оплаты!$B$6:$B$505))</f>
        <v/>
      </c>
      <c r="E1198">
        <f>IF(A1198="","",IF(SUMPRODUCT((Ввод!$F$12:$F$31&lt;&gt;"")*(Ввод!$F$12:$F$31&lt;=A1198)*(Ввод!$G$12:$G$31&gt;=A1198))&gt;0,1,0))</f>
        <v/>
      </c>
      <c r="F1198">
        <f>IF(OR(A1198="",B1198=""),"",IF(E1198=1,0,D1198*B1198/100/C1198))</f>
        <v/>
      </c>
      <c r="G1198">
        <f>IF(A1198="","",IF(OR(B1198&lt;&gt;B1197,C1198&lt;&gt;C1197,D1198&lt;&gt;D1197,E1198&lt;&gt;E1197),G1197+1,G1197))</f>
        <v/>
      </c>
    </row>
    <row r="1199">
      <c r="A1199" s="14">
        <f>IF(OR(NOT(ISNUMBER(Ввод!$B$5)),NOT(ISNUMBER(Ввод!$B$6))),"",IF(Ввод!$B$5+1197&gt;Ввод!$B$6,"",Ввод!$B$5+1197))</f>
        <v/>
      </c>
      <c r="B1199">
        <f>IF(A1199="","",IFERROR(INDEX(Ввод!$B$12:$B$71,MATCH(A1199,Ввод!$D$12:$D$71,1)),""))</f>
        <v/>
      </c>
      <c r="C1199">
        <f>IF(A1199="","",DATE(YEAR(A1199),12,31)-DATE(YEAR(A1199),1,1)+1)</f>
        <v/>
      </c>
      <c r="D1199">
        <f>IF(A1199="","",Ввод!$B$4-SUMIF(Оплаты!$A$6:$A$505,"&lt;"&amp;A1199,Оплаты!$B$6:$B$505))</f>
        <v/>
      </c>
      <c r="E1199">
        <f>IF(A1199="","",IF(SUMPRODUCT((Ввод!$F$12:$F$31&lt;&gt;"")*(Ввод!$F$12:$F$31&lt;=A1199)*(Ввод!$G$12:$G$31&gt;=A1199))&gt;0,1,0))</f>
        <v/>
      </c>
      <c r="F1199">
        <f>IF(OR(A1199="",B1199=""),"",IF(E1199=1,0,D1199*B1199/100/C1199))</f>
        <v/>
      </c>
      <c r="G1199">
        <f>IF(A1199="","",IF(OR(B1199&lt;&gt;B1198,C1199&lt;&gt;C1198,D1199&lt;&gt;D1198,E1199&lt;&gt;E1198),G1198+1,G1198))</f>
        <v/>
      </c>
    </row>
    <row r="1200">
      <c r="A1200" s="14">
        <f>IF(OR(NOT(ISNUMBER(Ввод!$B$5)),NOT(ISNUMBER(Ввод!$B$6))),"",IF(Ввод!$B$5+1198&gt;Ввод!$B$6,"",Ввод!$B$5+1198))</f>
        <v/>
      </c>
      <c r="B1200">
        <f>IF(A1200="","",IFERROR(INDEX(Ввод!$B$12:$B$71,MATCH(A1200,Ввод!$D$12:$D$71,1)),""))</f>
        <v/>
      </c>
      <c r="C1200">
        <f>IF(A1200="","",DATE(YEAR(A1200),12,31)-DATE(YEAR(A1200),1,1)+1)</f>
        <v/>
      </c>
      <c r="D1200">
        <f>IF(A1200="","",Ввод!$B$4-SUMIF(Оплаты!$A$6:$A$505,"&lt;"&amp;A1200,Оплаты!$B$6:$B$505))</f>
        <v/>
      </c>
      <c r="E1200">
        <f>IF(A1200="","",IF(SUMPRODUCT((Ввод!$F$12:$F$31&lt;&gt;"")*(Ввод!$F$12:$F$31&lt;=A1200)*(Ввод!$G$12:$G$31&gt;=A1200))&gt;0,1,0))</f>
        <v/>
      </c>
      <c r="F1200">
        <f>IF(OR(A1200="",B1200=""),"",IF(E1200=1,0,D1200*B1200/100/C1200))</f>
        <v/>
      </c>
      <c r="G1200">
        <f>IF(A1200="","",IF(OR(B1200&lt;&gt;B1199,C1200&lt;&gt;C1199,D1200&lt;&gt;D1199,E1200&lt;&gt;E1199),G1199+1,G1199))</f>
        <v/>
      </c>
    </row>
    <row r="1201">
      <c r="A1201" s="14">
        <f>IF(OR(NOT(ISNUMBER(Ввод!$B$5)),NOT(ISNUMBER(Ввод!$B$6))),"",IF(Ввод!$B$5+1199&gt;Ввод!$B$6,"",Ввод!$B$5+1199))</f>
        <v/>
      </c>
      <c r="B1201">
        <f>IF(A1201="","",IFERROR(INDEX(Ввод!$B$12:$B$71,MATCH(A1201,Ввод!$D$12:$D$71,1)),""))</f>
        <v/>
      </c>
      <c r="C1201">
        <f>IF(A1201="","",DATE(YEAR(A1201),12,31)-DATE(YEAR(A1201),1,1)+1)</f>
        <v/>
      </c>
      <c r="D1201">
        <f>IF(A1201="","",Ввод!$B$4-SUMIF(Оплаты!$A$6:$A$505,"&lt;"&amp;A1201,Оплаты!$B$6:$B$505))</f>
        <v/>
      </c>
      <c r="E1201">
        <f>IF(A1201="","",IF(SUMPRODUCT((Ввод!$F$12:$F$31&lt;&gt;"")*(Ввод!$F$12:$F$31&lt;=A1201)*(Ввод!$G$12:$G$31&gt;=A1201))&gt;0,1,0))</f>
        <v/>
      </c>
      <c r="F1201">
        <f>IF(OR(A1201="",B1201=""),"",IF(E1201=1,0,D1201*B1201/100/C1201))</f>
        <v/>
      </c>
      <c r="G1201">
        <f>IF(A1201="","",IF(OR(B1201&lt;&gt;B1200,C1201&lt;&gt;C1200,D1201&lt;&gt;D1200,E1201&lt;&gt;E1200),G1200+1,G1200))</f>
        <v/>
      </c>
    </row>
    <row r="1202">
      <c r="A1202" s="14">
        <f>IF(OR(NOT(ISNUMBER(Ввод!$B$5)),NOT(ISNUMBER(Ввод!$B$6))),"",IF(Ввод!$B$5+1200&gt;Ввод!$B$6,"",Ввод!$B$5+1200))</f>
        <v/>
      </c>
      <c r="B1202">
        <f>IF(A1202="","",IFERROR(INDEX(Ввод!$B$12:$B$71,MATCH(A1202,Ввод!$D$12:$D$71,1)),""))</f>
        <v/>
      </c>
      <c r="C1202">
        <f>IF(A1202="","",DATE(YEAR(A1202),12,31)-DATE(YEAR(A1202),1,1)+1)</f>
        <v/>
      </c>
      <c r="D1202">
        <f>IF(A1202="","",Ввод!$B$4-SUMIF(Оплаты!$A$6:$A$505,"&lt;"&amp;A1202,Оплаты!$B$6:$B$505))</f>
        <v/>
      </c>
      <c r="E1202">
        <f>IF(A1202="","",IF(SUMPRODUCT((Ввод!$F$12:$F$31&lt;&gt;"")*(Ввод!$F$12:$F$31&lt;=A1202)*(Ввод!$G$12:$G$31&gt;=A1202))&gt;0,1,0))</f>
        <v/>
      </c>
      <c r="F1202">
        <f>IF(OR(A1202="",B1202=""),"",IF(E1202=1,0,D1202*B1202/100/C1202))</f>
        <v/>
      </c>
      <c r="G1202">
        <f>IF(A1202="","",IF(OR(B1202&lt;&gt;B1201,C1202&lt;&gt;C1201,D1202&lt;&gt;D1201,E1202&lt;&gt;E1201),G1201+1,G1201))</f>
        <v/>
      </c>
    </row>
    <row r="1203">
      <c r="A1203" s="14">
        <f>IF(OR(NOT(ISNUMBER(Ввод!$B$5)),NOT(ISNUMBER(Ввод!$B$6))),"",IF(Ввод!$B$5+1201&gt;Ввод!$B$6,"",Ввод!$B$5+1201))</f>
        <v/>
      </c>
      <c r="B1203">
        <f>IF(A1203="","",IFERROR(INDEX(Ввод!$B$12:$B$71,MATCH(A1203,Ввод!$D$12:$D$71,1)),""))</f>
        <v/>
      </c>
      <c r="C1203">
        <f>IF(A1203="","",DATE(YEAR(A1203),12,31)-DATE(YEAR(A1203),1,1)+1)</f>
        <v/>
      </c>
      <c r="D1203">
        <f>IF(A1203="","",Ввод!$B$4-SUMIF(Оплаты!$A$6:$A$505,"&lt;"&amp;A1203,Оплаты!$B$6:$B$505))</f>
        <v/>
      </c>
      <c r="E1203">
        <f>IF(A1203="","",IF(SUMPRODUCT((Ввод!$F$12:$F$31&lt;&gt;"")*(Ввод!$F$12:$F$31&lt;=A1203)*(Ввод!$G$12:$G$31&gt;=A1203))&gt;0,1,0))</f>
        <v/>
      </c>
      <c r="F1203">
        <f>IF(OR(A1203="",B1203=""),"",IF(E1203=1,0,D1203*B1203/100/C1203))</f>
        <v/>
      </c>
      <c r="G1203">
        <f>IF(A1203="","",IF(OR(B1203&lt;&gt;B1202,C1203&lt;&gt;C1202,D1203&lt;&gt;D1202,E1203&lt;&gt;E1202),G1202+1,G1202))</f>
        <v/>
      </c>
    </row>
    <row r="1204">
      <c r="A1204" s="14">
        <f>IF(OR(NOT(ISNUMBER(Ввод!$B$5)),NOT(ISNUMBER(Ввод!$B$6))),"",IF(Ввод!$B$5+1202&gt;Ввод!$B$6,"",Ввод!$B$5+1202))</f>
        <v/>
      </c>
      <c r="B1204">
        <f>IF(A1204="","",IFERROR(INDEX(Ввод!$B$12:$B$71,MATCH(A1204,Ввод!$D$12:$D$71,1)),""))</f>
        <v/>
      </c>
      <c r="C1204">
        <f>IF(A1204="","",DATE(YEAR(A1204),12,31)-DATE(YEAR(A1204),1,1)+1)</f>
        <v/>
      </c>
      <c r="D1204">
        <f>IF(A1204="","",Ввод!$B$4-SUMIF(Оплаты!$A$6:$A$505,"&lt;"&amp;A1204,Оплаты!$B$6:$B$505))</f>
        <v/>
      </c>
      <c r="E1204">
        <f>IF(A1204="","",IF(SUMPRODUCT((Ввод!$F$12:$F$31&lt;&gt;"")*(Ввод!$F$12:$F$31&lt;=A1204)*(Ввод!$G$12:$G$31&gt;=A1204))&gt;0,1,0))</f>
        <v/>
      </c>
      <c r="F1204">
        <f>IF(OR(A1204="",B1204=""),"",IF(E1204=1,0,D1204*B1204/100/C1204))</f>
        <v/>
      </c>
      <c r="G1204">
        <f>IF(A1204="","",IF(OR(B1204&lt;&gt;B1203,C1204&lt;&gt;C1203,D1204&lt;&gt;D1203,E1204&lt;&gt;E1203),G1203+1,G1203))</f>
        <v/>
      </c>
    </row>
    <row r="1205">
      <c r="A1205" s="14">
        <f>IF(OR(NOT(ISNUMBER(Ввод!$B$5)),NOT(ISNUMBER(Ввод!$B$6))),"",IF(Ввод!$B$5+1203&gt;Ввод!$B$6,"",Ввод!$B$5+1203))</f>
        <v/>
      </c>
      <c r="B1205">
        <f>IF(A1205="","",IFERROR(INDEX(Ввод!$B$12:$B$71,MATCH(A1205,Ввод!$D$12:$D$71,1)),""))</f>
        <v/>
      </c>
      <c r="C1205">
        <f>IF(A1205="","",DATE(YEAR(A1205),12,31)-DATE(YEAR(A1205),1,1)+1)</f>
        <v/>
      </c>
      <c r="D1205">
        <f>IF(A1205="","",Ввод!$B$4-SUMIF(Оплаты!$A$6:$A$505,"&lt;"&amp;A1205,Оплаты!$B$6:$B$505))</f>
        <v/>
      </c>
      <c r="E1205">
        <f>IF(A1205="","",IF(SUMPRODUCT((Ввод!$F$12:$F$31&lt;&gt;"")*(Ввод!$F$12:$F$31&lt;=A1205)*(Ввод!$G$12:$G$31&gt;=A1205))&gt;0,1,0))</f>
        <v/>
      </c>
      <c r="F1205">
        <f>IF(OR(A1205="",B1205=""),"",IF(E1205=1,0,D1205*B1205/100/C1205))</f>
        <v/>
      </c>
      <c r="G1205">
        <f>IF(A1205="","",IF(OR(B1205&lt;&gt;B1204,C1205&lt;&gt;C1204,D1205&lt;&gt;D1204,E1205&lt;&gt;E1204),G1204+1,G1204))</f>
        <v/>
      </c>
    </row>
    <row r="1206">
      <c r="A1206" s="14">
        <f>IF(OR(NOT(ISNUMBER(Ввод!$B$5)),NOT(ISNUMBER(Ввод!$B$6))),"",IF(Ввод!$B$5+1204&gt;Ввод!$B$6,"",Ввод!$B$5+1204))</f>
        <v/>
      </c>
      <c r="B1206">
        <f>IF(A1206="","",IFERROR(INDEX(Ввод!$B$12:$B$71,MATCH(A1206,Ввод!$D$12:$D$71,1)),""))</f>
        <v/>
      </c>
      <c r="C1206">
        <f>IF(A1206="","",DATE(YEAR(A1206),12,31)-DATE(YEAR(A1206),1,1)+1)</f>
        <v/>
      </c>
      <c r="D1206">
        <f>IF(A1206="","",Ввод!$B$4-SUMIF(Оплаты!$A$6:$A$505,"&lt;"&amp;A1206,Оплаты!$B$6:$B$505))</f>
        <v/>
      </c>
      <c r="E1206">
        <f>IF(A1206="","",IF(SUMPRODUCT((Ввод!$F$12:$F$31&lt;&gt;"")*(Ввод!$F$12:$F$31&lt;=A1206)*(Ввод!$G$12:$G$31&gt;=A1206))&gt;0,1,0))</f>
        <v/>
      </c>
      <c r="F1206">
        <f>IF(OR(A1206="",B1206=""),"",IF(E1206=1,0,D1206*B1206/100/C1206))</f>
        <v/>
      </c>
      <c r="G1206">
        <f>IF(A1206="","",IF(OR(B1206&lt;&gt;B1205,C1206&lt;&gt;C1205,D1206&lt;&gt;D1205,E1206&lt;&gt;E1205),G1205+1,G1205))</f>
        <v/>
      </c>
    </row>
    <row r="1207">
      <c r="A1207" s="14">
        <f>IF(OR(NOT(ISNUMBER(Ввод!$B$5)),NOT(ISNUMBER(Ввод!$B$6))),"",IF(Ввод!$B$5+1205&gt;Ввод!$B$6,"",Ввод!$B$5+1205))</f>
        <v/>
      </c>
      <c r="B1207">
        <f>IF(A1207="","",IFERROR(INDEX(Ввод!$B$12:$B$71,MATCH(A1207,Ввод!$D$12:$D$71,1)),""))</f>
        <v/>
      </c>
      <c r="C1207">
        <f>IF(A1207="","",DATE(YEAR(A1207),12,31)-DATE(YEAR(A1207),1,1)+1)</f>
        <v/>
      </c>
      <c r="D1207">
        <f>IF(A1207="","",Ввод!$B$4-SUMIF(Оплаты!$A$6:$A$505,"&lt;"&amp;A1207,Оплаты!$B$6:$B$505))</f>
        <v/>
      </c>
      <c r="E1207">
        <f>IF(A1207="","",IF(SUMPRODUCT((Ввод!$F$12:$F$31&lt;&gt;"")*(Ввод!$F$12:$F$31&lt;=A1207)*(Ввод!$G$12:$G$31&gt;=A1207))&gt;0,1,0))</f>
        <v/>
      </c>
      <c r="F1207">
        <f>IF(OR(A1207="",B1207=""),"",IF(E1207=1,0,D1207*B1207/100/C1207))</f>
        <v/>
      </c>
      <c r="G1207">
        <f>IF(A1207="","",IF(OR(B1207&lt;&gt;B1206,C1207&lt;&gt;C1206,D1207&lt;&gt;D1206,E1207&lt;&gt;E1206),G1206+1,G1206))</f>
        <v/>
      </c>
    </row>
    <row r="1208">
      <c r="A1208" s="14">
        <f>IF(OR(NOT(ISNUMBER(Ввод!$B$5)),NOT(ISNUMBER(Ввод!$B$6))),"",IF(Ввод!$B$5+1206&gt;Ввод!$B$6,"",Ввод!$B$5+1206))</f>
        <v/>
      </c>
      <c r="B1208">
        <f>IF(A1208="","",IFERROR(INDEX(Ввод!$B$12:$B$71,MATCH(A1208,Ввод!$D$12:$D$71,1)),""))</f>
        <v/>
      </c>
      <c r="C1208">
        <f>IF(A1208="","",DATE(YEAR(A1208),12,31)-DATE(YEAR(A1208),1,1)+1)</f>
        <v/>
      </c>
      <c r="D1208">
        <f>IF(A1208="","",Ввод!$B$4-SUMIF(Оплаты!$A$6:$A$505,"&lt;"&amp;A1208,Оплаты!$B$6:$B$505))</f>
        <v/>
      </c>
      <c r="E1208">
        <f>IF(A1208="","",IF(SUMPRODUCT((Ввод!$F$12:$F$31&lt;&gt;"")*(Ввод!$F$12:$F$31&lt;=A1208)*(Ввод!$G$12:$G$31&gt;=A1208))&gt;0,1,0))</f>
        <v/>
      </c>
      <c r="F1208">
        <f>IF(OR(A1208="",B1208=""),"",IF(E1208=1,0,D1208*B1208/100/C1208))</f>
        <v/>
      </c>
      <c r="G1208">
        <f>IF(A1208="","",IF(OR(B1208&lt;&gt;B1207,C1208&lt;&gt;C1207,D1208&lt;&gt;D1207,E1208&lt;&gt;E1207),G1207+1,G1207))</f>
        <v/>
      </c>
    </row>
    <row r="1209">
      <c r="A1209" s="14">
        <f>IF(OR(NOT(ISNUMBER(Ввод!$B$5)),NOT(ISNUMBER(Ввод!$B$6))),"",IF(Ввод!$B$5+1207&gt;Ввод!$B$6,"",Ввод!$B$5+1207))</f>
        <v/>
      </c>
      <c r="B1209">
        <f>IF(A1209="","",IFERROR(INDEX(Ввод!$B$12:$B$71,MATCH(A1209,Ввод!$D$12:$D$71,1)),""))</f>
        <v/>
      </c>
      <c r="C1209">
        <f>IF(A1209="","",DATE(YEAR(A1209),12,31)-DATE(YEAR(A1209),1,1)+1)</f>
        <v/>
      </c>
      <c r="D1209">
        <f>IF(A1209="","",Ввод!$B$4-SUMIF(Оплаты!$A$6:$A$505,"&lt;"&amp;A1209,Оплаты!$B$6:$B$505))</f>
        <v/>
      </c>
      <c r="E1209">
        <f>IF(A1209="","",IF(SUMPRODUCT((Ввод!$F$12:$F$31&lt;&gt;"")*(Ввод!$F$12:$F$31&lt;=A1209)*(Ввод!$G$12:$G$31&gt;=A1209))&gt;0,1,0))</f>
        <v/>
      </c>
      <c r="F1209">
        <f>IF(OR(A1209="",B1209=""),"",IF(E1209=1,0,D1209*B1209/100/C1209))</f>
        <v/>
      </c>
      <c r="G1209">
        <f>IF(A1209="","",IF(OR(B1209&lt;&gt;B1208,C1209&lt;&gt;C1208,D1209&lt;&gt;D1208,E1209&lt;&gt;E1208),G1208+1,G1208))</f>
        <v/>
      </c>
    </row>
    <row r="1210">
      <c r="A1210" s="14">
        <f>IF(OR(NOT(ISNUMBER(Ввод!$B$5)),NOT(ISNUMBER(Ввод!$B$6))),"",IF(Ввод!$B$5+1208&gt;Ввод!$B$6,"",Ввод!$B$5+1208))</f>
        <v/>
      </c>
      <c r="B1210">
        <f>IF(A1210="","",IFERROR(INDEX(Ввод!$B$12:$B$71,MATCH(A1210,Ввод!$D$12:$D$71,1)),""))</f>
        <v/>
      </c>
      <c r="C1210">
        <f>IF(A1210="","",DATE(YEAR(A1210),12,31)-DATE(YEAR(A1210),1,1)+1)</f>
        <v/>
      </c>
      <c r="D1210">
        <f>IF(A1210="","",Ввод!$B$4-SUMIF(Оплаты!$A$6:$A$505,"&lt;"&amp;A1210,Оплаты!$B$6:$B$505))</f>
        <v/>
      </c>
      <c r="E1210">
        <f>IF(A1210="","",IF(SUMPRODUCT((Ввод!$F$12:$F$31&lt;&gt;"")*(Ввод!$F$12:$F$31&lt;=A1210)*(Ввод!$G$12:$G$31&gt;=A1210))&gt;0,1,0))</f>
        <v/>
      </c>
      <c r="F1210">
        <f>IF(OR(A1210="",B1210=""),"",IF(E1210=1,0,D1210*B1210/100/C1210))</f>
        <v/>
      </c>
      <c r="G1210">
        <f>IF(A1210="","",IF(OR(B1210&lt;&gt;B1209,C1210&lt;&gt;C1209,D1210&lt;&gt;D1209,E1210&lt;&gt;E1209),G1209+1,G1209))</f>
        <v/>
      </c>
    </row>
    <row r="1211">
      <c r="A1211" s="14">
        <f>IF(OR(NOT(ISNUMBER(Ввод!$B$5)),NOT(ISNUMBER(Ввод!$B$6))),"",IF(Ввод!$B$5+1209&gt;Ввод!$B$6,"",Ввод!$B$5+1209))</f>
        <v/>
      </c>
      <c r="B1211">
        <f>IF(A1211="","",IFERROR(INDEX(Ввод!$B$12:$B$71,MATCH(A1211,Ввод!$D$12:$D$71,1)),""))</f>
        <v/>
      </c>
      <c r="C1211">
        <f>IF(A1211="","",DATE(YEAR(A1211),12,31)-DATE(YEAR(A1211),1,1)+1)</f>
        <v/>
      </c>
      <c r="D1211">
        <f>IF(A1211="","",Ввод!$B$4-SUMIF(Оплаты!$A$6:$A$505,"&lt;"&amp;A1211,Оплаты!$B$6:$B$505))</f>
        <v/>
      </c>
      <c r="E1211">
        <f>IF(A1211="","",IF(SUMPRODUCT((Ввод!$F$12:$F$31&lt;&gt;"")*(Ввод!$F$12:$F$31&lt;=A1211)*(Ввод!$G$12:$G$31&gt;=A1211))&gt;0,1,0))</f>
        <v/>
      </c>
      <c r="F1211">
        <f>IF(OR(A1211="",B1211=""),"",IF(E1211=1,0,D1211*B1211/100/C1211))</f>
        <v/>
      </c>
      <c r="G1211">
        <f>IF(A1211="","",IF(OR(B1211&lt;&gt;B1210,C1211&lt;&gt;C1210,D1211&lt;&gt;D1210,E1211&lt;&gt;E1210),G1210+1,G1210))</f>
        <v/>
      </c>
    </row>
    <row r="1212">
      <c r="A1212" s="14">
        <f>IF(OR(NOT(ISNUMBER(Ввод!$B$5)),NOT(ISNUMBER(Ввод!$B$6))),"",IF(Ввод!$B$5+1210&gt;Ввод!$B$6,"",Ввод!$B$5+1210))</f>
        <v/>
      </c>
      <c r="B1212">
        <f>IF(A1212="","",IFERROR(INDEX(Ввод!$B$12:$B$71,MATCH(A1212,Ввод!$D$12:$D$71,1)),""))</f>
        <v/>
      </c>
      <c r="C1212">
        <f>IF(A1212="","",DATE(YEAR(A1212),12,31)-DATE(YEAR(A1212),1,1)+1)</f>
        <v/>
      </c>
      <c r="D1212">
        <f>IF(A1212="","",Ввод!$B$4-SUMIF(Оплаты!$A$6:$A$505,"&lt;"&amp;A1212,Оплаты!$B$6:$B$505))</f>
        <v/>
      </c>
      <c r="E1212">
        <f>IF(A1212="","",IF(SUMPRODUCT((Ввод!$F$12:$F$31&lt;&gt;"")*(Ввод!$F$12:$F$31&lt;=A1212)*(Ввод!$G$12:$G$31&gt;=A1212))&gt;0,1,0))</f>
        <v/>
      </c>
      <c r="F1212">
        <f>IF(OR(A1212="",B1212=""),"",IF(E1212=1,0,D1212*B1212/100/C1212))</f>
        <v/>
      </c>
      <c r="G1212">
        <f>IF(A1212="","",IF(OR(B1212&lt;&gt;B1211,C1212&lt;&gt;C1211,D1212&lt;&gt;D1211,E1212&lt;&gt;E1211),G1211+1,G1211))</f>
        <v/>
      </c>
    </row>
    <row r="1213">
      <c r="A1213" s="14">
        <f>IF(OR(NOT(ISNUMBER(Ввод!$B$5)),NOT(ISNUMBER(Ввод!$B$6))),"",IF(Ввод!$B$5+1211&gt;Ввод!$B$6,"",Ввод!$B$5+1211))</f>
        <v/>
      </c>
      <c r="B1213">
        <f>IF(A1213="","",IFERROR(INDEX(Ввод!$B$12:$B$71,MATCH(A1213,Ввод!$D$12:$D$71,1)),""))</f>
        <v/>
      </c>
      <c r="C1213">
        <f>IF(A1213="","",DATE(YEAR(A1213),12,31)-DATE(YEAR(A1213),1,1)+1)</f>
        <v/>
      </c>
      <c r="D1213">
        <f>IF(A1213="","",Ввод!$B$4-SUMIF(Оплаты!$A$6:$A$505,"&lt;"&amp;A1213,Оплаты!$B$6:$B$505))</f>
        <v/>
      </c>
      <c r="E1213">
        <f>IF(A1213="","",IF(SUMPRODUCT((Ввод!$F$12:$F$31&lt;&gt;"")*(Ввод!$F$12:$F$31&lt;=A1213)*(Ввод!$G$12:$G$31&gt;=A1213))&gt;0,1,0))</f>
        <v/>
      </c>
      <c r="F1213">
        <f>IF(OR(A1213="",B1213=""),"",IF(E1213=1,0,D1213*B1213/100/C1213))</f>
        <v/>
      </c>
      <c r="G1213">
        <f>IF(A1213="","",IF(OR(B1213&lt;&gt;B1212,C1213&lt;&gt;C1212,D1213&lt;&gt;D1212,E1213&lt;&gt;E1212),G1212+1,G1212))</f>
        <v/>
      </c>
    </row>
    <row r="1214">
      <c r="A1214" s="14">
        <f>IF(OR(NOT(ISNUMBER(Ввод!$B$5)),NOT(ISNUMBER(Ввод!$B$6))),"",IF(Ввод!$B$5+1212&gt;Ввод!$B$6,"",Ввод!$B$5+1212))</f>
        <v/>
      </c>
      <c r="B1214">
        <f>IF(A1214="","",IFERROR(INDEX(Ввод!$B$12:$B$71,MATCH(A1214,Ввод!$D$12:$D$71,1)),""))</f>
        <v/>
      </c>
      <c r="C1214">
        <f>IF(A1214="","",DATE(YEAR(A1214),12,31)-DATE(YEAR(A1214),1,1)+1)</f>
        <v/>
      </c>
      <c r="D1214">
        <f>IF(A1214="","",Ввод!$B$4-SUMIF(Оплаты!$A$6:$A$505,"&lt;"&amp;A1214,Оплаты!$B$6:$B$505))</f>
        <v/>
      </c>
      <c r="E1214">
        <f>IF(A1214="","",IF(SUMPRODUCT((Ввод!$F$12:$F$31&lt;&gt;"")*(Ввод!$F$12:$F$31&lt;=A1214)*(Ввод!$G$12:$G$31&gt;=A1214))&gt;0,1,0))</f>
        <v/>
      </c>
      <c r="F1214">
        <f>IF(OR(A1214="",B1214=""),"",IF(E1214=1,0,D1214*B1214/100/C1214))</f>
        <v/>
      </c>
      <c r="G1214">
        <f>IF(A1214="","",IF(OR(B1214&lt;&gt;B1213,C1214&lt;&gt;C1213,D1214&lt;&gt;D1213,E1214&lt;&gt;E1213),G1213+1,G1213))</f>
        <v/>
      </c>
    </row>
    <row r="1215">
      <c r="A1215" s="14">
        <f>IF(OR(NOT(ISNUMBER(Ввод!$B$5)),NOT(ISNUMBER(Ввод!$B$6))),"",IF(Ввод!$B$5+1213&gt;Ввод!$B$6,"",Ввод!$B$5+1213))</f>
        <v/>
      </c>
      <c r="B1215">
        <f>IF(A1215="","",IFERROR(INDEX(Ввод!$B$12:$B$71,MATCH(A1215,Ввод!$D$12:$D$71,1)),""))</f>
        <v/>
      </c>
      <c r="C1215">
        <f>IF(A1215="","",DATE(YEAR(A1215),12,31)-DATE(YEAR(A1215),1,1)+1)</f>
        <v/>
      </c>
      <c r="D1215">
        <f>IF(A1215="","",Ввод!$B$4-SUMIF(Оплаты!$A$6:$A$505,"&lt;"&amp;A1215,Оплаты!$B$6:$B$505))</f>
        <v/>
      </c>
      <c r="E1215">
        <f>IF(A1215="","",IF(SUMPRODUCT((Ввод!$F$12:$F$31&lt;&gt;"")*(Ввод!$F$12:$F$31&lt;=A1215)*(Ввод!$G$12:$G$31&gt;=A1215))&gt;0,1,0))</f>
        <v/>
      </c>
      <c r="F1215">
        <f>IF(OR(A1215="",B1215=""),"",IF(E1215=1,0,D1215*B1215/100/C1215))</f>
        <v/>
      </c>
      <c r="G1215">
        <f>IF(A1215="","",IF(OR(B1215&lt;&gt;B1214,C1215&lt;&gt;C1214,D1215&lt;&gt;D1214,E1215&lt;&gt;E1214),G1214+1,G1214))</f>
        <v/>
      </c>
    </row>
    <row r="1216">
      <c r="A1216" s="14">
        <f>IF(OR(NOT(ISNUMBER(Ввод!$B$5)),NOT(ISNUMBER(Ввод!$B$6))),"",IF(Ввод!$B$5+1214&gt;Ввод!$B$6,"",Ввод!$B$5+1214))</f>
        <v/>
      </c>
      <c r="B1216">
        <f>IF(A1216="","",IFERROR(INDEX(Ввод!$B$12:$B$71,MATCH(A1216,Ввод!$D$12:$D$71,1)),""))</f>
        <v/>
      </c>
      <c r="C1216">
        <f>IF(A1216="","",DATE(YEAR(A1216),12,31)-DATE(YEAR(A1216),1,1)+1)</f>
        <v/>
      </c>
      <c r="D1216">
        <f>IF(A1216="","",Ввод!$B$4-SUMIF(Оплаты!$A$6:$A$505,"&lt;"&amp;A1216,Оплаты!$B$6:$B$505))</f>
        <v/>
      </c>
      <c r="E1216">
        <f>IF(A1216="","",IF(SUMPRODUCT((Ввод!$F$12:$F$31&lt;&gt;"")*(Ввод!$F$12:$F$31&lt;=A1216)*(Ввод!$G$12:$G$31&gt;=A1216))&gt;0,1,0))</f>
        <v/>
      </c>
      <c r="F1216">
        <f>IF(OR(A1216="",B1216=""),"",IF(E1216=1,0,D1216*B1216/100/C1216))</f>
        <v/>
      </c>
      <c r="G1216">
        <f>IF(A1216="","",IF(OR(B1216&lt;&gt;B1215,C1216&lt;&gt;C1215,D1216&lt;&gt;D1215,E1216&lt;&gt;E1215),G1215+1,G1215))</f>
        <v/>
      </c>
    </row>
    <row r="1217">
      <c r="A1217" s="14">
        <f>IF(OR(NOT(ISNUMBER(Ввод!$B$5)),NOT(ISNUMBER(Ввод!$B$6))),"",IF(Ввод!$B$5+1215&gt;Ввод!$B$6,"",Ввод!$B$5+1215))</f>
        <v/>
      </c>
      <c r="B1217">
        <f>IF(A1217="","",IFERROR(INDEX(Ввод!$B$12:$B$71,MATCH(A1217,Ввод!$D$12:$D$71,1)),""))</f>
        <v/>
      </c>
      <c r="C1217">
        <f>IF(A1217="","",DATE(YEAR(A1217),12,31)-DATE(YEAR(A1217),1,1)+1)</f>
        <v/>
      </c>
      <c r="D1217">
        <f>IF(A1217="","",Ввод!$B$4-SUMIF(Оплаты!$A$6:$A$505,"&lt;"&amp;A1217,Оплаты!$B$6:$B$505))</f>
        <v/>
      </c>
      <c r="E1217">
        <f>IF(A1217="","",IF(SUMPRODUCT((Ввод!$F$12:$F$31&lt;&gt;"")*(Ввод!$F$12:$F$31&lt;=A1217)*(Ввод!$G$12:$G$31&gt;=A1217))&gt;0,1,0))</f>
        <v/>
      </c>
      <c r="F1217">
        <f>IF(OR(A1217="",B1217=""),"",IF(E1217=1,0,D1217*B1217/100/C1217))</f>
        <v/>
      </c>
      <c r="G1217">
        <f>IF(A1217="","",IF(OR(B1217&lt;&gt;B1216,C1217&lt;&gt;C1216,D1217&lt;&gt;D1216,E1217&lt;&gt;E1216),G1216+1,G1216))</f>
        <v/>
      </c>
    </row>
    <row r="1218">
      <c r="A1218" s="14">
        <f>IF(OR(NOT(ISNUMBER(Ввод!$B$5)),NOT(ISNUMBER(Ввод!$B$6))),"",IF(Ввод!$B$5+1216&gt;Ввод!$B$6,"",Ввод!$B$5+1216))</f>
        <v/>
      </c>
      <c r="B1218">
        <f>IF(A1218="","",IFERROR(INDEX(Ввод!$B$12:$B$71,MATCH(A1218,Ввод!$D$12:$D$71,1)),""))</f>
        <v/>
      </c>
      <c r="C1218">
        <f>IF(A1218="","",DATE(YEAR(A1218),12,31)-DATE(YEAR(A1218),1,1)+1)</f>
        <v/>
      </c>
      <c r="D1218">
        <f>IF(A1218="","",Ввод!$B$4-SUMIF(Оплаты!$A$6:$A$505,"&lt;"&amp;A1218,Оплаты!$B$6:$B$505))</f>
        <v/>
      </c>
      <c r="E1218">
        <f>IF(A1218="","",IF(SUMPRODUCT((Ввод!$F$12:$F$31&lt;&gt;"")*(Ввод!$F$12:$F$31&lt;=A1218)*(Ввод!$G$12:$G$31&gt;=A1218))&gt;0,1,0))</f>
        <v/>
      </c>
      <c r="F1218">
        <f>IF(OR(A1218="",B1218=""),"",IF(E1218=1,0,D1218*B1218/100/C1218))</f>
        <v/>
      </c>
      <c r="G1218">
        <f>IF(A1218="","",IF(OR(B1218&lt;&gt;B1217,C1218&lt;&gt;C1217,D1218&lt;&gt;D1217,E1218&lt;&gt;E1217),G1217+1,G1217))</f>
        <v/>
      </c>
    </row>
    <row r="1219">
      <c r="A1219" s="14">
        <f>IF(OR(NOT(ISNUMBER(Ввод!$B$5)),NOT(ISNUMBER(Ввод!$B$6))),"",IF(Ввод!$B$5+1217&gt;Ввод!$B$6,"",Ввод!$B$5+1217))</f>
        <v/>
      </c>
      <c r="B1219">
        <f>IF(A1219="","",IFERROR(INDEX(Ввод!$B$12:$B$71,MATCH(A1219,Ввод!$D$12:$D$71,1)),""))</f>
        <v/>
      </c>
      <c r="C1219">
        <f>IF(A1219="","",DATE(YEAR(A1219),12,31)-DATE(YEAR(A1219),1,1)+1)</f>
        <v/>
      </c>
      <c r="D1219">
        <f>IF(A1219="","",Ввод!$B$4-SUMIF(Оплаты!$A$6:$A$505,"&lt;"&amp;A1219,Оплаты!$B$6:$B$505))</f>
        <v/>
      </c>
      <c r="E1219">
        <f>IF(A1219="","",IF(SUMPRODUCT((Ввод!$F$12:$F$31&lt;&gt;"")*(Ввод!$F$12:$F$31&lt;=A1219)*(Ввод!$G$12:$G$31&gt;=A1219))&gt;0,1,0))</f>
        <v/>
      </c>
      <c r="F1219">
        <f>IF(OR(A1219="",B1219=""),"",IF(E1219=1,0,D1219*B1219/100/C1219))</f>
        <v/>
      </c>
      <c r="G1219">
        <f>IF(A1219="","",IF(OR(B1219&lt;&gt;B1218,C1219&lt;&gt;C1218,D1219&lt;&gt;D1218,E1219&lt;&gt;E1218),G1218+1,G1218))</f>
        <v/>
      </c>
    </row>
    <row r="1220">
      <c r="A1220" s="14">
        <f>IF(OR(NOT(ISNUMBER(Ввод!$B$5)),NOT(ISNUMBER(Ввод!$B$6))),"",IF(Ввод!$B$5+1218&gt;Ввод!$B$6,"",Ввод!$B$5+1218))</f>
        <v/>
      </c>
      <c r="B1220">
        <f>IF(A1220="","",IFERROR(INDEX(Ввод!$B$12:$B$71,MATCH(A1220,Ввод!$D$12:$D$71,1)),""))</f>
        <v/>
      </c>
      <c r="C1220">
        <f>IF(A1220="","",DATE(YEAR(A1220),12,31)-DATE(YEAR(A1220),1,1)+1)</f>
        <v/>
      </c>
      <c r="D1220">
        <f>IF(A1220="","",Ввод!$B$4-SUMIF(Оплаты!$A$6:$A$505,"&lt;"&amp;A1220,Оплаты!$B$6:$B$505))</f>
        <v/>
      </c>
      <c r="E1220">
        <f>IF(A1220="","",IF(SUMPRODUCT((Ввод!$F$12:$F$31&lt;&gt;"")*(Ввод!$F$12:$F$31&lt;=A1220)*(Ввод!$G$12:$G$31&gt;=A1220))&gt;0,1,0))</f>
        <v/>
      </c>
      <c r="F1220">
        <f>IF(OR(A1220="",B1220=""),"",IF(E1220=1,0,D1220*B1220/100/C1220))</f>
        <v/>
      </c>
      <c r="G1220">
        <f>IF(A1220="","",IF(OR(B1220&lt;&gt;B1219,C1220&lt;&gt;C1219,D1220&lt;&gt;D1219,E1220&lt;&gt;E1219),G1219+1,G1219))</f>
        <v/>
      </c>
    </row>
    <row r="1221">
      <c r="A1221" s="14">
        <f>IF(OR(NOT(ISNUMBER(Ввод!$B$5)),NOT(ISNUMBER(Ввод!$B$6))),"",IF(Ввод!$B$5+1219&gt;Ввод!$B$6,"",Ввод!$B$5+1219))</f>
        <v/>
      </c>
      <c r="B1221">
        <f>IF(A1221="","",IFERROR(INDEX(Ввод!$B$12:$B$71,MATCH(A1221,Ввод!$D$12:$D$71,1)),""))</f>
        <v/>
      </c>
      <c r="C1221">
        <f>IF(A1221="","",DATE(YEAR(A1221),12,31)-DATE(YEAR(A1221),1,1)+1)</f>
        <v/>
      </c>
      <c r="D1221">
        <f>IF(A1221="","",Ввод!$B$4-SUMIF(Оплаты!$A$6:$A$505,"&lt;"&amp;A1221,Оплаты!$B$6:$B$505))</f>
        <v/>
      </c>
      <c r="E1221">
        <f>IF(A1221="","",IF(SUMPRODUCT((Ввод!$F$12:$F$31&lt;&gt;"")*(Ввод!$F$12:$F$31&lt;=A1221)*(Ввод!$G$12:$G$31&gt;=A1221))&gt;0,1,0))</f>
        <v/>
      </c>
      <c r="F1221">
        <f>IF(OR(A1221="",B1221=""),"",IF(E1221=1,0,D1221*B1221/100/C1221))</f>
        <v/>
      </c>
      <c r="G1221">
        <f>IF(A1221="","",IF(OR(B1221&lt;&gt;B1220,C1221&lt;&gt;C1220,D1221&lt;&gt;D1220,E1221&lt;&gt;E1220),G1220+1,G1220))</f>
        <v/>
      </c>
    </row>
    <row r="1222">
      <c r="A1222" s="14">
        <f>IF(OR(NOT(ISNUMBER(Ввод!$B$5)),NOT(ISNUMBER(Ввод!$B$6))),"",IF(Ввод!$B$5+1220&gt;Ввод!$B$6,"",Ввод!$B$5+1220))</f>
        <v/>
      </c>
      <c r="B1222">
        <f>IF(A1222="","",IFERROR(INDEX(Ввод!$B$12:$B$71,MATCH(A1222,Ввод!$D$12:$D$71,1)),""))</f>
        <v/>
      </c>
      <c r="C1222">
        <f>IF(A1222="","",DATE(YEAR(A1222),12,31)-DATE(YEAR(A1222),1,1)+1)</f>
        <v/>
      </c>
      <c r="D1222">
        <f>IF(A1222="","",Ввод!$B$4-SUMIF(Оплаты!$A$6:$A$505,"&lt;"&amp;A1222,Оплаты!$B$6:$B$505))</f>
        <v/>
      </c>
      <c r="E1222">
        <f>IF(A1222="","",IF(SUMPRODUCT((Ввод!$F$12:$F$31&lt;&gt;"")*(Ввод!$F$12:$F$31&lt;=A1222)*(Ввод!$G$12:$G$31&gt;=A1222))&gt;0,1,0))</f>
        <v/>
      </c>
      <c r="F1222">
        <f>IF(OR(A1222="",B1222=""),"",IF(E1222=1,0,D1222*B1222/100/C1222))</f>
        <v/>
      </c>
      <c r="G1222">
        <f>IF(A1222="","",IF(OR(B1222&lt;&gt;B1221,C1222&lt;&gt;C1221,D1222&lt;&gt;D1221,E1222&lt;&gt;E1221),G1221+1,G1221))</f>
        <v/>
      </c>
    </row>
    <row r="1223">
      <c r="A1223" s="14">
        <f>IF(OR(NOT(ISNUMBER(Ввод!$B$5)),NOT(ISNUMBER(Ввод!$B$6))),"",IF(Ввод!$B$5+1221&gt;Ввод!$B$6,"",Ввод!$B$5+1221))</f>
        <v/>
      </c>
      <c r="B1223">
        <f>IF(A1223="","",IFERROR(INDEX(Ввод!$B$12:$B$71,MATCH(A1223,Ввод!$D$12:$D$71,1)),""))</f>
        <v/>
      </c>
      <c r="C1223">
        <f>IF(A1223="","",DATE(YEAR(A1223),12,31)-DATE(YEAR(A1223),1,1)+1)</f>
        <v/>
      </c>
      <c r="D1223">
        <f>IF(A1223="","",Ввод!$B$4-SUMIF(Оплаты!$A$6:$A$505,"&lt;"&amp;A1223,Оплаты!$B$6:$B$505))</f>
        <v/>
      </c>
      <c r="E1223">
        <f>IF(A1223="","",IF(SUMPRODUCT((Ввод!$F$12:$F$31&lt;&gt;"")*(Ввод!$F$12:$F$31&lt;=A1223)*(Ввод!$G$12:$G$31&gt;=A1223))&gt;0,1,0))</f>
        <v/>
      </c>
      <c r="F1223">
        <f>IF(OR(A1223="",B1223=""),"",IF(E1223=1,0,D1223*B1223/100/C1223))</f>
        <v/>
      </c>
      <c r="G1223">
        <f>IF(A1223="","",IF(OR(B1223&lt;&gt;B1222,C1223&lt;&gt;C1222,D1223&lt;&gt;D1222,E1223&lt;&gt;E1222),G1222+1,G1222))</f>
        <v/>
      </c>
    </row>
    <row r="1224">
      <c r="A1224" s="14">
        <f>IF(OR(NOT(ISNUMBER(Ввод!$B$5)),NOT(ISNUMBER(Ввод!$B$6))),"",IF(Ввод!$B$5+1222&gt;Ввод!$B$6,"",Ввод!$B$5+1222))</f>
        <v/>
      </c>
      <c r="B1224">
        <f>IF(A1224="","",IFERROR(INDEX(Ввод!$B$12:$B$71,MATCH(A1224,Ввод!$D$12:$D$71,1)),""))</f>
        <v/>
      </c>
      <c r="C1224">
        <f>IF(A1224="","",DATE(YEAR(A1224),12,31)-DATE(YEAR(A1224),1,1)+1)</f>
        <v/>
      </c>
      <c r="D1224">
        <f>IF(A1224="","",Ввод!$B$4-SUMIF(Оплаты!$A$6:$A$505,"&lt;"&amp;A1224,Оплаты!$B$6:$B$505))</f>
        <v/>
      </c>
      <c r="E1224">
        <f>IF(A1224="","",IF(SUMPRODUCT((Ввод!$F$12:$F$31&lt;&gt;"")*(Ввод!$F$12:$F$31&lt;=A1224)*(Ввод!$G$12:$G$31&gt;=A1224))&gt;0,1,0))</f>
        <v/>
      </c>
      <c r="F1224">
        <f>IF(OR(A1224="",B1224=""),"",IF(E1224=1,0,D1224*B1224/100/C1224))</f>
        <v/>
      </c>
      <c r="G1224">
        <f>IF(A1224="","",IF(OR(B1224&lt;&gt;B1223,C1224&lt;&gt;C1223,D1224&lt;&gt;D1223,E1224&lt;&gt;E1223),G1223+1,G1223))</f>
        <v/>
      </c>
    </row>
    <row r="1225">
      <c r="A1225" s="14">
        <f>IF(OR(NOT(ISNUMBER(Ввод!$B$5)),NOT(ISNUMBER(Ввод!$B$6))),"",IF(Ввод!$B$5+1223&gt;Ввод!$B$6,"",Ввод!$B$5+1223))</f>
        <v/>
      </c>
      <c r="B1225">
        <f>IF(A1225="","",IFERROR(INDEX(Ввод!$B$12:$B$71,MATCH(A1225,Ввод!$D$12:$D$71,1)),""))</f>
        <v/>
      </c>
      <c r="C1225">
        <f>IF(A1225="","",DATE(YEAR(A1225),12,31)-DATE(YEAR(A1225),1,1)+1)</f>
        <v/>
      </c>
      <c r="D1225">
        <f>IF(A1225="","",Ввод!$B$4-SUMIF(Оплаты!$A$6:$A$505,"&lt;"&amp;A1225,Оплаты!$B$6:$B$505))</f>
        <v/>
      </c>
      <c r="E1225">
        <f>IF(A1225="","",IF(SUMPRODUCT((Ввод!$F$12:$F$31&lt;&gt;"")*(Ввод!$F$12:$F$31&lt;=A1225)*(Ввод!$G$12:$G$31&gt;=A1225))&gt;0,1,0))</f>
        <v/>
      </c>
      <c r="F1225">
        <f>IF(OR(A1225="",B1225=""),"",IF(E1225=1,0,D1225*B1225/100/C1225))</f>
        <v/>
      </c>
      <c r="G1225">
        <f>IF(A1225="","",IF(OR(B1225&lt;&gt;B1224,C1225&lt;&gt;C1224,D1225&lt;&gt;D1224,E1225&lt;&gt;E1224),G1224+1,G1224))</f>
        <v/>
      </c>
    </row>
    <row r="1226">
      <c r="A1226" s="14">
        <f>IF(OR(NOT(ISNUMBER(Ввод!$B$5)),NOT(ISNUMBER(Ввод!$B$6))),"",IF(Ввод!$B$5+1224&gt;Ввод!$B$6,"",Ввод!$B$5+1224))</f>
        <v/>
      </c>
      <c r="B1226">
        <f>IF(A1226="","",IFERROR(INDEX(Ввод!$B$12:$B$71,MATCH(A1226,Ввод!$D$12:$D$71,1)),""))</f>
        <v/>
      </c>
      <c r="C1226">
        <f>IF(A1226="","",DATE(YEAR(A1226),12,31)-DATE(YEAR(A1226),1,1)+1)</f>
        <v/>
      </c>
      <c r="D1226">
        <f>IF(A1226="","",Ввод!$B$4-SUMIF(Оплаты!$A$6:$A$505,"&lt;"&amp;A1226,Оплаты!$B$6:$B$505))</f>
        <v/>
      </c>
      <c r="E1226">
        <f>IF(A1226="","",IF(SUMPRODUCT((Ввод!$F$12:$F$31&lt;&gt;"")*(Ввод!$F$12:$F$31&lt;=A1226)*(Ввод!$G$12:$G$31&gt;=A1226))&gt;0,1,0))</f>
        <v/>
      </c>
      <c r="F1226">
        <f>IF(OR(A1226="",B1226=""),"",IF(E1226=1,0,D1226*B1226/100/C1226))</f>
        <v/>
      </c>
      <c r="G1226">
        <f>IF(A1226="","",IF(OR(B1226&lt;&gt;B1225,C1226&lt;&gt;C1225,D1226&lt;&gt;D1225,E1226&lt;&gt;E1225),G1225+1,G1225))</f>
        <v/>
      </c>
    </row>
    <row r="1227">
      <c r="A1227" s="14">
        <f>IF(OR(NOT(ISNUMBER(Ввод!$B$5)),NOT(ISNUMBER(Ввод!$B$6))),"",IF(Ввод!$B$5+1225&gt;Ввод!$B$6,"",Ввод!$B$5+1225))</f>
        <v/>
      </c>
      <c r="B1227">
        <f>IF(A1227="","",IFERROR(INDEX(Ввод!$B$12:$B$71,MATCH(A1227,Ввод!$D$12:$D$71,1)),""))</f>
        <v/>
      </c>
      <c r="C1227">
        <f>IF(A1227="","",DATE(YEAR(A1227),12,31)-DATE(YEAR(A1227),1,1)+1)</f>
        <v/>
      </c>
      <c r="D1227">
        <f>IF(A1227="","",Ввод!$B$4-SUMIF(Оплаты!$A$6:$A$505,"&lt;"&amp;A1227,Оплаты!$B$6:$B$505))</f>
        <v/>
      </c>
      <c r="E1227">
        <f>IF(A1227="","",IF(SUMPRODUCT((Ввод!$F$12:$F$31&lt;&gt;"")*(Ввод!$F$12:$F$31&lt;=A1227)*(Ввод!$G$12:$G$31&gt;=A1227))&gt;0,1,0))</f>
        <v/>
      </c>
      <c r="F1227">
        <f>IF(OR(A1227="",B1227=""),"",IF(E1227=1,0,D1227*B1227/100/C1227))</f>
        <v/>
      </c>
      <c r="G1227">
        <f>IF(A1227="","",IF(OR(B1227&lt;&gt;B1226,C1227&lt;&gt;C1226,D1227&lt;&gt;D1226,E1227&lt;&gt;E1226),G1226+1,G1226))</f>
        <v/>
      </c>
    </row>
    <row r="1228">
      <c r="A1228" s="14">
        <f>IF(OR(NOT(ISNUMBER(Ввод!$B$5)),NOT(ISNUMBER(Ввод!$B$6))),"",IF(Ввод!$B$5+1226&gt;Ввод!$B$6,"",Ввод!$B$5+1226))</f>
        <v/>
      </c>
      <c r="B1228">
        <f>IF(A1228="","",IFERROR(INDEX(Ввод!$B$12:$B$71,MATCH(A1228,Ввод!$D$12:$D$71,1)),""))</f>
        <v/>
      </c>
      <c r="C1228">
        <f>IF(A1228="","",DATE(YEAR(A1228),12,31)-DATE(YEAR(A1228),1,1)+1)</f>
        <v/>
      </c>
      <c r="D1228">
        <f>IF(A1228="","",Ввод!$B$4-SUMIF(Оплаты!$A$6:$A$505,"&lt;"&amp;A1228,Оплаты!$B$6:$B$505))</f>
        <v/>
      </c>
      <c r="E1228">
        <f>IF(A1228="","",IF(SUMPRODUCT((Ввод!$F$12:$F$31&lt;&gt;"")*(Ввод!$F$12:$F$31&lt;=A1228)*(Ввод!$G$12:$G$31&gt;=A1228))&gt;0,1,0))</f>
        <v/>
      </c>
      <c r="F1228">
        <f>IF(OR(A1228="",B1228=""),"",IF(E1228=1,0,D1228*B1228/100/C1228))</f>
        <v/>
      </c>
      <c r="G1228">
        <f>IF(A1228="","",IF(OR(B1228&lt;&gt;B1227,C1228&lt;&gt;C1227,D1228&lt;&gt;D1227,E1228&lt;&gt;E1227),G1227+1,G1227))</f>
        <v/>
      </c>
    </row>
    <row r="1229">
      <c r="A1229" s="14">
        <f>IF(OR(NOT(ISNUMBER(Ввод!$B$5)),NOT(ISNUMBER(Ввод!$B$6))),"",IF(Ввод!$B$5+1227&gt;Ввод!$B$6,"",Ввод!$B$5+1227))</f>
        <v/>
      </c>
      <c r="B1229">
        <f>IF(A1229="","",IFERROR(INDEX(Ввод!$B$12:$B$71,MATCH(A1229,Ввод!$D$12:$D$71,1)),""))</f>
        <v/>
      </c>
      <c r="C1229">
        <f>IF(A1229="","",DATE(YEAR(A1229),12,31)-DATE(YEAR(A1229),1,1)+1)</f>
        <v/>
      </c>
      <c r="D1229">
        <f>IF(A1229="","",Ввод!$B$4-SUMIF(Оплаты!$A$6:$A$505,"&lt;"&amp;A1229,Оплаты!$B$6:$B$505))</f>
        <v/>
      </c>
      <c r="E1229">
        <f>IF(A1229="","",IF(SUMPRODUCT((Ввод!$F$12:$F$31&lt;&gt;"")*(Ввод!$F$12:$F$31&lt;=A1229)*(Ввод!$G$12:$G$31&gt;=A1229))&gt;0,1,0))</f>
        <v/>
      </c>
      <c r="F1229">
        <f>IF(OR(A1229="",B1229=""),"",IF(E1229=1,0,D1229*B1229/100/C1229))</f>
        <v/>
      </c>
      <c r="G1229">
        <f>IF(A1229="","",IF(OR(B1229&lt;&gt;B1228,C1229&lt;&gt;C1228,D1229&lt;&gt;D1228,E1229&lt;&gt;E1228),G1228+1,G1228))</f>
        <v/>
      </c>
    </row>
    <row r="1230">
      <c r="A1230" s="14">
        <f>IF(OR(NOT(ISNUMBER(Ввод!$B$5)),NOT(ISNUMBER(Ввод!$B$6))),"",IF(Ввод!$B$5+1228&gt;Ввод!$B$6,"",Ввод!$B$5+1228))</f>
        <v/>
      </c>
      <c r="B1230">
        <f>IF(A1230="","",IFERROR(INDEX(Ввод!$B$12:$B$71,MATCH(A1230,Ввод!$D$12:$D$71,1)),""))</f>
        <v/>
      </c>
      <c r="C1230">
        <f>IF(A1230="","",DATE(YEAR(A1230),12,31)-DATE(YEAR(A1230),1,1)+1)</f>
        <v/>
      </c>
      <c r="D1230">
        <f>IF(A1230="","",Ввод!$B$4-SUMIF(Оплаты!$A$6:$A$505,"&lt;"&amp;A1230,Оплаты!$B$6:$B$505))</f>
        <v/>
      </c>
      <c r="E1230">
        <f>IF(A1230="","",IF(SUMPRODUCT((Ввод!$F$12:$F$31&lt;&gt;"")*(Ввод!$F$12:$F$31&lt;=A1230)*(Ввод!$G$12:$G$31&gt;=A1230))&gt;0,1,0))</f>
        <v/>
      </c>
      <c r="F1230">
        <f>IF(OR(A1230="",B1230=""),"",IF(E1230=1,0,D1230*B1230/100/C1230))</f>
        <v/>
      </c>
      <c r="G1230">
        <f>IF(A1230="","",IF(OR(B1230&lt;&gt;B1229,C1230&lt;&gt;C1229,D1230&lt;&gt;D1229,E1230&lt;&gt;E1229),G1229+1,G1229))</f>
        <v/>
      </c>
    </row>
    <row r="1231">
      <c r="A1231" s="14">
        <f>IF(OR(NOT(ISNUMBER(Ввод!$B$5)),NOT(ISNUMBER(Ввод!$B$6))),"",IF(Ввод!$B$5+1229&gt;Ввод!$B$6,"",Ввод!$B$5+1229))</f>
        <v/>
      </c>
      <c r="B1231">
        <f>IF(A1231="","",IFERROR(INDEX(Ввод!$B$12:$B$71,MATCH(A1231,Ввод!$D$12:$D$71,1)),""))</f>
        <v/>
      </c>
      <c r="C1231">
        <f>IF(A1231="","",DATE(YEAR(A1231),12,31)-DATE(YEAR(A1231),1,1)+1)</f>
        <v/>
      </c>
      <c r="D1231">
        <f>IF(A1231="","",Ввод!$B$4-SUMIF(Оплаты!$A$6:$A$505,"&lt;"&amp;A1231,Оплаты!$B$6:$B$505))</f>
        <v/>
      </c>
      <c r="E1231">
        <f>IF(A1231="","",IF(SUMPRODUCT((Ввод!$F$12:$F$31&lt;&gt;"")*(Ввод!$F$12:$F$31&lt;=A1231)*(Ввод!$G$12:$G$31&gt;=A1231))&gt;0,1,0))</f>
        <v/>
      </c>
      <c r="F1231">
        <f>IF(OR(A1231="",B1231=""),"",IF(E1231=1,0,D1231*B1231/100/C1231))</f>
        <v/>
      </c>
      <c r="G1231">
        <f>IF(A1231="","",IF(OR(B1231&lt;&gt;B1230,C1231&lt;&gt;C1230,D1231&lt;&gt;D1230,E1231&lt;&gt;E1230),G1230+1,G1230))</f>
        <v/>
      </c>
    </row>
    <row r="1232">
      <c r="A1232" s="14">
        <f>IF(OR(NOT(ISNUMBER(Ввод!$B$5)),NOT(ISNUMBER(Ввод!$B$6))),"",IF(Ввод!$B$5+1230&gt;Ввод!$B$6,"",Ввод!$B$5+1230))</f>
        <v/>
      </c>
      <c r="B1232">
        <f>IF(A1232="","",IFERROR(INDEX(Ввод!$B$12:$B$71,MATCH(A1232,Ввод!$D$12:$D$71,1)),""))</f>
        <v/>
      </c>
      <c r="C1232">
        <f>IF(A1232="","",DATE(YEAR(A1232),12,31)-DATE(YEAR(A1232),1,1)+1)</f>
        <v/>
      </c>
      <c r="D1232">
        <f>IF(A1232="","",Ввод!$B$4-SUMIF(Оплаты!$A$6:$A$505,"&lt;"&amp;A1232,Оплаты!$B$6:$B$505))</f>
        <v/>
      </c>
      <c r="E1232">
        <f>IF(A1232="","",IF(SUMPRODUCT((Ввод!$F$12:$F$31&lt;&gt;"")*(Ввод!$F$12:$F$31&lt;=A1232)*(Ввод!$G$12:$G$31&gt;=A1232))&gt;0,1,0))</f>
        <v/>
      </c>
      <c r="F1232">
        <f>IF(OR(A1232="",B1232=""),"",IF(E1232=1,0,D1232*B1232/100/C1232))</f>
        <v/>
      </c>
      <c r="G1232">
        <f>IF(A1232="","",IF(OR(B1232&lt;&gt;B1231,C1232&lt;&gt;C1231,D1232&lt;&gt;D1231,E1232&lt;&gt;E1231),G1231+1,G1231))</f>
        <v/>
      </c>
    </row>
    <row r="1233">
      <c r="A1233" s="14">
        <f>IF(OR(NOT(ISNUMBER(Ввод!$B$5)),NOT(ISNUMBER(Ввод!$B$6))),"",IF(Ввод!$B$5+1231&gt;Ввод!$B$6,"",Ввод!$B$5+1231))</f>
        <v/>
      </c>
      <c r="B1233">
        <f>IF(A1233="","",IFERROR(INDEX(Ввод!$B$12:$B$71,MATCH(A1233,Ввод!$D$12:$D$71,1)),""))</f>
        <v/>
      </c>
      <c r="C1233">
        <f>IF(A1233="","",DATE(YEAR(A1233),12,31)-DATE(YEAR(A1233),1,1)+1)</f>
        <v/>
      </c>
      <c r="D1233">
        <f>IF(A1233="","",Ввод!$B$4-SUMIF(Оплаты!$A$6:$A$505,"&lt;"&amp;A1233,Оплаты!$B$6:$B$505))</f>
        <v/>
      </c>
      <c r="E1233">
        <f>IF(A1233="","",IF(SUMPRODUCT((Ввод!$F$12:$F$31&lt;&gt;"")*(Ввод!$F$12:$F$31&lt;=A1233)*(Ввод!$G$12:$G$31&gt;=A1233))&gt;0,1,0))</f>
        <v/>
      </c>
      <c r="F1233">
        <f>IF(OR(A1233="",B1233=""),"",IF(E1233=1,0,D1233*B1233/100/C1233))</f>
        <v/>
      </c>
      <c r="G1233">
        <f>IF(A1233="","",IF(OR(B1233&lt;&gt;B1232,C1233&lt;&gt;C1232,D1233&lt;&gt;D1232,E1233&lt;&gt;E1232),G1232+1,G1232))</f>
        <v/>
      </c>
    </row>
    <row r="1234">
      <c r="A1234" s="14">
        <f>IF(OR(NOT(ISNUMBER(Ввод!$B$5)),NOT(ISNUMBER(Ввод!$B$6))),"",IF(Ввод!$B$5+1232&gt;Ввод!$B$6,"",Ввод!$B$5+1232))</f>
        <v/>
      </c>
      <c r="B1234">
        <f>IF(A1234="","",IFERROR(INDEX(Ввод!$B$12:$B$71,MATCH(A1234,Ввод!$D$12:$D$71,1)),""))</f>
        <v/>
      </c>
      <c r="C1234">
        <f>IF(A1234="","",DATE(YEAR(A1234),12,31)-DATE(YEAR(A1234),1,1)+1)</f>
        <v/>
      </c>
      <c r="D1234">
        <f>IF(A1234="","",Ввод!$B$4-SUMIF(Оплаты!$A$6:$A$505,"&lt;"&amp;A1234,Оплаты!$B$6:$B$505))</f>
        <v/>
      </c>
      <c r="E1234">
        <f>IF(A1234="","",IF(SUMPRODUCT((Ввод!$F$12:$F$31&lt;&gt;"")*(Ввод!$F$12:$F$31&lt;=A1234)*(Ввод!$G$12:$G$31&gt;=A1234))&gt;0,1,0))</f>
        <v/>
      </c>
      <c r="F1234">
        <f>IF(OR(A1234="",B1234=""),"",IF(E1234=1,0,D1234*B1234/100/C1234))</f>
        <v/>
      </c>
      <c r="G1234">
        <f>IF(A1234="","",IF(OR(B1234&lt;&gt;B1233,C1234&lt;&gt;C1233,D1234&lt;&gt;D1233,E1234&lt;&gt;E1233),G1233+1,G1233))</f>
        <v/>
      </c>
    </row>
    <row r="1235">
      <c r="A1235" s="14">
        <f>IF(OR(NOT(ISNUMBER(Ввод!$B$5)),NOT(ISNUMBER(Ввод!$B$6))),"",IF(Ввод!$B$5+1233&gt;Ввод!$B$6,"",Ввод!$B$5+1233))</f>
        <v/>
      </c>
      <c r="B1235">
        <f>IF(A1235="","",IFERROR(INDEX(Ввод!$B$12:$B$71,MATCH(A1235,Ввод!$D$12:$D$71,1)),""))</f>
        <v/>
      </c>
      <c r="C1235">
        <f>IF(A1235="","",DATE(YEAR(A1235),12,31)-DATE(YEAR(A1235),1,1)+1)</f>
        <v/>
      </c>
      <c r="D1235">
        <f>IF(A1235="","",Ввод!$B$4-SUMIF(Оплаты!$A$6:$A$505,"&lt;"&amp;A1235,Оплаты!$B$6:$B$505))</f>
        <v/>
      </c>
      <c r="E1235">
        <f>IF(A1235="","",IF(SUMPRODUCT((Ввод!$F$12:$F$31&lt;&gt;"")*(Ввод!$F$12:$F$31&lt;=A1235)*(Ввод!$G$12:$G$31&gt;=A1235))&gt;0,1,0))</f>
        <v/>
      </c>
      <c r="F1235">
        <f>IF(OR(A1235="",B1235=""),"",IF(E1235=1,0,D1235*B1235/100/C1235))</f>
        <v/>
      </c>
      <c r="G1235">
        <f>IF(A1235="","",IF(OR(B1235&lt;&gt;B1234,C1235&lt;&gt;C1234,D1235&lt;&gt;D1234,E1235&lt;&gt;E1234),G1234+1,G1234))</f>
        <v/>
      </c>
    </row>
    <row r="1236">
      <c r="A1236" s="14">
        <f>IF(OR(NOT(ISNUMBER(Ввод!$B$5)),NOT(ISNUMBER(Ввод!$B$6))),"",IF(Ввод!$B$5+1234&gt;Ввод!$B$6,"",Ввод!$B$5+1234))</f>
        <v/>
      </c>
      <c r="B1236">
        <f>IF(A1236="","",IFERROR(INDEX(Ввод!$B$12:$B$71,MATCH(A1236,Ввод!$D$12:$D$71,1)),""))</f>
        <v/>
      </c>
      <c r="C1236">
        <f>IF(A1236="","",DATE(YEAR(A1236),12,31)-DATE(YEAR(A1236),1,1)+1)</f>
        <v/>
      </c>
      <c r="D1236">
        <f>IF(A1236="","",Ввод!$B$4-SUMIF(Оплаты!$A$6:$A$505,"&lt;"&amp;A1236,Оплаты!$B$6:$B$505))</f>
        <v/>
      </c>
      <c r="E1236">
        <f>IF(A1236="","",IF(SUMPRODUCT((Ввод!$F$12:$F$31&lt;&gt;"")*(Ввод!$F$12:$F$31&lt;=A1236)*(Ввод!$G$12:$G$31&gt;=A1236))&gt;0,1,0))</f>
        <v/>
      </c>
      <c r="F1236">
        <f>IF(OR(A1236="",B1236=""),"",IF(E1236=1,0,D1236*B1236/100/C1236))</f>
        <v/>
      </c>
      <c r="G1236">
        <f>IF(A1236="","",IF(OR(B1236&lt;&gt;B1235,C1236&lt;&gt;C1235,D1236&lt;&gt;D1235,E1236&lt;&gt;E1235),G1235+1,G1235))</f>
        <v/>
      </c>
    </row>
    <row r="1237">
      <c r="A1237" s="14">
        <f>IF(OR(NOT(ISNUMBER(Ввод!$B$5)),NOT(ISNUMBER(Ввод!$B$6))),"",IF(Ввод!$B$5+1235&gt;Ввод!$B$6,"",Ввод!$B$5+1235))</f>
        <v/>
      </c>
      <c r="B1237">
        <f>IF(A1237="","",IFERROR(INDEX(Ввод!$B$12:$B$71,MATCH(A1237,Ввод!$D$12:$D$71,1)),""))</f>
        <v/>
      </c>
      <c r="C1237">
        <f>IF(A1237="","",DATE(YEAR(A1237),12,31)-DATE(YEAR(A1237),1,1)+1)</f>
        <v/>
      </c>
      <c r="D1237">
        <f>IF(A1237="","",Ввод!$B$4-SUMIF(Оплаты!$A$6:$A$505,"&lt;"&amp;A1237,Оплаты!$B$6:$B$505))</f>
        <v/>
      </c>
      <c r="E1237">
        <f>IF(A1237="","",IF(SUMPRODUCT((Ввод!$F$12:$F$31&lt;&gt;"")*(Ввод!$F$12:$F$31&lt;=A1237)*(Ввод!$G$12:$G$31&gt;=A1237))&gt;0,1,0))</f>
        <v/>
      </c>
      <c r="F1237">
        <f>IF(OR(A1237="",B1237=""),"",IF(E1237=1,0,D1237*B1237/100/C1237))</f>
        <v/>
      </c>
      <c r="G1237">
        <f>IF(A1237="","",IF(OR(B1237&lt;&gt;B1236,C1237&lt;&gt;C1236,D1237&lt;&gt;D1236,E1237&lt;&gt;E1236),G1236+1,G1236))</f>
        <v/>
      </c>
    </row>
    <row r="1238">
      <c r="A1238" s="14">
        <f>IF(OR(NOT(ISNUMBER(Ввод!$B$5)),NOT(ISNUMBER(Ввод!$B$6))),"",IF(Ввод!$B$5+1236&gt;Ввод!$B$6,"",Ввод!$B$5+1236))</f>
        <v/>
      </c>
      <c r="B1238">
        <f>IF(A1238="","",IFERROR(INDEX(Ввод!$B$12:$B$71,MATCH(A1238,Ввод!$D$12:$D$71,1)),""))</f>
        <v/>
      </c>
      <c r="C1238">
        <f>IF(A1238="","",DATE(YEAR(A1238),12,31)-DATE(YEAR(A1238),1,1)+1)</f>
        <v/>
      </c>
      <c r="D1238">
        <f>IF(A1238="","",Ввод!$B$4-SUMIF(Оплаты!$A$6:$A$505,"&lt;"&amp;A1238,Оплаты!$B$6:$B$505))</f>
        <v/>
      </c>
      <c r="E1238">
        <f>IF(A1238="","",IF(SUMPRODUCT((Ввод!$F$12:$F$31&lt;&gt;"")*(Ввод!$F$12:$F$31&lt;=A1238)*(Ввод!$G$12:$G$31&gt;=A1238))&gt;0,1,0))</f>
        <v/>
      </c>
      <c r="F1238">
        <f>IF(OR(A1238="",B1238=""),"",IF(E1238=1,0,D1238*B1238/100/C1238))</f>
        <v/>
      </c>
      <c r="G1238">
        <f>IF(A1238="","",IF(OR(B1238&lt;&gt;B1237,C1238&lt;&gt;C1237,D1238&lt;&gt;D1237,E1238&lt;&gt;E1237),G1237+1,G1237))</f>
        <v/>
      </c>
    </row>
    <row r="1239">
      <c r="A1239" s="14">
        <f>IF(OR(NOT(ISNUMBER(Ввод!$B$5)),NOT(ISNUMBER(Ввод!$B$6))),"",IF(Ввод!$B$5+1237&gt;Ввод!$B$6,"",Ввод!$B$5+1237))</f>
        <v/>
      </c>
      <c r="B1239">
        <f>IF(A1239="","",IFERROR(INDEX(Ввод!$B$12:$B$71,MATCH(A1239,Ввод!$D$12:$D$71,1)),""))</f>
        <v/>
      </c>
      <c r="C1239">
        <f>IF(A1239="","",DATE(YEAR(A1239),12,31)-DATE(YEAR(A1239),1,1)+1)</f>
        <v/>
      </c>
      <c r="D1239">
        <f>IF(A1239="","",Ввод!$B$4-SUMIF(Оплаты!$A$6:$A$505,"&lt;"&amp;A1239,Оплаты!$B$6:$B$505))</f>
        <v/>
      </c>
      <c r="E1239">
        <f>IF(A1239="","",IF(SUMPRODUCT((Ввод!$F$12:$F$31&lt;&gt;"")*(Ввод!$F$12:$F$31&lt;=A1239)*(Ввод!$G$12:$G$31&gt;=A1239))&gt;0,1,0))</f>
        <v/>
      </c>
      <c r="F1239">
        <f>IF(OR(A1239="",B1239=""),"",IF(E1239=1,0,D1239*B1239/100/C1239))</f>
        <v/>
      </c>
      <c r="G1239">
        <f>IF(A1239="","",IF(OR(B1239&lt;&gt;B1238,C1239&lt;&gt;C1238,D1239&lt;&gt;D1238,E1239&lt;&gt;E1238),G1238+1,G1238))</f>
        <v/>
      </c>
    </row>
    <row r="1240">
      <c r="A1240" s="14">
        <f>IF(OR(NOT(ISNUMBER(Ввод!$B$5)),NOT(ISNUMBER(Ввод!$B$6))),"",IF(Ввод!$B$5+1238&gt;Ввод!$B$6,"",Ввод!$B$5+1238))</f>
        <v/>
      </c>
      <c r="B1240">
        <f>IF(A1240="","",IFERROR(INDEX(Ввод!$B$12:$B$71,MATCH(A1240,Ввод!$D$12:$D$71,1)),""))</f>
        <v/>
      </c>
      <c r="C1240">
        <f>IF(A1240="","",DATE(YEAR(A1240),12,31)-DATE(YEAR(A1240),1,1)+1)</f>
        <v/>
      </c>
      <c r="D1240">
        <f>IF(A1240="","",Ввод!$B$4-SUMIF(Оплаты!$A$6:$A$505,"&lt;"&amp;A1240,Оплаты!$B$6:$B$505))</f>
        <v/>
      </c>
      <c r="E1240">
        <f>IF(A1240="","",IF(SUMPRODUCT((Ввод!$F$12:$F$31&lt;&gt;"")*(Ввод!$F$12:$F$31&lt;=A1240)*(Ввод!$G$12:$G$31&gt;=A1240))&gt;0,1,0))</f>
        <v/>
      </c>
      <c r="F1240">
        <f>IF(OR(A1240="",B1240=""),"",IF(E1240=1,0,D1240*B1240/100/C1240))</f>
        <v/>
      </c>
      <c r="G1240">
        <f>IF(A1240="","",IF(OR(B1240&lt;&gt;B1239,C1240&lt;&gt;C1239,D1240&lt;&gt;D1239,E1240&lt;&gt;E1239),G1239+1,G1239))</f>
        <v/>
      </c>
    </row>
    <row r="1241">
      <c r="A1241" s="14">
        <f>IF(OR(NOT(ISNUMBER(Ввод!$B$5)),NOT(ISNUMBER(Ввод!$B$6))),"",IF(Ввод!$B$5+1239&gt;Ввод!$B$6,"",Ввод!$B$5+1239))</f>
        <v/>
      </c>
      <c r="B1241">
        <f>IF(A1241="","",IFERROR(INDEX(Ввод!$B$12:$B$71,MATCH(A1241,Ввод!$D$12:$D$71,1)),""))</f>
        <v/>
      </c>
      <c r="C1241">
        <f>IF(A1241="","",DATE(YEAR(A1241),12,31)-DATE(YEAR(A1241),1,1)+1)</f>
        <v/>
      </c>
      <c r="D1241">
        <f>IF(A1241="","",Ввод!$B$4-SUMIF(Оплаты!$A$6:$A$505,"&lt;"&amp;A1241,Оплаты!$B$6:$B$505))</f>
        <v/>
      </c>
      <c r="E1241">
        <f>IF(A1241="","",IF(SUMPRODUCT((Ввод!$F$12:$F$31&lt;&gt;"")*(Ввод!$F$12:$F$31&lt;=A1241)*(Ввод!$G$12:$G$31&gt;=A1241))&gt;0,1,0))</f>
        <v/>
      </c>
      <c r="F1241">
        <f>IF(OR(A1241="",B1241=""),"",IF(E1241=1,0,D1241*B1241/100/C1241))</f>
        <v/>
      </c>
      <c r="G1241">
        <f>IF(A1241="","",IF(OR(B1241&lt;&gt;B1240,C1241&lt;&gt;C1240,D1241&lt;&gt;D1240,E1241&lt;&gt;E1240),G1240+1,G1240))</f>
        <v/>
      </c>
    </row>
    <row r="1242">
      <c r="A1242" s="14">
        <f>IF(OR(NOT(ISNUMBER(Ввод!$B$5)),NOT(ISNUMBER(Ввод!$B$6))),"",IF(Ввод!$B$5+1240&gt;Ввод!$B$6,"",Ввод!$B$5+1240))</f>
        <v/>
      </c>
      <c r="B1242">
        <f>IF(A1242="","",IFERROR(INDEX(Ввод!$B$12:$B$71,MATCH(A1242,Ввод!$D$12:$D$71,1)),""))</f>
        <v/>
      </c>
      <c r="C1242">
        <f>IF(A1242="","",DATE(YEAR(A1242),12,31)-DATE(YEAR(A1242),1,1)+1)</f>
        <v/>
      </c>
      <c r="D1242">
        <f>IF(A1242="","",Ввод!$B$4-SUMIF(Оплаты!$A$6:$A$505,"&lt;"&amp;A1242,Оплаты!$B$6:$B$505))</f>
        <v/>
      </c>
      <c r="E1242">
        <f>IF(A1242="","",IF(SUMPRODUCT((Ввод!$F$12:$F$31&lt;&gt;"")*(Ввод!$F$12:$F$31&lt;=A1242)*(Ввод!$G$12:$G$31&gt;=A1242))&gt;0,1,0))</f>
        <v/>
      </c>
      <c r="F1242">
        <f>IF(OR(A1242="",B1242=""),"",IF(E1242=1,0,D1242*B1242/100/C1242))</f>
        <v/>
      </c>
      <c r="G1242">
        <f>IF(A1242="","",IF(OR(B1242&lt;&gt;B1241,C1242&lt;&gt;C1241,D1242&lt;&gt;D1241,E1242&lt;&gt;E1241),G1241+1,G1241))</f>
        <v/>
      </c>
    </row>
    <row r="1243">
      <c r="A1243" s="14">
        <f>IF(OR(NOT(ISNUMBER(Ввод!$B$5)),NOT(ISNUMBER(Ввод!$B$6))),"",IF(Ввод!$B$5+1241&gt;Ввод!$B$6,"",Ввод!$B$5+1241))</f>
        <v/>
      </c>
      <c r="B1243">
        <f>IF(A1243="","",IFERROR(INDEX(Ввод!$B$12:$B$71,MATCH(A1243,Ввод!$D$12:$D$71,1)),""))</f>
        <v/>
      </c>
      <c r="C1243">
        <f>IF(A1243="","",DATE(YEAR(A1243),12,31)-DATE(YEAR(A1243),1,1)+1)</f>
        <v/>
      </c>
      <c r="D1243">
        <f>IF(A1243="","",Ввод!$B$4-SUMIF(Оплаты!$A$6:$A$505,"&lt;"&amp;A1243,Оплаты!$B$6:$B$505))</f>
        <v/>
      </c>
      <c r="E1243">
        <f>IF(A1243="","",IF(SUMPRODUCT((Ввод!$F$12:$F$31&lt;&gt;"")*(Ввод!$F$12:$F$31&lt;=A1243)*(Ввод!$G$12:$G$31&gt;=A1243))&gt;0,1,0))</f>
        <v/>
      </c>
      <c r="F1243">
        <f>IF(OR(A1243="",B1243=""),"",IF(E1243=1,0,D1243*B1243/100/C1243))</f>
        <v/>
      </c>
      <c r="G1243">
        <f>IF(A1243="","",IF(OR(B1243&lt;&gt;B1242,C1243&lt;&gt;C1242,D1243&lt;&gt;D1242,E1243&lt;&gt;E1242),G1242+1,G1242))</f>
        <v/>
      </c>
    </row>
    <row r="1244">
      <c r="A1244" s="14">
        <f>IF(OR(NOT(ISNUMBER(Ввод!$B$5)),NOT(ISNUMBER(Ввод!$B$6))),"",IF(Ввод!$B$5+1242&gt;Ввод!$B$6,"",Ввод!$B$5+1242))</f>
        <v/>
      </c>
      <c r="B1244">
        <f>IF(A1244="","",IFERROR(INDEX(Ввод!$B$12:$B$71,MATCH(A1244,Ввод!$D$12:$D$71,1)),""))</f>
        <v/>
      </c>
      <c r="C1244">
        <f>IF(A1244="","",DATE(YEAR(A1244),12,31)-DATE(YEAR(A1244),1,1)+1)</f>
        <v/>
      </c>
      <c r="D1244">
        <f>IF(A1244="","",Ввод!$B$4-SUMIF(Оплаты!$A$6:$A$505,"&lt;"&amp;A1244,Оплаты!$B$6:$B$505))</f>
        <v/>
      </c>
      <c r="E1244">
        <f>IF(A1244="","",IF(SUMPRODUCT((Ввод!$F$12:$F$31&lt;&gt;"")*(Ввод!$F$12:$F$31&lt;=A1244)*(Ввод!$G$12:$G$31&gt;=A1244))&gt;0,1,0))</f>
        <v/>
      </c>
      <c r="F1244">
        <f>IF(OR(A1244="",B1244=""),"",IF(E1244=1,0,D1244*B1244/100/C1244))</f>
        <v/>
      </c>
      <c r="G1244">
        <f>IF(A1244="","",IF(OR(B1244&lt;&gt;B1243,C1244&lt;&gt;C1243,D1244&lt;&gt;D1243,E1244&lt;&gt;E1243),G1243+1,G1243))</f>
        <v/>
      </c>
    </row>
    <row r="1245">
      <c r="A1245" s="14">
        <f>IF(OR(NOT(ISNUMBER(Ввод!$B$5)),NOT(ISNUMBER(Ввод!$B$6))),"",IF(Ввод!$B$5+1243&gt;Ввод!$B$6,"",Ввод!$B$5+1243))</f>
        <v/>
      </c>
      <c r="B1245">
        <f>IF(A1245="","",IFERROR(INDEX(Ввод!$B$12:$B$71,MATCH(A1245,Ввод!$D$12:$D$71,1)),""))</f>
        <v/>
      </c>
      <c r="C1245">
        <f>IF(A1245="","",DATE(YEAR(A1245),12,31)-DATE(YEAR(A1245),1,1)+1)</f>
        <v/>
      </c>
      <c r="D1245">
        <f>IF(A1245="","",Ввод!$B$4-SUMIF(Оплаты!$A$6:$A$505,"&lt;"&amp;A1245,Оплаты!$B$6:$B$505))</f>
        <v/>
      </c>
      <c r="E1245">
        <f>IF(A1245="","",IF(SUMPRODUCT((Ввод!$F$12:$F$31&lt;&gt;"")*(Ввод!$F$12:$F$31&lt;=A1245)*(Ввод!$G$12:$G$31&gt;=A1245))&gt;0,1,0))</f>
        <v/>
      </c>
      <c r="F1245">
        <f>IF(OR(A1245="",B1245=""),"",IF(E1245=1,0,D1245*B1245/100/C1245))</f>
        <v/>
      </c>
      <c r="G1245">
        <f>IF(A1245="","",IF(OR(B1245&lt;&gt;B1244,C1245&lt;&gt;C1244,D1245&lt;&gt;D1244,E1245&lt;&gt;E1244),G1244+1,G1244))</f>
        <v/>
      </c>
    </row>
    <row r="1246">
      <c r="A1246" s="14">
        <f>IF(OR(NOT(ISNUMBER(Ввод!$B$5)),NOT(ISNUMBER(Ввод!$B$6))),"",IF(Ввод!$B$5+1244&gt;Ввод!$B$6,"",Ввод!$B$5+1244))</f>
        <v/>
      </c>
      <c r="B1246">
        <f>IF(A1246="","",IFERROR(INDEX(Ввод!$B$12:$B$71,MATCH(A1246,Ввод!$D$12:$D$71,1)),""))</f>
        <v/>
      </c>
      <c r="C1246">
        <f>IF(A1246="","",DATE(YEAR(A1246),12,31)-DATE(YEAR(A1246),1,1)+1)</f>
        <v/>
      </c>
      <c r="D1246">
        <f>IF(A1246="","",Ввод!$B$4-SUMIF(Оплаты!$A$6:$A$505,"&lt;"&amp;A1246,Оплаты!$B$6:$B$505))</f>
        <v/>
      </c>
      <c r="E1246">
        <f>IF(A1246="","",IF(SUMPRODUCT((Ввод!$F$12:$F$31&lt;&gt;"")*(Ввод!$F$12:$F$31&lt;=A1246)*(Ввод!$G$12:$G$31&gt;=A1246))&gt;0,1,0))</f>
        <v/>
      </c>
      <c r="F1246">
        <f>IF(OR(A1246="",B1246=""),"",IF(E1246=1,0,D1246*B1246/100/C1246))</f>
        <v/>
      </c>
      <c r="G1246">
        <f>IF(A1246="","",IF(OR(B1246&lt;&gt;B1245,C1246&lt;&gt;C1245,D1246&lt;&gt;D1245,E1246&lt;&gt;E1245),G1245+1,G1245))</f>
        <v/>
      </c>
    </row>
    <row r="1247">
      <c r="A1247" s="14">
        <f>IF(OR(NOT(ISNUMBER(Ввод!$B$5)),NOT(ISNUMBER(Ввод!$B$6))),"",IF(Ввод!$B$5+1245&gt;Ввод!$B$6,"",Ввод!$B$5+1245))</f>
        <v/>
      </c>
      <c r="B1247">
        <f>IF(A1247="","",IFERROR(INDEX(Ввод!$B$12:$B$71,MATCH(A1247,Ввод!$D$12:$D$71,1)),""))</f>
        <v/>
      </c>
      <c r="C1247">
        <f>IF(A1247="","",DATE(YEAR(A1247),12,31)-DATE(YEAR(A1247),1,1)+1)</f>
        <v/>
      </c>
      <c r="D1247">
        <f>IF(A1247="","",Ввод!$B$4-SUMIF(Оплаты!$A$6:$A$505,"&lt;"&amp;A1247,Оплаты!$B$6:$B$505))</f>
        <v/>
      </c>
      <c r="E1247">
        <f>IF(A1247="","",IF(SUMPRODUCT((Ввод!$F$12:$F$31&lt;&gt;"")*(Ввод!$F$12:$F$31&lt;=A1247)*(Ввод!$G$12:$G$31&gt;=A1247))&gt;0,1,0))</f>
        <v/>
      </c>
      <c r="F1247">
        <f>IF(OR(A1247="",B1247=""),"",IF(E1247=1,0,D1247*B1247/100/C1247))</f>
        <v/>
      </c>
      <c r="G1247">
        <f>IF(A1247="","",IF(OR(B1247&lt;&gt;B1246,C1247&lt;&gt;C1246,D1247&lt;&gt;D1246,E1247&lt;&gt;E1246),G1246+1,G1246))</f>
        <v/>
      </c>
    </row>
    <row r="1248">
      <c r="A1248" s="14">
        <f>IF(OR(NOT(ISNUMBER(Ввод!$B$5)),NOT(ISNUMBER(Ввод!$B$6))),"",IF(Ввод!$B$5+1246&gt;Ввод!$B$6,"",Ввод!$B$5+1246))</f>
        <v/>
      </c>
      <c r="B1248">
        <f>IF(A1248="","",IFERROR(INDEX(Ввод!$B$12:$B$71,MATCH(A1248,Ввод!$D$12:$D$71,1)),""))</f>
        <v/>
      </c>
      <c r="C1248">
        <f>IF(A1248="","",DATE(YEAR(A1248),12,31)-DATE(YEAR(A1248),1,1)+1)</f>
        <v/>
      </c>
      <c r="D1248">
        <f>IF(A1248="","",Ввод!$B$4-SUMIF(Оплаты!$A$6:$A$505,"&lt;"&amp;A1248,Оплаты!$B$6:$B$505))</f>
        <v/>
      </c>
      <c r="E1248">
        <f>IF(A1248="","",IF(SUMPRODUCT((Ввод!$F$12:$F$31&lt;&gt;"")*(Ввод!$F$12:$F$31&lt;=A1248)*(Ввод!$G$12:$G$31&gt;=A1248))&gt;0,1,0))</f>
        <v/>
      </c>
      <c r="F1248">
        <f>IF(OR(A1248="",B1248=""),"",IF(E1248=1,0,D1248*B1248/100/C1248))</f>
        <v/>
      </c>
      <c r="G1248">
        <f>IF(A1248="","",IF(OR(B1248&lt;&gt;B1247,C1248&lt;&gt;C1247,D1248&lt;&gt;D1247,E1248&lt;&gt;E1247),G1247+1,G1247))</f>
        <v/>
      </c>
    </row>
    <row r="1249">
      <c r="A1249" s="14">
        <f>IF(OR(NOT(ISNUMBER(Ввод!$B$5)),NOT(ISNUMBER(Ввод!$B$6))),"",IF(Ввод!$B$5+1247&gt;Ввод!$B$6,"",Ввод!$B$5+1247))</f>
        <v/>
      </c>
      <c r="B1249">
        <f>IF(A1249="","",IFERROR(INDEX(Ввод!$B$12:$B$71,MATCH(A1249,Ввод!$D$12:$D$71,1)),""))</f>
        <v/>
      </c>
      <c r="C1249">
        <f>IF(A1249="","",DATE(YEAR(A1249),12,31)-DATE(YEAR(A1249),1,1)+1)</f>
        <v/>
      </c>
      <c r="D1249">
        <f>IF(A1249="","",Ввод!$B$4-SUMIF(Оплаты!$A$6:$A$505,"&lt;"&amp;A1249,Оплаты!$B$6:$B$505))</f>
        <v/>
      </c>
      <c r="E1249">
        <f>IF(A1249="","",IF(SUMPRODUCT((Ввод!$F$12:$F$31&lt;&gt;"")*(Ввод!$F$12:$F$31&lt;=A1249)*(Ввод!$G$12:$G$31&gt;=A1249))&gt;0,1,0))</f>
        <v/>
      </c>
      <c r="F1249">
        <f>IF(OR(A1249="",B1249=""),"",IF(E1249=1,0,D1249*B1249/100/C1249))</f>
        <v/>
      </c>
      <c r="G1249">
        <f>IF(A1249="","",IF(OR(B1249&lt;&gt;B1248,C1249&lt;&gt;C1248,D1249&lt;&gt;D1248,E1249&lt;&gt;E1248),G1248+1,G1248))</f>
        <v/>
      </c>
    </row>
    <row r="1250">
      <c r="A1250" s="14">
        <f>IF(OR(NOT(ISNUMBER(Ввод!$B$5)),NOT(ISNUMBER(Ввод!$B$6))),"",IF(Ввод!$B$5+1248&gt;Ввод!$B$6,"",Ввод!$B$5+1248))</f>
        <v/>
      </c>
      <c r="B1250">
        <f>IF(A1250="","",IFERROR(INDEX(Ввод!$B$12:$B$71,MATCH(A1250,Ввод!$D$12:$D$71,1)),""))</f>
        <v/>
      </c>
      <c r="C1250">
        <f>IF(A1250="","",DATE(YEAR(A1250),12,31)-DATE(YEAR(A1250),1,1)+1)</f>
        <v/>
      </c>
      <c r="D1250">
        <f>IF(A1250="","",Ввод!$B$4-SUMIF(Оплаты!$A$6:$A$505,"&lt;"&amp;A1250,Оплаты!$B$6:$B$505))</f>
        <v/>
      </c>
      <c r="E1250">
        <f>IF(A1250="","",IF(SUMPRODUCT((Ввод!$F$12:$F$31&lt;&gt;"")*(Ввод!$F$12:$F$31&lt;=A1250)*(Ввод!$G$12:$G$31&gt;=A1250))&gt;0,1,0))</f>
        <v/>
      </c>
      <c r="F1250">
        <f>IF(OR(A1250="",B1250=""),"",IF(E1250=1,0,D1250*B1250/100/C1250))</f>
        <v/>
      </c>
      <c r="G1250">
        <f>IF(A1250="","",IF(OR(B1250&lt;&gt;B1249,C1250&lt;&gt;C1249,D1250&lt;&gt;D1249,E1250&lt;&gt;E1249),G1249+1,G1249))</f>
        <v/>
      </c>
    </row>
    <row r="1251">
      <c r="A1251" s="14">
        <f>IF(OR(NOT(ISNUMBER(Ввод!$B$5)),NOT(ISNUMBER(Ввод!$B$6))),"",IF(Ввод!$B$5+1249&gt;Ввод!$B$6,"",Ввод!$B$5+1249))</f>
        <v/>
      </c>
      <c r="B1251">
        <f>IF(A1251="","",IFERROR(INDEX(Ввод!$B$12:$B$71,MATCH(A1251,Ввод!$D$12:$D$71,1)),""))</f>
        <v/>
      </c>
      <c r="C1251">
        <f>IF(A1251="","",DATE(YEAR(A1251),12,31)-DATE(YEAR(A1251),1,1)+1)</f>
        <v/>
      </c>
      <c r="D1251">
        <f>IF(A1251="","",Ввод!$B$4-SUMIF(Оплаты!$A$6:$A$505,"&lt;"&amp;A1251,Оплаты!$B$6:$B$505))</f>
        <v/>
      </c>
      <c r="E1251">
        <f>IF(A1251="","",IF(SUMPRODUCT((Ввод!$F$12:$F$31&lt;&gt;"")*(Ввод!$F$12:$F$31&lt;=A1251)*(Ввод!$G$12:$G$31&gt;=A1251))&gt;0,1,0))</f>
        <v/>
      </c>
      <c r="F1251">
        <f>IF(OR(A1251="",B1251=""),"",IF(E1251=1,0,D1251*B1251/100/C1251))</f>
        <v/>
      </c>
      <c r="G1251">
        <f>IF(A1251="","",IF(OR(B1251&lt;&gt;B1250,C1251&lt;&gt;C1250,D1251&lt;&gt;D1250,E1251&lt;&gt;E1250),G1250+1,G1250))</f>
        <v/>
      </c>
    </row>
    <row r="1252">
      <c r="A1252" s="14">
        <f>IF(OR(NOT(ISNUMBER(Ввод!$B$5)),NOT(ISNUMBER(Ввод!$B$6))),"",IF(Ввод!$B$5+1250&gt;Ввод!$B$6,"",Ввод!$B$5+1250))</f>
        <v/>
      </c>
      <c r="B1252">
        <f>IF(A1252="","",IFERROR(INDEX(Ввод!$B$12:$B$71,MATCH(A1252,Ввод!$D$12:$D$71,1)),""))</f>
        <v/>
      </c>
      <c r="C1252">
        <f>IF(A1252="","",DATE(YEAR(A1252),12,31)-DATE(YEAR(A1252),1,1)+1)</f>
        <v/>
      </c>
      <c r="D1252">
        <f>IF(A1252="","",Ввод!$B$4-SUMIF(Оплаты!$A$6:$A$505,"&lt;"&amp;A1252,Оплаты!$B$6:$B$505))</f>
        <v/>
      </c>
      <c r="E1252">
        <f>IF(A1252="","",IF(SUMPRODUCT((Ввод!$F$12:$F$31&lt;&gt;"")*(Ввод!$F$12:$F$31&lt;=A1252)*(Ввод!$G$12:$G$31&gt;=A1252))&gt;0,1,0))</f>
        <v/>
      </c>
      <c r="F1252">
        <f>IF(OR(A1252="",B1252=""),"",IF(E1252=1,0,D1252*B1252/100/C1252))</f>
        <v/>
      </c>
      <c r="G1252">
        <f>IF(A1252="","",IF(OR(B1252&lt;&gt;B1251,C1252&lt;&gt;C1251,D1252&lt;&gt;D1251,E1252&lt;&gt;E1251),G1251+1,G1251))</f>
        <v/>
      </c>
    </row>
    <row r="1253">
      <c r="A1253" s="14">
        <f>IF(OR(NOT(ISNUMBER(Ввод!$B$5)),NOT(ISNUMBER(Ввод!$B$6))),"",IF(Ввод!$B$5+1251&gt;Ввод!$B$6,"",Ввод!$B$5+1251))</f>
        <v/>
      </c>
      <c r="B1253">
        <f>IF(A1253="","",IFERROR(INDEX(Ввод!$B$12:$B$71,MATCH(A1253,Ввод!$D$12:$D$71,1)),""))</f>
        <v/>
      </c>
      <c r="C1253">
        <f>IF(A1253="","",DATE(YEAR(A1253),12,31)-DATE(YEAR(A1253),1,1)+1)</f>
        <v/>
      </c>
      <c r="D1253">
        <f>IF(A1253="","",Ввод!$B$4-SUMIF(Оплаты!$A$6:$A$505,"&lt;"&amp;A1253,Оплаты!$B$6:$B$505))</f>
        <v/>
      </c>
      <c r="E1253">
        <f>IF(A1253="","",IF(SUMPRODUCT((Ввод!$F$12:$F$31&lt;&gt;"")*(Ввод!$F$12:$F$31&lt;=A1253)*(Ввод!$G$12:$G$31&gt;=A1253))&gt;0,1,0))</f>
        <v/>
      </c>
      <c r="F1253">
        <f>IF(OR(A1253="",B1253=""),"",IF(E1253=1,0,D1253*B1253/100/C1253))</f>
        <v/>
      </c>
      <c r="G1253">
        <f>IF(A1253="","",IF(OR(B1253&lt;&gt;B1252,C1253&lt;&gt;C1252,D1253&lt;&gt;D1252,E1253&lt;&gt;E1252),G1252+1,G1252))</f>
        <v/>
      </c>
    </row>
    <row r="1254">
      <c r="A1254" s="14">
        <f>IF(OR(NOT(ISNUMBER(Ввод!$B$5)),NOT(ISNUMBER(Ввод!$B$6))),"",IF(Ввод!$B$5+1252&gt;Ввод!$B$6,"",Ввод!$B$5+1252))</f>
        <v/>
      </c>
      <c r="B1254">
        <f>IF(A1254="","",IFERROR(INDEX(Ввод!$B$12:$B$71,MATCH(A1254,Ввод!$D$12:$D$71,1)),""))</f>
        <v/>
      </c>
      <c r="C1254">
        <f>IF(A1254="","",DATE(YEAR(A1254),12,31)-DATE(YEAR(A1254),1,1)+1)</f>
        <v/>
      </c>
      <c r="D1254">
        <f>IF(A1254="","",Ввод!$B$4-SUMIF(Оплаты!$A$6:$A$505,"&lt;"&amp;A1254,Оплаты!$B$6:$B$505))</f>
        <v/>
      </c>
      <c r="E1254">
        <f>IF(A1254="","",IF(SUMPRODUCT((Ввод!$F$12:$F$31&lt;&gt;"")*(Ввод!$F$12:$F$31&lt;=A1254)*(Ввод!$G$12:$G$31&gt;=A1254))&gt;0,1,0))</f>
        <v/>
      </c>
      <c r="F1254">
        <f>IF(OR(A1254="",B1254=""),"",IF(E1254=1,0,D1254*B1254/100/C1254))</f>
        <v/>
      </c>
      <c r="G1254">
        <f>IF(A1254="","",IF(OR(B1254&lt;&gt;B1253,C1254&lt;&gt;C1253,D1254&lt;&gt;D1253,E1254&lt;&gt;E1253),G1253+1,G1253))</f>
        <v/>
      </c>
    </row>
    <row r="1255">
      <c r="A1255" s="14">
        <f>IF(OR(NOT(ISNUMBER(Ввод!$B$5)),NOT(ISNUMBER(Ввод!$B$6))),"",IF(Ввод!$B$5+1253&gt;Ввод!$B$6,"",Ввод!$B$5+1253))</f>
        <v/>
      </c>
      <c r="B1255">
        <f>IF(A1255="","",IFERROR(INDEX(Ввод!$B$12:$B$71,MATCH(A1255,Ввод!$D$12:$D$71,1)),""))</f>
        <v/>
      </c>
      <c r="C1255">
        <f>IF(A1255="","",DATE(YEAR(A1255),12,31)-DATE(YEAR(A1255),1,1)+1)</f>
        <v/>
      </c>
      <c r="D1255">
        <f>IF(A1255="","",Ввод!$B$4-SUMIF(Оплаты!$A$6:$A$505,"&lt;"&amp;A1255,Оплаты!$B$6:$B$505))</f>
        <v/>
      </c>
      <c r="E1255">
        <f>IF(A1255="","",IF(SUMPRODUCT((Ввод!$F$12:$F$31&lt;&gt;"")*(Ввод!$F$12:$F$31&lt;=A1255)*(Ввод!$G$12:$G$31&gt;=A1255))&gt;0,1,0))</f>
        <v/>
      </c>
      <c r="F1255">
        <f>IF(OR(A1255="",B1255=""),"",IF(E1255=1,0,D1255*B1255/100/C1255))</f>
        <v/>
      </c>
      <c r="G1255">
        <f>IF(A1255="","",IF(OR(B1255&lt;&gt;B1254,C1255&lt;&gt;C1254,D1255&lt;&gt;D1254,E1255&lt;&gt;E1254),G1254+1,G1254))</f>
        <v/>
      </c>
    </row>
    <row r="1256">
      <c r="A1256" s="14">
        <f>IF(OR(NOT(ISNUMBER(Ввод!$B$5)),NOT(ISNUMBER(Ввод!$B$6))),"",IF(Ввод!$B$5+1254&gt;Ввод!$B$6,"",Ввод!$B$5+1254))</f>
        <v/>
      </c>
      <c r="B1256">
        <f>IF(A1256="","",IFERROR(INDEX(Ввод!$B$12:$B$71,MATCH(A1256,Ввод!$D$12:$D$71,1)),""))</f>
        <v/>
      </c>
      <c r="C1256">
        <f>IF(A1256="","",DATE(YEAR(A1256),12,31)-DATE(YEAR(A1256),1,1)+1)</f>
        <v/>
      </c>
      <c r="D1256">
        <f>IF(A1256="","",Ввод!$B$4-SUMIF(Оплаты!$A$6:$A$505,"&lt;"&amp;A1256,Оплаты!$B$6:$B$505))</f>
        <v/>
      </c>
      <c r="E1256">
        <f>IF(A1256="","",IF(SUMPRODUCT((Ввод!$F$12:$F$31&lt;&gt;"")*(Ввод!$F$12:$F$31&lt;=A1256)*(Ввод!$G$12:$G$31&gt;=A1256))&gt;0,1,0))</f>
        <v/>
      </c>
      <c r="F1256">
        <f>IF(OR(A1256="",B1256=""),"",IF(E1256=1,0,D1256*B1256/100/C1256))</f>
        <v/>
      </c>
      <c r="G1256">
        <f>IF(A1256="","",IF(OR(B1256&lt;&gt;B1255,C1256&lt;&gt;C1255,D1256&lt;&gt;D1255,E1256&lt;&gt;E1255),G1255+1,G1255))</f>
        <v/>
      </c>
    </row>
    <row r="1257">
      <c r="A1257" s="14">
        <f>IF(OR(NOT(ISNUMBER(Ввод!$B$5)),NOT(ISNUMBER(Ввод!$B$6))),"",IF(Ввод!$B$5+1255&gt;Ввод!$B$6,"",Ввод!$B$5+1255))</f>
        <v/>
      </c>
      <c r="B1257">
        <f>IF(A1257="","",IFERROR(INDEX(Ввод!$B$12:$B$71,MATCH(A1257,Ввод!$D$12:$D$71,1)),""))</f>
        <v/>
      </c>
      <c r="C1257">
        <f>IF(A1257="","",DATE(YEAR(A1257),12,31)-DATE(YEAR(A1257),1,1)+1)</f>
        <v/>
      </c>
      <c r="D1257">
        <f>IF(A1257="","",Ввод!$B$4-SUMIF(Оплаты!$A$6:$A$505,"&lt;"&amp;A1257,Оплаты!$B$6:$B$505))</f>
        <v/>
      </c>
      <c r="E1257">
        <f>IF(A1257="","",IF(SUMPRODUCT((Ввод!$F$12:$F$31&lt;&gt;"")*(Ввод!$F$12:$F$31&lt;=A1257)*(Ввод!$G$12:$G$31&gt;=A1257))&gt;0,1,0))</f>
        <v/>
      </c>
      <c r="F1257">
        <f>IF(OR(A1257="",B1257=""),"",IF(E1257=1,0,D1257*B1257/100/C1257))</f>
        <v/>
      </c>
      <c r="G1257">
        <f>IF(A1257="","",IF(OR(B1257&lt;&gt;B1256,C1257&lt;&gt;C1256,D1257&lt;&gt;D1256,E1257&lt;&gt;E1256),G1256+1,G1256))</f>
        <v/>
      </c>
    </row>
    <row r="1258">
      <c r="A1258" s="14">
        <f>IF(OR(NOT(ISNUMBER(Ввод!$B$5)),NOT(ISNUMBER(Ввод!$B$6))),"",IF(Ввод!$B$5+1256&gt;Ввод!$B$6,"",Ввод!$B$5+1256))</f>
        <v/>
      </c>
      <c r="B1258">
        <f>IF(A1258="","",IFERROR(INDEX(Ввод!$B$12:$B$71,MATCH(A1258,Ввод!$D$12:$D$71,1)),""))</f>
        <v/>
      </c>
      <c r="C1258">
        <f>IF(A1258="","",DATE(YEAR(A1258),12,31)-DATE(YEAR(A1258),1,1)+1)</f>
        <v/>
      </c>
      <c r="D1258">
        <f>IF(A1258="","",Ввод!$B$4-SUMIF(Оплаты!$A$6:$A$505,"&lt;"&amp;A1258,Оплаты!$B$6:$B$505))</f>
        <v/>
      </c>
      <c r="E1258">
        <f>IF(A1258="","",IF(SUMPRODUCT((Ввод!$F$12:$F$31&lt;&gt;"")*(Ввод!$F$12:$F$31&lt;=A1258)*(Ввод!$G$12:$G$31&gt;=A1258))&gt;0,1,0))</f>
        <v/>
      </c>
      <c r="F1258">
        <f>IF(OR(A1258="",B1258=""),"",IF(E1258=1,0,D1258*B1258/100/C1258))</f>
        <v/>
      </c>
      <c r="G1258">
        <f>IF(A1258="","",IF(OR(B1258&lt;&gt;B1257,C1258&lt;&gt;C1257,D1258&lt;&gt;D1257,E1258&lt;&gt;E1257),G1257+1,G1257))</f>
        <v/>
      </c>
    </row>
    <row r="1259">
      <c r="A1259" s="14">
        <f>IF(OR(NOT(ISNUMBER(Ввод!$B$5)),NOT(ISNUMBER(Ввод!$B$6))),"",IF(Ввод!$B$5+1257&gt;Ввод!$B$6,"",Ввод!$B$5+1257))</f>
        <v/>
      </c>
      <c r="B1259">
        <f>IF(A1259="","",IFERROR(INDEX(Ввод!$B$12:$B$71,MATCH(A1259,Ввод!$D$12:$D$71,1)),""))</f>
        <v/>
      </c>
      <c r="C1259">
        <f>IF(A1259="","",DATE(YEAR(A1259),12,31)-DATE(YEAR(A1259),1,1)+1)</f>
        <v/>
      </c>
      <c r="D1259">
        <f>IF(A1259="","",Ввод!$B$4-SUMIF(Оплаты!$A$6:$A$505,"&lt;"&amp;A1259,Оплаты!$B$6:$B$505))</f>
        <v/>
      </c>
      <c r="E1259">
        <f>IF(A1259="","",IF(SUMPRODUCT((Ввод!$F$12:$F$31&lt;&gt;"")*(Ввод!$F$12:$F$31&lt;=A1259)*(Ввод!$G$12:$G$31&gt;=A1259))&gt;0,1,0))</f>
        <v/>
      </c>
      <c r="F1259">
        <f>IF(OR(A1259="",B1259=""),"",IF(E1259=1,0,D1259*B1259/100/C1259))</f>
        <v/>
      </c>
      <c r="G1259">
        <f>IF(A1259="","",IF(OR(B1259&lt;&gt;B1258,C1259&lt;&gt;C1258,D1259&lt;&gt;D1258,E1259&lt;&gt;E1258),G1258+1,G1258))</f>
        <v/>
      </c>
    </row>
    <row r="1260">
      <c r="A1260" s="14">
        <f>IF(OR(NOT(ISNUMBER(Ввод!$B$5)),NOT(ISNUMBER(Ввод!$B$6))),"",IF(Ввод!$B$5+1258&gt;Ввод!$B$6,"",Ввод!$B$5+1258))</f>
        <v/>
      </c>
      <c r="B1260">
        <f>IF(A1260="","",IFERROR(INDEX(Ввод!$B$12:$B$71,MATCH(A1260,Ввод!$D$12:$D$71,1)),""))</f>
        <v/>
      </c>
      <c r="C1260">
        <f>IF(A1260="","",DATE(YEAR(A1260),12,31)-DATE(YEAR(A1260),1,1)+1)</f>
        <v/>
      </c>
      <c r="D1260">
        <f>IF(A1260="","",Ввод!$B$4-SUMIF(Оплаты!$A$6:$A$505,"&lt;"&amp;A1260,Оплаты!$B$6:$B$505))</f>
        <v/>
      </c>
      <c r="E1260">
        <f>IF(A1260="","",IF(SUMPRODUCT((Ввод!$F$12:$F$31&lt;&gt;"")*(Ввод!$F$12:$F$31&lt;=A1260)*(Ввод!$G$12:$G$31&gt;=A1260))&gt;0,1,0))</f>
        <v/>
      </c>
      <c r="F1260">
        <f>IF(OR(A1260="",B1260=""),"",IF(E1260=1,0,D1260*B1260/100/C1260))</f>
        <v/>
      </c>
      <c r="G1260">
        <f>IF(A1260="","",IF(OR(B1260&lt;&gt;B1259,C1260&lt;&gt;C1259,D1260&lt;&gt;D1259,E1260&lt;&gt;E1259),G1259+1,G1259))</f>
        <v/>
      </c>
    </row>
    <row r="1261">
      <c r="A1261" s="14">
        <f>IF(OR(NOT(ISNUMBER(Ввод!$B$5)),NOT(ISNUMBER(Ввод!$B$6))),"",IF(Ввод!$B$5+1259&gt;Ввод!$B$6,"",Ввод!$B$5+1259))</f>
        <v/>
      </c>
      <c r="B1261">
        <f>IF(A1261="","",IFERROR(INDEX(Ввод!$B$12:$B$71,MATCH(A1261,Ввод!$D$12:$D$71,1)),""))</f>
        <v/>
      </c>
      <c r="C1261">
        <f>IF(A1261="","",DATE(YEAR(A1261),12,31)-DATE(YEAR(A1261),1,1)+1)</f>
        <v/>
      </c>
      <c r="D1261">
        <f>IF(A1261="","",Ввод!$B$4-SUMIF(Оплаты!$A$6:$A$505,"&lt;"&amp;A1261,Оплаты!$B$6:$B$505))</f>
        <v/>
      </c>
      <c r="E1261">
        <f>IF(A1261="","",IF(SUMPRODUCT((Ввод!$F$12:$F$31&lt;&gt;"")*(Ввод!$F$12:$F$31&lt;=A1261)*(Ввод!$G$12:$G$31&gt;=A1261))&gt;0,1,0))</f>
        <v/>
      </c>
      <c r="F1261">
        <f>IF(OR(A1261="",B1261=""),"",IF(E1261=1,0,D1261*B1261/100/C1261))</f>
        <v/>
      </c>
      <c r="G1261">
        <f>IF(A1261="","",IF(OR(B1261&lt;&gt;B1260,C1261&lt;&gt;C1260,D1261&lt;&gt;D1260,E1261&lt;&gt;E1260),G1260+1,G1260))</f>
        <v/>
      </c>
    </row>
    <row r="1262">
      <c r="A1262" s="14">
        <f>IF(OR(NOT(ISNUMBER(Ввод!$B$5)),NOT(ISNUMBER(Ввод!$B$6))),"",IF(Ввод!$B$5+1260&gt;Ввод!$B$6,"",Ввод!$B$5+1260))</f>
        <v/>
      </c>
      <c r="B1262">
        <f>IF(A1262="","",IFERROR(INDEX(Ввод!$B$12:$B$71,MATCH(A1262,Ввод!$D$12:$D$71,1)),""))</f>
        <v/>
      </c>
      <c r="C1262">
        <f>IF(A1262="","",DATE(YEAR(A1262),12,31)-DATE(YEAR(A1262),1,1)+1)</f>
        <v/>
      </c>
      <c r="D1262">
        <f>IF(A1262="","",Ввод!$B$4-SUMIF(Оплаты!$A$6:$A$505,"&lt;"&amp;A1262,Оплаты!$B$6:$B$505))</f>
        <v/>
      </c>
      <c r="E1262">
        <f>IF(A1262="","",IF(SUMPRODUCT((Ввод!$F$12:$F$31&lt;&gt;"")*(Ввод!$F$12:$F$31&lt;=A1262)*(Ввод!$G$12:$G$31&gt;=A1262))&gt;0,1,0))</f>
        <v/>
      </c>
      <c r="F1262">
        <f>IF(OR(A1262="",B1262=""),"",IF(E1262=1,0,D1262*B1262/100/C1262))</f>
        <v/>
      </c>
      <c r="G1262">
        <f>IF(A1262="","",IF(OR(B1262&lt;&gt;B1261,C1262&lt;&gt;C1261,D1262&lt;&gt;D1261,E1262&lt;&gt;E1261),G1261+1,G1261))</f>
        <v/>
      </c>
    </row>
    <row r="1263">
      <c r="A1263" s="14">
        <f>IF(OR(NOT(ISNUMBER(Ввод!$B$5)),NOT(ISNUMBER(Ввод!$B$6))),"",IF(Ввод!$B$5+1261&gt;Ввод!$B$6,"",Ввод!$B$5+1261))</f>
        <v/>
      </c>
      <c r="B1263">
        <f>IF(A1263="","",IFERROR(INDEX(Ввод!$B$12:$B$71,MATCH(A1263,Ввод!$D$12:$D$71,1)),""))</f>
        <v/>
      </c>
      <c r="C1263">
        <f>IF(A1263="","",DATE(YEAR(A1263),12,31)-DATE(YEAR(A1263),1,1)+1)</f>
        <v/>
      </c>
      <c r="D1263">
        <f>IF(A1263="","",Ввод!$B$4-SUMIF(Оплаты!$A$6:$A$505,"&lt;"&amp;A1263,Оплаты!$B$6:$B$505))</f>
        <v/>
      </c>
      <c r="E1263">
        <f>IF(A1263="","",IF(SUMPRODUCT((Ввод!$F$12:$F$31&lt;&gt;"")*(Ввод!$F$12:$F$31&lt;=A1263)*(Ввод!$G$12:$G$31&gt;=A1263))&gt;0,1,0))</f>
        <v/>
      </c>
      <c r="F1263">
        <f>IF(OR(A1263="",B1263=""),"",IF(E1263=1,0,D1263*B1263/100/C1263))</f>
        <v/>
      </c>
      <c r="G1263">
        <f>IF(A1263="","",IF(OR(B1263&lt;&gt;B1262,C1263&lt;&gt;C1262,D1263&lt;&gt;D1262,E1263&lt;&gt;E1262),G1262+1,G1262))</f>
        <v/>
      </c>
    </row>
    <row r="1264">
      <c r="A1264" s="14">
        <f>IF(OR(NOT(ISNUMBER(Ввод!$B$5)),NOT(ISNUMBER(Ввод!$B$6))),"",IF(Ввод!$B$5+1262&gt;Ввод!$B$6,"",Ввод!$B$5+1262))</f>
        <v/>
      </c>
      <c r="B1264">
        <f>IF(A1264="","",IFERROR(INDEX(Ввод!$B$12:$B$71,MATCH(A1264,Ввод!$D$12:$D$71,1)),""))</f>
        <v/>
      </c>
      <c r="C1264">
        <f>IF(A1264="","",DATE(YEAR(A1264),12,31)-DATE(YEAR(A1264),1,1)+1)</f>
        <v/>
      </c>
      <c r="D1264">
        <f>IF(A1264="","",Ввод!$B$4-SUMIF(Оплаты!$A$6:$A$505,"&lt;"&amp;A1264,Оплаты!$B$6:$B$505))</f>
        <v/>
      </c>
      <c r="E1264">
        <f>IF(A1264="","",IF(SUMPRODUCT((Ввод!$F$12:$F$31&lt;&gt;"")*(Ввод!$F$12:$F$31&lt;=A1264)*(Ввод!$G$12:$G$31&gt;=A1264))&gt;0,1,0))</f>
        <v/>
      </c>
      <c r="F1264">
        <f>IF(OR(A1264="",B1264=""),"",IF(E1264=1,0,D1264*B1264/100/C1264))</f>
        <v/>
      </c>
      <c r="G1264">
        <f>IF(A1264="","",IF(OR(B1264&lt;&gt;B1263,C1264&lt;&gt;C1263,D1264&lt;&gt;D1263,E1264&lt;&gt;E1263),G1263+1,G1263))</f>
        <v/>
      </c>
    </row>
    <row r="1265">
      <c r="A1265" s="14">
        <f>IF(OR(NOT(ISNUMBER(Ввод!$B$5)),NOT(ISNUMBER(Ввод!$B$6))),"",IF(Ввод!$B$5+1263&gt;Ввод!$B$6,"",Ввод!$B$5+1263))</f>
        <v/>
      </c>
      <c r="B1265">
        <f>IF(A1265="","",IFERROR(INDEX(Ввод!$B$12:$B$71,MATCH(A1265,Ввод!$D$12:$D$71,1)),""))</f>
        <v/>
      </c>
      <c r="C1265">
        <f>IF(A1265="","",DATE(YEAR(A1265),12,31)-DATE(YEAR(A1265),1,1)+1)</f>
        <v/>
      </c>
      <c r="D1265">
        <f>IF(A1265="","",Ввод!$B$4-SUMIF(Оплаты!$A$6:$A$505,"&lt;"&amp;A1265,Оплаты!$B$6:$B$505))</f>
        <v/>
      </c>
      <c r="E1265">
        <f>IF(A1265="","",IF(SUMPRODUCT((Ввод!$F$12:$F$31&lt;&gt;"")*(Ввод!$F$12:$F$31&lt;=A1265)*(Ввод!$G$12:$G$31&gt;=A1265))&gt;0,1,0))</f>
        <v/>
      </c>
      <c r="F1265">
        <f>IF(OR(A1265="",B1265=""),"",IF(E1265=1,0,D1265*B1265/100/C1265))</f>
        <v/>
      </c>
      <c r="G1265">
        <f>IF(A1265="","",IF(OR(B1265&lt;&gt;B1264,C1265&lt;&gt;C1264,D1265&lt;&gt;D1264,E1265&lt;&gt;E1264),G1264+1,G1264))</f>
        <v/>
      </c>
    </row>
    <row r="1266">
      <c r="A1266" s="14">
        <f>IF(OR(NOT(ISNUMBER(Ввод!$B$5)),NOT(ISNUMBER(Ввод!$B$6))),"",IF(Ввод!$B$5+1264&gt;Ввод!$B$6,"",Ввод!$B$5+1264))</f>
        <v/>
      </c>
      <c r="B1266">
        <f>IF(A1266="","",IFERROR(INDEX(Ввод!$B$12:$B$71,MATCH(A1266,Ввод!$D$12:$D$71,1)),""))</f>
        <v/>
      </c>
      <c r="C1266">
        <f>IF(A1266="","",DATE(YEAR(A1266),12,31)-DATE(YEAR(A1266),1,1)+1)</f>
        <v/>
      </c>
      <c r="D1266">
        <f>IF(A1266="","",Ввод!$B$4-SUMIF(Оплаты!$A$6:$A$505,"&lt;"&amp;A1266,Оплаты!$B$6:$B$505))</f>
        <v/>
      </c>
      <c r="E1266">
        <f>IF(A1266="","",IF(SUMPRODUCT((Ввод!$F$12:$F$31&lt;&gt;"")*(Ввод!$F$12:$F$31&lt;=A1266)*(Ввод!$G$12:$G$31&gt;=A1266))&gt;0,1,0))</f>
        <v/>
      </c>
      <c r="F1266">
        <f>IF(OR(A1266="",B1266=""),"",IF(E1266=1,0,D1266*B1266/100/C1266))</f>
        <v/>
      </c>
      <c r="G1266">
        <f>IF(A1266="","",IF(OR(B1266&lt;&gt;B1265,C1266&lt;&gt;C1265,D1266&lt;&gt;D1265,E1266&lt;&gt;E1265),G1265+1,G1265))</f>
        <v/>
      </c>
    </row>
    <row r="1267">
      <c r="A1267" s="14">
        <f>IF(OR(NOT(ISNUMBER(Ввод!$B$5)),NOT(ISNUMBER(Ввод!$B$6))),"",IF(Ввод!$B$5+1265&gt;Ввод!$B$6,"",Ввод!$B$5+1265))</f>
        <v/>
      </c>
      <c r="B1267">
        <f>IF(A1267="","",IFERROR(INDEX(Ввод!$B$12:$B$71,MATCH(A1267,Ввод!$D$12:$D$71,1)),""))</f>
        <v/>
      </c>
      <c r="C1267">
        <f>IF(A1267="","",DATE(YEAR(A1267),12,31)-DATE(YEAR(A1267),1,1)+1)</f>
        <v/>
      </c>
      <c r="D1267">
        <f>IF(A1267="","",Ввод!$B$4-SUMIF(Оплаты!$A$6:$A$505,"&lt;"&amp;A1267,Оплаты!$B$6:$B$505))</f>
        <v/>
      </c>
      <c r="E1267">
        <f>IF(A1267="","",IF(SUMPRODUCT((Ввод!$F$12:$F$31&lt;&gt;"")*(Ввод!$F$12:$F$31&lt;=A1267)*(Ввод!$G$12:$G$31&gt;=A1267))&gt;0,1,0))</f>
        <v/>
      </c>
      <c r="F1267">
        <f>IF(OR(A1267="",B1267=""),"",IF(E1267=1,0,D1267*B1267/100/C1267))</f>
        <v/>
      </c>
      <c r="G1267">
        <f>IF(A1267="","",IF(OR(B1267&lt;&gt;B1266,C1267&lt;&gt;C1266,D1267&lt;&gt;D1266,E1267&lt;&gt;E1266),G1266+1,G1266))</f>
        <v/>
      </c>
    </row>
    <row r="1268">
      <c r="A1268" s="14">
        <f>IF(OR(NOT(ISNUMBER(Ввод!$B$5)),NOT(ISNUMBER(Ввод!$B$6))),"",IF(Ввод!$B$5+1266&gt;Ввод!$B$6,"",Ввод!$B$5+1266))</f>
        <v/>
      </c>
      <c r="B1268">
        <f>IF(A1268="","",IFERROR(INDEX(Ввод!$B$12:$B$71,MATCH(A1268,Ввод!$D$12:$D$71,1)),""))</f>
        <v/>
      </c>
      <c r="C1268">
        <f>IF(A1268="","",DATE(YEAR(A1268),12,31)-DATE(YEAR(A1268),1,1)+1)</f>
        <v/>
      </c>
      <c r="D1268">
        <f>IF(A1268="","",Ввод!$B$4-SUMIF(Оплаты!$A$6:$A$505,"&lt;"&amp;A1268,Оплаты!$B$6:$B$505))</f>
        <v/>
      </c>
      <c r="E1268">
        <f>IF(A1268="","",IF(SUMPRODUCT((Ввод!$F$12:$F$31&lt;&gt;"")*(Ввод!$F$12:$F$31&lt;=A1268)*(Ввод!$G$12:$G$31&gt;=A1268))&gt;0,1,0))</f>
        <v/>
      </c>
      <c r="F1268">
        <f>IF(OR(A1268="",B1268=""),"",IF(E1268=1,0,D1268*B1268/100/C1268))</f>
        <v/>
      </c>
      <c r="G1268">
        <f>IF(A1268="","",IF(OR(B1268&lt;&gt;B1267,C1268&lt;&gt;C1267,D1268&lt;&gt;D1267,E1268&lt;&gt;E1267),G1267+1,G1267))</f>
        <v/>
      </c>
    </row>
    <row r="1269">
      <c r="A1269" s="14">
        <f>IF(OR(NOT(ISNUMBER(Ввод!$B$5)),NOT(ISNUMBER(Ввод!$B$6))),"",IF(Ввод!$B$5+1267&gt;Ввод!$B$6,"",Ввод!$B$5+1267))</f>
        <v/>
      </c>
      <c r="B1269">
        <f>IF(A1269="","",IFERROR(INDEX(Ввод!$B$12:$B$71,MATCH(A1269,Ввод!$D$12:$D$71,1)),""))</f>
        <v/>
      </c>
      <c r="C1269">
        <f>IF(A1269="","",DATE(YEAR(A1269),12,31)-DATE(YEAR(A1269),1,1)+1)</f>
        <v/>
      </c>
      <c r="D1269">
        <f>IF(A1269="","",Ввод!$B$4-SUMIF(Оплаты!$A$6:$A$505,"&lt;"&amp;A1269,Оплаты!$B$6:$B$505))</f>
        <v/>
      </c>
      <c r="E1269">
        <f>IF(A1269="","",IF(SUMPRODUCT((Ввод!$F$12:$F$31&lt;&gt;"")*(Ввод!$F$12:$F$31&lt;=A1269)*(Ввод!$G$12:$G$31&gt;=A1269))&gt;0,1,0))</f>
        <v/>
      </c>
      <c r="F1269">
        <f>IF(OR(A1269="",B1269=""),"",IF(E1269=1,0,D1269*B1269/100/C1269))</f>
        <v/>
      </c>
      <c r="G1269">
        <f>IF(A1269="","",IF(OR(B1269&lt;&gt;B1268,C1269&lt;&gt;C1268,D1269&lt;&gt;D1268,E1269&lt;&gt;E1268),G1268+1,G1268))</f>
        <v/>
      </c>
    </row>
    <row r="1270">
      <c r="A1270" s="14">
        <f>IF(OR(NOT(ISNUMBER(Ввод!$B$5)),NOT(ISNUMBER(Ввод!$B$6))),"",IF(Ввод!$B$5+1268&gt;Ввод!$B$6,"",Ввод!$B$5+1268))</f>
        <v/>
      </c>
      <c r="B1270">
        <f>IF(A1270="","",IFERROR(INDEX(Ввод!$B$12:$B$71,MATCH(A1270,Ввод!$D$12:$D$71,1)),""))</f>
        <v/>
      </c>
      <c r="C1270">
        <f>IF(A1270="","",DATE(YEAR(A1270),12,31)-DATE(YEAR(A1270),1,1)+1)</f>
        <v/>
      </c>
      <c r="D1270">
        <f>IF(A1270="","",Ввод!$B$4-SUMIF(Оплаты!$A$6:$A$505,"&lt;"&amp;A1270,Оплаты!$B$6:$B$505))</f>
        <v/>
      </c>
      <c r="E1270">
        <f>IF(A1270="","",IF(SUMPRODUCT((Ввод!$F$12:$F$31&lt;&gt;"")*(Ввод!$F$12:$F$31&lt;=A1270)*(Ввод!$G$12:$G$31&gt;=A1270))&gt;0,1,0))</f>
        <v/>
      </c>
      <c r="F1270">
        <f>IF(OR(A1270="",B1270=""),"",IF(E1270=1,0,D1270*B1270/100/C1270))</f>
        <v/>
      </c>
      <c r="G1270">
        <f>IF(A1270="","",IF(OR(B1270&lt;&gt;B1269,C1270&lt;&gt;C1269,D1270&lt;&gt;D1269,E1270&lt;&gt;E1269),G1269+1,G1269))</f>
        <v/>
      </c>
    </row>
    <row r="1271">
      <c r="A1271" s="14">
        <f>IF(OR(NOT(ISNUMBER(Ввод!$B$5)),NOT(ISNUMBER(Ввод!$B$6))),"",IF(Ввод!$B$5+1269&gt;Ввод!$B$6,"",Ввод!$B$5+1269))</f>
        <v/>
      </c>
      <c r="B1271">
        <f>IF(A1271="","",IFERROR(INDEX(Ввод!$B$12:$B$71,MATCH(A1271,Ввод!$D$12:$D$71,1)),""))</f>
        <v/>
      </c>
      <c r="C1271">
        <f>IF(A1271="","",DATE(YEAR(A1271),12,31)-DATE(YEAR(A1271),1,1)+1)</f>
        <v/>
      </c>
      <c r="D1271">
        <f>IF(A1271="","",Ввод!$B$4-SUMIF(Оплаты!$A$6:$A$505,"&lt;"&amp;A1271,Оплаты!$B$6:$B$505))</f>
        <v/>
      </c>
      <c r="E1271">
        <f>IF(A1271="","",IF(SUMPRODUCT((Ввод!$F$12:$F$31&lt;&gt;"")*(Ввод!$F$12:$F$31&lt;=A1271)*(Ввод!$G$12:$G$31&gt;=A1271))&gt;0,1,0))</f>
        <v/>
      </c>
      <c r="F1271">
        <f>IF(OR(A1271="",B1271=""),"",IF(E1271=1,0,D1271*B1271/100/C1271))</f>
        <v/>
      </c>
      <c r="G1271">
        <f>IF(A1271="","",IF(OR(B1271&lt;&gt;B1270,C1271&lt;&gt;C1270,D1271&lt;&gt;D1270,E1271&lt;&gt;E1270),G1270+1,G1270))</f>
        <v/>
      </c>
    </row>
    <row r="1272">
      <c r="A1272" s="14">
        <f>IF(OR(NOT(ISNUMBER(Ввод!$B$5)),NOT(ISNUMBER(Ввод!$B$6))),"",IF(Ввод!$B$5+1270&gt;Ввод!$B$6,"",Ввод!$B$5+1270))</f>
        <v/>
      </c>
      <c r="B1272">
        <f>IF(A1272="","",IFERROR(INDEX(Ввод!$B$12:$B$71,MATCH(A1272,Ввод!$D$12:$D$71,1)),""))</f>
        <v/>
      </c>
      <c r="C1272">
        <f>IF(A1272="","",DATE(YEAR(A1272),12,31)-DATE(YEAR(A1272),1,1)+1)</f>
        <v/>
      </c>
      <c r="D1272">
        <f>IF(A1272="","",Ввод!$B$4-SUMIF(Оплаты!$A$6:$A$505,"&lt;"&amp;A1272,Оплаты!$B$6:$B$505))</f>
        <v/>
      </c>
      <c r="E1272">
        <f>IF(A1272="","",IF(SUMPRODUCT((Ввод!$F$12:$F$31&lt;&gt;"")*(Ввод!$F$12:$F$31&lt;=A1272)*(Ввод!$G$12:$G$31&gt;=A1272))&gt;0,1,0))</f>
        <v/>
      </c>
      <c r="F1272">
        <f>IF(OR(A1272="",B1272=""),"",IF(E1272=1,0,D1272*B1272/100/C1272))</f>
        <v/>
      </c>
      <c r="G1272">
        <f>IF(A1272="","",IF(OR(B1272&lt;&gt;B1271,C1272&lt;&gt;C1271,D1272&lt;&gt;D1271,E1272&lt;&gt;E1271),G1271+1,G1271))</f>
        <v/>
      </c>
    </row>
    <row r="1273">
      <c r="A1273" s="14">
        <f>IF(OR(NOT(ISNUMBER(Ввод!$B$5)),NOT(ISNUMBER(Ввод!$B$6))),"",IF(Ввод!$B$5+1271&gt;Ввод!$B$6,"",Ввод!$B$5+1271))</f>
        <v/>
      </c>
      <c r="B1273">
        <f>IF(A1273="","",IFERROR(INDEX(Ввод!$B$12:$B$71,MATCH(A1273,Ввод!$D$12:$D$71,1)),""))</f>
        <v/>
      </c>
      <c r="C1273">
        <f>IF(A1273="","",DATE(YEAR(A1273),12,31)-DATE(YEAR(A1273),1,1)+1)</f>
        <v/>
      </c>
      <c r="D1273">
        <f>IF(A1273="","",Ввод!$B$4-SUMIF(Оплаты!$A$6:$A$505,"&lt;"&amp;A1273,Оплаты!$B$6:$B$505))</f>
        <v/>
      </c>
      <c r="E1273">
        <f>IF(A1273="","",IF(SUMPRODUCT((Ввод!$F$12:$F$31&lt;&gt;"")*(Ввод!$F$12:$F$31&lt;=A1273)*(Ввод!$G$12:$G$31&gt;=A1273))&gt;0,1,0))</f>
        <v/>
      </c>
      <c r="F1273">
        <f>IF(OR(A1273="",B1273=""),"",IF(E1273=1,0,D1273*B1273/100/C1273))</f>
        <v/>
      </c>
      <c r="G1273">
        <f>IF(A1273="","",IF(OR(B1273&lt;&gt;B1272,C1273&lt;&gt;C1272,D1273&lt;&gt;D1272,E1273&lt;&gt;E1272),G1272+1,G1272))</f>
        <v/>
      </c>
    </row>
    <row r="1274">
      <c r="A1274" s="14">
        <f>IF(OR(NOT(ISNUMBER(Ввод!$B$5)),NOT(ISNUMBER(Ввод!$B$6))),"",IF(Ввод!$B$5+1272&gt;Ввод!$B$6,"",Ввод!$B$5+1272))</f>
        <v/>
      </c>
      <c r="B1274">
        <f>IF(A1274="","",IFERROR(INDEX(Ввод!$B$12:$B$71,MATCH(A1274,Ввод!$D$12:$D$71,1)),""))</f>
        <v/>
      </c>
      <c r="C1274">
        <f>IF(A1274="","",DATE(YEAR(A1274),12,31)-DATE(YEAR(A1274),1,1)+1)</f>
        <v/>
      </c>
      <c r="D1274">
        <f>IF(A1274="","",Ввод!$B$4-SUMIF(Оплаты!$A$6:$A$505,"&lt;"&amp;A1274,Оплаты!$B$6:$B$505))</f>
        <v/>
      </c>
      <c r="E1274">
        <f>IF(A1274="","",IF(SUMPRODUCT((Ввод!$F$12:$F$31&lt;&gt;"")*(Ввод!$F$12:$F$31&lt;=A1274)*(Ввод!$G$12:$G$31&gt;=A1274))&gt;0,1,0))</f>
        <v/>
      </c>
      <c r="F1274">
        <f>IF(OR(A1274="",B1274=""),"",IF(E1274=1,0,D1274*B1274/100/C1274))</f>
        <v/>
      </c>
      <c r="G1274">
        <f>IF(A1274="","",IF(OR(B1274&lt;&gt;B1273,C1274&lt;&gt;C1273,D1274&lt;&gt;D1273,E1274&lt;&gt;E1273),G1273+1,G1273))</f>
        <v/>
      </c>
    </row>
    <row r="1275">
      <c r="A1275" s="14">
        <f>IF(OR(NOT(ISNUMBER(Ввод!$B$5)),NOT(ISNUMBER(Ввод!$B$6))),"",IF(Ввод!$B$5+1273&gt;Ввод!$B$6,"",Ввод!$B$5+1273))</f>
        <v/>
      </c>
      <c r="B1275">
        <f>IF(A1275="","",IFERROR(INDEX(Ввод!$B$12:$B$71,MATCH(A1275,Ввод!$D$12:$D$71,1)),""))</f>
        <v/>
      </c>
      <c r="C1275">
        <f>IF(A1275="","",DATE(YEAR(A1275),12,31)-DATE(YEAR(A1275),1,1)+1)</f>
        <v/>
      </c>
      <c r="D1275">
        <f>IF(A1275="","",Ввод!$B$4-SUMIF(Оплаты!$A$6:$A$505,"&lt;"&amp;A1275,Оплаты!$B$6:$B$505))</f>
        <v/>
      </c>
      <c r="E1275">
        <f>IF(A1275="","",IF(SUMPRODUCT((Ввод!$F$12:$F$31&lt;&gt;"")*(Ввод!$F$12:$F$31&lt;=A1275)*(Ввод!$G$12:$G$31&gt;=A1275))&gt;0,1,0))</f>
        <v/>
      </c>
      <c r="F1275">
        <f>IF(OR(A1275="",B1275=""),"",IF(E1275=1,0,D1275*B1275/100/C1275))</f>
        <v/>
      </c>
      <c r="G1275">
        <f>IF(A1275="","",IF(OR(B1275&lt;&gt;B1274,C1275&lt;&gt;C1274,D1275&lt;&gt;D1274,E1275&lt;&gt;E1274),G1274+1,G1274))</f>
        <v/>
      </c>
    </row>
    <row r="1276">
      <c r="A1276" s="14">
        <f>IF(OR(NOT(ISNUMBER(Ввод!$B$5)),NOT(ISNUMBER(Ввод!$B$6))),"",IF(Ввод!$B$5+1274&gt;Ввод!$B$6,"",Ввод!$B$5+1274))</f>
        <v/>
      </c>
      <c r="B1276">
        <f>IF(A1276="","",IFERROR(INDEX(Ввод!$B$12:$B$71,MATCH(A1276,Ввод!$D$12:$D$71,1)),""))</f>
        <v/>
      </c>
      <c r="C1276">
        <f>IF(A1276="","",DATE(YEAR(A1276),12,31)-DATE(YEAR(A1276),1,1)+1)</f>
        <v/>
      </c>
      <c r="D1276">
        <f>IF(A1276="","",Ввод!$B$4-SUMIF(Оплаты!$A$6:$A$505,"&lt;"&amp;A1276,Оплаты!$B$6:$B$505))</f>
        <v/>
      </c>
      <c r="E1276">
        <f>IF(A1276="","",IF(SUMPRODUCT((Ввод!$F$12:$F$31&lt;&gt;"")*(Ввод!$F$12:$F$31&lt;=A1276)*(Ввод!$G$12:$G$31&gt;=A1276))&gt;0,1,0))</f>
        <v/>
      </c>
      <c r="F1276">
        <f>IF(OR(A1276="",B1276=""),"",IF(E1276=1,0,D1276*B1276/100/C1276))</f>
        <v/>
      </c>
      <c r="G1276">
        <f>IF(A1276="","",IF(OR(B1276&lt;&gt;B1275,C1276&lt;&gt;C1275,D1276&lt;&gt;D1275,E1276&lt;&gt;E1275),G1275+1,G1275))</f>
        <v/>
      </c>
    </row>
    <row r="1277">
      <c r="A1277" s="14">
        <f>IF(OR(NOT(ISNUMBER(Ввод!$B$5)),NOT(ISNUMBER(Ввод!$B$6))),"",IF(Ввод!$B$5+1275&gt;Ввод!$B$6,"",Ввод!$B$5+1275))</f>
        <v/>
      </c>
      <c r="B1277">
        <f>IF(A1277="","",IFERROR(INDEX(Ввод!$B$12:$B$71,MATCH(A1277,Ввод!$D$12:$D$71,1)),""))</f>
        <v/>
      </c>
      <c r="C1277">
        <f>IF(A1277="","",DATE(YEAR(A1277),12,31)-DATE(YEAR(A1277),1,1)+1)</f>
        <v/>
      </c>
      <c r="D1277">
        <f>IF(A1277="","",Ввод!$B$4-SUMIF(Оплаты!$A$6:$A$505,"&lt;"&amp;A1277,Оплаты!$B$6:$B$505))</f>
        <v/>
      </c>
      <c r="E1277">
        <f>IF(A1277="","",IF(SUMPRODUCT((Ввод!$F$12:$F$31&lt;&gt;"")*(Ввод!$F$12:$F$31&lt;=A1277)*(Ввод!$G$12:$G$31&gt;=A1277))&gt;0,1,0))</f>
        <v/>
      </c>
      <c r="F1277">
        <f>IF(OR(A1277="",B1277=""),"",IF(E1277=1,0,D1277*B1277/100/C1277))</f>
        <v/>
      </c>
      <c r="G1277">
        <f>IF(A1277="","",IF(OR(B1277&lt;&gt;B1276,C1277&lt;&gt;C1276,D1277&lt;&gt;D1276,E1277&lt;&gt;E1276),G1276+1,G1276))</f>
        <v/>
      </c>
    </row>
    <row r="1278">
      <c r="A1278" s="14">
        <f>IF(OR(NOT(ISNUMBER(Ввод!$B$5)),NOT(ISNUMBER(Ввод!$B$6))),"",IF(Ввод!$B$5+1276&gt;Ввод!$B$6,"",Ввод!$B$5+1276))</f>
        <v/>
      </c>
      <c r="B1278">
        <f>IF(A1278="","",IFERROR(INDEX(Ввод!$B$12:$B$71,MATCH(A1278,Ввод!$D$12:$D$71,1)),""))</f>
        <v/>
      </c>
      <c r="C1278">
        <f>IF(A1278="","",DATE(YEAR(A1278),12,31)-DATE(YEAR(A1278),1,1)+1)</f>
        <v/>
      </c>
      <c r="D1278">
        <f>IF(A1278="","",Ввод!$B$4-SUMIF(Оплаты!$A$6:$A$505,"&lt;"&amp;A1278,Оплаты!$B$6:$B$505))</f>
        <v/>
      </c>
      <c r="E1278">
        <f>IF(A1278="","",IF(SUMPRODUCT((Ввод!$F$12:$F$31&lt;&gt;"")*(Ввод!$F$12:$F$31&lt;=A1278)*(Ввод!$G$12:$G$31&gt;=A1278))&gt;0,1,0))</f>
        <v/>
      </c>
      <c r="F1278">
        <f>IF(OR(A1278="",B1278=""),"",IF(E1278=1,0,D1278*B1278/100/C1278))</f>
        <v/>
      </c>
      <c r="G1278">
        <f>IF(A1278="","",IF(OR(B1278&lt;&gt;B1277,C1278&lt;&gt;C1277,D1278&lt;&gt;D1277,E1278&lt;&gt;E1277),G1277+1,G1277))</f>
        <v/>
      </c>
    </row>
    <row r="1279">
      <c r="A1279" s="14">
        <f>IF(OR(NOT(ISNUMBER(Ввод!$B$5)),NOT(ISNUMBER(Ввод!$B$6))),"",IF(Ввод!$B$5+1277&gt;Ввод!$B$6,"",Ввод!$B$5+1277))</f>
        <v/>
      </c>
      <c r="B1279">
        <f>IF(A1279="","",IFERROR(INDEX(Ввод!$B$12:$B$71,MATCH(A1279,Ввод!$D$12:$D$71,1)),""))</f>
        <v/>
      </c>
      <c r="C1279">
        <f>IF(A1279="","",DATE(YEAR(A1279),12,31)-DATE(YEAR(A1279),1,1)+1)</f>
        <v/>
      </c>
      <c r="D1279">
        <f>IF(A1279="","",Ввод!$B$4-SUMIF(Оплаты!$A$6:$A$505,"&lt;"&amp;A1279,Оплаты!$B$6:$B$505))</f>
        <v/>
      </c>
      <c r="E1279">
        <f>IF(A1279="","",IF(SUMPRODUCT((Ввод!$F$12:$F$31&lt;&gt;"")*(Ввод!$F$12:$F$31&lt;=A1279)*(Ввод!$G$12:$G$31&gt;=A1279))&gt;0,1,0))</f>
        <v/>
      </c>
      <c r="F1279">
        <f>IF(OR(A1279="",B1279=""),"",IF(E1279=1,0,D1279*B1279/100/C1279))</f>
        <v/>
      </c>
      <c r="G1279">
        <f>IF(A1279="","",IF(OR(B1279&lt;&gt;B1278,C1279&lt;&gt;C1278,D1279&lt;&gt;D1278,E1279&lt;&gt;E1278),G1278+1,G1278))</f>
        <v/>
      </c>
    </row>
    <row r="1280">
      <c r="A1280" s="14">
        <f>IF(OR(NOT(ISNUMBER(Ввод!$B$5)),NOT(ISNUMBER(Ввод!$B$6))),"",IF(Ввод!$B$5+1278&gt;Ввод!$B$6,"",Ввод!$B$5+1278))</f>
        <v/>
      </c>
      <c r="B1280">
        <f>IF(A1280="","",IFERROR(INDEX(Ввод!$B$12:$B$71,MATCH(A1280,Ввод!$D$12:$D$71,1)),""))</f>
        <v/>
      </c>
      <c r="C1280">
        <f>IF(A1280="","",DATE(YEAR(A1280),12,31)-DATE(YEAR(A1280),1,1)+1)</f>
        <v/>
      </c>
      <c r="D1280">
        <f>IF(A1280="","",Ввод!$B$4-SUMIF(Оплаты!$A$6:$A$505,"&lt;"&amp;A1280,Оплаты!$B$6:$B$505))</f>
        <v/>
      </c>
      <c r="E1280">
        <f>IF(A1280="","",IF(SUMPRODUCT((Ввод!$F$12:$F$31&lt;&gt;"")*(Ввод!$F$12:$F$31&lt;=A1280)*(Ввод!$G$12:$G$31&gt;=A1280))&gt;0,1,0))</f>
        <v/>
      </c>
      <c r="F1280">
        <f>IF(OR(A1280="",B1280=""),"",IF(E1280=1,0,D1280*B1280/100/C1280))</f>
        <v/>
      </c>
      <c r="G1280">
        <f>IF(A1280="","",IF(OR(B1280&lt;&gt;B1279,C1280&lt;&gt;C1279,D1280&lt;&gt;D1279,E1280&lt;&gt;E1279),G1279+1,G1279))</f>
        <v/>
      </c>
    </row>
    <row r="1281">
      <c r="A1281" s="14">
        <f>IF(OR(NOT(ISNUMBER(Ввод!$B$5)),NOT(ISNUMBER(Ввод!$B$6))),"",IF(Ввод!$B$5+1279&gt;Ввод!$B$6,"",Ввод!$B$5+1279))</f>
        <v/>
      </c>
      <c r="B1281">
        <f>IF(A1281="","",IFERROR(INDEX(Ввод!$B$12:$B$71,MATCH(A1281,Ввод!$D$12:$D$71,1)),""))</f>
        <v/>
      </c>
      <c r="C1281">
        <f>IF(A1281="","",DATE(YEAR(A1281),12,31)-DATE(YEAR(A1281),1,1)+1)</f>
        <v/>
      </c>
      <c r="D1281">
        <f>IF(A1281="","",Ввод!$B$4-SUMIF(Оплаты!$A$6:$A$505,"&lt;"&amp;A1281,Оплаты!$B$6:$B$505))</f>
        <v/>
      </c>
      <c r="E1281">
        <f>IF(A1281="","",IF(SUMPRODUCT((Ввод!$F$12:$F$31&lt;&gt;"")*(Ввод!$F$12:$F$31&lt;=A1281)*(Ввод!$G$12:$G$31&gt;=A1281))&gt;0,1,0))</f>
        <v/>
      </c>
      <c r="F1281">
        <f>IF(OR(A1281="",B1281=""),"",IF(E1281=1,0,D1281*B1281/100/C1281))</f>
        <v/>
      </c>
      <c r="G1281">
        <f>IF(A1281="","",IF(OR(B1281&lt;&gt;B1280,C1281&lt;&gt;C1280,D1281&lt;&gt;D1280,E1281&lt;&gt;E1280),G1280+1,G1280))</f>
        <v/>
      </c>
    </row>
    <row r="1282">
      <c r="A1282" s="14">
        <f>IF(OR(NOT(ISNUMBER(Ввод!$B$5)),NOT(ISNUMBER(Ввод!$B$6))),"",IF(Ввод!$B$5+1280&gt;Ввод!$B$6,"",Ввод!$B$5+1280))</f>
        <v/>
      </c>
      <c r="B1282">
        <f>IF(A1282="","",IFERROR(INDEX(Ввод!$B$12:$B$71,MATCH(A1282,Ввод!$D$12:$D$71,1)),""))</f>
        <v/>
      </c>
      <c r="C1282">
        <f>IF(A1282="","",DATE(YEAR(A1282),12,31)-DATE(YEAR(A1282),1,1)+1)</f>
        <v/>
      </c>
      <c r="D1282">
        <f>IF(A1282="","",Ввод!$B$4-SUMIF(Оплаты!$A$6:$A$505,"&lt;"&amp;A1282,Оплаты!$B$6:$B$505))</f>
        <v/>
      </c>
      <c r="E1282">
        <f>IF(A1282="","",IF(SUMPRODUCT((Ввод!$F$12:$F$31&lt;&gt;"")*(Ввод!$F$12:$F$31&lt;=A1282)*(Ввод!$G$12:$G$31&gt;=A1282))&gt;0,1,0))</f>
        <v/>
      </c>
      <c r="F1282">
        <f>IF(OR(A1282="",B1282=""),"",IF(E1282=1,0,D1282*B1282/100/C1282))</f>
        <v/>
      </c>
      <c r="G1282">
        <f>IF(A1282="","",IF(OR(B1282&lt;&gt;B1281,C1282&lt;&gt;C1281,D1282&lt;&gt;D1281,E1282&lt;&gt;E1281),G1281+1,G1281))</f>
        <v/>
      </c>
    </row>
    <row r="1283">
      <c r="A1283" s="14">
        <f>IF(OR(NOT(ISNUMBER(Ввод!$B$5)),NOT(ISNUMBER(Ввод!$B$6))),"",IF(Ввод!$B$5+1281&gt;Ввод!$B$6,"",Ввод!$B$5+1281))</f>
        <v/>
      </c>
      <c r="B1283">
        <f>IF(A1283="","",IFERROR(INDEX(Ввод!$B$12:$B$71,MATCH(A1283,Ввод!$D$12:$D$71,1)),""))</f>
        <v/>
      </c>
      <c r="C1283">
        <f>IF(A1283="","",DATE(YEAR(A1283),12,31)-DATE(YEAR(A1283),1,1)+1)</f>
        <v/>
      </c>
      <c r="D1283">
        <f>IF(A1283="","",Ввод!$B$4-SUMIF(Оплаты!$A$6:$A$505,"&lt;"&amp;A1283,Оплаты!$B$6:$B$505))</f>
        <v/>
      </c>
      <c r="E1283">
        <f>IF(A1283="","",IF(SUMPRODUCT((Ввод!$F$12:$F$31&lt;&gt;"")*(Ввод!$F$12:$F$31&lt;=A1283)*(Ввод!$G$12:$G$31&gt;=A1283))&gt;0,1,0))</f>
        <v/>
      </c>
      <c r="F1283">
        <f>IF(OR(A1283="",B1283=""),"",IF(E1283=1,0,D1283*B1283/100/C1283))</f>
        <v/>
      </c>
      <c r="G1283">
        <f>IF(A1283="","",IF(OR(B1283&lt;&gt;B1282,C1283&lt;&gt;C1282,D1283&lt;&gt;D1282,E1283&lt;&gt;E1282),G1282+1,G1282))</f>
        <v/>
      </c>
    </row>
    <row r="1284">
      <c r="A1284" s="14">
        <f>IF(OR(NOT(ISNUMBER(Ввод!$B$5)),NOT(ISNUMBER(Ввод!$B$6))),"",IF(Ввод!$B$5+1282&gt;Ввод!$B$6,"",Ввод!$B$5+1282))</f>
        <v/>
      </c>
      <c r="B1284">
        <f>IF(A1284="","",IFERROR(INDEX(Ввод!$B$12:$B$71,MATCH(A1284,Ввод!$D$12:$D$71,1)),""))</f>
        <v/>
      </c>
      <c r="C1284">
        <f>IF(A1284="","",DATE(YEAR(A1284),12,31)-DATE(YEAR(A1284),1,1)+1)</f>
        <v/>
      </c>
      <c r="D1284">
        <f>IF(A1284="","",Ввод!$B$4-SUMIF(Оплаты!$A$6:$A$505,"&lt;"&amp;A1284,Оплаты!$B$6:$B$505))</f>
        <v/>
      </c>
      <c r="E1284">
        <f>IF(A1284="","",IF(SUMPRODUCT((Ввод!$F$12:$F$31&lt;&gt;"")*(Ввод!$F$12:$F$31&lt;=A1284)*(Ввод!$G$12:$G$31&gt;=A1284))&gt;0,1,0))</f>
        <v/>
      </c>
      <c r="F1284">
        <f>IF(OR(A1284="",B1284=""),"",IF(E1284=1,0,D1284*B1284/100/C1284))</f>
        <v/>
      </c>
      <c r="G1284">
        <f>IF(A1284="","",IF(OR(B1284&lt;&gt;B1283,C1284&lt;&gt;C1283,D1284&lt;&gt;D1283,E1284&lt;&gt;E1283),G1283+1,G1283))</f>
        <v/>
      </c>
    </row>
    <row r="1285">
      <c r="A1285" s="14">
        <f>IF(OR(NOT(ISNUMBER(Ввод!$B$5)),NOT(ISNUMBER(Ввод!$B$6))),"",IF(Ввод!$B$5+1283&gt;Ввод!$B$6,"",Ввод!$B$5+1283))</f>
        <v/>
      </c>
      <c r="B1285">
        <f>IF(A1285="","",IFERROR(INDEX(Ввод!$B$12:$B$71,MATCH(A1285,Ввод!$D$12:$D$71,1)),""))</f>
        <v/>
      </c>
      <c r="C1285">
        <f>IF(A1285="","",DATE(YEAR(A1285),12,31)-DATE(YEAR(A1285),1,1)+1)</f>
        <v/>
      </c>
      <c r="D1285">
        <f>IF(A1285="","",Ввод!$B$4-SUMIF(Оплаты!$A$6:$A$505,"&lt;"&amp;A1285,Оплаты!$B$6:$B$505))</f>
        <v/>
      </c>
      <c r="E1285">
        <f>IF(A1285="","",IF(SUMPRODUCT((Ввод!$F$12:$F$31&lt;&gt;"")*(Ввод!$F$12:$F$31&lt;=A1285)*(Ввод!$G$12:$G$31&gt;=A1285))&gt;0,1,0))</f>
        <v/>
      </c>
      <c r="F1285">
        <f>IF(OR(A1285="",B1285=""),"",IF(E1285=1,0,D1285*B1285/100/C1285))</f>
        <v/>
      </c>
      <c r="G1285">
        <f>IF(A1285="","",IF(OR(B1285&lt;&gt;B1284,C1285&lt;&gt;C1284,D1285&lt;&gt;D1284,E1285&lt;&gt;E1284),G1284+1,G1284))</f>
        <v/>
      </c>
    </row>
    <row r="1286">
      <c r="A1286" s="14">
        <f>IF(OR(NOT(ISNUMBER(Ввод!$B$5)),NOT(ISNUMBER(Ввод!$B$6))),"",IF(Ввод!$B$5+1284&gt;Ввод!$B$6,"",Ввод!$B$5+1284))</f>
        <v/>
      </c>
      <c r="B1286">
        <f>IF(A1286="","",IFERROR(INDEX(Ввод!$B$12:$B$71,MATCH(A1286,Ввод!$D$12:$D$71,1)),""))</f>
        <v/>
      </c>
      <c r="C1286">
        <f>IF(A1286="","",DATE(YEAR(A1286),12,31)-DATE(YEAR(A1286),1,1)+1)</f>
        <v/>
      </c>
      <c r="D1286">
        <f>IF(A1286="","",Ввод!$B$4-SUMIF(Оплаты!$A$6:$A$505,"&lt;"&amp;A1286,Оплаты!$B$6:$B$505))</f>
        <v/>
      </c>
      <c r="E1286">
        <f>IF(A1286="","",IF(SUMPRODUCT((Ввод!$F$12:$F$31&lt;&gt;"")*(Ввод!$F$12:$F$31&lt;=A1286)*(Ввод!$G$12:$G$31&gt;=A1286))&gt;0,1,0))</f>
        <v/>
      </c>
      <c r="F1286">
        <f>IF(OR(A1286="",B1286=""),"",IF(E1286=1,0,D1286*B1286/100/C1286))</f>
        <v/>
      </c>
      <c r="G1286">
        <f>IF(A1286="","",IF(OR(B1286&lt;&gt;B1285,C1286&lt;&gt;C1285,D1286&lt;&gt;D1285,E1286&lt;&gt;E1285),G1285+1,G1285))</f>
        <v/>
      </c>
    </row>
    <row r="1287">
      <c r="A1287" s="14">
        <f>IF(OR(NOT(ISNUMBER(Ввод!$B$5)),NOT(ISNUMBER(Ввод!$B$6))),"",IF(Ввод!$B$5+1285&gt;Ввод!$B$6,"",Ввод!$B$5+1285))</f>
        <v/>
      </c>
      <c r="B1287">
        <f>IF(A1287="","",IFERROR(INDEX(Ввод!$B$12:$B$71,MATCH(A1287,Ввод!$D$12:$D$71,1)),""))</f>
        <v/>
      </c>
      <c r="C1287">
        <f>IF(A1287="","",DATE(YEAR(A1287),12,31)-DATE(YEAR(A1287),1,1)+1)</f>
        <v/>
      </c>
      <c r="D1287">
        <f>IF(A1287="","",Ввод!$B$4-SUMIF(Оплаты!$A$6:$A$505,"&lt;"&amp;A1287,Оплаты!$B$6:$B$505))</f>
        <v/>
      </c>
      <c r="E1287">
        <f>IF(A1287="","",IF(SUMPRODUCT((Ввод!$F$12:$F$31&lt;&gt;"")*(Ввод!$F$12:$F$31&lt;=A1287)*(Ввод!$G$12:$G$31&gt;=A1287))&gt;0,1,0))</f>
        <v/>
      </c>
      <c r="F1287">
        <f>IF(OR(A1287="",B1287=""),"",IF(E1287=1,0,D1287*B1287/100/C1287))</f>
        <v/>
      </c>
      <c r="G1287">
        <f>IF(A1287="","",IF(OR(B1287&lt;&gt;B1286,C1287&lt;&gt;C1286,D1287&lt;&gt;D1286,E1287&lt;&gt;E1286),G1286+1,G1286))</f>
        <v/>
      </c>
    </row>
    <row r="1288">
      <c r="A1288" s="14">
        <f>IF(OR(NOT(ISNUMBER(Ввод!$B$5)),NOT(ISNUMBER(Ввод!$B$6))),"",IF(Ввод!$B$5+1286&gt;Ввод!$B$6,"",Ввод!$B$5+1286))</f>
        <v/>
      </c>
      <c r="B1288">
        <f>IF(A1288="","",IFERROR(INDEX(Ввод!$B$12:$B$71,MATCH(A1288,Ввод!$D$12:$D$71,1)),""))</f>
        <v/>
      </c>
      <c r="C1288">
        <f>IF(A1288="","",DATE(YEAR(A1288),12,31)-DATE(YEAR(A1288),1,1)+1)</f>
        <v/>
      </c>
      <c r="D1288">
        <f>IF(A1288="","",Ввод!$B$4-SUMIF(Оплаты!$A$6:$A$505,"&lt;"&amp;A1288,Оплаты!$B$6:$B$505))</f>
        <v/>
      </c>
      <c r="E1288">
        <f>IF(A1288="","",IF(SUMPRODUCT((Ввод!$F$12:$F$31&lt;&gt;"")*(Ввод!$F$12:$F$31&lt;=A1288)*(Ввод!$G$12:$G$31&gt;=A1288))&gt;0,1,0))</f>
        <v/>
      </c>
      <c r="F1288">
        <f>IF(OR(A1288="",B1288=""),"",IF(E1288=1,0,D1288*B1288/100/C1288))</f>
        <v/>
      </c>
      <c r="G1288">
        <f>IF(A1288="","",IF(OR(B1288&lt;&gt;B1287,C1288&lt;&gt;C1287,D1288&lt;&gt;D1287,E1288&lt;&gt;E1287),G1287+1,G1287))</f>
        <v/>
      </c>
    </row>
    <row r="1289">
      <c r="A1289" s="14">
        <f>IF(OR(NOT(ISNUMBER(Ввод!$B$5)),NOT(ISNUMBER(Ввод!$B$6))),"",IF(Ввод!$B$5+1287&gt;Ввод!$B$6,"",Ввод!$B$5+1287))</f>
        <v/>
      </c>
      <c r="B1289">
        <f>IF(A1289="","",IFERROR(INDEX(Ввод!$B$12:$B$71,MATCH(A1289,Ввод!$D$12:$D$71,1)),""))</f>
        <v/>
      </c>
      <c r="C1289">
        <f>IF(A1289="","",DATE(YEAR(A1289),12,31)-DATE(YEAR(A1289),1,1)+1)</f>
        <v/>
      </c>
      <c r="D1289">
        <f>IF(A1289="","",Ввод!$B$4-SUMIF(Оплаты!$A$6:$A$505,"&lt;"&amp;A1289,Оплаты!$B$6:$B$505))</f>
        <v/>
      </c>
      <c r="E1289">
        <f>IF(A1289="","",IF(SUMPRODUCT((Ввод!$F$12:$F$31&lt;&gt;"")*(Ввод!$F$12:$F$31&lt;=A1289)*(Ввод!$G$12:$G$31&gt;=A1289))&gt;0,1,0))</f>
        <v/>
      </c>
      <c r="F1289">
        <f>IF(OR(A1289="",B1289=""),"",IF(E1289=1,0,D1289*B1289/100/C1289))</f>
        <v/>
      </c>
      <c r="G1289">
        <f>IF(A1289="","",IF(OR(B1289&lt;&gt;B1288,C1289&lt;&gt;C1288,D1289&lt;&gt;D1288,E1289&lt;&gt;E1288),G1288+1,G1288))</f>
        <v/>
      </c>
    </row>
    <row r="1290">
      <c r="A1290" s="14">
        <f>IF(OR(NOT(ISNUMBER(Ввод!$B$5)),NOT(ISNUMBER(Ввод!$B$6))),"",IF(Ввод!$B$5+1288&gt;Ввод!$B$6,"",Ввод!$B$5+1288))</f>
        <v/>
      </c>
      <c r="B1290">
        <f>IF(A1290="","",IFERROR(INDEX(Ввод!$B$12:$B$71,MATCH(A1290,Ввод!$D$12:$D$71,1)),""))</f>
        <v/>
      </c>
      <c r="C1290">
        <f>IF(A1290="","",DATE(YEAR(A1290),12,31)-DATE(YEAR(A1290),1,1)+1)</f>
        <v/>
      </c>
      <c r="D1290">
        <f>IF(A1290="","",Ввод!$B$4-SUMIF(Оплаты!$A$6:$A$505,"&lt;"&amp;A1290,Оплаты!$B$6:$B$505))</f>
        <v/>
      </c>
      <c r="E1290">
        <f>IF(A1290="","",IF(SUMPRODUCT((Ввод!$F$12:$F$31&lt;&gt;"")*(Ввод!$F$12:$F$31&lt;=A1290)*(Ввод!$G$12:$G$31&gt;=A1290))&gt;0,1,0))</f>
        <v/>
      </c>
      <c r="F1290">
        <f>IF(OR(A1290="",B1290=""),"",IF(E1290=1,0,D1290*B1290/100/C1290))</f>
        <v/>
      </c>
      <c r="G1290">
        <f>IF(A1290="","",IF(OR(B1290&lt;&gt;B1289,C1290&lt;&gt;C1289,D1290&lt;&gt;D1289,E1290&lt;&gt;E1289),G1289+1,G1289))</f>
        <v/>
      </c>
    </row>
    <row r="1291">
      <c r="A1291" s="14">
        <f>IF(OR(NOT(ISNUMBER(Ввод!$B$5)),NOT(ISNUMBER(Ввод!$B$6))),"",IF(Ввод!$B$5+1289&gt;Ввод!$B$6,"",Ввод!$B$5+1289))</f>
        <v/>
      </c>
      <c r="B1291">
        <f>IF(A1291="","",IFERROR(INDEX(Ввод!$B$12:$B$71,MATCH(A1291,Ввод!$D$12:$D$71,1)),""))</f>
        <v/>
      </c>
      <c r="C1291">
        <f>IF(A1291="","",DATE(YEAR(A1291),12,31)-DATE(YEAR(A1291),1,1)+1)</f>
        <v/>
      </c>
      <c r="D1291">
        <f>IF(A1291="","",Ввод!$B$4-SUMIF(Оплаты!$A$6:$A$505,"&lt;"&amp;A1291,Оплаты!$B$6:$B$505))</f>
        <v/>
      </c>
      <c r="E1291">
        <f>IF(A1291="","",IF(SUMPRODUCT((Ввод!$F$12:$F$31&lt;&gt;"")*(Ввод!$F$12:$F$31&lt;=A1291)*(Ввод!$G$12:$G$31&gt;=A1291))&gt;0,1,0))</f>
        <v/>
      </c>
      <c r="F1291">
        <f>IF(OR(A1291="",B1291=""),"",IF(E1291=1,0,D1291*B1291/100/C1291))</f>
        <v/>
      </c>
      <c r="G1291">
        <f>IF(A1291="","",IF(OR(B1291&lt;&gt;B1290,C1291&lt;&gt;C1290,D1291&lt;&gt;D1290,E1291&lt;&gt;E1290),G1290+1,G1290))</f>
        <v/>
      </c>
    </row>
    <row r="1292">
      <c r="A1292" s="14">
        <f>IF(OR(NOT(ISNUMBER(Ввод!$B$5)),NOT(ISNUMBER(Ввод!$B$6))),"",IF(Ввод!$B$5+1290&gt;Ввод!$B$6,"",Ввод!$B$5+1290))</f>
        <v/>
      </c>
      <c r="B1292">
        <f>IF(A1292="","",IFERROR(INDEX(Ввод!$B$12:$B$71,MATCH(A1292,Ввод!$D$12:$D$71,1)),""))</f>
        <v/>
      </c>
      <c r="C1292">
        <f>IF(A1292="","",DATE(YEAR(A1292),12,31)-DATE(YEAR(A1292),1,1)+1)</f>
        <v/>
      </c>
      <c r="D1292">
        <f>IF(A1292="","",Ввод!$B$4-SUMIF(Оплаты!$A$6:$A$505,"&lt;"&amp;A1292,Оплаты!$B$6:$B$505))</f>
        <v/>
      </c>
      <c r="E1292">
        <f>IF(A1292="","",IF(SUMPRODUCT((Ввод!$F$12:$F$31&lt;&gt;"")*(Ввод!$F$12:$F$31&lt;=A1292)*(Ввод!$G$12:$G$31&gt;=A1292))&gt;0,1,0))</f>
        <v/>
      </c>
      <c r="F1292">
        <f>IF(OR(A1292="",B1292=""),"",IF(E1292=1,0,D1292*B1292/100/C1292))</f>
        <v/>
      </c>
      <c r="G1292">
        <f>IF(A1292="","",IF(OR(B1292&lt;&gt;B1291,C1292&lt;&gt;C1291,D1292&lt;&gt;D1291,E1292&lt;&gt;E1291),G1291+1,G1291))</f>
        <v/>
      </c>
    </row>
    <row r="1293">
      <c r="A1293" s="14">
        <f>IF(OR(NOT(ISNUMBER(Ввод!$B$5)),NOT(ISNUMBER(Ввод!$B$6))),"",IF(Ввод!$B$5+1291&gt;Ввод!$B$6,"",Ввод!$B$5+1291))</f>
        <v/>
      </c>
      <c r="B1293">
        <f>IF(A1293="","",IFERROR(INDEX(Ввод!$B$12:$B$71,MATCH(A1293,Ввод!$D$12:$D$71,1)),""))</f>
        <v/>
      </c>
      <c r="C1293">
        <f>IF(A1293="","",DATE(YEAR(A1293),12,31)-DATE(YEAR(A1293),1,1)+1)</f>
        <v/>
      </c>
      <c r="D1293">
        <f>IF(A1293="","",Ввод!$B$4-SUMIF(Оплаты!$A$6:$A$505,"&lt;"&amp;A1293,Оплаты!$B$6:$B$505))</f>
        <v/>
      </c>
      <c r="E1293">
        <f>IF(A1293="","",IF(SUMPRODUCT((Ввод!$F$12:$F$31&lt;&gt;"")*(Ввод!$F$12:$F$31&lt;=A1293)*(Ввод!$G$12:$G$31&gt;=A1293))&gt;0,1,0))</f>
        <v/>
      </c>
      <c r="F1293">
        <f>IF(OR(A1293="",B1293=""),"",IF(E1293=1,0,D1293*B1293/100/C1293))</f>
        <v/>
      </c>
      <c r="G1293">
        <f>IF(A1293="","",IF(OR(B1293&lt;&gt;B1292,C1293&lt;&gt;C1292,D1293&lt;&gt;D1292,E1293&lt;&gt;E1292),G1292+1,G1292))</f>
        <v/>
      </c>
    </row>
    <row r="1294">
      <c r="A1294" s="14">
        <f>IF(OR(NOT(ISNUMBER(Ввод!$B$5)),NOT(ISNUMBER(Ввод!$B$6))),"",IF(Ввод!$B$5+1292&gt;Ввод!$B$6,"",Ввод!$B$5+1292))</f>
        <v/>
      </c>
      <c r="B1294">
        <f>IF(A1294="","",IFERROR(INDEX(Ввод!$B$12:$B$71,MATCH(A1294,Ввод!$D$12:$D$71,1)),""))</f>
        <v/>
      </c>
      <c r="C1294">
        <f>IF(A1294="","",DATE(YEAR(A1294),12,31)-DATE(YEAR(A1294),1,1)+1)</f>
        <v/>
      </c>
      <c r="D1294">
        <f>IF(A1294="","",Ввод!$B$4-SUMIF(Оплаты!$A$6:$A$505,"&lt;"&amp;A1294,Оплаты!$B$6:$B$505))</f>
        <v/>
      </c>
      <c r="E1294">
        <f>IF(A1294="","",IF(SUMPRODUCT((Ввод!$F$12:$F$31&lt;&gt;"")*(Ввод!$F$12:$F$31&lt;=A1294)*(Ввод!$G$12:$G$31&gt;=A1294))&gt;0,1,0))</f>
        <v/>
      </c>
      <c r="F1294">
        <f>IF(OR(A1294="",B1294=""),"",IF(E1294=1,0,D1294*B1294/100/C1294))</f>
        <v/>
      </c>
      <c r="G1294">
        <f>IF(A1294="","",IF(OR(B1294&lt;&gt;B1293,C1294&lt;&gt;C1293,D1294&lt;&gt;D1293,E1294&lt;&gt;E1293),G1293+1,G1293))</f>
        <v/>
      </c>
    </row>
    <row r="1295">
      <c r="A1295" s="14">
        <f>IF(OR(NOT(ISNUMBER(Ввод!$B$5)),NOT(ISNUMBER(Ввод!$B$6))),"",IF(Ввод!$B$5+1293&gt;Ввод!$B$6,"",Ввод!$B$5+1293))</f>
        <v/>
      </c>
      <c r="B1295">
        <f>IF(A1295="","",IFERROR(INDEX(Ввод!$B$12:$B$71,MATCH(A1295,Ввод!$D$12:$D$71,1)),""))</f>
        <v/>
      </c>
      <c r="C1295">
        <f>IF(A1295="","",DATE(YEAR(A1295),12,31)-DATE(YEAR(A1295),1,1)+1)</f>
        <v/>
      </c>
      <c r="D1295">
        <f>IF(A1295="","",Ввод!$B$4-SUMIF(Оплаты!$A$6:$A$505,"&lt;"&amp;A1295,Оплаты!$B$6:$B$505))</f>
        <v/>
      </c>
      <c r="E1295">
        <f>IF(A1295="","",IF(SUMPRODUCT((Ввод!$F$12:$F$31&lt;&gt;"")*(Ввод!$F$12:$F$31&lt;=A1295)*(Ввод!$G$12:$G$31&gt;=A1295))&gt;0,1,0))</f>
        <v/>
      </c>
      <c r="F1295">
        <f>IF(OR(A1295="",B1295=""),"",IF(E1295=1,0,D1295*B1295/100/C1295))</f>
        <v/>
      </c>
      <c r="G1295">
        <f>IF(A1295="","",IF(OR(B1295&lt;&gt;B1294,C1295&lt;&gt;C1294,D1295&lt;&gt;D1294,E1295&lt;&gt;E1294),G1294+1,G1294))</f>
        <v/>
      </c>
    </row>
    <row r="1296">
      <c r="A1296" s="14">
        <f>IF(OR(NOT(ISNUMBER(Ввод!$B$5)),NOT(ISNUMBER(Ввод!$B$6))),"",IF(Ввод!$B$5+1294&gt;Ввод!$B$6,"",Ввод!$B$5+1294))</f>
        <v/>
      </c>
      <c r="B1296">
        <f>IF(A1296="","",IFERROR(INDEX(Ввод!$B$12:$B$71,MATCH(A1296,Ввод!$D$12:$D$71,1)),""))</f>
        <v/>
      </c>
      <c r="C1296">
        <f>IF(A1296="","",DATE(YEAR(A1296),12,31)-DATE(YEAR(A1296),1,1)+1)</f>
        <v/>
      </c>
      <c r="D1296">
        <f>IF(A1296="","",Ввод!$B$4-SUMIF(Оплаты!$A$6:$A$505,"&lt;"&amp;A1296,Оплаты!$B$6:$B$505))</f>
        <v/>
      </c>
      <c r="E1296">
        <f>IF(A1296="","",IF(SUMPRODUCT((Ввод!$F$12:$F$31&lt;&gt;"")*(Ввод!$F$12:$F$31&lt;=A1296)*(Ввод!$G$12:$G$31&gt;=A1296))&gt;0,1,0))</f>
        <v/>
      </c>
      <c r="F1296">
        <f>IF(OR(A1296="",B1296=""),"",IF(E1296=1,0,D1296*B1296/100/C1296))</f>
        <v/>
      </c>
      <c r="G1296">
        <f>IF(A1296="","",IF(OR(B1296&lt;&gt;B1295,C1296&lt;&gt;C1295,D1296&lt;&gt;D1295,E1296&lt;&gt;E1295),G1295+1,G1295))</f>
        <v/>
      </c>
    </row>
    <row r="1297">
      <c r="A1297" s="14">
        <f>IF(OR(NOT(ISNUMBER(Ввод!$B$5)),NOT(ISNUMBER(Ввод!$B$6))),"",IF(Ввод!$B$5+1295&gt;Ввод!$B$6,"",Ввод!$B$5+1295))</f>
        <v/>
      </c>
      <c r="B1297">
        <f>IF(A1297="","",IFERROR(INDEX(Ввод!$B$12:$B$71,MATCH(A1297,Ввод!$D$12:$D$71,1)),""))</f>
        <v/>
      </c>
      <c r="C1297">
        <f>IF(A1297="","",DATE(YEAR(A1297),12,31)-DATE(YEAR(A1297),1,1)+1)</f>
        <v/>
      </c>
      <c r="D1297">
        <f>IF(A1297="","",Ввод!$B$4-SUMIF(Оплаты!$A$6:$A$505,"&lt;"&amp;A1297,Оплаты!$B$6:$B$505))</f>
        <v/>
      </c>
      <c r="E1297">
        <f>IF(A1297="","",IF(SUMPRODUCT((Ввод!$F$12:$F$31&lt;&gt;"")*(Ввод!$F$12:$F$31&lt;=A1297)*(Ввод!$G$12:$G$31&gt;=A1297))&gt;0,1,0))</f>
        <v/>
      </c>
      <c r="F1297">
        <f>IF(OR(A1297="",B1297=""),"",IF(E1297=1,0,D1297*B1297/100/C1297))</f>
        <v/>
      </c>
      <c r="G1297">
        <f>IF(A1297="","",IF(OR(B1297&lt;&gt;B1296,C1297&lt;&gt;C1296,D1297&lt;&gt;D1296,E1297&lt;&gt;E1296),G1296+1,G1296))</f>
        <v/>
      </c>
    </row>
    <row r="1298">
      <c r="A1298" s="14">
        <f>IF(OR(NOT(ISNUMBER(Ввод!$B$5)),NOT(ISNUMBER(Ввод!$B$6))),"",IF(Ввод!$B$5+1296&gt;Ввод!$B$6,"",Ввод!$B$5+1296))</f>
        <v/>
      </c>
      <c r="B1298">
        <f>IF(A1298="","",IFERROR(INDEX(Ввод!$B$12:$B$71,MATCH(A1298,Ввод!$D$12:$D$71,1)),""))</f>
        <v/>
      </c>
      <c r="C1298">
        <f>IF(A1298="","",DATE(YEAR(A1298),12,31)-DATE(YEAR(A1298),1,1)+1)</f>
        <v/>
      </c>
      <c r="D1298">
        <f>IF(A1298="","",Ввод!$B$4-SUMIF(Оплаты!$A$6:$A$505,"&lt;"&amp;A1298,Оплаты!$B$6:$B$505))</f>
        <v/>
      </c>
      <c r="E1298">
        <f>IF(A1298="","",IF(SUMPRODUCT((Ввод!$F$12:$F$31&lt;&gt;"")*(Ввод!$F$12:$F$31&lt;=A1298)*(Ввод!$G$12:$G$31&gt;=A1298))&gt;0,1,0))</f>
        <v/>
      </c>
      <c r="F1298">
        <f>IF(OR(A1298="",B1298=""),"",IF(E1298=1,0,D1298*B1298/100/C1298))</f>
        <v/>
      </c>
      <c r="G1298">
        <f>IF(A1298="","",IF(OR(B1298&lt;&gt;B1297,C1298&lt;&gt;C1297,D1298&lt;&gt;D1297,E1298&lt;&gt;E1297),G1297+1,G1297))</f>
        <v/>
      </c>
    </row>
    <row r="1299">
      <c r="A1299" s="14">
        <f>IF(OR(NOT(ISNUMBER(Ввод!$B$5)),NOT(ISNUMBER(Ввод!$B$6))),"",IF(Ввод!$B$5+1297&gt;Ввод!$B$6,"",Ввод!$B$5+1297))</f>
        <v/>
      </c>
      <c r="B1299">
        <f>IF(A1299="","",IFERROR(INDEX(Ввод!$B$12:$B$71,MATCH(A1299,Ввод!$D$12:$D$71,1)),""))</f>
        <v/>
      </c>
      <c r="C1299">
        <f>IF(A1299="","",DATE(YEAR(A1299),12,31)-DATE(YEAR(A1299),1,1)+1)</f>
        <v/>
      </c>
      <c r="D1299">
        <f>IF(A1299="","",Ввод!$B$4-SUMIF(Оплаты!$A$6:$A$505,"&lt;"&amp;A1299,Оплаты!$B$6:$B$505))</f>
        <v/>
      </c>
      <c r="E1299">
        <f>IF(A1299="","",IF(SUMPRODUCT((Ввод!$F$12:$F$31&lt;&gt;"")*(Ввод!$F$12:$F$31&lt;=A1299)*(Ввод!$G$12:$G$31&gt;=A1299))&gt;0,1,0))</f>
        <v/>
      </c>
      <c r="F1299">
        <f>IF(OR(A1299="",B1299=""),"",IF(E1299=1,0,D1299*B1299/100/C1299))</f>
        <v/>
      </c>
      <c r="G1299">
        <f>IF(A1299="","",IF(OR(B1299&lt;&gt;B1298,C1299&lt;&gt;C1298,D1299&lt;&gt;D1298,E1299&lt;&gt;E1298),G1298+1,G1298))</f>
        <v/>
      </c>
    </row>
    <row r="1300">
      <c r="A1300" s="14">
        <f>IF(OR(NOT(ISNUMBER(Ввод!$B$5)),NOT(ISNUMBER(Ввод!$B$6))),"",IF(Ввод!$B$5+1298&gt;Ввод!$B$6,"",Ввод!$B$5+1298))</f>
        <v/>
      </c>
      <c r="B1300">
        <f>IF(A1300="","",IFERROR(INDEX(Ввод!$B$12:$B$71,MATCH(A1300,Ввод!$D$12:$D$71,1)),""))</f>
        <v/>
      </c>
      <c r="C1300">
        <f>IF(A1300="","",DATE(YEAR(A1300),12,31)-DATE(YEAR(A1300),1,1)+1)</f>
        <v/>
      </c>
      <c r="D1300">
        <f>IF(A1300="","",Ввод!$B$4-SUMIF(Оплаты!$A$6:$A$505,"&lt;"&amp;A1300,Оплаты!$B$6:$B$505))</f>
        <v/>
      </c>
      <c r="E1300">
        <f>IF(A1300="","",IF(SUMPRODUCT((Ввод!$F$12:$F$31&lt;&gt;"")*(Ввод!$F$12:$F$31&lt;=A1300)*(Ввод!$G$12:$G$31&gt;=A1300))&gt;0,1,0))</f>
        <v/>
      </c>
      <c r="F1300">
        <f>IF(OR(A1300="",B1300=""),"",IF(E1300=1,0,D1300*B1300/100/C1300))</f>
        <v/>
      </c>
      <c r="G1300">
        <f>IF(A1300="","",IF(OR(B1300&lt;&gt;B1299,C1300&lt;&gt;C1299,D1300&lt;&gt;D1299,E1300&lt;&gt;E1299),G1299+1,G1299))</f>
        <v/>
      </c>
    </row>
    <row r="1301">
      <c r="A1301" s="14">
        <f>IF(OR(NOT(ISNUMBER(Ввод!$B$5)),NOT(ISNUMBER(Ввод!$B$6))),"",IF(Ввод!$B$5+1299&gt;Ввод!$B$6,"",Ввод!$B$5+1299))</f>
        <v/>
      </c>
      <c r="B1301">
        <f>IF(A1301="","",IFERROR(INDEX(Ввод!$B$12:$B$71,MATCH(A1301,Ввод!$D$12:$D$71,1)),""))</f>
        <v/>
      </c>
      <c r="C1301">
        <f>IF(A1301="","",DATE(YEAR(A1301),12,31)-DATE(YEAR(A1301),1,1)+1)</f>
        <v/>
      </c>
      <c r="D1301">
        <f>IF(A1301="","",Ввод!$B$4-SUMIF(Оплаты!$A$6:$A$505,"&lt;"&amp;A1301,Оплаты!$B$6:$B$505))</f>
        <v/>
      </c>
      <c r="E1301">
        <f>IF(A1301="","",IF(SUMPRODUCT((Ввод!$F$12:$F$31&lt;&gt;"")*(Ввод!$F$12:$F$31&lt;=A1301)*(Ввод!$G$12:$G$31&gt;=A1301))&gt;0,1,0))</f>
        <v/>
      </c>
      <c r="F1301">
        <f>IF(OR(A1301="",B1301=""),"",IF(E1301=1,0,D1301*B1301/100/C1301))</f>
        <v/>
      </c>
      <c r="G1301">
        <f>IF(A1301="","",IF(OR(B1301&lt;&gt;B1300,C1301&lt;&gt;C1300,D1301&lt;&gt;D1300,E1301&lt;&gt;E1300),G1300+1,G1300))</f>
        <v/>
      </c>
    </row>
    <row r="1302">
      <c r="A1302" s="14">
        <f>IF(OR(NOT(ISNUMBER(Ввод!$B$5)),NOT(ISNUMBER(Ввод!$B$6))),"",IF(Ввод!$B$5+1300&gt;Ввод!$B$6,"",Ввод!$B$5+1300))</f>
        <v/>
      </c>
      <c r="B1302">
        <f>IF(A1302="","",IFERROR(INDEX(Ввод!$B$12:$B$71,MATCH(A1302,Ввод!$D$12:$D$71,1)),""))</f>
        <v/>
      </c>
      <c r="C1302">
        <f>IF(A1302="","",DATE(YEAR(A1302),12,31)-DATE(YEAR(A1302),1,1)+1)</f>
        <v/>
      </c>
      <c r="D1302">
        <f>IF(A1302="","",Ввод!$B$4-SUMIF(Оплаты!$A$6:$A$505,"&lt;"&amp;A1302,Оплаты!$B$6:$B$505))</f>
        <v/>
      </c>
      <c r="E1302">
        <f>IF(A1302="","",IF(SUMPRODUCT((Ввод!$F$12:$F$31&lt;&gt;"")*(Ввод!$F$12:$F$31&lt;=A1302)*(Ввод!$G$12:$G$31&gt;=A1302))&gt;0,1,0))</f>
        <v/>
      </c>
      <c r="F1302">
        <f>IF(OR(A1302="",B1302=""),"",IF(E1302=1,0,D1302*B1302/100/C1302))</f>
        <v/>
      </c>
      <c r="G1302">
        <f>IF(A1302="","",IF(OR(B1302&lt;&gt;B1301,C1302&lt;&gt;C1301,D1302&lt;&gt;D1301,E1302&lt;&gt;E1301),G1301+1,G1301))</f>
        <v/>
      </c>
    </row>
    <row r="1303">
      <c r="A1303" s="14">
        <f>IF(OR(NOT(ISNUMBER(Ввод!$B$5)),NOT(ISNUMBER(Ввод!$B$6))),"",IF(Ввод!$B$5+1301&gt;Ввод!$B$6,"",Ввод!$B$5+1301))</f>
        <v/>
      </c>
      <c r="B1303">
        <f>IF(A1303="","",IFERROR(INDEX(Ввод!$B$12:$B$71,MATCH(A1303,Ввод!$D$12:$D$71,1)),""))</f>
        <v/>
      </c>
      <c r="C1303">
        <f>IF(A1303="","",DATE(YEAR(A1303),12,31)-DATE(YEAR(A1303),1,1)+1)</f>
        <v/>
      </c>
      <c r="D1303">
        <f>IF(A1303="","",Ввод!$B$4-SUMIF(Оплаты!$A$6:$A$505,"&lt;"&amp;A1303,Оплаты!$B$6:$B$505))</f>
        <v/>
      </c>
      <c r="E1303">
        <f>IF(A1303="","",IF(SUMPRODUCT((Ввод!$F$12:$F$31&lt;&gt;"")*(Ввод!$F$12:$F$31&lt;=A1303)*(Ввод!$G$12:$G$31&gt;=A1303))&gt;0,1,0))</f>
        <v/>
      </c>
      <c r="F1303">
        <f>IF(OR(A1303="",B1303=""),"",IF(E1303=1,0,D1303*B1303/100/C1303))</f>
        <v/>
      </c>
      <c r="G1303">
        <f>IF(A1303="","",IF(OR(B1303&lt;&gt;B1302,C1303&lt;&gt;C1302,D1303&lt;&gt;D1302,E1303&lt;&gt;E1302),G1302+1,G1302))</f>
        <v/>
      </c>
    </row>
    <row r="1304">
      <c r="A1304" s="14">
        <f>IF(OR(NOT(ISNUMBER(Ввод!$B$5)),NOT(ISNUMBER(Ввод!$B$6))),"",IF(Ввод!$B$5+1302&gt;Ввод!$B$6,"",Ввод!$B$5+1302))</f>
        <v/>
      </c>
      <c r="B1304">
        <f>IF(A1304="","",IFERROR(INDEX(Ввод!$B$12:$B$71,MATCH(A1304,Ввод!$D$12:$D$71,1)),""))</f>
        <v/>
      </c>
      <c r="C1304">
        <f>IF(A1304="","",DATE(YEAR(A1304),12,31)-DATE(YEAR(A1304),1,1)+1)</f>
        <v/>
      </c>
      <c r="D1304">
        <f>IF(A1304="","",Ввод!$B$4-SUMIF(Оплаты!$A$6:$A$505,"&lt;"&amp;A1304,Оплаты!$B$6:$B$505))</f>
        <v/>
      </c>
      <c r="E1304">
        <f>IF(A1304="","",IF(SUMPRODUCT((Ввод!$F$12:$F$31&lt;&gt;"")*(Ввод!$F$12:$F$31&lt;=A1304)*(Ввод!$G$12:$G$31&gt;=A1304))&gt;0,1,0))</f>
        <v/>
      </c>
      <c r="F1304">
        <f>IF(OR(A1304="",B1304=""),"",IF(E1304=1,0,D1304*B1304/100/C1304))</f>
        <v/>
      </c>
      <c r="G1304">
        <f>IF(A1304="","",IF(OR(B1304&lt;&gt;B1303,C1304&lt;&gt;C1303,D1304&lt;&gt;D1303,E1304&lt;&gt;E1303),G1303+1,G1303))</f>
        <v/>
      </c>
    </row>
    <row r="1305">
      <c r="A1305" s="14">
        <f>IF(OR(NOT(ISNUMBER(Ввод!$B$5)),NOT(ISNUMBER(Ввод!$B$6))),"",IF(Ввод!$B$5+1303&gt;Ввод!$B$6,"",Ввод!$B$5+1303))</f>
        <v/>
      </c>
      <c r="B1305">
        <f>IF(A1305="","",IFERROR(INDEX(Ввод!$B$12:$B$71,MATCH(A1305,Ввод!$D$12:$D$71,1)),""))</f>
        <v/>
      </c>
      <c r="C1305">
        <f>IF(A1305="","",DATE(YEAR(A1305),12,31)-DATE(YEAR(A1305),1,1)+1)</f>
        <v/>
      </c>
      <c r="D1305">
        <f>IF(A1305="","",Ввод!$B$4-SUMIF(Оплаты!$A$6:$A$505,"&lt;"&amp;A1305,Оплаты!$B$6:$B$505))</f>
        <v/>
      </c>
      <c r="E1305">
        <f>IF(A1305="","",IF(SUMPRODUCT((Ввод!$F$12:$F$31&lt;&gt;"")*(Ввод!$F$12:$F$31&lt;=A1305)*(Ввод!$G$12:$G$31&gt;=A1305))&gt;0,1,0))</f>
        <v/>
      </c>
      <c r="F1305">
        <f>IF(OR(A1305="",B1305=""),"",IF(E1305=1,0,D1305*B1305/100/C1305))</f>
        <v/>
      </c>
      <c r="G1305">
        <f>IF(A1305="","",IF(OR(B1305&lt;&gt;B1304,C1305&lt;&gt;C1304,D1305&lt;&gt;D1304,E1305&lt;&gt;E1304),G1304+1,G1304))</f>
        <v/>
      </c>
    </row>
    <row r="1306">
      <c r="A1306" s="14">
        <f>IF(OR(NOT(ISNUMBER(Ввод!$B$5)),NOT(ISNUMBER(Ввод!$B$6))),"",IF(Ввод!$B$5+1304&gt;Ввод!$B$6,"",Ввод!$B$5+1304))</f>
        <v/>
      </c>
      <c r="B1306">
        <f>IF(A1306="","",IFERROR(INDEX(Ввод!$B$12:$B$71,MATCH(A1306,Ввод!$D$12:$D$71,1)),""))</f>
        <v/>
      </c>
      <c r="C1306">
        <f>IF(A1306="","",DATE(YEAR(A1306),12,31)-DATE(YEAR(A1306),1,1)+1)</f>
        <v/>
      </c>
      <c r="D1306">
        <f>IF(A1306="","",Ввод!$B$4-SUMIF(Оплаты!$A$6:$A$505,"&lt;"&amp;A1306,Оплаты!$B$6:$B$505))</f>
        <v/>
      </c>
      <c r="E1306">
        <f>IF(A1306="","",IF(SUMPRODUCT((Ввод!$F$12:$F$31&lt;&gt;"")*(Ввод!$F$12:$F$31&lt;=A1306)*(Ввод!$G$12:$G$31&gt;=A1306))&gt;0,1,0))</f>
        <v/>
      </c>
      <c r="F1306">
        <f>IF(OR(A1306="",B1306=""),"",IF(E1306=1,0,D1306*B1306/100/C1306))</f>
        <v/>
      </c>
      <c r="G1306">
        <f>IF(A1306="","",IF(OR(B1306&lt;&gt;B1305,C1306&lt;&gt;C1305,D1306&lt;&gt;D1305,E1306&lt;&gt;E1305),G1305+1,G1305))</f>
        <v/>
      </c>
    </row>
    <row r="1307">
      <c r="A1307" s="14">
        <f>IF(OR(NOT(ISNUMBER(Ввод!$B$5)),NOT(ISNUMBER(Ввод!$B$6))),"",IF(Ввод!$B$5+1305&gt;Ввод!$B$6,"",Ввод!$B$5+1305))</f>
        <v/>
      </c>
      <c r="B1307">
        <f>IF(A1307="","",IFERROR(INDEX(Ввод!$B$12:$B$71,MATCH(A1307,Ввод!$D$12:$D$71,1)),""))</f>
        <v/>
      </c>
      <c r="C1307">
        <f>IF(A1307="","",DATE(YEAR(A1307),12,31)-DATE(YEAR(A1307),1,1)+1)</f>
        <v/>
      </c>
      <c r="D1307">
        <f>IF(A1307="","",Ввод!$B$4-SUMIF(Оплаты!$A$6:$A$505,"&lt;"&amp;A1307,Оплаты!$B$6:$B$505))</f>
        <v/>
      </c>
      <c r="E1307">
        <f>IF(A1307="","",IF(SUMPRODUCT((Ввод!$F$12:$F$31&lt;&gt;"")*(Ввод!$F$12:$F$31&lt;=A1307)*(Ввод!$G$12:$G$31&gt;=A1307))&gt;0,1,0))</f>
        <v/>
      </c>
      <c r="F1307">
        <f>IF(OR(A1307="",B1307=""),"",IF(E1307=1,0,D1307*B1307/100/C1307))</f>
        <v/>
      </c>
      <c r="G1307">
        <f>IF(A1307="","",IF(OR(B1307&lt;&gt;B1306,C1307&lt;&gt;C1306,D1307&lt;&gt;D1306,E1307&lt;&gt;E1306),G1306+1,G1306))</f>
        <v/>
      </c>
    </row>
    <row r="1308">
      <c r="A1308" s="14">
        <f>IF(OR(NOT(ISNUMBER(Ввод!$B$5)),NOT(ISNUMBER(Ввод!$B$6))),"",IF(Ввод!$B$5+1306&gt;Ввод!$B$6,"",Ввод!$B$5+1306))</f>
        <v/>
      </c>
      <c r="B1308">
        <f>IF(A1308="","",IFERROR(INDEX(Ввод!$B$12:$B$71,MATCH(A1308,Ввод!$D$12:$D$71,1)),""))</f>
        <v/>
      </c>
      <c r="C1308">
        <f>IF(A1308="","",DATE(YEAR(A1308),12,31)-DATE(YEAR(A1308),1,1)+1)</f>
        <v/>
      </c>
      <c r="D1308">
        <f>IF(A1308="","",Ввод!$B$4-SUMIF(Оплаты!$A$6:$A$505,"&lt;"&amp;A1308,Оплаты!$B$6:$B$505))</f>
        <v/>
      </c>
      <c r="E1308">
        <f>IF(A1308="","",IF(SUMPRODUCT((Ввод!$F$12:$F$31&lt;&gt;"")*(Ввод!$F$12:$F$31&lt;=A1308)*(Ввод!$G$12:$G$31&gt;=A1308))&gt;0,1,0))</f>
        <v/>
      </c>
      <c r="F1308">
        <f>IF(OR(A1308="",B1308=""),"",IF(E1308=1,0,D1308*B1308/100/C1308))</f>
        <v/>
      </c>
      <c r="G1308">
        <f>IF(A1308="","",IF(OR(B1308&lt;&gt;B1307,C1308&lt;&gt;C1307,D1308&lt;&gt;D1307,E1308&lt;&gt;E1307),G1307+1,G1307))</f>
        <v/>
      </c>
    </row>
    <row r="1309">
      <c r="A1309" s="14">
        <f>IF(OR(NOT(ISNUMBER(Ввод!$B$5)),NOT(ISNUMBER(Ввод!$B$6))),"",IF(Ввод!$B$5+1307&gt;Ввод!$B$6,"",Ввод!$B$5+1307))</f>
        <v/>
      </c>
      <c r="B1309">
        <f>IF(A1309="","",IFERROR(INDEX(Ввод!$B$12:$B$71,MATCH(A1309,Ввод!$D$12:$D$71,1)),""))</f>
        <v/>
      </c>
      <c r="C1309">
        <f>IF(A1309="","",DATE(YEAR(A1309),12,31)-DATE(YEAR(A1309),1,1)+1)</f>
        <v/>
      </c>
      <c r="D1309">
        <f>IF(A1309="","",Ввод!$B$4-SUMIF(Оплаты!$A$6:$A$505,"&lt;"&amp;A1309,Оплаты!$B$6:$B$505))</f>
        <v/>
      </c>
      <c r="E1309">
        <f>IF(A1309="","",IF(SUMPRODUCT((Ввод!$F$12:$F$31&lt;&gt;"")*(Ввод!$F$12:$F$31&lt;=A1309)*(Ввод!$G$12:$G$31&gt;=A1309))&gt;0,1,0))</f>
        <v/>
      </c>
      <c r="F1309">
        <f>IF(OR(A1309="",B1309=""),"",IF(E1309=1,0,D1309*B1309/100/C1309))</f>
        <v/>
      </c>
      <c r="G1309">
        <f>IF(A1309="","",IF(OR(B1309&lt;&gt;B1308,C1309&lt;&gt;C1308,D1309&lt;&gt;D1308,E1309&lt;&gt;E1308),G1308+1,G1308))</f>
        <v/>
      </c>
    </row>
    <row r="1310">
      <c r="A1310" s="14">
        <f>IF(OR(NOT(ISNUMBER(Ввод!$B$5)),NOT(ISNUMBER(Ввод!$B$6))),"",IF(Ввод!$B$5+1308&gt;Ввод!$B$6,"",Ввод!$B$5+1308))</f>
        <v/>
      </c>
      <c r="B1310">
        <f>IF(A1310="","",IFERROR(INDEX(Ввод!$B$12:$B$71,MATCH(A1310,Ввод!$D$12:$D$71,1)),""))</f>
        <v/>
      </c>
      <c r="C1310">
        <f>IF(A1310="","",DATE(YEAR(A1310),12,31)-DATE(YEAR(A1310),1,1)+1)</f>
        <v/>
      </c>
      <c r="D1310">
        <f>IF(A1310="","",Ввод!$B$4-SUMIF(Оплаты!$A$6:$A$505,"&lt;"&amp;A1310,Оплаты!$B$6:$B$505))</f>
        <v/>
      </c>
      <c r="E1310">
        <f>IF(A1310="","",IF(SUMPRODUCT((Ввод!$F$12:$F$31&lt;&gt;"")*(Ввод!$F$12:$F$31&lt;=A1310)*(Ввод!$G$12:$G$31&gt;=A1310))&gt;0,1,0))</f>
        <v/>
      </c>
      <c r="F1310">
        <f>IF(OR(A1310="",B1310=""),"",IF(E1310=1,0,D1310*B1310/100/C1310))</f>
        <v/>
      </c>
      <c r="G1310">
        <f>IF(A1310="","",IF(OR(B1310&lt;&gt;B1309,C1310&lt;&gt;C1309,D1310&lt;&gt;D1309,E1310&lt;&gt;E1309),G1309+1,G1309))</f>
        <v/>
      </c>
    </row>
    <row r="1311">
      <c r="A1311" s="14">
        <f>IF(OR(NOT(ISNUMBER(Ввод!$B$5)),NOT(ISNUMBER(Ввод!$B$6))),"",IF(Ввод!$B$5+1309&gt;Ввод!$B$6,"",Ввод!$B$5+1309))</f>
        <v/>
      </c>
      <c r="B1311">
        <f>IF(A1311="","",IFERROR(INDEX(Ввод!$B$12:$B$71,MATCH(A1311,Ввод!$D$12:$D$71,1)),""))</f>
        <v/>
      </c>
      <c r="C1311">
        <f>IF(A1311="","",DATE(YEAR(A1311),12,31)-DATE(YEAR(A1311),1,1)+1)</f>
        <v/>
      </c>
      <c r="D1311">
        <f>IF(A1311="","",Ввод!$B$4-SUMIF(Оплаты!$A$6:$A$505,"&lt;"&amp;A1311,Оплаты!$B$6:$B$505))</f>
        <v/>
      </c>
      <c r="E1311">
        <f>IF(A1311="","",IF(SUMPRODUCT((Ввод!$F$12:$F$31&lt;&gt;"")*(Ввод!$F$12:$F$31&lt;=A1311)*(Ввод!$G$12:$G$31&gt;=A1311))&gt;0,1,0))</f>
        <v/>
      </c>
      <c r="F1311">
        <f>IF(OR(A1311="",B1311=""),"",IF(E1311=1,0,D1311*B1311/100/C1311))</f>
        <v/>
      </c>
      <c r="G1311">
        <f>IF(A1311="","",IF(OR(B1311&lt;&gt;B1310,C1311&lt;&gt;C1310,D1311&lt;&gt;D1310,E1311&lt;&gt;E1310),G1310+1,G1310))</f>
        <v/>
      </c>
    </row>
    <row r="1312">
      <c r="A1312" s="14">
        <f>IF(OR(NOT(ISNUMBER(Ввод!$B$5)),NOT(ISNUMBER(Ввод!$B$6))),"",IF(Ввод!$B$5+1310&gt;Ввод!$B$6,"",Ввод!$B$5+1310))</f>
        <v/>
      </c>
      <c r="B1312">
        <f>IF(A1312="","",IFERROR(INDEX(Ввод!$B$12:$B$71,MATCH(A1312,Ввод!$D$12:$D$71,1)),""))</f>
        <v/>
      </c>
      <c r="C1312">
        <f>IF(A1312="","",DATE(YEAR(A1312),12,31)-DATE(YEAR(A1312),1,1)+1)</f>
        <v/>
      </c>
      <c r="D1312">
        <f>IF(A1312="","",Ввод!$B$4-SUMIF(Оплаты!$A$6:$A$505,"&lt;"&amp;A1312,Оплаты!$B$6:$B$505))</f>
        <v/>
      </c>
      <c r="E1312">
        <f>IF(A1312="","",IF(SUMPRODUCT((Ввод!$F$12:$F$31&lt;&gt;"")*(Ввод!$F$12:$F$31&lt;=A1312)*(Ввод!$G$12:$G$31&gt;=A1312))&gt;0,1,0))</f>
        <v/>
      </c>
      <c r="F1312">
        <f>IF(OR(A1312="",B1312=""),"",IF(E1312=1,0,D1312*B1312/100/C1312))</f>
        <v/>
      </c>
      <c r="G1312">
        <f>IF(A1312="","",IF(OR(B1312&lt;&gt;B1311,C1312&lt;&gt;C1311,D1312&lt;&gt;D1311,E1312&lt;&gt;E1311),G1311+1,G1311))</f>
        <v/>
      </c>
    </row>
    <row r="1313">
      <c r="A1313" s="14">
        <f>IF(OR(NOT(ISNUMBER(Ввод!$B$5)),NOT(ISNUMBER(Ввод!$B$6))),"",IF(Ввод!$B$5+1311&gt;Ввод!$B$6,"",Ввод!$B$5+1311))</f>
        <v/>
      </c>
      <c r="B1313">
        <f>IF(A1313="","",IFERROR(INDEX(Ввод!$B$12:$B$71,MATCH(A1313,Ввод!$D$12:$D$71,1)),""))</f>
        <v/>
      </c>
      <c r="C1313">
        <f>IF(A1313="","",DATE(YEAR(A1313),12,31)-DATE(YEAR(A1313),1,1)+1)</f>
        <v/>
      </c>
      <c r="D1313">
        <f>IF(A1313="","",Ввод!$B$4-SUMIF(Оплаты!$A$6:$A$505,"&lt;"&amp;A1313,Оплаты!$B$6:$B$505))</f>
        <v/>
      </c>
      <c r="E1313">
        <f>IF(A1313="","",IF(SUMPRODUCT((Ввод!$F$12:$F$31&lt;&gt;"")*(Ввод!$F$12:$F$31&lt;=A1313)*(Ввод!$G$12:$G$31&gt;=A1313))&gt;0,1,0))</f>
        <v/>
      </c>
      <c r="F1313">
        <f>IF(OR(A1313="",B1313=""),"",IF(E1313=1,0,D1313*B1313/100/C1313))</f>
        <v/>
      </c>
      <c r="G1313">
        <f>IF(A1313="","",IF(OR(B1313&lt;&gt;B1312,C1313&lt;&gt;C1312,D1313&lt;&gt;D1312,E1313&lt;&gt;E1312),G1312+1,G1312))</f>
        <v/>
      </c>
    </row>
    <row r="1314">
      <c r="A1314" s="14">
        <f>IF(OR(NOT(ISNUMBER(Ввод!$B$5)),NOT(ISNUMBER(Ввод!$B$6))),"",IF(Ввод!$B$5+1312&gt;Ввод!$B$6,"",Ввод!$B$5+1312))</f>
        <v/>
      </c>
      <c r="B1314">
        <f>IF(A1314="","",IFERROR(INDEX(Ввод!$B$12:$B$71,MATCH(A1314,Ввод!$D$12:$D$71,1)),""))</f>
        <v/>
      </c>
      <c r="C1314">
        <f>IF(A1314="","",DATE(YEAR(A1314),12,31)-DATE(YEAR(A1314),1,1)+1)</f>
        <v/>
      </c>
      <c r="D1314">
        <f>IF(A1314="","",Ввод!$B$4-SUMIF(Оплаты!$A$6:$A$505,"&lt;"&amp;A1314,Оплаты!$B$6:$B$505))</f>
        <v/>
      </c>
      <c r="E1314">
        <f>IF(A1314="","",IF(SUMPRODUCT((Ввод!$F$12:$F$31&lt;&gt;"")*(Ввод!$F$12:$F$31&lt;=A1314)*(Ввод!$G$12:$G$31&gt;=A1314))&gt;0,1,0))</f>
        <v/>
      </c>
      <c r="F1314">
        <f>IF(OR(A1314="",B1314=""),"",IF(E1314=1,0,D1314*B1314/100/C1314))</f>
        <v/>
      </c>
      <c r="G1314">
        <f>IF(A1314="","",IF(OR(B1314&lt;&gt;B1313,C1314&lt;&gt;C1313,D1314&lt;&gt;D1313,E1314&lt;&gt;E1313),G1313+1,G1313))</f>
        <v/>
      </c>
    </row>
    <row r="1315">
      <c r="A1315" s="14">
        <f>IF(OR(NOT(ISNUMBER(Ввод!$B$5)),NOT(ISNUMBER(Ввод!$B$6))),"",IF(Ввод!$B$5+1313&gt;Ввод!$B$6,"",Ввод!$B$5+1313))</f>
        <v/>
      </c>
      <c r="B1315">
        <f>IF(A1315="","",IFERROR(INDEX(Ввод!$B$12:$B$71,MATCH(A1315,Ввод!$D$12:$D$71,1)),""))</f>
        <v/>
      </c>
      <c r="C1315">
        <f>IF(A1315="","",DATE(YEAR(A1315),12,31)-DATE(YEAR(A1315),1,1)+1)</f>
        <v/>
      </c>
      <c r="D1315">
        <f>IF(A1315="","",Ввод!$B$4-SUMIF(Оплаты!$A$6:$A$505,"&lt;"&amp;A1315,Оплаты!$B$6:$B$505))</f>
        <v/>
      </c>
      <c r="E1315">
        <f>IF(A1315="","",IF(SUMPRODUCT((Ввод!$F$12:$F$31&lt;&gt;"")*(Ввод!$F$12:$F$31&lt;=A1315)*(Ввод!$G$12:$G$31&gt;=A1315))&gt;0,1,0))</f>
        <v/>
      </c>
      <c r="F1315">
        <f>IF(OR(A1315="",B1315=""),"",IF(E1315=1,0,D1315*B1315/100/C1315))</f>
        <v/>
      </c>
      <c r="G1315">
        <f>IF(A1315="","",IF(OR(B1315&lt;&gt;B1314,C1315&lt;&gt;C1314,D1315&lt;&gt;D1314,E1315&lt;&gt;E1314),G1314+1,G1314))</f>
        <v/>
      </c>
    </row>
    <row r="1316">
      <c r="A1316" s="14">
        <f>IF(OR(NOT(ISNUMBER(Ввод!$B$5)),NOT(ISNUMBER(Ввод!$B$6))),"",IF(Ввод!$B$5+1314&gt;Ввод!$B$6,"",Ввод!$B$5+1314))</f>
        <v/>
      </c>
      <c r="B1316">
        <f>IF(A1316="","",IFERROR(INDEX(Ввод!$B$12:$B$71,MATCH(A1316,Ввод!$D$12:$D$71,1)),""))</f>
        <v/>
      </c>
      <c r="C1316">
        <f>IF(A1316="","",DATE(YEAR(A1316),12,31)-DATE(YEAR(A1316),1,1)+1)</f>
        <v/>
      </c>
      <c r="D1316">
        <f>IF(A1316="","",Ввод!$B$4-SUMIF(Оплаты!$A$6:$A$505,"&lt;"&amp;A1316,Оплаты!$B$6:$B$505))</f>
        <v/>
      </c>
      <c r="E1316">
        <f>IF(A1316="","",IF(SUMPRODUCT((Ввод!$F$12:$F$31&lt;&gt;"")*(Ввод!$F$12:$F$31&lt;=A1316)*(Ввод!$G$12:$G$31&gt;=A1316))&gt;0,1,0))</f>
        <v/>
      </c>
      <c r="F1316">
        <f>IF(OR(A1316="",B1316=""),"",IF(E1316=1,0,D1316*B1316/100/C1316))</f>
        <v/>
      </c>
      <c r="G1316">
        <f>IF(A1316="","",IF(OR(B1316&lt;&gt;B1315,C1316&lt;&gt;C1315,D1316&lt;&gt;D1315,E1316&lt;&gt;E1315),G1315+1,G1315))</f>
        <v/>
      </c>
    </row>
    <row r="1317">
      <c r="A1317" s="14">
        <f>IF(OR(NOT(ISNUMBER(Ввод!$B$5)),NOT(ISNUMBER(Ввод!$B$6))),"",IF(Ввод!$B$5+1315&gt;Ввод!$B$6,"",Ввод!$B$5+1315))</f>
        <v/>
      </c>
      <c r="B1317">
        <f>IF(A1317="","",IFERROR(INDEX(Ввод!$B$12:$B$71,MATCH(A1317,Ввод!$D$12:$D$71,1)),""))</f>
        <v/>
      </c>
      <c r="C1317">
        <f>IF(A1317="","",DATE(YEAR(A1317),12,31)-DATE(YEAR(A1317),1,1)+1)</f>
        <v/>
      </c>
      <c r="D1317">
        <f>IF(A1317="","",Ввод!$B$4-SUMIF(Оплаты!$A$6:$A$505,"&lt;"&amp;A1317,Оплаты!$B$6:$B$505))</f>
        <v/>
      </c>
      <c r="E1317">
        <f>IF(A1317="","",IF(SUMPRODUCT((Ввод!$F$12:$F$31&lt;&gt;"")*(Ввод!$F$12:$F$31&lt;=A1317)*(Ввод!$G$12:$G$31&gt;=A1317))&gt;0,1,0))</f>
        <v/>
      </c>
      <c r="F1317">
        <f>IF(OR(A1317="",B1317=""),"",IF(E1317=1,0,D1317*B1317/100/C1317))</f>
        <v/>
      </c>
      <c r="G1317">
        <f>IF(A1317="","",IF(OR(B1317&lt;&gt;B1316,C1317&lt;&gt;C1316,D1317&lt;&gt;D1316,E1317&lt;&gt;E1316),G1316+1,G1316))</f>
        <v/>
      </c>
    </row>
    <row r="1318">
      <c r="A1318" s="14">
        <f>IF(OR(NOT(ISNUMBER(Ввод!$B$5)),NOT(ISNUMBER(Ввод!$B$6))),"",IF(Ввод!$B$5+1316&gt;Ввод!$B$6,"",Ввод!$B$5+1316))</f>
        <v/>
      </c>
      <c r="B1318">
        <f>IF(A1318="","",IFERROR(INDEX(Ввод!$B$12:$B$71,MATCH(A1318,Ввод!$D$12:$D$71,1)),""))</f>
        <v/>
      </c>
      <c r="C1318">
        <f>IF(A1318="","",DATE(YEAR(A1318),12,31)-DATE(YEAR(A1318),1,1)+1)</f>
        <v/>
      </c>
      <c r="D1318">
        <f>IF(A1318="","",Ввод!$B$4-SUMIF(Оплаты!$A$6:$A$505,"&lt;"&amp;A1318,Оплаты!$B$6:$B$505))</f>
        <v/>
      </c>
      <c r="E1318">
        <f>IF(A1318="","",IF(SUMPRODUCT((Ввод!$F$12:$F$31&lt;&gt;"")*(Ввод!$F$12:$F$31&lt;=A1318)*(Ввод!$G$12:$G$31&gt;=A1318))&gt;0,1,0))</f>
        <v/>
      </c>
      <c r="F1318">
        <f>IF(OR(A1318="",B1318=""),"",IF(E1318=1,0,D1318*B1318/100/C1318))</f>
        <v/>
      </c>
      <c r="G1318">
        <f>IF(A1318="","",IF(OR(B1318&lt;&gt;B1317,C1318&lt;&gt;C1317,D1318&lt;&gt;D1317,E1318&lt;&gt;E1317),G1317+1,G1317))</f>
        <v/>
      </c>
    </row>
    <row r="1319">
      <c r="A1319" s="14">
        <f>IF(OR(NOT(ISNUMBER(Ввод!$B$5)),NOT(ISNUMBER(Ввод!$B$6))),"",IF(Ввод!$B$5+1317&gt;Ввод!$B$6,"",Ввод!$B$5+1317))</f>
        <v/>
      </c>
      <c r="B1319">
        <f>IF(A1319="","",IFERROR(INDEX(Ввод!$B$12:$B$71,MATCH(A1319,Ввод!$D$12:$D$71,1)),""))</f>
        <v/>
      </c>
      <c r="C1319">
        <f>IF(A1319="","",DATE(YEAR(A1319),12,31)-DATE(YEAR(A1319),1,1)+1)</f>
        <v/>
      </c>
      <c r="D1319">
        <f>IF(A1319="","",Ввод!$B$4-SUMIF(Оплаты!$A$6:$A$505,"&lt;"&amp;A1319,Оплаты!$B$6:$B$505))</f>
        <v/>
      </c>
      <c r="E1319">
        <f>IF(A1319="","",IF(SUMPRODUCT((Ввод!$F$12:$F$31&lt;&gt;"")*(Ввод!$F$12:$F$31&lt;=A1319)*(Ввод!$G$12:$G$31&gt;=A1319))&gt;0,1,0))</f>
        <v/>
      </c>
      <c r="F1319">
        <f>IF(OR(A1319="",B1319=""),"",IF(E1319=1,0,D1319*B1319/100/C1319))</f>
        <v/>
      </c>
      <c r="G1319">
        <f>IF(A1319="","",IF(OR(B1319&lt;&gt;B1318,C1319&lt;&gt;C1318,D1319&lt;&gt;D1318,E1319&lt;&gt;E1318),G1318+1,G1318))</f>
        <v/>
      </c>
    </row>
    <row r="1320">
      <c r="A1320" s="14">
        <f>IF(OR(NOT(ISNUMBER(Ввод!$B$5)),NOT(ISNUMBER(Ввод!$B$6))),"",IF(Ввод!$B$5+1318&gt;Ввод!$B$6,"",Ввод!$B$5+1318))</f>
        <v/>
      </c>
      <c r="B1320">
        <f>IF(A1320="","",IFERROR(INDEX(Ввод!$B$12:$B$71,MATCH(A1320,Ввод!$D$12:$D$71,1)),""))</f>
        <v/>
      </c>
      <c r="C1320">
        <f>IF(A1320="","",DATE(YEAR(A1320),12,31)-DATE(YEAR(A1320),1,1)+1)</f>
        <v/>
      </c>
      <c r="D1320">
        <f>IF(A1320="","",Ввод!$B$4-SUMIF(Оплаты!$A$6:$A$505,"&lt;"&amp;A1320,Оплаты!$B$6:$B$505))</f>
        <v/>
      </c>
      <c r="E1320">
        <f>IF(A1320="","",IF(SUMPRODUCT((Ввод!$F$12:$F$31&lt;&gt;"")*(Ввод!$F$12:$F$31&lt;=A1320)*(Ввод!$G$12:$G$31&gt;=A1320))&gt;0,1,0))</f>
        <v/>
      </c>
      <c r="F1320">
        <f>IF(OR(A1320="",B1320=""),"",IF(E1320=1,0,D1320*B1320/100/C1320))</f>
        <v/>
      </c>
      <c r="G1320">
        <f>IF(A1320="","",IF(OR(B1320&lt;&gt;B1319,C1320&lt;&gt;C1319,D1320&lt;&gt;D1319,E1320&lt;&gt;E1319),G1319+1,G1319))</f>
        <v/>
      </c>
    </row>
    <row r="1321">
      <c r="A1321" s="14">
        <f>IF(OR(NOT(ISNUMBER(Ввод!$B$5)),NOT(ISNUMBER(Ввод!$B$6))),"",IF(Ввод!$B$5+1319&gt;Ввод!$B$6,"",Ввод!$B$5+1319))</f>
        <v/>
      </c>
      <c r="B1321">
        <f>IF(A1321="","",IFERROR(INDEX(Ввод!$B$12:$B$71,MATCH(A1321,Ввод!$D$12:$D$71,1)),""))</f>
        <v/>
      </c>
      <c r="C1321">
        <f>IF(A1321="","",DATE(YEAR(A1321),12,31)-DATE(YEAR(A1321),1,1)+1)</f>
        <v/>
      </c>
      <c r="D1321">
        <f>IF(A1321="","",Ввод!$B$4-SUMIF(Оплаты!$A$6:$A$505,"&lt;"&amp;A1321,Оплаты!$B$6:$B$505))</f>
        <v/>
      </c>
      <c r="E1321">
        <f>IF(A1321="","",IF(SUMPRODUCT((Ввод!$F$12:$F$31&lt;&gt;"")*(Ввод!$F$12:$F$31&lt;=A1321)*(Ввод!$G$12:$G$31&gt;=A1321))&gt;0,1,0))</f>
        <v/>
      </c>
      <c r="F1321">
        <f>IF(OR(A1321="",B1321=""),"",IF(E1321=1,0,D1321*B1321/100/C1321))</f>
        <v/>
      </c>
      <c r="G1321">
        <f>IF(A1321="","",IF(OR(B1321&lt;&gt;B1320,C1321&lt;&gt;C1320,D1321&lt;&gt;D1320,E1321&lt;&gt;E1320),G1320+1,G1320))</f>
        <v/>
      </c>
    </row>
    <row r="1322">
      <c r="A1322" s="14">
        <f>IF(OR(NOT(ISNUMBER(Ввод!$B$5)),NOT(ISNUMBER(Ввод!$B$6))),"",IF(Ввод!$B$5+1320&gt;Ввод!$B$6,"",Ввод!$B$5+1320))</f>
        <v/>
      </c>
      <c r="B1322">
        <f>IF(A1322="","",IFERROR(INDEX(Ввод!$B$12:$B$71,MATCH(A1322,Ввод!$D$12:$D$71,1)),""))</f>
        <v/>
      </c>
      <c r="C1322">
        <f>IF(A1322="","",DATE(YEAR(A1322),12,31)-DATE(YEAR(A1322),1,1)+1)</f>
        <v/>
      </c>
      <c r="D1322">
        <f>IF(A1322="","",Ввод!$B$4-SUMIF(Оплаты!$A$6:$A$505,"&lt;"&amp;A1322,Оплаты!$B$6:$B$505))</f>
        <v/>
      </c>
      <c r="E1322">
        <f>IF(A1322="","",IF(SUMPRODUCT((Ввод!$F$12:$F$31&lt;&gt;"")*(Ввод!$F$12:$F$31&lt;=A1322)*(Ввод!$G$12:$G$31&gt;=A1322))&gt;0,1,0))</f>
        <v/>
      </c>
      <c r="F1322">
        <f>IF(OR(A1322="",B1322=""),"",IF(E1322=1,0,D1322*B1322/100/C1322))</f>
        <v/>
      </c>
      <c r="G1322">
        <f>IF(A1322="","",IF(OR(B1322&lt;&gt;B1321,C1322&lt;&gt;C1321,D1322&lt;&gt;D1321,E1322&lt;&gt;E1321),G1321+1,G1321))</f>
        <v/>
      </c>
    </row>
    <row r="1323">
      <c r="A1323" s="14">
        <f>IF(OR(NOT(ISNUMBER(Ввод!$B$5)),NOT(ISNUMBER(Ввод!$B$6))),"",IF(Ввод!$B$5+1321&gt;Ввод!$B$6,"",Ввод!$B$5+1321))</f>
        <v/>
      </c>
      <c r="B1323">
        <f>IF(A1323="","",IFERROR(INDEX(Ввод!$B$12:$B$71,MATCH(A1323,Ввод!$D$12:$D$71,1)),""))</f>
        <v/>
      </c>
      <c r="C1323">
        <f>IF(A1323="","",DATE(YEAR(A1323),12,31)-DATE(YEAR(A1323),1,1)+1)</f>
        <v/>
      </c>
      <c r="D1323">
        <f>IF(A1323="","",Ввод!$B$4-SUMIF(Оплаты!$A$6:$A$505,"&lt;"&amp;A1323,Оплаты!$B$6:$B$505))</f>
        <v/>
      </c>
      <c r="E1323">
        <f>IF(A1323="","",IF(SUMPRODUCT((Ввод!$F$12:$F$31&lt;&gt;"")*(Ввод!$F$12:$F$31&lt;=A1323)*(Ввод!$G$12:$G$31&gt;=A1323))&gt;0,1,0))</f>
        <v/>
      </c>
      <c r="F1323">
        <f>IF(OR(A1323="",B1323=""),"",IF(E1323=1,0,D1323*B1323/100/C1323))</f>
        <v/>
      </c>
      <c r="G1323">
        <f>IF(A1323="","",IF(OR(B1323&lt;&gt;B1322,C1323&lt;&gt;C1322,D1323&lt;&gt;D1322,E1323&lt;&gt;E1322),G1322+1,G1322))</f>
        <v/>
      </c>
    </row>
    <row r="1324">
      <c r="A1324" s="14">
        <f>IF(OR(NOT(ISNUMBER(Ввод!$B$5)),NOT(ISNUMBER(Ввод!$B$6))),"",IF(Ввод!$B$5+1322&gt;Ввод!$B$6,"",Ввод!$B$5+1322))</f>
        <v/>
      </c>
      <c r="B1324">
        <f>IF(A1324="","",IFERROR(INDEX(Ввод!$B$12:$B$71,MATCH(A1324,Ввод!$D$12:$D$71,1)),""))</f>
        <v/>
      </c>
      <c r="C1324">
        <f>IF(A1324="","",DATE(YEAR(A1324),12,31)-DATE(YEAR(A1324),1,1)+1)</f>
        <v/>
      </c>
      <c r="D1324">
        <f>IF(A1324="","",Ввод!$B$4-SUMIF(Оплаты!$A$6:$A$505,"&lt;"&amp;A1324,Оплаты!$B$6:$B$505))</f>
        <v/>
      </c>
      <c r="E1324">
        <f>IF(A1324="","",IF(SUMPRODUCT((Ввод!$F$12:$F$31&lt;&gt;"")*(Ввод!$F$12:$F$31&lt;=A1324)*(Ввод!$G$12:$G$31&gt;=A1324))&gt;0,1,0))</f>
        <v/>
      </c>
      <c r="F1324">
        <f>IF(OR(A1324="",B1324=""),"",IF(E1324=1,0,D1324*B1324/100/C1324))</f>
        <v/>
      </c>
      <c r="G1324">
        <f>IF(A1324="","",IF(OR(B1324&lt;&gt;B1323,C1324&lt;&gt;C1323,D1324&lt;&gt;D1323,E1324&lt;&gt;E1323),G1323+1,G1323))</f>
        <v/>
      </c>
    </row>
    <row r="1325">
      <c r="A1325" s="14">
        <f>IF(OR(NOT(ISNUMBER(Ввод!$B$5)),NOT(ISNUMBER(Ввод!$B$6))),"",IF(Ввод!$B$5+1323&gt;Ввод!$B$6,"",Ввод!$B$5+1323))</f>
        <v/>
      </c>
      <c r="B1325">
        <f>IF(A1325="","",IFERROR(INDEX(Ввод!$B$12:$B$71,MATCH(A1325,Ввод!$D$12:$D$71,1)),""))</f>
        <v/>
      </c>
      <c r="C1325">
        <f>IF(A1325="","",DATE(YEAR(A1325),12,31)-DATE(YEAR(A1325),1,1)+1)</f>
        <v/>
      </c>
      <c r="D1325">
        <f>IF(A1325="","",Ввод!$B$4-SUMIF(Оплаты!$A$6:$A$505,"&lt;"&amp;A1325,Оплаты!$B$6:$B$505))</f>
        <v/>
      </c>
      <c r="E1325">
        <f>IF(A1325="","",IF(SUMPRODUCT((Ввод!$F$12:$F$31&lt;&gt;"")*(Ввод!$F$12:$F$31&lt;=A1325)*(Ввод!$G$12:$G$31&gt;=A1325))&gt;0,1,0))</f>
        <v/>
      </c>
      <c r="F1325">
        <f>IF(OR(A1325="",B1325=""),"",IF(E1325=1,0,D1325*B1325/100/C1325))</f>
        <v/>
      </c>
      <c r="G1325">
        <f>IF(A1325="","",IF(OR(B1325&lt;&gt;B1324,C1325&lt;&gt;C1324,D1325&lt;&gt;D1324,E1325&lt;&gt;E1324),G1324+1,G1324))</f>
        <v/>
      </c>
    </row>
    <row r="1326">
      <c r="A1326" s="14">
        <f>IF(OR(NOT(ISNUMBER(Ввод!$B$5)),NOT(ISNUMBER(Ввод!$B$6))),"",IF(Ввод!$B$5+1324&gt;Ввод!$B$6,"",Ввод!$B$5+1324))</f>
        <v/>
      </c>
      <c r="B1326">
        <f>IF(A1326="","",IFERROR(INDEX(Ввод!$B$12:$B$71,MATCH(A1326,Ввод!$D$12:$D$71,1)),""))</f>
        <v/>
      </c>
      <c r="C1326">
        <f>IF(A1326="","",DATE(YEAR(A1326),12,31)-DATE(YEAR(A1326),1,1)+1)</f>
        <v/>
      </c>
      <c r="D1326">
        <f>IF(A1326="","",Ввод!$B$4-SUMIF(Оплаты!$A$6:$A$505,"&lt;"&amp;A1326,Оплаты!$B$6:$B$505))</f>
        <v/>
      </c>
      <c r="E1326">
        <f>IF(A1326="","",IF(SUMPRODUCT((Ввод!$F$12:$F$31&lt;&gt;"")*(Ввод!$F$12:$F$31&lt;=A1326)*(Ввод!$G$12:$G$31&gt;=A1326))&gt;0,1,0))</f>
        <v/>
      </c>
      <c r="F1326">
        <f>IF(OR(A1326="",B1326=""),"",IF(E1326=1,0,D1326*B1326/100/C1326))</f>
        <v/>
      </c>
      <c r="G1326">
        <f>IF(A1326="","",IF(OR(B1326&lt;&gt;B1325,C1326&lt;&gt;C1325,D1326&lt;&gt;D1325,E1326&lt;&gt;E1325),G1325+1,G1325))</f>
        <v/>
      </c>
    </row>
    <row r="1327">
      <c r="A1327" s="14">
        <f>IF(OR(NOT(ISNUMBER(Ввод!$B$5)),NOT(ISNUMBER(Ввод!$B$6))),"",IF(Ввод!$B$5+1325&gt;Ввод!$B$6,"",Ввод!$B$5+1325))</f>
        <v/>
      </c>
      <c r="B1327">
        <f>IF(A1327="","",IFERROR(INDEX(Ввод!$B$12:$B$71,MATCH(A1327,Ввод!$D$12:$D$71,1)),""))</f>
        <v/>
      </c>
      <c r="C1327">
        <f>IF(A1327="","",DATE(YEAR(A1327),12,31)-DATE(YEAR(A1327),1,1)+1)</f>
        <v/>
      </c>
      <c r="D1327">
        <f>IF(A1327="","",Ввод!$B$4-SUMIF(Оплаты!$A$6:$A$505,"&lt;"&amp;A1327,Оплаты!$B$6:$B$505))</f>
        <v/>
      </c>
      <c r="E1327">
        <f>IF(A1327="","",IF(SUMPRODUCT((Ввод!$F$12:$F$31&lt;&gt;"")*(Ввод!$F$12:$F$31&lt;=A1327)*(Ввод!$G$12:$G$31&gt;=A1327))&gt;0,1,0))</f>
        <v/>
      </c>
      <c r="F1327">
        <f>IF(OR(A1327="",B1327=""),"",IF(E1327=1,0,D1327*B1327/100/C1327))</f>
        <v/>
      </c>
      <c r="G1327">
        <f>IF(A1327="","",IF(OR(B1327&lt;&gt;B1326,C1327&lt;&gt;C1326,D1327&lt;&gt;D1326,E1327&lt;&gt;E1326),G1326+1,G1326))</f>
        <v/>
      </c>
    </row>
    <row r="1328">
      <c r="A1328" s="14">
        <f>IF(OR(NOT(ISNUMBER(Ввод!$B$5)),NOT(ISNUMBER(Ввод!$B$6))),"",IF(Ввод!$B$5+1326&gt;Ввод!$B$6,"",Ввод!$B$5+1326))</f>
        <v/>
      </c>
      <c r="B1328">
        <f>IF(A1328="","",IFERROR(INDEX(Ввод!$B$12:$B$71,MATCH(A1328,Ввод!$D$12:$D$71,1)),""))</f>
        <v/>
      </c>
      <c r="C1328">
        <f>IF(A1328="","",DATE(YEAR(A1328),12,31)-DATE(YEAR(A1328),1,1)+1)</f>
        <v/>
      </c>
      <c r="D1328">
        <f>IF(A1328="","",Ввод!$B$4-SUMIF(Оплаты!$A$6:$A$505,"&lt;"&amp;A1328,Оплаты!$B$6:$B$505))</f>
        <v/>
      </c>
      <c r="E1328">
        <f>IF(A1328="","",IF(SUMPRODUCT((Ввод!$F$12:$F$31&lt;&gt;"")*(Ввод!$F$12:$F$31&lt;=A1328)*(Ввод!$G$12:$G$31&gt;=A1328))&gt;0,1,0))</f>
        <v/>
      </c>
      <c r="F1328">
        <f>IF(OR(A1328="",B1328=""),"",IF(E1328=1,0,D1328*B1328/100/C1328))</f>
        <v/>
      </c>
      <c r="G1328">
        <f>IF(A1328="","",IF(OR(B1328&lt;&gt;B1327,C1328&lt;&gt;C1327,D1328&lt;&gt;D1327,E1328&lt;&gt;E1327),G1327+1,G1327))</f>
        <v/>
      </c>
    </row>
    <row r="1329">
      <c r="A1329" s="14">
        <f>IF(OR(NOT(ISNUMBER(Ввод!$B$5)),NOT(ISNUMBER(Ввод!$B$6))),"",IF(Ввод!$B$5+1327&gt;Ввод!$B$6,"",Ввод!$B$5+1327))</f>
        <v/>
      </c>
      <c r="B1329">
        <f>IF(A1329="","",IFERROR(INDEX(Ввод!$B$12:$B$71,MATCH(A1329,Ввод!$D$12:$D$71,1)),""))</f>
        <v/>
      </c>
      <c r="C1329">
        <f>IF(A1329="","",DATE(YEAR(A1329),12,31)-DATE(YEAR(A1329),1,1)+1)</f>
        <v/>
      </c>
      <c r="D1329">
        <f>IF(A1329="","",Ввод!$B$4-SUMIF(Оплаты!$A$6:$A$505,"&lt;"&amp;A1329,Оплаты!$B$6:$B$505))</f>
        <v/>
      </c>
      <c r="E1329">
        <f>IF(A1329="","",IF(SUMPRODUCT((Ввод!$F$12:$F$31&lt;&gt;"")*(Ввод!$F$12:$F$31&lt;=A1329)*(Ввод!$G$12:$G$31&gt;=A1329))&gt;0,1,0))</f>
        <v/>
      </c>
      <c r="F1329">
        <f>IF(OR(A1329="",B1329=""),"",IF(E1329=1,0,D1329*B1329/100/C1329))</f>
        <v/>
      </c>
      <c r="G1329">
        <f>IF(A1329="","",IF(OR(B1329&lt;&gt;B1328,C1329&lt;&gt;C1328,D1329&lt;&gt;D1328,E1329&lt;&gt;E1328),G1328+1,G1328))</f>
        <v/>
      </c>
    </row>
    <row r="1330">
      <c r="A1330" s="14">
        <f>IF(OR(NOT(ISNUMBER(Ввод!$B$5)),NOT(ISNUMBER(Ввод!$B$6))),"",IF(Ввод!$B$5+1328&gt;Ввод!$B$6,"",Ввод!$B$5+1328))</f>
        <v/>
      </c>
      <c r="B1330">
        <f>IF(A1330="","",IFERROR(INDEX(Ввод!$B$12:$B$71,MATCH(A1330,Ввод!$D$12:$D$71,1)),""))</f>
        <v/>
      </c>
      <c r="C1330">
        <f>IF(A1330="","",DATE(YEAR(A1330),12,31)-DATE(YEAR(A1330),1,1)+1)</f>
        <v/>
      </c>
      <c r="D1330">
        <f>IF(A1330="","",Ввод!$B$4-SUMIF(Оплаты!$A$6:$A$505,"&lt;"&amp;A1330,Оплаты!$B$6:$B$505))</f>
        <v/>
      </c>
      <c r="E1330">
        <f>IF(A1330="","",IF(SUMPRODUCT((Ввод!$F$12:$F$31&lt;&gt;"")*(Ввод!$F$12:$F$31&lt;=A1330)*(Ввод!$G$12:$G$31&gt;=A1330))&gt;0,1,0))</f>
        <v/>
      </c>
      <c r="F1330">
        <f>IF(OR(A1330="",B1330=""),"",IF(E1330=1,0,D1330*B1330/100/C1330))</f>
        <v/>
      </c>
      <c r="G1330">
        <f>IF(A1330="","",IF(OR(B1330&lt;&gt;B1329,C1330&lt;&gt;C1329,D1330&lt;&gt;D1329,E1330&lt;&gt;E1329),G1329+1,G1329))</f>
        <v/>
      </c>
    </row>
    <row r="1331">
      <c r="A1331" s="14">
        <f>IF(OR(NOT(ISNUMBER(Ввод!$B$5)),NOT(ISNUMBER(Ввод!$B$6))),"",IF(Ввод!$B$5+1329&gt;Ввод!$B$6,"",Ввод!$B$5+1329))</f>
        <v/>
      </c>
      <c r="B1331">
        <f>IF(A1331="","",IFERROR(INDEX(Ввод!$B$12:$B$71,MATCH(A1331,Ввод!$D$12:$D$71,1)),""))</f>
        <v/>
      </c>
      <c r="C1331">
        <f>IF(A1331="","",DATE(YEAR(A1331),12,31)-DATE(YEAR(A1331),1,1)+1)</f>
        <v/>
      </c>
      <c r="D1331">
        <f>IF(A1331="","",Ввод!$B$4-SUMIF(Оплаты!$A$6:$A$505,"&lt;"&amp;A1331,Оплаты!$B$6:$B$505))</f>
        <v/>
      </c>
      <c r="E1331">
        <f>IF(A1331="","",IF(SUMPRODUCT((Ввод!$F$12:$F$31&lt;&gt;"")*(Ввод!$F$12:$F$31&lt;=A1331)*(Ввод!$G$12:$G$31&gt;=A1331))&gt;0,1,0))</f>
        <v/>
      </c>
      <c r="F1331">
        <f>IF(OR(A1331="",B1331=""),"",IF(E1331=1,0,D1331*B1331/100/C1331))</f>
        <v/>
      </c>
      <c r="G1331">
        <f>IF(A1331="","",IF(OR(B1331&lt;&gt;B1330,C1331&lt;&gt;C1330,D1331&lt;&gt;D1330,E1331&lt;&gt;E1330),G1330+1,G1330))</f>
        <v/>
      </c>
    </row>
    <row r="1332">
      <c r="A1332" s="14">
        <f>IF(OR(NOT(ISNUMBER(Ввод!$B$5)),NOT(ISNUMBER(Ввод!$B$6))),"",IF(Ввод!$B$5+1330&gt;Ввод!$B$6,"",Ввод!$B$5+1330))</f>
        <v/>
      </c>
      <c r="B1332">
        <f>IF(A1332="","",IFERROR(INDEX(Ввод!$B$12:$B$71,MATCH(A1332,Ввод!$D$12:$D$71,1)),""))</f>
        <v/>
      </c>
      <c r="C1332">
        <f>IF(A1332="","",DATE(YEAR(A1332),12,31)-DATE(YEAR(A1332),1,1)+1)</f>
        <v/>
      </c>
      <c r="D1332">
        <f>IF(A1332="","",Ввод!$B$4-SUMIF(Оплаты!$A$6:$A$505,"&lt;"&amp;A1332,Оплаты!$B$6:$B$505))</f>
        <v/>
      </c>
      <c r="E1332">
        <f>IF(A1332="","",IF(SUMPRODUCT((Ввод!$F$12:$F$31&lt;&gt;"")*(Ввод!$F$12:$F$31&lt;=A1332)*(Ввод!$G$12:$G$31&gt;=A1332))&gt;0,1,0))</f>
        <v/>
      </c>
      <c r="F1332">
        <f>IF(OR(A1332="",B1332=""),"",IF(E1332=1,0,D1332*B1332/100/C1332))</f>
        <v/>
      </c>
      <c r="G1332">
        <f>IF(A1332="","",IF(OR(B1332&lt;&gt;B1331,C1332&lt;&gt;C1331,D1332&lt;&gt;D1331,E1332&lt;&gt;E1331),G1331+1,G1331))</f>
        <v/>
      </c>
    </row>
    <row r="1333">
      <c r="A1333" s="14">
        <f>IF(OR(NOT(ISNUMBER(Ввод!$B$5)),NOT(ISNUMBER(Ввод!$B$6))),"",IF(Ввод!$B$5+1331&gt;Ввод!$B$6,"",Ввод!$B$5+1331))</f>
        <v/>
      </c>
      <c r="B1333">
        <f>IF(A1333="","",IFERROR(INDEX(Ввод!$B$12:$B$71,MATCH(A1333,Ввод!$D$12:$D$71,1)),""))</f>
        <v/>
      </c>
      <c r="C1333">
        <f>IF(A1333="","",DATE(YEAR(A1333),12,31)-DATE(YEAR(A1333),1,1)+1)</f>
        <v/>
      </c>
      <c r="D1333">
        <f>IF(A1333="","",Ввод!$B$4-SUMIF(Оплаты!$A$6:$A$505,"&lt;"&amp;A1333,Оплаты!$B$6:$B$505))</f>
        <v/>
      </c>
      <c r="E1333">
        <f>IF(A1333="","",IF(SUMPRODUCT((Ввод!$F$12:$F$31&lt;&gt;"")*(Ввод!$F$12:$F$31&lt;=A1333)*(Ввод!$G$12:$G$31&gt;=A1333))&gt;0,1,0))</f>
        <v/>
      </c>
      <c r="F1333">
        <f>IF(OR(A1333="",B1333=""),"",IF(E1333=1,0,D1333*B1333/100/C1333))</f>
        <v/>
      </c>
      <c r="G1333">
        <f>IF(A1333="","",IF(OR(B1333&lt;&gt;B1332,C1333&lt;&gt;C1332,D1333&lt;&gt;D1332,E1333&lt;&gt;E1332),G1332+1,G1332))</f>
        <v/>
      </c>
    </row>
    <row r="1334">
      <c r="A1334" s="14">
        <f>IF(OR(NOT(ISNUMBER(Ввод!$B$5)),NOT(ISNUMBER(Ввод!$B$6))),"",IF(Ввод!$B$5+1332&gt;Ввод!$B$6,"",Ввод!$B$5+1332))</f>
        <v/>
      </c>
      <c r="B1334">
        <f>IF(A1334="","",IFERROR(INDEX(Ввод!$B$12:$B$71,MATCH(A1334,Ввод!$D$12:$D$71,1)),""))</f>
        <v/>
      </c>
      <c r="C1334">
        <f>IF(A1334="","",DATE(YEAR(A1334),12,31)-DATE(YEAR(A1334),1,1)+1)</f>
        <v/>
      </c>
      <c r="D1334">
        <f>IF(A1334="","",Ввод!$B$4-SUMIF(Оплаты!$A$6:$A$505,"&lt;"&amp;A1334,Оплаты!$B$6:$B$505))</f>
        <v/>
      </c>
      <c r="E1334">
        <f>IF(A1334="","",IF(SUMPRODUCT((Ввод!$F$12:$F$31&lt;&gt;"")*(Ввод!$F$12:$F$31&lt;=A1334)*(Ввод!$G$12:$G$31&gt;=A1334))&gt;0,1,0))</f>
        <v/>
      </c>
      <c r="F1334">
        <f>IF(OR(A1334="",B1334=""),"",IF(E1334=1,0,D1334*B1334/100/C1334))</f>
        <v/>
      </c>
      <c r="G1334">
        <f>IF(A1334="","",IF(OR(B1334&lt;&gt;B1333,C1334&lt;&gt;C1333,D1334&lt;&gt;D1333,E1334&lt;&gt;E1333),G1333+1,G1333))</f>
        <v/>
      </c>
    </row>
    <row r="1335">
      <c r="A1335" s="14">
        <f>IF(OR(NOT(ISNUMBER(Ввод!$B$5)),NOT(ISNUMBER(Ввод!$B$6))),"",IF(Ввод!$B$5+1333&gt;Ввод!$B$6,"",Ввод!$B$5+1333))</f>
        <v/>
      </c>
      <c r="B1335">
        <f>IF(A1335="","",IFERROR(INDEX(Ввод!$B$12:$B$71,MATCH(A1335,Ввод!$D$12:$D$71,1)),""))</f>
        <v/>
      </c>
      <c r="C1335">
        <f>IF(A1335="","",DATE(YEAR(A1335),12,31)-DATE(YEAR(A1335),1,1)+1)</f>
        <v/>
      </c>
      <c r="D1335">
        <f>IF(A1335="","",Ввод!$B$4-SUMIF(Оплаты!$A$6:$A$505,"&lt;"&amp;A1335,Оплаты!$B$6:$B$505))</f>
        <v/>
      </c>
      <c r="E1335">
        <f>IF(A1335="","",IF(SUMPRODUCT((Ввод!$F$12:$F$31&lt;&gt;"")*(Ввод!$F$12:$F$31&lt;=A1335)*(Ввод!$G$12:$G$31&gt;=A1335))&gt;0,1,0))</f>
        <v/>
      </c>
      <c r="F1335">
        <f>IF(OR(A1335="",B1335=""),"",IF(E1335=1,0,D1335*B1335/100/C1335))</f>
        <v/>
      </c>
      <c r="G1335">
        <f>IF(A1335="","",IF(OR(B1335&lt;&gt;B1334,C1335&lt;&gt;C1334,D1335&lt;&gt;D1334,E1335&lt;&gt;E1334),G1334+1,G1334))</f>
        <v/>
      </c>
    </row>
    <row r="1336">
      <c r="A1336" s="14">
        <f>IF(OR(NOT(ISNUMBER(Ввод!$B$5)),NOT(ISNUMBER(Ввод!$B$6))),"",IF(Ввод!$B$5+1334&gt;Ввод!$B$6,"",Ввод!$B$5+1334))</f>
        <v/>
      </c>
      <c r="B1336">
        <f>IF(A1336="","",IFERROR(INDEX(Ввод!$B$12:$B$71,MATCH(A1336,Ввод!$D$12:$D$71,1)),""))</f>
        <v/>
      </c>
      <c r="C1336">
        <f>IF(A1336="","",DATE(YEAR(A1336),12,31)-DATE(YEAR(A1336),1,1)+1)</f>
        <v/>
      </c>
      <c r="D1336">
        <f>IF(A1336="","",Ввод!$B$4-SUMIF(Оплаты!$A$6:$A$505,"&lt;"&amp;A1336,Оплаты!$B$6:$B$505))</f>
        <v/>
      </c>
      <c r="E1336">
        <f>IF(A1336="","",IF(SUMPRODUCT((Ввод!$F$12:$F$31&lt;&gt;"")*(Ввод!$F$12:$F$31&lt;=A1336)*(Ввод!$G$12:$G$31&gt;=A1336))&gt;0,1,0))</f>
        <v/>
      </c>
      <c r="F1336">
        <f>IF(OR(A1336="",B1336=""),"",IF(E1336=1,0,D1336*B1336/100/C1336))</f>
        <v/>
      </c>
      <c r="G1336">
        <f>IF(A1336="","",IF(OR(B1336&lt;&gt;B1335,C1336&lt;&gt;C1335,D1336&lt;&gt;D1335,E1336&lt;&gt;E1335),G1335+1,G1335))</f>
        <v/>
      </c>
    </row>
    <row r="1337">
      <c r="A1337" s="14">
        <f>IF(OR(NOT(ISNUMBER(Ввод!$B$5)),NOT(ISNUMBER(Ввод!$B$6))),"",IF(Ввод!$B$5+1335&gt;Ввод!$B$6,"",Ввод!$B$5+1335))</f>
        <v/>
      </c>
      <c r="B1337">
        <f>IF(A1337="","",IFERROR(INDEX(Ввод!$B$12:$B$71,MATCH(A1337,Ввод!$D$12:$D$71,1)),""))</f>
        <v/>
      </c>
      <c r="C1337">
        <f>IF(A1337="","",DATE(YEAR(A1337),12,31)-DATE(YEAR(A1337),1,1)+1)</f>
        <v/>
      </c>
      <c r="D1337">
        <f>IF(A1337="","",Ввод!$B$4-SUMIF(Оплаты!$A$6:$A$505,"&lt;"&amp;A1337,Оплаты!$B$6:$B$505))</f>
        <v/>
      </c>
      <c r="E1337">
        <f>IF(A1337="","",IF(SUMPRODUCT((Ввод!$F$12:$F$31&lt;&gt;"")*(Ввод!$F$12:$F$31&lt;=A1337)*(Ввод!$G$12:$G$31&gt;=A1337))&gt;0,1,0))</f>
        <v/>
      </c>
      <c r="F1337">
        <f>IF(OR(A1337="",B1337=""),"",IF(E1337=1,0,D1337*B1337/100/C1337))</f>
        <v/>
      </c>
      <c r="G1337">
        <f>IF(A1337="","",IF(OR(B1337&lt;&gt;B1336,C1337&lt;&gt;C1336,D1337&lt;&gt;D1336,E1337&lt;&gt;E1336),G1336+1,G1336))</f>
        <v/>
      </c>
    </row>
    <row r="1338">
      <c r="A1338" s="14">
        <f>IF(OR(NOT(ISNUMBER(Ввод!$B$5)),NOT(ISNUMBER(Ввод!$B$6))),"",IF(Ввод!$B$5+1336&gt;Ввод!$B$6,"",Ввод!$B$5+1336))</f>
        <v/>
      </c>
      <c r="B1338">
        <f>IF(A1338="","",IFERROR(INDEX(Ввод!$B$12:$B$71,MATCH(A1338,Ввод!$D$12:$D$71,1)),""))</f>
        <v/>
      </c>
      <c r="C1338">
        <f>IF(A1338="","",DATE(YEAR(A1338),12,31)-DATE(YEAR(A1338),1,1)+1)</f>
        <v/>
      </c>
      <c r="D1338">
        <f>IF(A1338="","",Ввод!$B$4-SUMIF(Оплаты!$A$6:$A$505,"&lt;"&amp;A1338,Оплаты!$B$6:$B$505))</f>
        <v/>
      </c>
      <c r="E1338">
        <f>IF(A1338="","",IF(SUMPRODUCT((Ввод!$F$12:$F$31&lt;&gt;"")*(Ввод!$F$12:$F$31&lt;=A1338)*(Ввод!$G$12:$G$31&gt;=A1338))&gt;0,1,0))</f>
        <v/>
      </c>
      <c r="F1338">
        <f>IF(OR(A1338="",B1338=""),"",IF(E1338=1,0,D1338*B1338/100/C1338))</f>
        <v/>
      </c>
      <c r="G1338">
        <f>IF(A1338="","",IF(OR(B1338&lt;&gt;B1337,C1338&lt;&gt;C1337,D1338&lt;&gt;D1337,E1338&lt;&gt;E1337),G1337+1,G1337))</f>
        <v/>
      </c>
    </row>
    <row r="1339">
      <c r="A1339" s="14">
        <f>IF(OR(NOT(ISNUMBER(Ввод!$B$5)),NOT(ISNUMBER(Ввод!$B$6))),"",IF(Ввод!$B$5+1337&gt;Ввод!$B$6,"",Ввод!$B$5+1337))</f>
        <v/>
      </c>
      <c r="B1339">
        <f>IF(A1339="","",IFERROR(INDEX(Ввод!$B$12:$B$71,MATCH(A1339,Ввод!$D$12:$D$71,1)),""))</f>
        <v/>
      </c>
      <c r="C1339">
        <f>IF(A1339="","",DATE(YEAR(A1339),12,31)-DATE(YEAR(A1339),1,1)+1)</f>
        <v/>
      </c>
      <c r="D1339">
        <f>IF(A1339="","",Ввод!$B$4-SUMIF(Оплаты!$A$6:$A$505,"&lt;"&amp;A1339,Оплаты!$B$6:$B$505))</f>
        <v/>
      </c>
      <c r="E1339">
        <f>IF(A1339="","",IF(SUMPRODUCT((Ввод!$F$12:$F$31&lt;&gt;"")*(Ввод!$F$12:$F$31&lt;=A1339)*(Ввод!$G$12:$G$31&gt;=A1339))&gt;0,1,0))</f>
        <v/>
      </c>
      <c r="F1339">
        <f>IF(OR(A1339="",B1339=""),"",IF(E1339=1,0,D1339*B1339/100/C1339))</f>
        <v/>
      </c>
      <c r="G1339">
        <f>IF(A1339="","",IF(OR(B1339&lt;&gt;B1338,C1339&lt;&gt;C1338,D1339&lt;&gt;D1338,E1339&lt;&gt;E1338),G1338+1,G1338))</f>
        <v/>
      </c>
    </row>
    <row r="1340">
      <c r="A1340" s="14">
        <f>IF(OR(NOT(ISNUMBER(Ввод!$B$5)),NOT(ISNUMBER(Ввод!$B$6))),"",IF(Ввод!$B$5+1338&gt;Ввод!$B$6,"",Ввод!$B$5+1338))</f>
        <v/>
      </c>
      <c r="B1340">
        <f>IF(A1340="","",IFERROR(INDEX(Ввод!$B$12:$B$71,MATCH(A1340,Ввод!$D$12:$D$71,1)),""))</f>
        <v/>
      </c>
      <c r="C1340">
        <f>IF(A1340="","",DATE(YEAR(A1340),12,31)-DATE(YEAR(A1340),1,1)+1)</f>
        <v/>
      </c>
      <c r="D1340">
        <f>IF(A1340="","",Ввод!$B$4-SUMIF(Оплаты!$A$6:$A$505,"&lt;"&amp;A1340,Оплаты!$B$6:$B$505))</f>
        <v/>
      </c>
      <c r="E1340">
        <f>IF(A1340="","",IF(SUMPRODUCT((Ввод!$F$12:$F$31&lt;&gt;"")*(Ввод!$F$12:$F$31&lt;=A1340)*(Ввод!$G$12:$G$31&gt;=A1340))&gt;0,1,0))</f>
        <v/>
      </c>
      <c r="F1340">
        <f>IF(OR(A1340="",B1340=""),"",IF(E1340=1,0,D1340*B1340/100/C1340))</f>
        <v/>
      </c>
      <c r="G1340">
        <f>IF(A1340="","",IF(OR(B1340&lt;&gt;B1339,C1340&lt;&gt;C1339,D1340&lt;&gt;D1339,E1340&lt;&gt;E1339),G1339+1,G1339))</f>
        <v/>
      </c>
    </row>
    <row r="1341">
      <c r="A1341" s="14">
        <f>IF(OR(NOT(ISNUMBER(Ввод!$B$5)),NOT(ISNUMBER(Ввод!$B$6))),"",IF(Ввод!$B$5+1339&gt;Ввод!$B$6,"",Ввод!$B$5+1339))</f>
        <v/>
      </c>
      <c r="B1341">
        <f>IF(A1341="","",IFERROR(INDEX(Ввод!$B$12:$B$71,MATCH(A1341,Ввод!$D$12:$D$71,1)),""))</f>
        <v/>
      </c>
      <c r="C1341">
        <f>IF(A1341="","",DATE(YEAR(A1341),12,31)-DATE(YEAR(A1341),1,1)+1)</f>
        <v/>
      </c>
      <c r="D1341">
        <f>IF(A1341="","",Ввод!$B$4-SUMIF(Оплаты!$A$6:$A$505,"&lt;"&amp;A1341,Оплаты!$B$6:$B$505))</f>
        <v/>
      </c>
      <c r="E1341">
        <f>IF(A1341="","",IF(SUMPRODUCT((Ввод!$F$12:$F$31&lt;&gt;"")*(Ввод!$F$12:$F$31&lt;=A1341)*(Ввод!$G$12:$G$31&gt;=A1341))&gt;0,1,0))</f>
        <v/>
      </c>
      <c r="F1341">
        <f>IF(OR(A1341="",B1341=""),"",IF(E1341=1,0,D1341*B1341/100/C1341))</f>
        <v/>
      </c>
      <c r="G1341">
        <f>IF(A1341="","",IF(OR(B1341&lt;&gt;B1340,C1341&lt;&gt;C1340,D1341&lt;&gt;D1340,E1341&lt;&gt;E1340),G1340+1,G1340))</f>
        <v/>
      </c>
    </row>
    <row r="1342">
      <c r="A1342" s="14">
        <f>IF(OR(NOT(ISNUMBER(Ввод!$B$5)),NOT(ISNUMBER(Ввод!$B$6))),"",IF(Ввод!$B$5+1340&gt;Ввод!$B$6,"",Ввод!$B$5+1340))</f>
        <v/>
      </c>
      <c r="B1342">
        <f>IF(A1342="","",IFERROR(INDEX(Ввод!$B$12:$B$71,MATCH(A1342,Ввод!$D$12:$D$71,1)),""))</f>
        <v/>
      </c>
      <c r="C1342">
        <f>IF(A1342="","",DATE(YEAR(A1342),12,31)-DATE(YEAR(A1342),1,1)+1)</f>
        <v/>
      </c>
      <c r="D1342">
        <f>IF(A1342="","",Ввод!$B$4-SUMIF(Оплаты!$A$6:$A$505,"&lt;"&amp;A1342,Оплаты!$B$6:$B$505))</f>
        <v/>
      </c>
      <c r="E1342">
        <f>IF(A1342="","",IF(SUMPRODUCT((Ввод!$F$12:$F$31&lt;&gt;"")*(Ввод!$F$12:$F$31&lt;=A1342)*(Ввод!$G$12:$G$31&gt;=A1342))&gt;0,1,0))</f>
        <v/>
      </c>
      <c r="F1342">
        <f>IF(OR(A1342="",B1342=""),"",IF(E1342=1,0,D1342*B1342/100/C1342))</f>
        <v/>
      </c>
      <c r="G1342">
        <f>IF(A1342="","",IF(OR(B1342&lt;&gt;B1341,C1342&lt;&gt;C1341,D1342&lt;&gt;D1341,E1342&lt;&gt;E1341),G1341+1,G1341))</f>
        <v/>
      </c>
    </row>
    <row r="1343">
      <c r="A1343" s="14">
        <f>IF(OR(NOT(ISNUMBER(Ввод!$B$5)),NOT(ISNUMBER(Ввод!$B$6))),"",IF(Ввод!$B$5+1341&gt;Ввод!$B$6,"",Ввод!$B$5+1341))</f>
        <v/>
      </c>
      <c r="B1343">
        <f>IF(A1343="","",IFERROR(INDEX(Ввод!$B$12:$B$71,MATCH(A1343,Ввод!$D$12:$D$71,1)),""))</f>
        <v/>
      </c>
      <c r="C1343">
        <f>IF(A1343="","",DATE(YEAR(A1343),12,31)-DATE(YEAR(A1343),1,1)+1)</f>
        <v/>
      </c>
      <c r="D1343">
        <f>IF(A1343="","",Ввод!$B$4-SUMIF(Оплаты!$A$6:$A$505,"&lt;"&amp;A1343,Оплаты!$B$6:$B$505))</f>
        <v/>
      </c>
      <c r="E1343">
        <f>IF(A1343="","",IF(SUMPRODUCT((Ввод!$F$12:$F$31&lt;&gt;"")*(Ввод!$F$12:$F$31&lt;=A1343)*(Ввод!$G$12:$G$31&gt;=A1343))&gt;0,1,0))</f>
        <v/>
      </c>
      <c r="F1343">
        <f>IF(OR(A1343="",B1343=""),"",IF(E1343=1,0,D1343*B1343/100/C1343))</f>
        <v/>
      </c>
      <c r="G1343">
        <f>IF(A1343="","",IF(OR(B1343&lt;&gt;B1342,C1343&lt;&gt;C1342,D1343&lt;&gt;D1342,E1343&lt;&gt;E1342),G1342+1,G1342))</f>
        <v/>
      </c>
    </row>
    <row r="1344">
      <c r="A1344" s="14">
        <f>IF(OR(NOT(ISNUMBER(Ввод!$B$5)),NOT(ISNUMBER(Ввод!$B$6))),"",IF(Ввод!$B$5+1342&gt;Ввод!$B$6,"",Ввод!$B$5+1342))</f>
        <v/>
      </c>
      <c r="B1344">
        <f>IF(A1344="","",IFERROR(INDEX(Ввод!$B$12:$B$71,MATCH(A1344,Ввод!$D$12:$D$71,1)),""))</f>
        <v/>
      </c>
      <c r="C1344">
        <f>IF(A1344="","",DATE(YEAR(A1344),12,31)-DATE(YEAR(A1344),1,1)+1)</f>
        <v/>
      </c>
      <c r="D1344">
        <f>IF(A1344="","",Ввод!$B$4-SUMIF(Оплаты!$A$6:$A$505,"&lt;"&amp;A1344,Оплаты!$B$6:$B$505))</f>
        <v/>
      </c>
      <c r="E1344">
        <f>IF(A1344="","",IF(SUMPRODUCT((Ввод!$F$12:$F$31&lt;&gt;"")*(Ввод!$F$12:$F$31&lt;=A1344)*(Ввод!$G$12:$G$31&gt;=A1344))&gt;0,1,0))</f>
        <v/>
      </c>
      <c r="F1344">
        <f>IF(OR(A1344="",B1344=""),"",IF(E1344=1,0,D1344*B1344/100/C1344))</f>
        <v/>
      </c>
      <c r="G1344">
        <f>IF(A1344="","",IF(OR(B1344&lt;&gt;B1343,C1344&lt;&gt;C1343,D1344&lt;&gt;D1343,E1344&lt;&gt;E1343),G1343+1,G1343))</f>
        <v/>
      </c>
    </row>
    <row r="1345">
      <c r="A1345" s="14">
        <f>IF(OR(NOT(ISNUMBER(Ввод!$B$5)),NOT(ISNUMBER(Ввод!$B$6))),"",IF(Ввод!$B$5+1343&gt;Ввод!$B$6,"",Ввод!$B$5+1343))</f>
        <v/>
      </c>
      <c r="B1345">
        <f>IF(A1345="","",IFERROR(INDEX(Ввод!$B$12:$B$71,MATCH(A1345,Ввод!$D$12:$D$71,1)),""))</f>
        <v/>
      </c>
      <c r="C1345">
        <f>IF(A1345="","",DATE(YEAR(A1345),12,31)-DATE(YEAR(A1345),1,1)+1)</f>
        <v/>
      </c>
      <c r="D1345">
        <f>IF(A1345="","",Ввод!$B$4-SUMIF(Оплаты!$A$6:$A$505,"&lt;"&amp;A1345,Оплаты!$B$6:$B$505))</f>
        <v/>
      </c>
      <c r="E1345">
        <f>IF(A1345="","",IF(SUMPRODUCT((Ввод!$F$12:$F$31&lt;&gt;"")*(Ввод!$F$12:$F$31&lt;=A1345)*(Ввод!$G$12:$G$31&gt;=A1345))&gt;0,1,0))</f>
        <v/>
      </c>
      <c r="F1345">
        <f>IF(OR(A1345="",B1345=""),"",IF(E1345=1,0,D1345*B1345/100/C1345))</f>
        <v/>
      </c>
      <c r="G1345">
        <f>IF(A1345="","",IF(OR(B1345&lt;&gt;B1344,C1345&lt;&gt;C1344,D1345&lt;&gt;D1344,E1345&lt;&gt;E1344),G1344+1,G1344))</f>
        <v/>
      </c>
    </row>
    <row r="1346">
      <c r="A1346" s="14">
        <f>IF(OR(NOT(ISNUMBER(Ввод!$B$5)),NOT(ISNUMBER(Ввод!$B$6))),"",IF(Ввод!$B$5+1344&gt;Ввод!$B$6,"",Ввод!$B$5+1344))</f>
        <v/>
      </c>
      <c r="B1346">
        <f>IF(A1346="","",IFERROR(INDEX(Ввод!$B$12:$B$71,MATCH(A1346,Ввод!$D$12:$D$71,1)),""))</f>
        <v/>
      </c>
      <c r="C1346">
        <f>IF(A1346="","",DATE(YEAR(A1346),12,31)-DATE(YEAR(A1346),1,1)+1)</f>
        <v/>
      </c>
      <c r="D1346">
        <f>IF(A1346="","",Ввод!$B$4-SUMIF(Оплаты!$A$6:$A$505,"&lt;"&amp;A1346,Оплаты!$B$6:$B$505))</f>
        <v/>
      </c>
      <c r="E1346">
        <f>IF(A1346="","",IF(SUMPRODUCT((Ввод!$F$12:$F$31&lt;&gt;"")*(Ввод!$F$12:$F$31&lt;=A1346)*(Ввод!$G$12:$G$31&gt;=A1346))&gt;0,1,0))</f>
        <v/>
      </c>
      <c r="F1346">
        <f>IF(OR(A1346="",B1346=""),"",IF(E1346=1,0,D1346*B1346/100/C1346))</f>
        <v/>
      </c>
      <c r="G1346">
        <f>IF(A1346="","",IF(OR(B1346&lt;&gt;B1345,C1346&lt;&gt;C1345,D1346&lt;&gt;D1345,E1346&lt;&gt;E1345),G1345+1,G1345))</f>
        <v/>
      </c>
    </row>
    <row r="1347">
      <c r="A1347" s="14">
        <f>IF(OR(NOT(ISNUMBER(Ввод!$B$5)),NOT(ISNUMBER(Ввод!$B$6))),"",IF(Ввод!$B$5+1345&gt;Ввод!$B$6,"",Ввод!$B$5+1345))</f>
        <v/>
      </c>
      <c r="B1347">
        <f>IF(A1347="","",IFERROR(INDEX(Ввод!$B$12:$B$71,MATCH(A1347,Ввод!$D$12:$D$71,1)),""))</f>
        <v/>
      </c>
      <c r="C1347">
        <f>IF(A1347="","",DATE(YEAR(A1347),12,31)-DATE(YEAR(A1347),1,1)+1)</f>
        <v/>
      </c>
      <c r="D1347">
        <f>IF(A1347="","",Ввод!$B$4-SUMIF(Оплаты!$A$6:$A$505,"&lt;"&amp;A1347,Оплаты!$B$6:$B$505))</f>
        <v/>
      </c>
      <c r="E1347">
        <f>IF(A1347="","",IF(SUMPRODUCT((Ввод!$F$12:$F$31&lt;&gt;"")*(Ввод!$F$12:$F$31&lt;=A1347)*(Ввод!$G$12:$G$31&gt;=A1347))&gt;0,1,0))</f>
        <v/>
      </c>
      <c r="F1347">
        <f>IF(OR(A1347="",B1347=""),"",IF(E1347=1,0,D1347*B1347/100/C1347))</f>
        <v/>
      </c>
      <c r="G1347">
        <f>IF(A1347="","",IF(OR(B1347&lt;&gt;B1346,C1347&lt;&gt;C1346,D1347&lt;&gt;D1346,E1347&lt;&gt;E1346),G1346+1,G1346))</f>
        <v/>
      </c>
    </row>
    <row r="1348">
      <c r="A1348" s="14">
        <f>IF(OR(NOT(ISNUMBER(Ввод!$B$5)),NOT(ISNUMBER(Ввод!$B$6))),"",IF(Ввод!$B$5+1346&gt;Ввод!$B$6,"",Ввод!$B$5+1346))</f>
        <v/>
      </c>
      <c r="B1348">
        <f>IF(A1348="","",IFERROR(INDEX(Ввод!$B$12:$B$71,MATCH(A1348,Ввод!$D$12:$D$71,1)),""))</f>
        <v/>
      </c>
      <c r="C1348">
        <f>IF(A1348="","",DATE(YEAR(A1348),12,31)-DATE(YEAR(A1348),1,1)+1)</f>
        <v/>
      </c>
      <c r="D1348">
        <f>IF(A1348="","",Ввод!$B$4-SUMIF(Оплаты!$A$6:$A$505,"&lt;"&amp;A1348,Оплаты!$B$6:$B$505))</f>
        <v/>
      </c>
      <c r="E1348">
        <f>IF(A1348="","",IF(SUMPRODUCT((Ввод!$F$12:$F$31&lt;&gt;"")*(Ввод!$F$12:$F$31&lt;=A1348)*(Ввод!$G$12:$G$31&gt;=A1348))&gt;0,1,0))</f>
        <v/>
      </c>
      <c r="F1348">
        <f>IF(OR(A1348="",B1348=""),"",IF(E1348=1,0,D1348*B1348/100/C1348))</f>
        <v/>
      </c>
      <c r="G1348">
        <f>IF(A1348="","",IF(OR(B1348&lt;&gt;B1347,C1348&lt;&gt;C1347,D1348&lt;&gt;D1347,E1348&lt;&gt;E1347),G1347+1,G1347))</f>
        <v/>
      </c>
    </row>
    <row r="1349">
      <c r="A1349" s="14">
        <f>IF(OR(NOT(ISNUMBER(Ввод!$B$5)),NOT(ISNUMBER(Ввод!$B$6))),"",IF(Ввод!$B$5+1347&gt;Ввод!$B$6,"",Ввод!$B$5+1347))</f>
        <v/>
      </c>
      <c r="B1349">
        <f>IF(A1349="","",IFERROR(INDEX(Ввод!$B$12:$B$71,MATCH(A1349,Ввод!$D$12:$D$71,1)),""))</f>
        <v/>
      </c>
      <c r="C1349">
        <f>IF(A1349="","",DATE(YEAR(A1349),12,31)-DATE(YEAR(A1349),1,1)+1)</f>
        <v/>
      </c>
      <c r="D1349">
        <f>IF(A1349="","",Ввод!$B$4-SUMIF(Оплаты!$A$6:$A$505,"&lt;"&amp;A1349,Оплаты!$B$6:$B$505))</f>
        <v/>
      </c>
      <c r="E1349">
        <f>IF(A1349="","",IF(SUMPRODUCT((Ввод!$F$12:$F$31&lt;&gt;"")*(Ввод!$F$12:$F$31&lt;=A1349)*(Ввод!$G$12:$G$31&gt;=A1349))&gt;0,1,0))</f>
        <v/>
      </c>
      <c r="F1349">
        <f>IF(OR(A1349="",B1349=""),"",IF(E1349=1,0,D1349*B1349/100/C1349))</f>
        <v/>
      </c>
      <c r="G1349">
        <f>IF(A1349="","",IF(OR(B1349&lt;&gt;B1348,C1349&lt;&gt;C1348,D1349&lt;&gt;D1348,E1349&lt;&gt;E1348),G1348+1,G1348))</f>
        <v/>
      </c>
    </row>
    <row r="1350">
      <c r="A1350" s="14">
        <f>IF(OR(NOT(ISNUMBER(Ввод!$B$5)),NOT(ISNUMBER(Ввод!$B$6))),"",IF(Ввод!$B$5+1348&gt;Ввод!$B$6,"",Ввод!$B$5+1348))</f>
        <v/>
      </c>
      <c r="B1350">
        <f>IF(A1350="","",IFERROR(INDEX(Ввод!$B$12:$B$71,MATCH(A1350,Ввод!$D$12:$D$71,1)),""))</f>
        <v/>
      </c>
      <c r="C1350">
        <f>IF(A1350="","",DATE(YEAR(A1350),12,31)-DATE(YEAR(A1350),1,1)+1)</f>
        <v/>
      </c>
      <c r="D1350">
        <f>IF(A1350="","",Ввод!$B$4-SUMIF(Оплаты!$A$6:$A$505,"&lt;"&amp;A1350,Оплаты!$B$6:$B$505))</f>
        <v/>
      </c>
      <c r="E1350">
        <f>IF(A1350="","",IF(SUMPRODUCT((Ввод!$F$12:$F$31&lt;&gt;"")*(Ввод!$F$12:$F$31&lt;=A1350)*(Ввод!$G$12:$G$31&gt;=A1350))&gt;0,1,0))</f>
        <v/>
      </c>
      <c r="F1350">
        <f>IF(OR(A1350="",B1350=""),"",IF(E1350=1,0,D1350*B1350/100/C1350))</f>
        <v/>
      </c>
      <c r="G1350">
        <f>IF(A1350="","",IF(OR(B1350&lt;&gt;B1349,C1350&lt;&gt;C1349,D1350&lt;&gt;D1349,E1350&lt;&gt;E1349),G1349+1,G1349))</f>
        <v/>
      </c>
    </row>
    <row r="1351">
      <c r="A1351" s="14">
        <f>IF(OR(NOT(ISNUMBER(Ввод!$B$5)),NOT(ISNUMBER(Ввод!$B$6))),"",IF(Ввод!$B$5+1349&gt;Ввод!$B$6,"",Ввод!$B$5+1349))</f>
        <v/>
      </c>
      <c r="B1351">
        <f>IF(A1351="","",IFERROR(INDEX(Ввод!$B$12:$B$71,MATCH(A1351,Ввод!$D$12:$D$71,1)),""))</f>
        <v/>
      </c>
      <c r="C1351">
        <f>IF(A1351="","",DATE(YEAR(A1351),12,31)-DATE(YEAR(A1351),1,1)+1)</f>
        <v/>
      </c>
      <c r="D1351">
        <f>IF(A1351="","",Ввод!$B$4-SUMIF(Оплаты!$A$6:$A$505,"&lt;"&amp;A1351,Оплаты!$B$6:$B$505))</f>
        <v/>
      </c>
      <c r="E1351">
        <f>IF(A1351="","",IF(SUMPRODUCT((Ввод!$F$12:$F$31&lt;&gt;"")*(Ввод!$F$12:$F$31&lt;=A1351)*(Ввод!$G$12:$G$31&gt;=A1351))&gt;0,1,0))</f>
        <v/>
      </c>
      <c r="F1351">
        <f>IF(OR(A1351="",B1351=""),"",IF(E1351=1,0,D1351*B1351/100/C1351))</f>
        <v/>
      </c>
      <c r="G1351">
        <f>IF(A1351="","",IF(OR(B1351&lt;&gt;B1350,C1351&lt;&gt;C1350,D1351&lt;&gt;D1350,E1351&lt;&gt;E1350),G1350+1,G1350))</f>
        <v/>
      </c>
    </row>
    <row r="1352">
      <c r="A1352" s="14">
        <f>IF(OR(NOT(ISNUMBER(Ввод!$B$5)),NOT(ISNUMBER(Ввод!$B$6))),"",IF(Ввод!$B$5+1350&gt;Ввод!$B$6,"",Ввод!$B$5+1350))</f>
        <v/>
      </c>
      <c r="B1352">
        <f>IF(A1352="","",IFERROR(INDEX(Ввод!$B$12:$B$71,MATCH(A1352,Ввод!$D$12:$D$71,1)),""))</f>
        <v/>
      </c>
      <c r="C1352">
        <f>IF(A1352="","",DATE(YEAR(A1352),12,31)-DATE(YEAR(A1352),1,1)+1)</f>
        <v/>
      </c>
      <c r="D1352">
        <f>IF(A1352="","",Ввод!$B$4-SUMIF(Оплаты!$A$6:$A$505,"&lt;"&amp;A1352,Оплаты!$B$6:$B$505))</f>
        <v/>
      </c>
      <c r="E1352">
        <f>IF(A1352="","",IF(SUMPRODUCT((Ввод!$F$12:$F$31&lt;&gt;"")*(Ввод!$F$12:$F$31&lt;=A1352)*(Ввод!$G$12:$G$31&gt;=A1352))&gt;0,1,0))</f>
        <v/>
      </c>
      <c r="F1352">
        <f>IF(OR(A1352="",B1352=""),"",IF(E1352=1,0,D1352*B1352/100/C1352))</f>
        <v/>
      </c>
      <c r="G1352">
        <f>IF(A1352="","",IF(OR(B1352&lt;&gt;B1351,C1352&lt;&gt;C1351,D1352&lt;&gt;D1351,E1352&lt;&gt;E1351),G1351+1,G1351))</f>
        <v/>
      </c>
    </row>
    <row r="1353">
      <c r="A1353" s="14">
        <f>IF(OR(NOT(ISNUMBER(Ввод!$B$5)),NOT(ISNUMBER(Ввод!$B$6))),"",IF(Ввод!$B$5+1351&gt;Ввод!$B$6,"",Ввод!$B$5+1351))</f>
        <v/>
      </c>
      <c r="B1353">
        <f>IF(A1353="","",IFERROR(INDEX(Ввод!$B$12:$B$71,MATCH(A1353,Ввод!$D$12:$D$71,1)),""))</f>
        <v/>
      </c>
      <c r="C1353">
        <f>IF(A1353="","",DATE(YEAR(A1353),12,31)-DATE(YEAR(A1353),1,1)+1)</f>
        <v/>
      </c>
      <c r="D1353">
        <f>IF(A1353="","",Ввод!$B$4-SUMIF(Оплаты!$A$6:$A$505,"&lt;"&amp;A1353,Оплаты!$B$6:$B$505))</f>
        <v/>
      </c>
      <c r="E1353">
        <f>IF(A1353="","",IF(SUMPRODUCT((Ввод!$F$12:$F$31&lt;&gt;"")*(Ввод!$F$12:$F$31&lt;=A1353)*(Ввод!$G$12:$G$31&gt;=A1353))&gt;0,1,0))</f>
        <v/>
      </c>
      <c r="F1353">
        <f>IF(OR(A1353="",B1353=""),"",IF(E1353=1,0,D1353*B1353/100/C1353))</f>
        <v/>
      </c>
      <c r="G1353">
        <f>IF(A1353="","",IF(OR(B1353&lt;&gt;B1352,C1353&lt;&gt;C1352,D1353&lt;&gt;D1352,E1353&lt;&gt;E1352),G1352+1,G1352))</f>
        <v/>
      </c>
    </row>
    <row r="1354">
      <c r="A1354" s="14">
        <f>IF(OR(NOT(ISNUMBER(Ввод!$B$5)),NOT(ISNUMBER(Ввод!$B$6))),"",IF(Ввод!$B$5+1352&gt;Ввод!$B$6,"",Ввод!$B$5+1352))</f>
        <v/>
      </c>
      <c r="B1354">
        <f>IF(A1354="","",IFERROR(INDEX(Ввод!$B$12:$B$71,MATCH(A1354,Ввод!$D$12:$D$71,1)),""))</f>
        <v/>
      </c>
      <c r="C1354">
        <f>IF(A1354="","",DATE(YEAR(A1354),12,31)-DATE(YEAR(A1354),1,1)+1)</f>
        <v/>
      </c>
      <c r="D1354">
        <f>IF(A1354="","",Ввод!$B$4-SUMIF(Оплаты!$A$6:$A$505,"&lt;"&amp;A1354,Оплаты!$B$6:$B$505))</f>
        <v/>
      </c>
      <c r="E1354">
        <f>IF(A1354="","",IF(SUMPRODUCT((Ввод!$F$12:$F$31&lt;&gt;"")*(Ввод!$F$12:$F$31&lt;=A1354)*(Ввод!$G$12:$G$31&gt;=A1354))&gt;0,1,0))</f>
        <v/>
      </c>
      <c r="F1354">
        <f>IF(OR(A1354="",B1354=""),"",IF(E1354=1,0,D1354*B1354/100/C1354))</f>
        <v/>
      </c>
      <c r="G1354">
        <f>IF(A1354="","",IF(OR(B1354&lt;&gt;B1353,C1354&lt;&gt;C1353,D1354&lt;&gt;D1353,E1354&lt;&gt;E1353),G1353+1,G1353))</f>
        <v/>
      </c>
    </row>
    <row r="1355">
      <c r="A1355" s="14">
        <f>IF(OR(NOT(ISNUMBER(Ввод!$B$5)),NOT(ISNUMBER(Ввод!$B$6))),"",IF(Ввод!$B$5+1353&gt;Ввод!$B$6,"",Ввод!$B$5+1353))</f>
        <v/>
      </c>
      <c r="B1355">
        <f>IF(A1355="","",IFERROR(INDEX(Ввод!$B$12:$B$71,MATCH(A1355,Ввод!$D$12:$D$71,1)),""))</f>
        <v/>
      </c>
      <c r="C1355">
        <f>IF(A1355="","",DATE(YEAR(A1355),12,31)-DATE(YEAR(A1355),1,1)+1)</f>
        <v/>
      </c>
      <c r="D1355">
        <f>IF(A1355="","",Ввод!$B$4-SUMIF(Оплаты!$A$6:$A$505,"&lt;"&amp;A1355,Оплаты!$B$6:$B$505))</f>
        <v/>
      </c>
      <c r="E1355">
        <f>IF(A1355="","",IF(SUMPRODUCT((Ввод!$F$12:$F$31&lt;&gt;"")*(Ввод!$F$12:$F$31&lt;=A1355)*(Ввод!$G$12:$G$31&gt;=A1355))&gt;0,1,0))</f>
        <v/>
      </c>
      <c r="F1355">
        <f>IF(OR(A1355="",B1355=""),"",IF(E1355=1,0,D1355*B1355/100/C1355))</f>
        <v/>
      </c>
      <c r="G1355">
        <f>IF(A1355="","",IF(OR(B1355&lt;&gt;B1354,C1355&lt;&gt;C1354,D1355&lt;&gt;D1354,E1355&lt;&gt;E1354),G1354+1,G1354))</f>
        <v/>
      </c>
    </row>
    <row r="1356">
      <c r="A1356" s="14">
        <f>IF(OR(NOT(ISNUMBER(Ввод!$B$5)),NOT(ISNUMBER(Ввод!$B$6))),"",IF(Ввод!$B$5+1354&gt;Ввод!$B$6,"",Ввод!$B$5+1354))</f>
        <v/>
      </c>
      <c r="B1356">
        <f>IF(A1356="","",IFERROR(INDEX(Ввод!$B$12:$B$71,MATCH(A1356,Ввод!$D$12:$D$71,1)),""))</f>
        <v/>
      </c>
      <c r="C1356">
        <f>IF(A1356="","",DATE(YEAR(A1356),12,31)-DATE(YEAR(A1356),1,1)+1)</f>
        <v/>
      </c>
      <c r="D1356">
        <f>IF(A1356="","",Ввод!$B$4-SUMIF(Оплаты!$A$6:$A$505,"&lt;"&amp;A1356,Оплаты!$B$6:$B$505))</f>
        <v/>
      </c>
      <c r="E1356">
        <f>IF(A1356="","",IF(SUMPRODUCT((Ввод!$F$12:$F$31&lt;&gt;"")*(Ввод!$F$12:$F$31&lt;=A1356)*(Ввод!$G$12:$G$31&gt;=A1356))&gt;0,1,0))</f>
        <v/>
      </c>
      <c r="F1356">
        <f>IF(OR(A1356="",B1356=""),"",IF(E1356=1,0,D1356*B1356/100/C1356))</f>
        <v/>
      </c>
      <c r="G1356">
        <f>IF(A1356="","",IF(OR(B1356&lt;&gt;B1355,C1356&lt;&gt;C1355,D1356&lt;&gt;D1355,E1356&lt;&gt;E1355),G1355+1,G1355))</f>
        <v/>
      </c>
    </row>
    <row r="1357">
      <c r="A1357" s="14">
        <f>IF(OR(NOT(ISNUMBER(Ввод!$B$5)),NOT(ISNUMBER(Ввод!$B$6))),"",IF(Ввод!$B$5+1355&gt;Ввод!$B$6,"",Ввод!$B$5+1355))</f>
        <v/>
      </c>
      <c r="B1357">
        <f>IF(A1357="","",IFERROR(INDEX(Ввод!$B$12:$B$71,MATCH(A1357,Ввод!$D$12:$D$71,1)),""))</f>
        <v/>
      </c>
      <c r="C1357">
        <f>IF(A1357="","",DATE(YEAR(A1357),12,31)-DATE(YEAR(A1357),1,1)+1)</f>
        <v/>
      </c>
      <c r="D1357">
        <f>IF(A1357="","",Ввод!$B$4-SUMIF(Оплаты!$A$6:$A$505,"&lt;"&amp;A1357,Оплаты!$B$6:$B$505))</f>
        <v/>
      </c>
      <c r="E1357">
        <f>IF(A1357="","",IF(SUMPRODUCT((Ввод!$F$12:$F$31&lt;&gt;"")*(Ввод!$F$12:$F$31&lt;=A1357)*(Ввод!$G$12:$G$31&gt;=A1357))&gt;0,1,0))</f>
        <v/>
      </c>
      <c r="F1357">
        <f>IF(OR(A1357="",B1357=""),"",IF(E1357=1,0,D1357*B1357/100/C1357))</f>
        <v/>
      </c>
      <c r="G1357">
        <f>IF(A1357="","",IF(OR(B1357&lt;&gt;B1356,C1357&lt;&gt;C1356,D1357&lt;&gt;D1356,E1357&lt;&gt;E1356),G1356+1,G1356))</f>
        <v/>
      </c>
    </row>
    <row r="1358">
      <c r="A1358" s="14">
        <f>IF(OR(NOT(ISNUMBER(Ввод!$B$5)),NOT(ISNUMBER(Ввод!$B$6))),"",IF(Ввод!$B$5+1356&gt;Ввод!$B$6,"",Ввод!$B$5+1356))</f>
        <v/>
      </c>
      <c r="B1358">
        <f>IF(A1358="","",IFERROR(INDEX(Ввод!$B$12:$B$71,MATCH(A1358,Ввод!$D$12:$D$71,1)),""))</f>
        <v/>
      </c>
      <c r="C1358">
        <f>IF(A1358="","",DATE(YEAR(A1358),12,31)-DATE(YEAR(A1358),1,1)+1)</f>
        <v/>
      </c>
      <c r="D1358">
        <f>IF(A1358="","",Ввод!$B$4-SUMIF(Оплаты!$A$6:$A$505,"&lt;"&amp;A1358,Оплаты!$B$6:$B$505))</f>
        <v/>
      </c>
      <c r="E1358">
        <f>IF(A1358="","",IF(SUMPRODUCT((Ввод!$F$12:$F$31&lt;&gt;"")*(Ввод!$F$12:$F$31&lt;=A1358)*(Ввод!$G$12:$G$31&gt;=A1358))&gt;0,1,0))</f>
        <v/>
      </c>
      <c r="F1358">
        <f>IF(OR(A1358="",B1358=""),"",IF(E1358=1,0,D1358*B1358/100/C1358))</f>
        <v/>
      </c>
      <c r="G1358">
        <f>IF(A1358="","",IF(OR(B1358&lt;&gt;B1357,C1358&lt;&gt;C1357,D1358&lt;&gt;D1357,E1358&lt;&gt;E1357),G1357+1,G1357))</f>
        <v/>
      </c>
    </row>
    <row r="1359">
      <c r="A1359" s="14">
        <f>IF(OR(NOT(ISNUMBER(Ввод!$B$5)),NOT(ISNUMBER(Ввод!$B$6))),"",IF(Ввод!$B$5+1357&gt;Ввод!$B$6,"",Ввод!$B$5+1357))</f>
        <v/>
      </c>
      <c r="B1359">
        <f>IF(A1359="","",IFERROR(INDEX(Ввод!$B$12:$B$71,MATCH(A1359,Ввод!$D$12:$D$71,1)),""))</f>
        <v/>
      </c>
      <c r="C1359">
        <f>IF(A1359="","",DATE(YEAR(A1359),12,31)-DATE(YEAR(A1359),1,1)+1)</f>
        <v/>
      </c>
      <c r="D1359">
        <f>IF(A1359="","",Ввод!$B$4-SUMIF(Оплаты!$A$6:$A$505,"&lt;"&amp;A1359,Оплаты!$B$6:$B$505))</f>
        <v/>
      </c>
      <c r="E1359">
        <f>IF(A1359="","",IF(SUMPRODUCT((Ввод!$F$12:$F$31&lt;&gt;"")*(Ввод!$F$12:$F$31&lt;=A1359)*(Ввод!$G$12:$G$31&gt;=A1359))&gt;0,1,0))</f>
        <v/>
      </c>
      <c r="F1359">
        <f>IF(OR(A1359="",B1359=""),"",IF(E1359=1,0,D1359*B1359/100/C1359))</f>
        <v/>
      </c>
      <c r="G1359">
        <f>IF(A1359="","",IF(OR(B1359&lt;&gt;B1358,C1359&lt;&gt;C1358,D1359&lt;&gt;D1358,E1359&lt;&gt;E1358),G1358+1,G1358))</f>
        <v/>
      </c>
    </row>
    <row r="1360">
      <c r="A1360" s="14">
        <f>IF(OR(NOT(ISNUMBER(Ввод!$B$5)),NOT(ISNUMBER(Ввод!$B$6))),"",IF(Ввод!$B$5+1358&gt;Ввод!$B$6,"",Ввод!$B$5+1358))</f>
        <v/>
      </c>
      <c r="B1360">
        <f>IF(A1360="","",IFERROR(INDEX(Ввод!$B$12:$B$71,MATCH(A1360,Ввод!$D$12:$D$71,1)),""))</f>
        <v/>
      </c>
      <c r="C1360">
        <f>IF(A1360="","",DATE(YEAR(A1360),12,31)-DATE(YEAR(A1360),1,1)+1)</f>
        <v/>
      </c>
      <c r="D1360">
        <f>IF(A1360="","",Ввод!$B$4-SUMIF(Оплаты!$A$6:$A$505,"&lt;"&amp;A1360,Оплаты!$B$6:$B$505))</f>
        <v/>
      </c>
      <c r="E1360">
        <f>IF(A1360="","",IF(SUMPRODUCT((Ввод!$F$12:$F$31&lt;&gt;"")*(Ввод!$F$12:$F$31&lt;=A1360)*(Ввод!$G$12:$G$31&gt;=A1360))&gt;0,1,0))</f>
        <v/>
      </c>
      <c r="F1360">
        <f>IF(OR(A1360="",B1360=""),"",IF(E1360=1,0,D1360*B1360/100/C1360))</f>
        <v/>
      </c>
      <c r="G1360">
        <f>IF(A1360="","",IF(OR(B1360&lt;&gt;B1359,C1360&lt;&gt;C1359,D1360&lt;&gt;D1359,E1360&lt;&gt;E1359),G1359+1,G1359))</f>
        <v/>
      </c>
    </row>
    <row r="1361">
      <c r="A1361" s="14">
        <f>IF(OR(NOT(ISNUMBER(Ввод!$B$5)),NOT(ISNUMBER(Ввод!$B$6))),"",IF(Ввод!$B$5+1359&gt;Ввод!$B$6,"",Ввод!$B$5+1359))</f>
        <v/>
      </c>
      <c r="B1361">
        <f>IF(A1361="","",IFERROR(INDEX(Ввод!$B$12:$B$71,MATCH(A1361,Ввод!$D$12:$D$71,1)),""))</f>
        <v/>
      </c>
      <c r="C1361">
        <f>IF(A1361="","",DATE(YEAR(A1361),12,31)-DATE(YEAR(A1361),1,1)+1)</f>
        <v/>
      </c>
      <c r="D1361">
        <f>IF(A1361="","",Ввод!$B$4-SUMIF(Оплаты!$A$6:$A$505,"&lt;"&amp;A1361,Оплаты!$B$6:$B$505))</f>
        <v/>
      </c>
      <c r="E1361">
        <f>IF(A1361="","",IF(SUMPRODUCT((Ввод!$F$12:$F$31&lt;&gt;"")*(Ввод!$F$12:$F$31&lt;=A1361)*(Ввод!$G$12:$G$31&gt;=A1361))&gt;0,1,0))</f>
        <v/>
      </c>
      <c r="F1361">
        <f>IF(OR(A1361="",B1361=""),"",IF(E1361=1,0,D1361*B1361/100/C1361))</f>
        <v/>
      </c>
      <c r="G1361">
        <f>IF(A1361="","",IF(OR(B1361&lt;&gt;B1360,C1361&lt;&gt;C1360,D1361&lt;&gt;D1360,E1361&lt;&gt;E1360),G1360+1,G1360))</f>
        <v/>
      </c>
    </row>
    <row r="1362">
      <c r="A1362" s="14">
        <f>IF(OR(NOT(ISNUMBER(Ввод!$B$5)),NOT(ISNUMBER(Ввод!$B$6))),"",IF(Ввод!$B$5+1360&gt;Ввод!$B$6,"",Ввод!$B$5+1360))</f>
        <v/>
      </c>
      <c r="B1362">
        <f>IF(A1362="","",IFERROR(INDEX(Ввод!$B$12:$B$71,MATCH(A1362,Ввод!$D$12:$D$71,1)),""))</f>
        <v/>
      </c>
      <c r="C1362">
        <f>IF(A1362="","",DATE(YEAR(A1362),12,31)-DATE(YEAR(A1362),1,1)+1)</f>
        <v/>
      </c>
      <c r="D1362">
        <f>IF(A1362="","",Ввод!$B$4-SUMIF(Оплаты!$A$6:$A$505,"&lt;"&amp;A1362,Оплаты!$B$6:$B$505))</f>
        <v/>
      </c>
      <c r="E1362">
        <f>IF(A1362="","",IF(SUMPRODUCT((Ввод!$F$12:$F$31&lt;&gt;"")*(Ввод!$F$12:$F$31&lt;=A1362)*(Ввод!$G$12:$G$31&gt;=A1362))&gt;0,1,0))</f>
        <v/>
      </c>
      <c r="F1362">
        <f>IF(OR(A1362="",B1362=""),"",IF(E1362=1,0,D1362*B1362/100/C1362))</f>
        <v/>
      </c>
      <c r="G1362">
        <f>IF(A1362="","",IF(OR(B1362&lt;&gt;B1361,C1362&lt;&gt;C1361,D1362&lt;&gt;D1361,E1362&lt;&gt;E1361),G1361+1,G1361))</f>
        <v/>
      </c>
    </row>
    <row r="1363">
      <c r="A1363" s="14">
        <f>IF(OR(NOT(ISNUMBER(Ввод!$B$5)),NOT(ISNUMBER(Ввод!$B$6))),"",IF(Ввод!$B$5+1361&gt;Ввод!$B$6,"",Ввод!$B$5+1361))</f>
        <v/>
      </c>
      <c r="B1363">
        <f>IF(A1363="","",IFERROR(INDEX(Ввод!$B$12:$B$71,MATCH(A1363,Ввод!$D$12:$D$71,1)),""))</f>
        <v/>
      </c>
      <c r="C1363">
        <f>IF(A1363="","",DATE(YEAR(A1363),12,31)-DATE(YEAR(A1363),1,1)+1)</f>
        <v/>
      </c>
      <c r="D1363">
        <f>IF(A1363="","",Ввод!$B$4-SUMIF(Оплаты!$A$6:$A$505,"&lt;"&amp;A1363,Оплаты!$B$6:$B$505))</f>
        <v/>
      </c>
      <c r="E1363">
        <f>IF(A1363="","",IF(SUMPRODUCT((Ввод!$F$12:$F$31&lt;&gt;"")*(Ввод!$F$12:$F$31&lt;=A1363)*(Ввод!$G$12:$G$31&gt;=A1363))&gt;0,1,0))</f>
        <v/>
      </c>
      <c r="F1363">
        <f>IF(OR(A1363="",B1363=""),"",IF(E1363=1,0,D1363*B1363/100/C1363))</f>
        <v/>
      </c>
      <c r="G1363">
        <f>IF(A1363="","",IF(OR(B1363&lt;&gt;B1362,C1363&lt;&gt;C1362,D1363&lt;&gt;D1362,E1363&lt;&gt;E1362),G1362+1,G1362))</f>
        <v/>
      </c>
    </row>
    <row r="1364">
      <c r="A1364" s="14">
        <f>IF(OR(NOT(ISNUMBER(Ввод!$B$5)),NOT(ISNUMBER(Ввод!$B$6))),"",IF(Ввод!$B$5+1362&gt;Ввод!$B$6,"",Ввод!$B$5+1362))</f>
        <v/>
      </c>
      <c r="B1364">
        <f>IF(A1364="","",IFERROR(INDEX(Ввод!$B$12:$B$71,MATCH(A1364,Ввод!$D$12:$D$71,1)),""))</f>
        <v/>
      </c>
      <c r="C1364">
        <f>IF(A1364="","",DATE(YEAR(A1364),12,31)-DATE(YEAR(A1364),1,1)+1)</f>
        <v/>
      </c>
      <c r="D1364">
        <f>IF(A1364="","",Ввод!$B$4-SUMIF(Оплаты!$A$6:$A$505,"&lt;"&amp;A1364,Оплаты!$B$6:$B$505))</f>
        <v/>
      </c>
      <c r="E1364">
        <f>IF(A1364="","",IF(SUMPRODUCT((Ввод!$F$12:$F$31&lt;&gt;"")*(Ввод!$F$12:$F$31&lt;=A1364)*(Ввод!$G$12:$G$31&gt;=A1364))&gt;0,1,0))</f>
        <v/>
      </c>
      <c r="F1364">
        <f>IF(OR(A1364="",B1364=""),"",IF(E1364=1,0,D1364*B1364/100/C1364))</f>
        <v/>
      </c>
      <c r="G1364">
        <f>IF(A1364="","",IF(OR(B1364&lt;&gt;B1363,C1364&lt;&gt;C1363,D1364&lt;&gt;D1363,E1364&lt;&gt;E1363),G1363+1,G1363))</f>
        <v/>
      </c>
    </row>
    <row r="1365">
      <c r="A1365" s="14">
        <f>IF(OR(NOT(ISNUMBER(Ввод!$B$5)),NOT(ISNUMBER(Ввод!$B$6))),"",IF(Ввод!$B$5+1363&gt;Ввод!$B$6,"",Ввод!$B$5+1363))</f>
        <v/>
      </c>
      <c r="B1365">
        <f>IF(A1365="","",IFERROR(INDEX(Ввод!$B$12:$B$71,MATCH(A1365,Ввод!$D$12:$D$71,1)),""))</f>
        <v/>
      </c>
      <c r="C1365">
        <f>IF(A1365="","",DATE(YEAR(A1365),12,31)-DATE(YEAR(A1365),1,1)+1)</f>
        <v/>
      </c>
      <c r="D1365">
        <f>IF(A1365="","",Ввод!$B$4-SUMIF(Оплаты!$A$6:$A$505,"&lt;"&amp;A1365,Оплаты!$B$6:$B$505))</f>
        <v/>
      </c>
      <c r="E1365">
        <f>IF(A1365="","",IF(SUMPRODUCT((Ввод!$F$12:$F$31&lt;&gt;"")*(Ввод!$F$12:$F$31&lt;=A1365)*(Ввод!$G$12:$G$31&gt;=A1365))&gt;0,1,0))</f>
        <v/>
      </c>
      <c r="F1365">
        <f>IF(OR(A1365="",B1365=""),"",IF(E1365=1,0,D1365*B1365/100/C1365))</f>
        <v/>
      </c>
      <c r="G1365">
        <f>IF(A1365="","",IF(OR(B1365&lt;&gt;B1364,C1365&lt;&gt;C1364,D1365&lt;&gt;D1364,E1365&lt;&gt;E1364),G1364+1,G1364))</f>
        <v/>
      </c>
    </row>
    <row r="1366">
      <c r="A1366" s="14">
        <f>IF(OR(NOT(ISNUMBER(Ввод!$B$5)),NOT(ISNUMBER(Ввод!$B$6))),"",IF(Ввод!$B$5+1364&gt;Ввод!$B$6,"",Ввод!$B$5+1364))</f>
        <v/>
      </c>
      <c r="B1366">
        <f>IF(A1366="","",IFERROR(INDEX(Ввод!$B$12:$B$71,MATCH(A1366,Ввод!$D$12:$D$71,1)),""))</f>
        <v/>
      </c>
      <c r="C1366">
        <f>IF(A1366="","",DATE(YEAR(A1366),12,31)-DATE(YEAR(A1366),1,1)+1)</f>
        <v/>
      </c>
      <c r="D1366">
        <f>IF(A1366="","",Ввод!$B$4-SUMIF(Оплаты!$A$6:$A$505,"&lt;"&amp;A1366,Оплаты!$B$6:$B$505))</f>
        <v/>
      </c>
      <c r="E1366">
        <f>IF(A1366="","",IF(SUMPRODUCT((Ввод!$F$12:$F$31&lt;&gt;"")*(Ввод!$F$12:$F$31&lt;=A1366)*(Ввод!$G$12:$G$31&gt;=A1366))&gt;0,1,0))</f>
        <v/>
      </c>
      <c r="F1366">
        <f>IF(OR(A1366="",B1366=""),"",IF(E1366=1,0,D1366*B1366/100/C1366))</f>
        <v/>
      </c>
      <c r="G1366">
        <f>IF(A1366="","",IF(OR(B1366&lt;&gt;B1365,C1366&lt;&gt;C1365,D1366&lt;&gt;D1365,E1366&lt;&gt;E1365),G1365+1,G1365))</f>
        <v/>
      </c>
    </row>
    <row r="1367">
      <c r="A1367" s="14">
        <f>IF(OR(NOT(ISNUMBER(Ввод!$B$5)),NOT(ISNUMBER(Ввод!$B$6))),"",IF(Ввод!$B$5+1365&gt;Ввод!$B$6,"",Ввод!$B$5+1365))</f>
        <v/>
      </c>
      <c r="B1367">
        <f>IF(A1367="","",IFERROR(INDEX(Ввод!$B$12:$B$71,MATCH(A1367,Ввод!$D$12:$D$71,1)),""))</f>
        <v/>
      </c>
      <c r="C1367">
        <f>IF(A1367="","",DATE(YEAR(A1367),12,31)-DATE(YEAR(A1367),1,1)+1)</f>
        <v/>
      </c>
      <c r="D1367">
        <f>IF(A1367="","",Ввод!$B$4-SUMIF(Оплаты!$A$6:$A$505,"&lt;"&amp;A1367,Оплаты!$B$6:$B$505))</f>
        <v/>
      </c>
      <c r="E1367">
        <f>IF(A1367="","",IF(SUMPRODUCT((Ввод!$F$12:$F$31&lt;&gt;"")*(Ввод!$F$12:$F$31&lt;=A1367)*(Ввод!$G$12:$G$31&gt;=A1367))&gt;0,1,0))</f>
        <v/>
      </c>
      <c r="F1367">
        <f>IF(OR(A1367="",B1367=""),"",IF(E1367=1,0,D1367*B1367/100/C1367))</f>
        <v/>
      </c>
      <c r="G1367">
        <f>IF(A1367="","",IF(OR(B1367&lt;&gt;B1366,C1367&lt;&gt;C1366,D1367&lt;&gt;D1366,E1367&lt;&gt;E1366),G1366+1,G1366))</f>
        <v/>
      </c>
    </row>
    <row r="1368">
      <c r="A1368" s="14">
        <f>IF(OR(NOT(ISNUMBER(Ввод!$B$5)),NOT(ISNUMBER(Ввод!$B$6))),"",IF(Ввод!$B$5+1366&gt;Ввод!$B$6,"",Ввод!$B$5+1366))</f>
        <v/>
      </c>
      <c r="B1368">
        <f>IF(A1368="","",IFERROR(INDEX(Ввод!$B$12:$B$71,MATCH(A1368,Ввод!$D$12:$D$71,1)),""))</f>
        <v/>
      </c>
      <c r="C1368">
        <f>IF(A1368="","",DATE(YEAR(A1368),12,31)-DATE(YEAR(A1368),1,1)+1)</f>
        <v/>
      </c>
      <c r="D1368">
        <f>IF(A1368="","",Ввод!$B$4-SUMIF(Оплаты!$A$6:$A$505,"&lt;"&amp;A1368,Оплаты!$B$6:$B$505))</f>
        <v/>
      </c>
      <c r="E1368">
        <f>IF(A1368="","",IF(SUMPRODUCT((Ввод!$F$12:$F$31&lt;&gt;"")*(Ввод!$F$12:$F$31&lt;=A1368)*(Ввод!$G$12:$G$31&gt;=A1368))&gt;0,1,0))</f>
        <v/>
      </c>
      <c r="F1368">
        <f>IF(OR(A1368="",B1368=""),"",IF(E1368=1,0,D1368*B1368/100/C1368))</f>
        <v/>
      </c>
      <c r="G1368">
        <f>IF(A1368="","",IF(OR(B1368&lt;&gt;B1367,C1368&lt;&gt;C1367,D1368&lt;&gt;D1367,E1368&lt;&gt;E1367),G1367+1,G1367))</f>
        <v/>
      </c>
    </row>
    <row r="1369">
      <c r="A1369" s="14">
        <f>IF(OR(NOT(ISNUMBER(Ввод!$B$5)),NOT(ISNUMBER(Ввод!$B$6))),"",IF(Ввод!$B$5+1367&gt;Ввод!$B$6,"",Ввод!$B$5+1367))</f>
        <v/>
      </c>
      <c r="B1369">
        <f>IF(A1369="","",IFERROR(INDEX(Ввод!$B$12:$B$71,MATCH(A1369,Ввод!$D$12:$D$71,1)),""))</f>
        <v/>
      </c>
      <c r="C1369">
        <f>IF(A1369="","",DATE(YEAR(A1369),12,31)-DATE(YEAR(A1369),1,1)+1)</f>
        <v/>
      </c>
      <c r="D1369">
        <f>IF(A1369="","",Ввод!$B$4-SUMIF(Оплаты!$A$6:$A$505,"&lt;"&amp;A1369,Оплаты!$B$6:$B$505))</f>
        <v/>
      </c>
      <c r="E1369">
        <f>IF(A1369="","",IF(SUMPRODUCT((Ввод!$F$12:$F$31&lt;&gt;"")*(Ввод!$F$12:$F$31&lt;=A1369)*(Ввод!$G$12:$G$31&gt;=A1369))&gt;0,1,0))</f>
        <v/>
      </c>
      <c r="F1369">
        <f>IF(OR(A1369="",B1369=""),"",IF(E1369=1,0,D1369*B1369/100/C1369))</f>
        <v/>
      </c>
      <c r="G1369">
        <f>IF(A1369="","",IF(OR(B1369&lt;&gt;B1368,C1369&lt;&gt;C1368,D1369&lt;&gt;D1368,E1369&lt;&gt;E1368),G1368+1,G1368))</f>
        <v/>
      </c>
    </row>
    <row r="1370">
      <c r="A1370" s="14">
        <f>IF(OR(NOT(ISNUMBER(Ввод!$B$5)),NOT(ISNUMBER(Ввод!$B$6))),"",IF(Ввод!$B$5+1368&gt;Ввод!$B$6,"",Ввод!$B$5+1368))</f>
        <v/>
      </c>
      <c r="B1370">
        <f>IF(A1370="","",IFERROR(INDEX(Ввод!$B$12:$B$71,MATCH(A1370,Ввод!$D$12:$D$71,1)),""))</f>
        <v/>
      </c>
      <c r="C1370">
        <f>IF(A1370="","",DATE(YEAR(A1370),12,31)-DATE(YEAR(A1370),1,1)+1)</f>
        <v/>
      </c>
      <c r="D1370">
        <f>IF(A1370="","",Ввод!$B$4-SUMIF(Оплаты!$A$6:$A$505,"&lt;"&amp;A1370,Оплаты!$B$6:$B$505))</f>
        <v/>
      </c>
      <c r="E1370">
        <f>IF(A1370="","",IF(SUMPRODUCT((Ввод!$F$12:$F$31&lt;&gt;"")*(Ввод!$F$12:$F$31&lt;=A1370)*(Ввод!$G$12:$G$31&gt;=A1370))&gt;0,1,0))</f>
        <v/>
      </c>
      <c r="F1370">
        <f>IF(OR(A1370="",B1370=""),"",IF(E1370=1,0,D1370*B1370/100/C1370))</f>
        <v/>
      </c>
      <c r="G1370">
        <f>IF(A1370="","",IF(OR(B1370&lt;&gt;B1369,C1370&lt;&gt;C1369,D1370&lt;&gt;D1369,E1370&lt;&gt;E1369),G1369+1,G1369))</f>
        <v/>
      </c>
    </row>
    <row r="1371">
      <c r="A1371" s="14">
        <f>IF(OR(NOT(ISNUMBER(Ввод!$B$5)),NOT(ISNUMBER(Ввод!$B$6))),"",IF(Ввод!$B$5+1369&gt;Ввод!$B$6,"",Ввод!$B$5+1369))</f>
        <v/>
      </c>
      <c r="B1371">
        <f>IF(A1371="","",IFERROR(INDEX(Ввод!$B$12:$B$71,MATCH(A1371,Ввод!$D$12:$D$71,1)),""))</f>
        <v/>
      </c>
      <c r="C1371">
        <f>IF(A1371="","",DATE(YEAR(A1371),12,31)-DATE(YEAR(A1371),1,1)+1)</f>
        <v/>
      </c>
      <c r="D1371">
        <f>IF(A1371="","",Ввод!$B$4-SUMIF(Оплаты!$A$6:$A$505,"&lt;"&amp;A1371,Оплаты!$B$6:$B$505))</f>
        <v/>
      </c>
      <c r="E1371">
        <f>IF(A1371="","",IF(SUMPRODUCT((Ввод!$F$12:$F$31&lt;&gt;"")*(Ввод!$F$12:$F$31&lt;=A1371)*(Ввод!$G$12:$G$31&gt;=A1371))&gt;0,1,0))</f>
        <v/>
      </c>
      <c r="F1371">
        <f>IF(OR(A1371="",B1371=""),"",IF(E1371=1,0,D1371*B1371/100/C1371))</f>
        <v/>
      </c>
      <c r="G1371">
        <f>IF(A1371="","",IF(OR(B1371&lt;&gt;B1370,C1371&lt;&gt;C1370,D1371&lt;&gt;D1370,E1371&lt;&gt;E1370),G1370+1,G1370))</f>
        <v/>
      </c>
    </row>
    <row r="1372">
      <c r="A1372" s="14">
        <f>IF(OR(NOT(ISNUMBER(Ввод!$B$5)),NOT(ISNUMBER(Ввод!$B$6))),"",IF(Ввод!$B$5+1370&gt;Ввод!$B$6,"",Ввод!$B$5+1370))</f>
        <v/>
      </c>
      <c r="B1372">
        <f>IF(A1372="","",IFERROR(INDEX(Ввод!$B$12:$B$71,MATCH(A1372,Ввод!$D$12:$D$71,1)),""))</f>
        <v/>
      </c>
      <c r="C1372">
        <f>IF(A1372="","",DATE(YEAR(A1372),12,31)-DATE(YEAR(A1372),1,1)+1)</f>
        <v/>
      </c>
      <c r="D1372">
        <f>IF(A1372="","",Ввод!$B$4-SUMIF(Оплаты!$A$6:$A$505,"&lt;"&amp;A1372,Оплаты!$B$6:$B$505))</f>
        <v/>
      </c>
      <c r="E1372">
        <f>IF(A1372="","",IF(SUMPRODUCT((Ввод!$F$12:$F$31&lt;&gt;"")*(Ввод!$F$12:$F$31&lt;=A1372)*(Ввод!$G$12:$G$31&gt;=A1372))&gt;0,1,0))</f>
        <v/>
      </c>
      <c r="F1372">
        <f>IF(OR(A1372="",B1372=""),"",IF(E1372=1,0,D1372*B1372/100/C1372))</f>
        <v/>
      </c>
      <c r="G1372">
        <f>IF(A1372="","",IF(OR(B1372&lt;&gt;B1371,C1372&lt;&gt;C1371,D1372&lt;&gt;D1371,E1372&lt;&gt;E1371),G1371+1,G1371))</f>
        <v/>
      </c>
    </row>
    <row r="1373">
      <c r="A1373" s="14">
        <f>IF(OR(NOT(ISNUMBER(Ввод!$B$5)),NOT(ISNUMBER(Ввод!$B$6))),"",IF(Ввод!$B$5+1371&gt;Ввод!$B$6,"",Ввод!$B$5+1371))</f>
        <v/>
      </c>
      <c r="B1373">
        <f>IF(A1373="","",IFERROR(INDEX(Ввод!$B$12:$B$71,MATCH(A1373,Ввод!$D$12:$D$71,1)),""))</f>
        <v/>
      </c>
      <c r="C1373">
        <f>IF(A1373="","",DATE(YEAR(A1373),12,31)-DATE(YEAR(A1373),1,1)+1)</f>
        <v/>
      </c>
      <c r="D1373">
        <f>IF(A1373="","",Ввод!$B$4-SUMIF(Оплаты!$A$6:$A$505,"&lt;"&amp;A1373,Оплаты!$B$6:$B$505))</f>
        <v/>
      </c>
      <c r="E1373">
        <f>IF(A1373="","",IF(SUMPRODUCT((Ввод!$F$12:$F$31&lt;&gt;"")*(Ввод!$F$12:$F$31&lt;=A1373)*(Ввод!$G$12:$G$31&gt;=A1373))&gt;0,1,0))</f>
        <v/>
      </c>
      <c r="F1373">
        <f>IF(OR(A1373="",B1373=""),"",IF(E1373=1,0,D1373*B1373/100/C1373))</f>
        <v/>
      </c>
      <c r="G1373">
        <f>IF(A1373="","",IF(OR(B1373&lt;&gt;B1372,C1373&lt;&gt;C1372,D1373&lt;&gt;D1372,E1373&lt;&gt;E1372),G1372+1,G1372))</f>
        <v/>
      </c>
    </row>
    <row r="1374">
      <c r="A1374" s="14">
        <f>IF(OR(NOT(ISNUMBER(Ввод!$B$5)),NOT(ISNUMBER(Ввод!$B$6))),"",IF(Ввод!$B$5+1372&gt;Ввод!$B$6,"",Ввод!$B$5+1372))</f>
        <v/>
      </c>
      <c r="B1374">
        <f>IF(A1374="","",IFERROR(INDEX(Ввод!$B$12:$B$71,MATCH(A1374,Ввод!$D$12:$D$71,1)),""))</f>
        <v/>
      </c>
      <c r="C1374">
        <f>IF(A1374="","",DATE(YEAR(A1374),12,31)-DATE(YEAR(A1374),1,1)+1)</f>
        <v/>
      </c>
      <c r="D1374">
        <f>IF(A1374="","",Ввод!$B$4-SUMIF(Оплаты!$A$6:$A$505,"&lt;"&amp;A1374,Оплаты!$B$6:$B$505))</f>
        <v/>
      </c>
      <c r="E1374">
        <f>IF(A1374="","",IF(SUMPRODUCT((Ввод!$F$12:$F$31&lt;&gt;"")*(Ввод!$F$12:$F$31&lt;=A1374)*(Ввод!$G$12:$G$31&gt;=A1374))&gt;0,1,0))</f>
        <v/>
      </c>
      <c r="F1374">
        <f>IF(OR(A1374="",B1374=""),"",IF(E1374=1,0,D1374*B1374/100/C1374))</f>
        <v/>
      </c>
      <c r="G1374">
        <f>IF(A1374="","",IF(OR(B1374&lt;&gt;B1373,C1374&lt;&gt;C1373,D1374&lt;&gt;D1373,E1374&lt;&gt;E1373),G1373+1,G1373))</f>
        <v/>
      </c>
    </row>
    <row r="1375">
      <c r="A1375" s="14">
        <f>IF(OR(NOT(ISNUMBER(Ввод!$B$5)),NOT(ISNUMBER(Ввод!$B$6))),"",IF(Ввод!$B$5+1373&gt;Ввод!$B$6,"",Ввод!$B$5+1373))</f>
        <v/>
      </c>
      <c r="B1375">
        <f>IF(A1375="","",IFERROR(INDEX(Ввод!$B$12:$B$71,MATCH(A1375,Ввод!$D$12:$D$71,1)),""))</f>
        <v/>
      </c>
      <c r="C1375">
        <f>IF(A1375="","",DATE(YEAR(A1375),12,31)-DATE(YEAR(A1375),1,1)+1)</f>
        <v/>
      </c>
      <c r="D1375">
        <f>IF(A1375="","",Ввод!$B$4-SUMIF(Оплаты!$A$6:$A$505,"&lt;"&amp;A1375,Оплаты!$B$6:$B$505))</f>
        <v/>
      </c>
      <c r="E1375">
        <f>IF(A1375="","",IF(SUMPRODUCT((Ввод!$F$12:$F$31&lt;&gt;"")*(Ввод!$F$12:$F$31&lt;=A1375)*(Ввод!$G$12:$G$31&gt;=A1375))&gt;0,1,0))</f>
        <v/>
      </c>
      <c r="F1375">
        <f>IF(OR(A1375="",B1375=""),"",IF(E1375=1,0,D1375*B1375/100/C1375))</f>
        <v/>
      </c>
      <c r="G1375">
        <f>IF(A1375="","",IF(OR(B1375&lt;&gt;B1374,C1375&lt;&gt;C1374,D1375&lt;&gt;D1374,E1375&lt;&gt;E1374),G1374+1,G1374))</f>
        <v/>
      </c>
    </row>
    <row r="1376">
      <c r="A1376" s="14">
        <f>IF(OR(NOT(ISNUMBER(Ввод!$B$5)),NOT(ISNUMBER(Ввод!$B$6))),"",IF(Ввод!$B$5+1374&gt;Ввод!$B$6,"",Ввод!$B$5+1374))</f>
        <v/>
      </c>
      <c r="B1376">
        <f>IF(A1376="","",IFERROR(INDEX(Ввод!$B$12:$B$71,MATCH(A1376,Ввод!$D$12:$D$71,1)),""))</f>
        <v/>
      </c>
      <c r="C1376">
        <f>IF(A1376="","",DATE(YEAR(A1376),12,31)-DATE(YEAR(A1376),1,1)+1)</f>
        <v/>
      </c>
      <c r="D1376">
        <f>IF(A1376="","",Ввод!$B$4-SUMIF(Оплаты!$A$6:$A$505,"&lt;"&amp;A1376,Оплаты!$B$6:$B$505))</f>
        <v/>
      </c>
      <c r="E1376">
        <f>IF(A1376="","",IF(SUMPRODUCT((Ввод!$F$12:$F$31&lt;&gt;"")*(Ввод!$F$12:$F$31&lt;=A1376)*(Ввод!$G$12:$G$31&gt;=A1376))&gt;0,1,0))</f>
        <v/>
      </c>
      <c r="F1376">
        <f>IF(OR(A1376="",B1376=""),"",IF(E1376=1,0,D1376*B1376/100/C1376))</f>
        <v/>
      </c>
      <c r="G1376">
        <f>IF(A1376="","",IF(OR(B1376&lt;&gt;B1375,C1376&lt;&gt;C1375,D1376&lt;&gt;D1375,E1376&lt;&gt;E1375),G1375+1,G1375))</f>
        <v/>
      </c>
    </row>
    <row r="1377">
      <c r="A1377" s="14">
        <f>IF(OR(NOT(ISNUMBER(Ввод!$B$5)),NOT(ISNUMBER(Ввод!$B$6))),"",IF(Ввод!$B$5+1375&gt;Ввод!$B$6,"",Ввод!$B$5+1375))</f>
        <v/>
      </c>
      <c r="B1377">
        <f>IF(A1377="","",IFERROR(INDEX(Ввод!$B$12:$B$71,MATCH(A1377,Ввод!$D$12:$D$71,1)),""))</f>
        <v/>
      </c>
      <c r="C1377">
        <f>IF(A1377="","",DATE(YEAR(A1377),12,31)-DATE(YEAR(A1377),1,1)+1)</f>
        <v/>
      </c>
      <c r="D1377">
        <f>IF(A1377="","",Ввод!$B$4-SUMIF(Оплаты!$A$6:$A$505,"&lt;"&amp;A1377,Оплаты!$B$6:$B$505))</f>
        <v/>
      </c>
      <c r="E1377">
        <f>IF(A1377="","",IF(SUMPRODUCT((Ввод!$F$12:$F$31&lt;&gt;"")*(Ввод!$F$12:$F$31&lt;=A1377)*(Ввод!$G$12:$G$31&gt;=A1377))&gt;0,1,0))</f>
        <v/>
      </c>
      <c r="F1377">
        <f>IF(OR(A1377="",B1377=""),"",IF(E1377=1,0,D1377*B1377/100/C1377))</f>
        <v/>
      </c>
      <c r="G1377">
        <f>IF(A1377="","",IF(OR(B1377&lt;&gt;B1376,C1377&lt;&gt;C1376,D1377&lt;&gt;D1376,E1377&lt;&gt;E1376),G1376+1,G1376))</f>
        <v/>
      </c>
    </row>
    <row r="1378">
      <c r="A1378" s="14">
        <f>IF(OR(NOT(ISNUMBER(Ввод!$B$5)),NOT(ISNUMBER(Ввод!$B$6))),"",IF(Ввод!$B$5+1376&gt;Ввод!$B$6,"",Ввод!$B$5+1376))</f>
        <v/>
      </c>
      <c r="B1378">
        <f>IF(A1378="","",IFERROR(INDEX(Ввод!$B$12:$B$71,MATCH(A1378,Ввод!$D$12:$D$71,1)),""))</f>
        <v/>
      </c>
      <c r="C1378">
        <f>IF(A1378="","",DATE(YEAR(A1378),12,31)-DATE(YEAR(A1378),1,1)+1)</f>
        <v/>
      </c>
      <c r="D1378">
        <f>IF(A1378="","",Ввод!$B$4-SUMIF(Оплаты!$A$6:$A$505,"&lt;"&amp;A1378,Оплаты!$B$6:$B$505))</f>
        <v/>
      </c>
      <c r="E1378">
        <f>IF(A1378="","",IF(SUMPRODUCT((Ввод!$F$12:$F$31&lt;&gt;"")*(Ввод!$F$12:$F$31&lt;=A1378)*(Ввод!$G$12:$G$31&gt;=A1378))&gt;0,1,0))</f>
        <v/>
      </c>
      <c r="F1378">
        <f>IF(OR(A1378="",B1378=""),"",IF(E1378=1,0,D1378*B1378/100/C1378))</f>
        <v/>
      </c>
      <c r="G1378">
        <f>IF(A1378="","",IF(OR(B1378&lt;&gt;B1377,C1378&lt;&gt;C1377,D1378&lt;&gt;D1377,E1378&lt;&gt;E1377),G1377+1,G1377))</f>
        <v/>
      </c>
    </row>
    <row r="1379">
      <c r="A1379" s="14">
        <f>IF(OR(NOT(ISNUMBER(Ввод!$B$5)),NOT(ISNUMBER(Ввод!$B$6))),"",IF(Ввод!$B$5+1377&gt;Ввод!$B$6,"",Ввод!$B$5+1377))</f>
        <v/>
      </c>
      <c r="B1379">
        <f>IF(A1379="","",IFERROR(INDEX(Ввод!$B$12:$B$71,MATCH(A1379,Ввод!$D$12:$D$71,1)),""))</f>
        <v/>
      </c>
      <c r="C1379">
        <f>IF(A1379="","",DATE(YEAR(A1379),12,31)-DATE(YEAR(A1379),1,1)+1)</f>
        <v/>
      </c>
      <c r="D1379">
        <f>IF(A1379="","",Ввод!$B$4-SUMIF(Оплаты!$A$6:$A$505,"&lt;"&amp;A1379,Оплаты!$B$6:$B$505))</f>
        <v/>
      </c>
      <c r="E1379">
        <f>IF(A1379="","",IF(SUMPRODUCT((Ввод!$F$12:$F$31&lt;&gt;"")*(Ввод!$F$12:$F$31&lt;=A1379)*(Ввод!$G$12:$G$31&gt;=A1379))&gt;0,1,0))</f>
        <v/>
      </c>
      <c r="F1379">
        <f>IF(OR(A1379="",B1379=""),"",IF(E1379=1,0,D1379*B1379/100/C1379))</f>
        <v/>
      </c>
      <c r="G1379">
        <f>IF(A1379="","",IF(OR(B1379&lt;&gt;B1378,C1379&lt;&gt;C1378,D1379&lt;&gt;D1378,E1379&lt;&gt;E1378),G1378+1,G1378))</f>
        <v/>
      </c>
    </row>
    <row r="1380">
      <c r="A1380" s="14">
        <f>IF(OR(NOT(ISNUMBER(Ввод!$B$5)),NOT(ISNUMBER(Ввод!$B$6))),"",IF(Ввод!$B$5+1378&gt;Ввод!$B$6,"",Ввод!$B$5+1378))</f>
        <v/>
      </c>
      <c r="B1380">
        <f>IF(A1380="","",IFERROR(INDEX(Ввод!$B$12:$B$71,MATCH(A1380,Ввод!$D$12:$D$71,1)),""))</f>
        <v/>
      </c>
      <c r="C1380">
        <f>IF(A1380="","",DATE(YEAR(A1380),12,31)-DATE(YEAR(A1380),1,1)+1)</f>
        <v/>
      </c>
      <c r="D1380">
        <f>IF(A1380="","",Ввод!$B$4-SUMIF(Оплаты!$A$6:$A$505,"&lt;"&amp;A1380,Оплаты!$B$6:$B$505))</f>
        <v/>
      </c>
      <c r="E1380">
        <f>IF(A1380="","",IF(SUMPRODUCT((Ввод!$F$12:$F$31&lt;&gt;"")*(Ввод!$F$12:$F$31&lt;=A1380)*(Ввод!$G$12:$G$31&gt;=A1380))&gt;0,1,0))</f>
        <v/>
      </c>
      <c r="F1380">
        <f>IF(OR(A1380="",B1380=""),"",IF(E1380=1,0,D1380*B1380/100/C1380))</f>
        <v/>
      </c>
      <c r="G1380">
        <f>IF(A1380="","",IF(OR(B1380&lt;&gt;B1379,C1380&lt;&gt;C1379,D1380&lt;&gt;D1379,E1380&lt;&gt;E1379),G1379+1,G1379))</f>
        <v/>
      </c>
    </row>
    <row r="1381">
      <c r="A1381" s="14">
        <f>IF(OR(NOT(ISNUMBER(Ввод!$B$5)),NOT(ISNUMBER(Ввод!$B$6))),"",IF(Ввод!$B$5+1379&gt;Ввод!$B$6,"",Ввод!$B$5+1379))</f>
        <v/>
      </c>
      <c r="B1381">
        <f>IF(A1381="","",IFERROR(INDEX(Ввод!$B$12:$B$71,MATCH(A1381,Ввод!$D$12:$D$71,1)),""))</f>
        <v/>
      </c>
      <c r="C1381">
        <f>IF(A1381="","",DATE(YEAR(A1381),12,31)-DATE(YEAR(A1381),1,1)+1)</f>
        <v/>
      </c>
      <c r="D1381">
        <f>IF(A1381="","",Ввод!$B$4-SUMIF(Оплаты!$A$6:$A$505,"&lt;"&amp;A1381,Оплаты!$B$6:$B$505))</f>
        <v/>
      </c>
      <c r="E1381">
        <f>IF(A1381="","",IF(SUMPRODUCT((Ввод!$F$12:$F$31&lt;&gt;"")*(Ввод!$F$12:$F$31&lt;=A1381)*(Ввод!$G$12:$G$31&gt;=A1381))&gt;0,1,0))</f>
        <v/>
      </c>
      <c r="F1381">
        <f>IF(OR(A1381="",B1381=""),"",IF(E1381=1,0,D1381*B1381/100/C1381))</f>
        <v/>
      </c>
      <c r="G1381">
        <f>IF(A1381="","",IF(OR(B1381&lt;&gt;B1380,C1381&lt;&gt;C1380,D1381&lt;&gt;D1380,E1381&lt;&gt;E1380),G1380+1,G1380))</f>
        <v/>
      </c>
    </row>
    <row r="1382">
      <c r="A1382" s="14">
        <f>IF(OR(NOT(ISNUMBER(Ввод!$B$5)),NOT(ISNUMBER(Ввод!$B$6))),"",IF(Ввод!$B$5+1380&gt;Ввод!$B$6,"",Ввод!$B$5+1380))</f>
        <v/>
      </c>
      <c r="B1382">
        <f>IF(A1382="","",IFERROR(INDEX(Ввод!$B$12:$B$71,MATCH(A1382,Ввод!$D$12:$D$71,1)),""))</f>
        <v/>
      </c>
      <c r="C1382">
        <f>IF(A1382="","",DATE(YEAR(A1382),12,31)-DATE(YEAR(A1382),1,1)+1)</f>
        <v/>
      </c>
      <c r="D1382">
        <f>IF(A1382="","",Ввод!$B$4-SUMIF(Оплаты!$A$6:$A$505,"&lt;"&amp;A1382,Оплаты!$B$6:$B$505))</f>
        <v/>
      </c>
      <c r="E1382">
        <f>IF(A1382="","",IF(SUMPRODUCT((Ввод!$F$12:$F$31&lt;&gt;"")*(Ввод!$F$12:$F$31&lt;=A1382)*(Ввод!$G$12:$G$31&gt;=A1382))&gt;0,1,0))</f>
        <v/>
      </c>
      <c r="F1382">
        <f>IF(OR(A1382="",B1382=""),"",IF(E1382=1,0,D1382*B1382/100/C1382))</f>
        <v/>
      </c>
      <c r="G1382">
        <f>IF(A1382="","",IF(OR(B1382&lt;&gt;B1381,C1382&lt;&gt;C1381,D1382&lt;&gt;D1381,E1382&lt;&gt;E1381),G1381+1,G1381))</f>
        <v/>
      </c>
    </row>
    <row r="1383">
      <c r="A1383" s="14">
        <f>IF(OR(NOT(ISNUMBER(Ввод!$B$5)),NOT(ISNUMBER(Ввод!$B$6))),"",IF(Ввод!$B$5+1381&gt;Ввод!$B$6,"",Ввод!$B$5+1381))</f>
        <v/>
      </c>
      <c r="B1383">
        <f>IF(A1383="","",IFERROR(INDEX(Ввод!$B$12:$B$71,MATCH(A1383,Ввод!$D$12:$D$71,1)),""))</f>
        <v/>
      </c>
      <c r="C1383">
        <f>IF(A1383="","",DATE(YEAR(A1383),12,31)-DATE(YEAR(A1383),1,1)+1)</f>
        <v/>
      </c>
      <c r="D1383">
        <f>IF(A1383="","",Ввод!$B$4-SUMIF(Оплаты!$A$6:$A$505,"&lt;"&amp;A1383,Оплаты!$B$6:$B$505))</f>
        <v/>
      </c>
      <c r="E1383">
        <f>IF(A1383="","",IF(SUMPRODUCT((Ввод!$F$12:$F$31&lt;&gt;"")*(Ввод!$F$12:$F$31&lt;=A1383)*(Ввод!$G$12:$G$31&gt;=A1383))&gt;0,1,0))</f>
        <v/>
      </c>
      <c r="F1383">
        <f>IF(OR(A1383="",B1383=""),"",IF(E1383=1,0,D1383*B1383/100/C1383))</f>
        <v/>
      </c>
      <c r="G1383">
        <f>IF(A1383="","",IF(OR(B1383&lt;&gt;B1382,C1383&lt;&gt;C1382,D1383&lt;&gt;D1382,E1383&lt;&gt;E1382),G1382+1,G1382))</f>
        <v/>
      </c>
    </row>
    <row r="1384">
      <c r="A1384" s="14">
        <f>IF(OR(NOT(ISNUMBER(Ввод!$B$5)),NOT(ISNUMBER(Ввод!$B$6))),"",IF(Ввод!$B$5+1382&gt;Ввод!$B$6,"",Ввод!$B$5+1382))</f>
        <v/>
      </c>
      <c r="B1384">
        <f>IF(A1384="","",IFERROR(INDEX(Ввод!$B$12:$B$71,MATCH(A1384,Ввод!$D$12:$D$71,1)),""))</f>
        <v/>
      </c>
      <c r="C1384">
        <f>IF(A1384="","",DATE(YEAR(A1384),12,31)-DATE(YEAR(A1384),1,1)+1)</f>
        <v/>
      </c>
      <c r="D1384">
        <f>IF(A1384="","",Ввод!$B$4-SUMIF(Оплаты!$A$6:$A$505,"&lt;"&amp;A1384,Оплаты!$B$6:$B$505))</f>
        <v/>
      </c>
      <c r="E1384">
        <f>IF(A1384="","",IF(SUMPRODUCT((Ввод!$F$12:$F$31&lt;&gt;"")*(Ввод!$F$12:$F$31&lt;=A1384)*(Ввод!$G$12:$G$31&gt;=A1384))&gt;0,1,0))</f>
        <v/>
      </c>
      <c r="F1384">
        <f>IF(OR(A1384="",B1384=""),"",IF(E1384=1,0,D1384*B1384/100/C1384))</f>
        <v/>
      </c>
      <c r="G1384">
        <f>IF(A1384="","",IF(OR(B1384&lt;&gt;B1383,C1384&lt;&gt;C1383,D1384&lt;&gt;D1383,E1384&lt;&gt;E1383),G1383+1,G1383))</f>
        <v/>
      </c>
    </row>
    <row r="1385">
      <c r="A1385" s="14">
        <f>IF(OR(NOT(ISNUMBER(Ввод!$B$5)),NOT(ISNUMBER(Ввод!$B$6))),"",IF(Ввод!$B$5+1383&gt;Ввод!$B$6,"",Ввод!$B$5+1383))</f>
        <v/>
      </c>
      <c r="B1385">
        <f>IF(A1385="","",IFERROR(INDEX(Ввод!$B$12:$B$71,MATCH(A1385,Ввод!$D$12:$D$71,1)),""))</f>
        <v/>
      </c>
      <c r="C1385">
        <f>IF(A1385="","",DATE(YEAR(A1385),12,31)-DATE(YEAR(A1385),1,1)+1)</f>
        <v/>
      </c>
      <c r="D1385">
        <f>IF(A1385="","",Ввод!$B$4-SUMIF(Оплаты!$A$6:$A$505,"&lt;"&amp;A1385,Оплаты!$B$6:$B$505))</f>
        <v/>
      </c>
      <c r="E1385">
        <f>IF(A1385="","",IF(SUMPRODUCT((Ввод!$F$12:$F$31&lt;&gt;"")*(Ввод!$F$12:$F$31&lt;=A1385)*(Ввод!$G$12:$G$31&gt;=A1385))&gt;0,1,0))</f>
        <v/>
      </c>
      <c r="F1385">
        <f>IF(OR(A1385="",B1385=""),"",IF(E1385=1,0,D1385*B1385/100/C1385))</f>
        <v/>
      </c>
      <c r="G1385">
        <f>IF(A1385="","",IF(OR(B1385&lt;&gt;B1384,C1385&lt;&gt;C1384,D1385&lt;&gt;D1384,E1385&lt;&gt;E1384),G1384+1,G1384))</f>
        <v/>
      </c>
    </row>
    <row r="1386">
      <c r="A1386" s="14">
        <f>IF(OR(NOT(ISNUMBER(Ввод!$B$5)),NOT(ISNUMBER(Ввод!$B$6))),"",IF(Ввод!$B$5+1384&gt;Ввод!$B$6,"",Ввод!$B$5+1384))</f>
        <v/>
      </c>
      <c r="B1386">
        <f>IF(A1386="","",IFERROR(INDEX(Ввод!$B$12:$B$71,MATCH(A1386,Ввод!$D$12:$D$71,1)),""))</f>
        <v/>
      </c>
      <c r="C1386">
        <f>IF(A1386="","",DATE(YEAR(A1386),12,31)-DATE(YEAR(A1386),1,1)+1)</f>
        <v/>
      </c>
      <c r="D1386">
        <f>IF(A1386="","",Ввод!$B$4-SUMIF(Оплаты!$A$6:$A$505,"&lt;"&amp;A1386,Оплаты!$B$6:$B$505))</f>
        <v/>
      </c>
      <c r="E1386">
        <f>IF(A1386="","",IF(SUMPRODUCT((Ввод!$F$12:$F$31&lt;&gt;"")*(Ввод!$F$12:$F$31&lt;=A1386)*(Ввод!$G$12:$G$31&gt;=A1386))&gt;0,1,0))</f>
        <v/>
      </c>
      <c r="F1386">
        <f>IF(OR(A1386="",B1386=""),"",IF(E1386=1,0,D1386*B1386/100/C1386))</f>
        <v/>
      </c>
      <c r="G1386">
        <f>IF(A1386="","",IF(OR(B1386&lt;&gt;B1385,C1386&lt;&gt;C1385,D1386&lt;&gt;D1385,E1386&lt;&gt;E1385),G1385+1,G1385))</f>
        <v/>
      </c>
    </row>
    <row r="1387">
      <c r="A1387" s="14">
        <f>IF(OR(NOT(ISNUMBER(Ввод!$B$5)),NOT(ISNUMBER(Ввод!$B$6))),"",IF(Ввод!$B$5+1385&gt;Ввод!$B$6,"",Ввод!$B$5+1385))</f>
        <v/>
      </c>
      <c r="B1387">
        <f>IF(A1387="","",IFERROR(INDEX(Ввод!$B$12:$B$71,MATCH(A1387,Ввод!$D$12:$D$71,1)),""))</f>
        <v/>
      </c>
      <c r="C1387">
        <f>IF(A1387="","",DATE(YEAR(A1387),12,31)-DATE(YEAR(A1387),1,1)+1)</f>
        <v/>
      </c>
      <c r="D1387">
        <f>IF(A1387="","",Ввод!$B$4-SUMIF(Оплаты!$A$6:$A$505,"&lt;"&amp;A1387,Оплаты!$B$6:$B$505))</f>
        <v/>
      </c>
      <c r="E1387">
        <f>IF(A1387="","",IF(SUMPRODUCT((Ввод!$F$12:$F$31&lt;&gt;"")*(Ввод!$F$12:$F$31&lt;=A1387)*(Ввод!$G$12:$G$31&gt;=A1387))&gt;0,1,0))</f>
        <v/>
      </c>
      <c r="F1387">
        <f>IF(OR(A1387="",B1387=""),"",IF(E1387=1,0,D1387*B1387/100/C1387))</f>
        <v/>
      </c>
      <c r="G1387">
        <f>IF(A1387="","",IF(OR(B1387&lt;&gt;B1386,C1387&lt;&gt;C1386,D1387&lt;&gt;D1386,E1387&lt;&gt;E1386),G1386+1,G1386))</f>
        <v/>
      </c>
    </row>
    <row r="1388">
      <c r="A1388" s="14">
        <f>IF(OR(NOT(ISNUMBER(Ввод!$B$5)),NOT(ISNUMBER(Ввод!$B$6))),"",IF(Ввод!$B$5+1386&gt;Ввод!$B$6,"",Ввод!$B$5+1386))</f>
        <v/>
      </c>
      <c r="B1388">
        <f>IF(A1388="","",IFERROR(INDEX(Ввод!$B$12:$B$71,MATCH(A1388,Ввод!$D$12:$D$71,1)),""))</f>
        <v/>
      </c>
      <c r="C1388">
        <f>IF(A1388="","",DATE(YEAR(A1388),12,31)-DATE(YEAR(A1388),1,1)+1)</f>
        <v/>
      </c>
      <c r="D1388">
        <f>IF(A1388="","",Ввод!$B$4-SUMIF(Оплаты!$A$6:$A$505,"&lt;"&amp;A1388,Оплаты!$B$6:$B$505))</f>
        <v/>
      </c>
      <c r="E1388">
        <f>IF(A1388="","",IF(SUMPRODUCT((Ввод!$F$12:$F$31&lt;&gt;"")*(Ввод!$F$12:$F$31&lt;=A1388)*(Ввод!$G$12:$G$31&gt;=A1388))&gt;0,1,0))</f>
        <v/>
      </c>
      <c r="F1388">
        <f>IF(OR(A1388="",B1388=""),"",IF(E1388=1,0,D1388*B1388/100/C1388))</f>
        <v/>
      </c>
      <c r="G1388">
        <f>IF(A1388="","",IF(OR(B1388&lt;&gt;B1387,C1388&lt;&gt;C1387,D1388&lt;&gt;D1387,E1388&lt;&gt;E1387),G1387+1,G1387))</f>
        <v/>
      </c>
    </row>
    <row r="1389">
      <c r="A1389" s="14">
        <f>IF(OR(NOT(ISNUMBER(Ввод!$B$5)),NOT(ISNUMBER(Ввод!$B$6))),"",IF(Ввод!$B$5+1387&gt;Ввод!$B$6,"",Ввод!$B$5+1387))</f>
        <v/>
      </c>
      <c r="B1389">
        <f>IF(A1389="","",IFERROR(INDEX(Ввод!$B$12:$B$71,MATCH(A1389,Ввод!$D$12:$D$71,1)),""))</f>
        <v/>
      </c>
      <c r="C1389">
        <f>IF(A1389="","",DATE(YEAR(A1389),12,31)-DATE(YEAR(A1389),1,1)+1)</f>
        <v/>
      </c>
      <c r="D1389">
        <f>IF(A1389="","",Ввод!$B$4-SUMIF(Оплаты!$A$6:$A$505,"&lt;"&amp;A1389,Оплаты!$B$6:$B$505))</f>
        <v/>
      </c>
      <c r="E1389">
        <f>IF(A1389="","",IF(SUMPRODUCT((Ввод!$F$12:$F$31&lt;&gt;"")*(Ввод!$F$12:$F$31&lt;=A1389)*(Ввод!$G$12:$G$31&gt;=A1389))&gt;0,1,0))</f>
        <v/>
      </c>
      <c r="F1389">
        <f>IF(OR(A1389="",B1389=""),"",IF(E1389=1,0,D1389*B1389/100/C1389))</f>
        <v/>
      </c>
      <c r="G1389">
        <f>IF(A1389="","",IF(OR(B1389&lt;&gt;B1388,C1389&lt;&gt;C1388,D1389&lt;&gt;D1388,E1389&lt;&gt;E1388),G1388+1,G1388))</f>
        <v/>
      </c>
    </row>
    <row r="1390">
      <c r="A1390" s="14">
        <f>IF(OR(NOT(ISNUMBER(Ввод!$B$5)),NOT(ISNUMBER(Ввод!$B$6))),"",IF(Ввод!$B$5+1388&gt;Ввод!$B$6,"",Ввод!$B$5+1388))</f>
        <v/>
      </c>
      <c r="B1390">
        <f>IF(A1390="","",IFERROR(INDEX(Ввод!$B$12:$B$71,MATCH(A1390,Ввод!$D$12:$D$71,1)),""))</f>
        <v/>
      </c>
      <c r="C1390">
        <f>IF(A1390="","",DATE(YEAR(A1390),12,31)-DATE(YEAR(A1390),1,1)+1)</f>
        <v/>
      </c>
      <c r="D1390">
        <f>IF(A1390="","",Ввод!$B$4-SUMIF(Оплаты!$A$6:$A$505,"&lt;"&amp;A1390,Оплаты!$B$6:$B$505))</f>
        <v/>
      </c>
      <c r="E1390">
        <f>IF(A1390="","",IF(SUMPRODUCT((Ввод!$F$12:$F$31&lt;&gt;"")*(Ввод!$F$12:$F$31&lt;=A1390)*(Ввод!$G$12:$G$31&gt;=A1390))&gt;0,1,0))</f>
        <v/>
      </c>
      <c r="F1390">
        <f>IF(OR(A1390="",B1390=""),"",IF(E1390=1,0,D1390*B1390/100/C1390))</f>
        <v/>
      </c>
      <c r="G1390">
        <f>IF(A1390="","",IF(OR(B1390&lt;&gt;B1389,C1390&lt;&gt;C1389,D1390&lt;&gt;D1389,E1390&lt;&gt;E1389),G1389+1,G1389))</f>
        <v/>
      </c>
    </row>
    <row r="1391">
      <c r="A1391" s="14">
        <f>IF(OR(NOT(ISNUMBER(Ввод!$B$5)),NOT(ISNUMBER(Ввод!$B$6))),"",IF(Ввод!$B$5+1389&gt;Ввод!$B$6,"",Ввод!$B$5+1389))</f>
        <v/>
      </c>
      <c r="B1391">
        <f>IF(A1391="","",IFERROR(INDEX(Ввод!$B$12:$B$71,MATCH(A1391,Ввод!$D$12:$D$71,1)),""))</f>
        <v/>
      </c>
      <c r="C1391">
        <f>IF(A1391="","",DATE(YEAR(A1391),12,31)-DATE(YEAR(A1391),1,1)+1)</f>
        <v/>
      </c>
      <c r="D1391">
        <f>IF(A1391="","",Ввод!$B$4-SUMIF(Оплаты!$A$6:$A$505,"&lt;"&amp;A1391,Оплаты!$B$6:$B$505))</f>
        <v/>
      </c>
      <c r="E1391">
        <f>IF(A1391="","",IF(SUMPRODUCT((Ввод!$F$12:$F$31&lt;&gt;"")*(Ввод!$F$12:$F$31&lt;=A1391)*(Ввод!$G$12:$G$31&gt;=A1391))&gt;0,1,0))</f>
        <v/>
      </c>
      <c r="F1391">
        <f>IF(OR(A1391="",B1391=""),"",IF(E1391=1,0,D1391*B1391/100/C1391))</f>
        <v/>
      </c>
      <c r="G1391">
        <f>IF(A1391="","",IF(OR(B1391&lt;&gt;B1390,C1391&lt;&gt;C1390,D1391&lt;&gt;D1390,E1391&lt;&gt;E1390),G1390+1,G1390))</f>
        <v/>
      </c>
    </row>
    <row r="1392">
      <c r="A1392" s="14">
        <f>IF(OR(NOT(ISNUMBER(Ввод!$B$5)),NOT(ISNUMBER(Ввод!$B$6))),"",IF(Ввод!$B$5+1390&gt;Ввод!$B$6,"",Ввод!$B$5+1390))</f>
        <v/>
      </c>
      <c r="B1392">
        <f>IF(A1392="","",IFERROR(INDEX(Ввод!$B$12:$B$71,MATCH(A1392,Ввод!$D$12:$D$71,1)),""))</f>
        <v/>
      </c>
      <c r="C1392">
        <f>IF(A1392="","",DATE(YEAR(A1392),12,31)-DATE(YEAR(A1392),1,1)+1)</f>
        <v/>
      </c>
      <c r="D1392">
        <f>IF(A1392="","",Ввод!$B$4-SUMIF(Оплаты!$A$6:$A$505,"&lt;"&amp;A1392,Оплаты!$B$6:$B$505))</f>
        <v/>
      </c>
      <c r="E1392">
        <f>IF(A1392="","",IF(SUMPRODUCT((Ввод!$F$12:$F$31&lt;&gt;"")*(Ввод!$F$12:$F$31&lt;=A1392)*(Ввод!$G$12:$G$31&gt;=A1392))&gt;0,1,0))</f>
        <v/>
      </c>
      <c r="F1392">
        <f>IF(OR(A1392="",B1392=""),"",IF(E1392=1,0,D1392*B1392/100/C1392))</f>
        <v/>
      </c>
      <c r="G1392">
        <f>IF(A1392="","",IF(OR(B1392&lt;&gt;B1391,C1392&lt;&gt;C1391,D1392&lt;&gt;D1391,E1392&lt;&gt;E1391),G1391+1,G1391))</f>
        <v/>
      </c>
    </row>
    <row r="1393">
      <c r="A1393" s="14">
        <f>IF(OR(NOT(ISNUMBER(Ввод!$B$5)),NOT(ISNUMBER(Ввод!$B$6))),"",IF(Ввод!$B$5+1391&gt;Ввод!$B$6,"",Ввод!$B$5+1391))</f>
        <v/>
      </c>
      <c r="B1393">
        <f>IF(A1393="","",IFERROR(INDEX(Ввод!$B$12:$B$71,MATCH(A1393,Ввод!$D$12:$D$71,1)),""))</f>
        <v/>
      </c>
      <c r="C1393">
        <f>IF(A1393="","",DATE(YEAR(A1393),12,31)-DATE(YEAR(A1393),1,1)+1)</f>
        <v/>
      </c>
      <c r="D1393">
        <f>IF(A1393="","",Ввод!$B$4-SUMIF(Оплаты!$A$6:$A$505,"&lt;"&amp;A1393,Оплаты!$B$6:$B$505))</f>
        <v/>
      </c>
      <c r="E1393">
        <f>IF(A1393="","",IF(SUMPRODUCT((Ввод!$F$12:$F$31&lt;&gt;"")*(Ввод!$F$12:$F$31&lt;=A1393)*(Ввод!$G$12:$G$31&gt;=A1393))&gt;0,1,0))</f>
        <v/>
      </c>
      <c r="F1393">
        <f>IF(OR(A1393="",B1393=""),"",IF(E1393=1,0,D1393*B1393/100/C1393))</f>
        <v/>
      </c>
      <c r="G1393">
        <f>IF(A1393="","",IF(OR(B1393&lt;&gt;B1392,C1393&lt;&gt;C1392,D1393&lt;&gt;D1392,E1393&lt;&gt;E1392),G1392+1,G1392))</f>
        <v/>
      </c>
    </row>
    <row r="1394">
      <c r="A1394" s="14">
        <f>IF(OR(NOT(ISNUMBER(Ввод!$B$5)),NOT(ISNUMBER(Ввод!$B$6))),"",IF(Ввод!$B$5+1392&gt;Ввод!$B$6,"",Ввод!$B$5+1392))</f>
        <v/>
      </c>
      <c r="B1394">
        <f>IF(A1394="","",IFERROR(INDEX(Ввод!$B$12:$B$71,MATCH(A1394,Ввод!$D$12:$D$71,1)),""))</f>
        <v/>
      </c>
      <c r="C1394">
        <f>IF(A1394="","",DATE(YEAR(A1394),12,31)-DATE(YEAR(A1394),1,1)+1)</f>
        <v/>
      </c>
      <c r="D1394">
        <f>IF(A1394="","",Ввод!$B$4-SUMIF(Оплаты!$A$6:$A$505,"&lt;"&amp;A1394,Оплаты!$B$6:$B$505))</f>
        <v/>
      </c>
      <c r="E1394">
        <f>IF(A1394="","",IF(SUMPRODUCT((Ввод!$F$12:$F$31&lt;&gt;"")*(Ввод!$F$12:$F$31&lt;=A1394)*(Ввод!$G$12:$G$31&gt;=A1394))&gt;0,1,0))</f>
        <v/>
      </c>
      <c r="F1394">
        <f>IF(OR(A1394="",B1394=""),"",IF(E1394=1,0,D1394*B1394/100/C1394))</f>
        <v/>
      </c>
      <c r="G1394">
        <f>IF(A1394="","",IF(OR(B1394&lt;&gt;B1393,C1394&lt;&gt;C1393,D1394&lt;&gt;D1393,E1394&lt;&gt;E1393),G1393+1,G1393))</f>
        <v/>
      </c>
    </row>
    <row r="1395">
      <c r="A1395" s="14">
        <f>IF(OR(NOT(ISNUMBER(Ввод!$B$5)),NOT(ISNUMBER(Ввод!$B$6))),"",IF(Ввод!$B$5+1393&gt;Ввод!$B$6,"",Ввод!$B$5+1393))</f>
        <v/>
      </c>
      <c r="B1395">
        <f>IF(A1395="","",IFERROR(INDEX(Ввод!$B$12:$B$71,MATCH(A1395,Ввод!$D$12:$D$71,1)),""))</f>
        <v/>
      </c>
      <c r="C1395">
        <f>IF(A1395="","",DATE(YEAR(A1395),12,31)-DATE(YEAR(A1395),1,1)+1)</f>
        <v/>
      </c>
      <c r="D1395">
        <f>IF(A1395="","",Ввод!$B$4-SUMIF(Оплаты!$A$6:$A$505,"&lt;"&amp;A1395,Оплаты!$B$6:$B$505))</f>
        <v/>
      </c>
      <c r="E1395">
        <f>IF(A1395="","",IF(SUMPRODUCT((Ввод!$F$12:$F$31&lt;&gt;"")*(Ввод!$F$12:$F$31&lt;=A1395)*(Ввод!$G$12:$G$31&gt;=A1395))&gt;0,1,0))</f>
        <v/>
      </c>
      <c r="F1395">
        <f>IF(OR(A1395="",B1395=""),"",IF(E1395=1,0,D1395*B1395/100/C1395))</f>
        <v/>
      </c>
      <c r="G1395">
        <f>IF(A1395="","",IF(OR(B1395&lt;&gt;B1394,C1395&lt;&gt;C1394,D1395&lt;&gt;D1394,E1395&lt;&gt;E1394),G1394+1,G1394))</f>
        <v/>
      </c>
    </row>
    <row r="1396">
      <c r="A1396" s="14">
        <f>IF(OR(NOT(ISNUMBER(Ввод!$B$5)),NOT(ISNUMBER(Ввод!$B$6))),"",IF(Ввод!$B$5+1394&gt;Ввод!$B$6,"",Ввод!$B$5+1394))</f>
        <v/>
      </c>
      <c r="B1396">
        <f>IF(A1396="","",IFERROR(INDEX(Ввод!$B$12:$B$71,MATCH(A1396,Ввод!$D$12:$D$71,1)),""))</f>
        <v/>
      </c>
      <c r="C1396">
        <f>IF(A1396="","",DATE(YEAR(A1396),12,31)-DATE(YEAR(A1396),1,1)+1)</f>
        <v/>
      </c>
      <c r="D1396">
        <f>IF(A1396="","",Ввод!$B$4-SUMIF(Оплаты!$A$6:$A$505,"&lt;"&amp;A1396,Оплаты!$B$6:$B$505))</f>
        <v/>
      </c>
      <c r="E1396">
        <f>IF(A1396="","",IF(SUMPRODUCT((Ввод!$F$12:$F$31&lt;&gt;"")*(Ввод!$F$12:$F$31&lt;=A1396)*(Ввод!$G$12:$G$31&gt;=A1396))&gt;0,1,0))</f>
        <v/>
      </c>
      <c r="F1396">
        <f>IF(OR(A1396="",B1396=""),"",IF(E1396=1,0,D1396*B1396/100/C1396))</f>
        <v/>
      </c>
      <c r="G1396">
        <f>IF(A1396="","",IF(OR(B1396&lt;&gt;B1395,C1396&lt;&gt;C1395,D1396&lt;&gt;D1395,E1396&lt;&gt;E1395),G1395+1,G1395))</f>
        <v/>
      </c>
    </row>
    <row r="1397">
      <c r="A1397" s="14">
        <f>IF(OR(NOT(ISNUMBER(Ввод!$B$5)),NOT(ISNUMBER(Ввод!$B$6))),"",IF(Ввод!$B$5+1395&gt;Ввод!$B$6,"",Ввод!$B$5+1395))</f>
        <v/>
      </c>
      <c r="B1397">
        <f>IF(A1397="","",IFERROR(INDEX(Ввод!$B$12:$B$71,MATCH(A1397,Ввод!$D$12:$D$71,1)),""))</f>
        <v/>
      </c>
      <c r="C1397">
        <f>IF(A1397="","",DATE(YEAR(A1397),12,31)-DATE(YEAR(A1397),1,1)+1)</f>
        <v/>
      </c>
      <c r="D1397">
        <f>IF(A1397="","",Ввод!$B$4-SUMIF(Оплаты!$A$6:$A$505,"&lt;"&amp;A1397,Оплаты!$B$6:$B$505))</f>
        <v/>
      </c>
      <c r="E1397">
        <f>IF(A1397="","",IF(SUMPRODUCT((Ввод!$F$12:$F$31&lt;&gt;"")*(Ввод!$F$12:$F$31&lt;=A1397)*(Ввод!$G$12:$G$31&gt;=A1397))&gt;0,1,0))</f>
        <v/>
      </c>
      <c r="F1397">
        <f>IF(OR(A1397="",B1397=""),"",IF(E1397=1,0,D1397*B1397/100/C1397))</f>
        <v/>
      </c>
      <c r="G1397">
        <f>IF(A1397="","",IF(OR(B1397&lt;&gt;B1396,C1397&lt;&gt;C1396,D1397&lt;&gt;D1396,E1397&lt;&gt;E1396),G1396+1,G1396))</f>
        <v/>
      </c>
    </row>
    <row r="1398">
      <c r="A1398" s="14">
        <f>IF(OR(NOT(ISNUMBER(Ввод!$B$5)),NOT(ISNUMBER(Ввод!$B$6))),"",IF(Ввод!$B$5+1396&gt;Ввод!$B$6,"",Ввод!$B$5+1396))</f>
        <v/>
      </c>
      <c r="B1398">
        <f>IF(A1398="","",IFERROR(INDEX(Ввод!$B$12:$B$71,MATCH(A1398,Ввод!$D$12:$D$71,1)),""))</f>
        <v/>
      </c>
      <c r="C1398">
        <f>IF(A1398="","",DATE(YEAR(A1398),12,31)-DATE(YEAR(A1398),1,1)+1)</f>
        <v/>
      </c>
      <c r="D1398">
        <f>IF(A1398="","",Ввод!$B$4-SUMIF(Оплаты!$A$6:$A$505,"&lt;"&amp;A1398,Оплаты!$B$6:$B$505))</f>
        <v/>
      </c>
      <c r="E1398">
        <f>IF(A1398="","",IF(SUMPRODUCT((Ввод!$F$12:$F$31&lt;&gt;"")*(Ввод!$F$12:$F$31&lt;=A1398)*(Ввод!$G$12:$G$31&gt;=A1398))&gt;0,1,0))</f>
        <v/>
      </c>
      <c r="F1398">
        <f>IF(OR(A1398="",B1398=""),"",IF(E1398=1,0,D1398*B1398/100/C1398))</f>
        <v/>
      </c>
      <c r="G1398">
        <f>IF(A1398="","",IF(OR(B1398&lt;&gt;B1397,C1398&lt;&gt;C1397,D1398&lt;&gt;D1397,E1398&lt;&gt;E1397),G1397+1,G1397))</f>
        <v/>
      </c>
    </row>
    <row r="1399">
      <c r="A1399" s="14">
        <f>IF(OR(NOT(ISNUMBER(Ввод!$B$5)),NOT(ISNUMBER(Ввод!$B$6))),"",IF(Ввод!$B$5+1397&gt;Ввод!$B$6,"",Ввод!$B$5+1397))</f>
        <v/>
      </c>
      <c r="B1399">
        <f>IF(A1399="","",IFERROR(INDEX(Ввод!$B$12:$B$71,MATCH(A1399,Ввод!$D$12:$D$71,1)),""))</f>
        <v/>
      </c>
      <c r="C1399">
        <f>IF(A1399="","",DATE(YEAR(A1399),12,31)-DATE(YEAR(A1399),1,1)+1)</f>
        <v/>
      </c>
      <c r="D1399">
        <f>IF(A1399="","",Ввод!$B$4-SUMIF(Оплаты!$A$6:$A$505,"&lt;"&amp;A1399,Оплаты!$B$6:$B$505))</f>
        <v/>
      </c>
      <c r="E1399">
        <f>IF(A1399="","",IF(SUMPRODUCT((Ввод!$F$12:$F$31&lt;&gt;"")*(Ввод!$F$12:$F$31&lt;=A1399)*(Ввод!$G$12:$G$31&gt;=A1399))&gt;0,1,0))</f>
        <v/>
      </c>
      <c r="F1399">
        <f>IF(OR(A1399="",B1399=""),"",IF(E1399=1,0,D1399*B1399/100/C1399))</f>
        <v/>
      </c>
      <c r="G1399">
        <f>IF(A1399="","",IF(OR(B1399&lt;&gt;B1398,C1399&lt;&gt;C1398,D1399&lt;&gt;D1398,E1399&lt;&gt;E1398),G1398+1,G1398))</f>
        <v/>
      </c>
    </row>
    <row r="1400">
      <c r="A1400" s="14">
        <f>IF(OR(NOT(ISNUMBER(Ввод!$B$5)),NOT(ISNUMBER(Ввод!$B$6))),"",IF(Ввод!$B$5+1398&gt;Ввод!$B$6,"",Ввод!$B$5+1398))</f>
        <v/>
      </c>
      <c r="B1400">
        <f>IF(A1400="","",IFERROR(INDEX(Ввод!$B$12:$B$71,MATCH(A1400,Ввод!$D$12:$D$71,1)),""))</f>
        <v/>
      </c>
      <c r="C1400">
        <f>IF(A1400="","",DATE(YEAR(A1400),12,31)-DATE(YEAR(A1400),1,1)+1)</f>
        <v/>
      </c>
      <c r="D1400">
        <f>IF(A1400="","",Ввод!$B$4-SUMIF(Оплаты!$A$6:$A$505,"&lt;"&amp;A1400,Оплаты!$B$6:$B$505))</f>
        <v/>
      </c>
      <c r="E1400">
        <f>IF(A1400="","",IF(SUMPRODUCT((Ввод!$F$12:$F$31&lt;&gt;"")*(Ввод!$F$12:$F$31&lt;=A1400)*(Ввод!$G$12:$G$31&gt;=A1400))&gt;0,1,0))</f>
        <v/>
      </c>
      <c r="F1400">
        <f>IF(OR(A1400="",B1400=""),"",IF(E1400=1,0,D1400*B1400/100/C1400))</f>
        <v/>
      </c>
      <c r="G1400">
        <f>IF(A1400="","",IF(OR(B1400&lt;&gt;B1399,C1400&lt;&gt;C1399,D1400&lt;&gt;D1399,E1400&lt;&gt;E1399),G1399+1,G1399))</f>
        <v/>
      </c>
    </row>
    <row r="1401">
      <c r="A1401" s="14">
        <f>IF(OR(NOT(ISNUMBER(Ввод!$B$5)),NOT(ISNUMBER(Ввод!$B$6))),"",IF(Ввод!$B$5+1399&gt;Ввод!$B$6,"",Ввод!$B$5+1399))</f>
        <v/>
      </c>
      <c r="B1401">
        <f>IF(A1401="","",IFERROR(INDEX(Ввод!$B$12:$B$71,MATCH(A1401,Ввод!$D$12:$D$71,1)),""))</f>
        <v/>
      </c>
      <c r="C1401">
        <f>IF(A1401="","",DATE(YEAR(A1401),12,31)-DATE(YEAR(A1401),1,1)+1)</f>
        <v/>
      </c>
      <c r="D1401">
        <f>IF(A1401="","",Ввод!$B$4-SUMIF(Оплаты!$A$6:$A$505,"&lt;"&amp;A1401,Оплаты!$B$6:$B$505))</f>
        <v/>
      </c>
      <c r="E1401">
        <f>IF(A1401="","",IF(SUMPRODUCT((Ввод!$F$12:$F$31&lt;&gt;"")*(Ввод!$F$12:$F$31&lt;=A1401)*(Ввод!$G$12:$G$31&gt;=A1401))&gt;0,1,0))</f>
        <v/>
      </c>
      <c r="F1401">
        <f>IF(OR(A1401="",B1401=""),"",IF(E1401=1,0,D1401*B1401/100/C1401))</f>
        <v/>
      </c>
      <c r="G1401">
        <f>IF(A1401="","",IF(OR(B1401&lt;&gt;B1400,C1401&lt;&gt;C1400,D1401&lt;&gt;D1400,E1401&lt;&gt;E1400),G1400+1,G1400))</f>
        <v/>
      </c>
    </row>
    <row r="1402">
      <c r="A1402" s="14">
        <f>IF(OR(NOT(ISNUMBER(Ввод!$B$5)),NOT(ISNUMBER(Ввод!$B$6))),"",IF(Ввод!$B$5+1400&gt;Ввод!$B$6,"",Ввод!$B$5+1400))</f>
        <v/>
      </c>
      <c r="B1402">
        <f>IF(A1402="","",IFERROR(INDEX(Ввод!$B$12:$B$71,MATCH(A1402,Ввод!$D$12:$D$71,1)),""))</f>
        <v/>
      </c>
      <c r="C1402">
        <f>IF(A1402="","",DATE(YEAR(A1402),12,31)-DATE(YEAR(A1402),1,1)+1)</f>
        <v/>
      </c>
      <c r="D1402">
        <f>IF(A1402="","",Ввод!$B$4-SUMIF(Оплаты!$A$6:$A$505,"&lt;"&amp;A1402,Оплаты!$B$6:$B$505))</f>
        <v/>
      </c>
      <c r="E1402">
        <f>IF(A1402="","",IF(SUMPRODUCT((Ввод!$F$12:$F$31&lt;&gt;"")*(Ввод!$F$12:$F$31&lt;=A1402)*(Ввод!$G$12:$G$31&gt;=A1402))&gt;0,1,0))</f>
        <v/>
      </c>
      <c r="F1402">
        <f>IF(OR(A1402="",B1402=""),"",IF(E1402=1,0,D1402*B1402/100/C1402))</f>
        <v/>
      </c>
      <c r="G1402">
        <f>IF(A1402="","",IF(OR(B1402&lt;&gt;B1401,C1402&lt;&gt;C1401,D1402&lt;&gt;D1401,E1402&lt;&gt;E1401),G1401+1,G1401))</f>
        <v/>
      </c>
    </row>
    <row r="1403">
      <c r="A1403" s="14">
        <f>IF(OR(NOT(ISNUMBER(Ввод!$B$5)),NOT(ISNUMBER(Ввод!$B$6))),"",IF(Ввод!$B$5+1401&gt;Ввод!$B$6,"",Ввод!$B$5+1401))</f>
        <v/>
      </c>
      <c r="B1403">
        <f>IF(A1403="","",IFERROR(INDEX(Ввод!$B$12:$B$71,MATCH(A1403,Ввод!$D$12:$D$71,1)),""))</f>
        <v/>
      </c>
      <c r="C1403">
        <f>IF(A1403="","",DATE(YEAR(A1403),12,31)-DATE(YEAR(A1403),1,1)+1)</f>
        <v/>
      </c>
      <c r="D1403">
        <f>IF(A1403="","",Ввод!$B$4-SUMIF(Оплаты!$A$6:$A$505,"&lt;"&amp;A1403,Оплаты!$B$6:$B$505))</f>
        <v/>
      </c>
      <c r="E1403">
        <f>IF(A1403="","",IF(SUMPRODUCT((Ввод!$F$12:$F$31&lt;&gt;"")*(Ввод!$F$12:$F$31&lt;=A1403)*(Ввод!$G$12:$G$31&gt;=A1403))&gt;0,1,0))</f>
        <v/>
      </c>
      <c r="F1403">
        <f>IF(OR(A1403="",B1403=""),"",IF(E1403=1,0,D1403*B1403/100/C1403))</f>
        <v/>
      </c>
      <c r="G1403">
        <f>IF(A1403="","",IF(OR(B1403&lt;&gt;B1402,C1403&lt;&gt;C1402,D1403&lt;&gt;D1402,E1403&lt;&gt;E1402),G1402+1,G1402))</f>
        <v/>
      </c>
    </row>
    <row r="1404">
      <c r="A1404" s="14">
        <f>IF(OR(NOT(ISNUMBER(Ввод!$B$5)),NOT(ISNUMBER(Ввод!$B$6))),"",IF(Ввод!$B$5+1402&gt;Ввод!$B$6,"",Ввод!$B$5+1402))</f>
        <v/>
      </c>
      <c r="B1404">
        <f>IF(A1404="","",IFERROR(INDEX(Ввод!$B$12:$B$71,MATCH(A1404,Ввод!$D$12:$D$71,1)),""))</f>
        <v/>
      </c>
      <c r="C1404">
        <f>IF(A1404="","",DATE(YEAR(A1404),12,31)-DATE(YEAR(A1404),1,1)+1)</f>
        <v/>
      </c>
      <c r="D1404">
        <f>IF(A1404="","",Ввод!$B$4-SUMIF(Оплаты!$A$6:$A$505,"&lt;"&amp;A1404,Оплаты!$B$6:$B$505))</f>
        <v/>
      </c>
      <c r="E1404">
        <f>IF(A1404="","",IF(SUMPRODUCT((Ввод!$F$12:$F$31&lt;&gt;"")*(Ввод!$F$12:$F$31&lt;=A1404)*(Ввод!$G$12:$G$31&gt;=A1404))&gt;0,1,0))</f>
        <v/>
      </c>
      <c r="F1404">
        <f>IF(OR(A1404="",B1404=""),"",IF(E1404=1,0,D1404*B1404/100/C1404))</f>
        <v/>
      </c>
      <c r="G1404">
        <f>IF(A1404="","",IF(OR(B1404&lt;&gt;B1403,C1404&lt;&gt;C1403,D1404&lt;&gt;D1403,E1404&lt;&gt;E1403),G1403+1,G1403))</f>
        <v/>
      </c>
    </row>
    <row r="1405">
      <c r="A1405" s="14">
        <f>IF(OR(NOT(ISNUMBER(Ввод!$B$5)),NOT(ISNUMBER(Ввод!$B$6))),"",IF(Ввод!$B$5+1403&gt;Ввод!$B$6,"",Ввод!$B$5+1403))</f>
        <v/>
      </c>
      <c r="B1405">
        <f>IF(A1405="","",IFERROR(INDEX(Ввод!$B$12:$B$71,MATCH(A1405,Ввод!$D$12:$D$71,1)),""))</f>
        <v/>
      </c>
      <c r="C1405">
        <f>IF(A1405="","",DATE(YEAR(A1405),12,31)-DATE(YEAR(A1405),1,1)+1)</f>
        <v/>
      </c>
      <c r="D1405">
        <f>IF(A1405="","",Ввод!$B$4-SUMIF(Оплаты!$A$6:$A$505,"&lt;"&amp;A1405,Оплаты!$B$6:$B$505))</f>
        <v/>
      </c>
      <c r="E1405">
        <f>IF(A1405="","",IF(SUMPRODUCT((Ввод!$F$12:$F$31&lt;&gt;"")*(Ввод!$F$12:$F$31&lt;=A1405)*(Ввод!$G$12:$G$31&gt;=A1405))&gt;0,1,0))</f>
        <v/>
      </c>
      <c r="F1405">
        <f>IF(OR(A1405="",B1405=""),"",IF(E1405=1,0,D1405*B1405/100/C1405))</f>
        <v/>
      </c>
      <c r="G1405">
        <f>IF(A1405="","",IF(OR(B1405&lt;&gt;B1404,C1405&lt;&gt;C1404,D1405&lt;&gt;D1404,E1405&lt;&gt;E1404),G1404+1,G1404))</f>
        <v/>
      </c>
    </row>
    <row r="1406">
      <c r="A1406" s="14">
        <f>IF(OR(NOT(ISNUMBER(Ввод!$B$5)),NOT(ISNUMBER(Ввод!$B$6))),"",IF(Ввод!$B$5+1404&gt;Ввод!$B$6,"",Ввод!$B$5+1404))</f>
        <v/>
      </c>
      <c r="B1406">
        <f>IF(A1406="","",IFERROR(INDEX(Ввод!$B$12:$B$71,MATCH(A1406,Ввод!$D$12:$D$71,1)),""))</f>
        <v/>
      </c>
      <c r="C1406">
        <f>IF(A1406="","",DATE(YEAR(A1406),12,31)-DATE(YEAR(A1406),1,1)+1)</f>
        <v/>
      </c>
      <c r="D1406">
        <f>IF(A1406="","",Ввод!$B$4-SUMIF(Оплаты!$A$6:$A$505,"&lt;"&amp;A1406,Оплаты!$B$6:$B$505))</f>
        <v/>
      </c>
      <c r="E1406">
        <f>IF(A1406="","",IF(SUMPRODUCT((Ввод!$F$12:$F$31&lt;&gt;"")*(Ввод!$F$12:$F$31&lt;=A1406)*(Ввод!$G$12:$G$31&gt;=A1406))&gt;0,1,0))</f>
        <v/>
      </c>
      <c r="F1406">
        <f>IF(OR(A1406="",B1406=""),"",IF(E1406=1,0,D1406*B1406/100/C1406))</f>
        <v/>
      </c>
      <c r="G1406">
        <f>IF(A1406="","",IF(OR(B1406&lt;&gt;B1405,C1406&lt;&gt;C1405,D1406&lt;&gt;D1405,E1406&lt;&gt;E1405),G1405+1,G1405))</f>
        <v/>
      </c>
    </row>
    <row r="1407">
      <c r="A1407" s="14">
        <f>IF(OR(NOT(ISNUMBER(Ввод!$B$5)),NOT(ISNUMBER(Ввод!$B$6))),"",IF(Ввод!$B$5+1405&gt;Ввод!$B$6,"",Ввод!$B$5+1405))</f>
        <v/>
      </c>
      <c r="B1407">
        <f>IF(A1407="","",IFERROR(INDEX(Ввод!$B$12:$B$71,MATCH(A1407,Ввод!$D$12:$D$71,1)),""))</f>
        <v/>
      </c>
      <c r="C1407">
        <f>IF(A1407="","",DATE(YEAR(A1407),12,31)-DATE(YEAR(A1407),1,1)+1)</f>
        <v/>
      </c>
      <c r="D1407">
        <f>IF(A1407="","",Ввод!$B$4-SUMIF(Оплаты!$A$6:$A$505,"&lt;"&amp;A1407,Оплаты!$B$6:$B$505))</f>
        <v/>
      </c>
      <c r="E1407">
        <f>IF(A1407="","",IF(SUMPRODUCT((Ввод!$F$12:$F$31&lt;&gt;"")*(Ввод!$F$12:$F$31&lt;=A1407)*(Ввод!$G$12:$G$31&gt;=A1407))&gt;0,1,0))</f>
        <v/>
      </c>
      <c r="F1407">
        <f>IF(OR(A1407="",B1407=""),"",IF(E1407=1,0,D1407*B1407/100/C1407))</f>
        <v/>
      </c>
      <c r="G1407">
        <f>IF(A1407="","",IF(OR(B1407&lt;&gt;B1406,C1407&lt;&gt;C1406,D1407&lt;&gt;D1406,E1407&lt;&gt;E1406),G1406+1,G1406))</f>
        <v/>
      </c>
    </row>
    <row r="1408">
      <c r="A1408" s="14">
        <f>IF(OR(NOT(ISNUMBER(Ввод!$B$5)),NOT(ISNUMBER(Ввод!$B$6))),"",IF(Ввод!$B$5+1406&gt;Ввод!$B$6,"",Ввод!$B$5+1406))</f>
        <v/>
      </c>
      <c r="B1408">
        <f>IF(A1408="","",IFERROR(INDEX(Ввод!$B$12:$B$71,MATCH(A1408,Ввод!$D$12:$D$71,1)),""))</f>
        <v/>
      </c>
      <c r="C1408">
        <f>IF(A1408="","",DATE(YEAR(A1408),12,31)-DATE(YEAR(A1408),1,1)+1)</f>
        <v/>
      </c>
      <c r="D1408">
        <f>IF(A1408="","",Ввод!$B$4-SUMIF(Оплаты!$A$6:$A$505,"&lt;"&amp;A1408,Оплаты!$B$6:$B$505))</f>
        <v/>
      </c>
      <c r="E1408">
        <f>IF(A1408="","",IF(SUMPRODUCT((Ввод!$F$12:$F$31&lt;&gt;"")*(Ввод!$F$12:$F$31&lt;=A1408)*(Ввод!$G$12:$G$31&gt;=A1408))&gt;0,1,0))</f>
        <v/>
      </c>
      <c r="F1408">
        <f>IF(OR(A1408="",B1408=""),"",IF(E1408=1,0,D1408*B1408/100/C1408))</f>
        <v/>
      </c>
      <c r="G1408">
        <f>IF(A1408="","",IF(OR(B1408&lt;&gt;B1407,C1408&lt;&gt;C1407,D1408&lt;&gt;D1407,E1408&lt;&gt;E1407),G1407+1,G1407))</f>
        <v/>
      </c>
    </row>
    <row r="1409">
      <c r="A1409" s="14">
        <f>IF(OR(NOT(ISNUMBER(Ввод!$B$5)),NOT(ISNUMBER(Ввод!$B$6))),"",IF(Ввод!$B$5+1407&gt;Ввод!$B$6,"",Ввод!$B$5+1407))</f>
        <v/>
      </c>
      <c r="B1409">
        <f>IF(A1409="","",IFERROR(INDEX(Ввод!$B$12:$B$71,MATCH(A1409,Ввод!$D$12:$D$71,1)),""))</f>
        <v/>
      </c>
      <c r="C1409">
        <f>IF(A1409="","",DATE(YEAR(A1409),12,31)-DATE(YEAR(A1409),1,1)+1)</f>
        <v/>
      </c>
      <c r="D1409">
        <f>IF(A1409="","",Ввод!$B$4-SUMIF(Оплаты!$A$6:$A$505,"&lt;"&amp;A1409,Оплаты!$B$6:$B$505))</f>
        <v/>
      </c>
      <c r="E1409">
        <f>IF(A1409="","",IF(SUMPRODUCT((Ввод!$F$12:$F$31&lt;&gt;"")*(Ввод!$F$12:$F$31&lt;=A1409)*(Ввод!$G$12:$G$31&gt;=A1409))&gt;0,1,0))</f>
        <v/>
      </c>
      <c r="F1409">
        <f>IF(OR(A1409="",B1409=""),"",IF(E1409=1,0,D1409*B1409/100/C1409))</f>
        <v/>
      </c>
      <c r="G1409">
        <f>IF(A1409="","",IF(OR(B1409&lt;&gt;B1408,C1409&lt;&gt;C1408,D1409&lt;&gt;D1408,E1409&lt;&gt;E1408),G1408+1,G1408))</f>
        <v/>
      </c>
    </row>
    <row r="1410">
      <c r="A1410" s="14">
        <f>IF(OR(NOT(ISNUMBER(Ввод!$B$5)),NOT(ISNUMBER(Ввод!$B$6))),"",IF(Ввод!$B$5+1408&gt;Ввод!$B$6,"",Ввод!$B$5+1408))</f>
        <v/>
      </c>
      <c r="B1410">
        <f>IF(A1410="","",IFERROR(INDEX(Ввод!$B$12:$B$71,MATCH(A1410,Ввод!$D$12:$D$71,1)),""))</f>
        <v/>
      </c>
      <c r="C1410">
        <f>IF(A1410="","",DATE(YEAR(A1410),12,31)-DATE(YEAR(A1410),1,1)+1)</f>
        <v/>
      </c>
      <c r="D1410">
        <f>IF(A1410="","",Ввод!$B$4-SUMIF(Оплаты!$A$6:$A$505,"&lt;"&amp;A1410,Оплаты!$B$6:$B$505))</f>
        <v/>
      </c>
      <c r="E1410">
        <f>IF(A1410="","",IF(SUMPRODUCT((Ввод!$F$12:$F$31&lt;&gt;"")*(Ввод!$F$12:$F$31&lt;=A1410)*(Ввод!$G$12:$G$31&gt;=A1410))&gt;0,1,0))</f>
        <v/>
      </c>
      <c r="F1410">
        <f>IF(OR(A1410="",B1410=""),"",IF(E1410=1,0,D1410*B1410/100/C1410))</f>
        <v/>
      </c>
      <c r="G1410">
        <f>IF(A1410="","",IF(OR(B1410&lt;&gt;B1409,C1410&lt;&gt;C1409,D1410&lt;&gt;D1409,E1410&lt;&gt;E1409),G1409+1,G1409))</f>
        <v/>
      </c>
    </row>
    <row r="1411">
      <c r="A1411" s="14">
        <f>IF(OR(NOT(ISNUMBER(Ввод!$B$5)),NOT(ISNUMBER(Ввод!$B$6))),"",IF(Ввод!$B$5+1409&gt;Ввод!$B$6,"",Ввод!$B$5+1409))</f>
        <v/>
      </c>
      <c r="B1411">
        <f>IF(A1411="","",IFERROR(INDEX(Ввод!$B$12:$B$71,MATCH(A1411,Ввод!$D$12:$D$71,1)),""))</f>
        <v/>
      </c>
      <c r="C1411">
        <f>IF(A1411="","",DATE(YEAR(A1411),12,31)-DATE(YEAR(A1411),1,1)+1)</f>
        <v/>
      </c>
      <c r="D1411">
        <f>IF(A1411="","",Ввод!$B$4-SUMIF(Оплаты!$A$6:$A$505,"&lt;"&amp;A1411,Оплаты!$B$6:$B$505))</f>
        <v/>
      </c>
      <c r="E1411">
        <f>IF(A1411="","",IF(SUMPRODUCT((Ввод!$F$12:$F$31&lt;&gt;"")*(Ввод!$F$12:$F$31&lt;=A1411)*(Ввод!$G$12:$G$31&gt;=A1411))&gt;0,1,0))</f>
        <v/>
      </c>
      <c r="F1411">
        <f>IF(OR(A1411="",B1411=""),"",IF(E1411=1,0,D1411*B1411/100/C1411))</f>
        <v/>
      </c>
      <c r="G1411">
        <f>IF(A1411="","",IF(OR(B1411&lt;&gt;B1410,C1411&lt;&gt;C1410,D1411&lt;&gt;D1410,E1411&lt;&gt;E1410),G1410+1,G1410))</f>
        <v/>
      </c>
    </row>
    <row r="1412">
      <c r="A1412" s="14">
        <f>IF(OR(NOT(ISNUMBER(Ввод!$B$5)),NOT(ISNUMBER(Ввод!$B$6))),"",IF(Ввод!$B$5+1410&gt;Ввод!$B$6,"",Ввод!$B$5+1410))</f>
        <v/>
      </c>
      <c r="B1412">
        <f>IF(A1412="","",IFERROR(INDEX(Ввод!$B$12:$B$71,MATCH(A1412,Ввод!$D$12:$D$71,1)),""))</f>
        <v/>
      </c>
      <c r="C1412">
        <f>IF(A1412="","",DATE(YEAR(A1412),12,31)-DATE(YEAR(A1412),1,1)+1)</f>
        <v/>
      </c>
      <c r="D1412">
        <f>IF(A1412="","",Ввод!$B$4-SUMIF(Оплаты!$A$6:$A$505,"&lt;"&amp;A1412,Оплаты!$B$6:$B$505))</f>
        <v/>
      </c>
      <c r="E1412">
        <f>IF(A1412="","",IF(SUMPRODUCT((Ввод!$F$12:$F$31&lt;&gt;"")*(Ввод!$F$12:$F$31&lt;=A1412)*(Ввод!$G$12:$G$31&gt;=A1412))&gt;0,1,0))</f>
        <v/>
      </c>
      <c r="F1412">
        <f>IF(OR(A1412="",B1412=""),"",IF(E1412=1,0,D1412*B1412/100/C1412))</f>
        <v/>
      </c>
      <c r="G1412">
        <f>IF(A1412="","",IF(OR(B1412&lt;&gt;B1411,C1412&lt;&gt;C1411,D1412&lt;&gt;D1411,E1412&lt;&gt;E1411),G1411+1,G1411))</f>
        <v/>
      </c>
    </row>
    <row r="1413">
      <c r="A1413" s="14">
        <f>IF(OR(NOT(ISNUMBER(Ввод!$B$5)),NOT(ISNUMBER(Ввод!$B$6))),"",IF(Ввод!$B$5+1411&gt;Ввод!$B$6,"",Ввод!$B$5+1411))</f>
        <v/>
      </c>
      <c r="B1413">
        <f>IF(A1413="","",IFERROR(INDEX(Ввод!$B$12:$B$71,MATCH(A1413,Ввод!$D$12:$D$71,1)),""))</f>
        <v/>
      </c>
      <c r="C1413">
        <f>IF(A1413="","",DATE(YEAR(A1413),12,31)-DATE(YEAR(A1413),1,1)+1)</f>
        <v/>
      </c>
      <c r="D1413">
        <f>IF(A1413="","",Ввод!$B$4-SUMIF(Оплаты!$A$6:$A$505,"&lt;"&amp;A1413,Оплаты!$B$6:$B$505))</f>
        <v/>
      </c>
      <c r="E1413">
        <f>IF(A1413="","",IF(SUMPRODUCT((Ввод!$F$12:$F$31&lt;&gt;"")*(Ввод!$F$12:$F$31&lt;=A1413)*(Ввод!$G$12:$G$31&gt;=A1413))&gt;0,1,0))</f>
        <v/>
      </c>
      <c r="F1413">
        <f>IF(OR(A1413="",B1413=""),"",IF(E1413=1,0,D1413*B1413/100/C1413))</f>
        <v/>
      </c>
      <c r="G1413">
        <f>IF(A1413="","",IF(OR(B1413&lt;&gt;B1412,C1413&lt;&gt;C1412,D1413&lt;&gt;D1412,E1413&lt;&gt;E1412),G1412+1,G1412))</f>
        <v/>
      </c>
    </row>
    <row r="1414">
      <c r="A1414" s="14">
        <f>IF(OR(NOT(ISNUMBER(Ввод!$B$5)),NOT(ISNUMBER(Ввод!$B$6))),"",IF(Ввод!$B$5+1412&gt;Ввод!$B$6,"",Ввод!$B$5+1412))</f>
        <v/>
      </c>
      <c r="B1414">
        <f>IF(A1414="","",IFERROR(INDEX(Ввод!$B$12:$B$71,MATCH(A1414,Ввод!$D$12:$D$71,1)),""))</f>
        <v/>
      </c>
      <c r="C1414">
        <f>IF(A1414="","",DATE(YEAR(A1414),12,31)-DATE(YEAR(A1414),1,1)+1)</f>
        <v/>
      </c>
      <c r="D1414">
        <f>IF(A1414="","",Ввод!$B$4-SUMIF(Оплаты!$A$6:$A$505,"&lt;"&amp;A1414,Оплаты!$B$6:$B$505))</f>
        <v/>
      </c>
      <c r="E1414">
        <f>IF(A1414="","",IF(SUMPRODUCT((Ввод!$F$12:$F$31&lt;&gt;"")*(Ввод!$F$12:$F$31&lt;=A1414)*(Ввод!$G$12:$G$31&gt;=A1414))&gt;0,1,0))</f>
        <v/>
      </c>
      <c r="F1414">
        <f>IF(OR(A1414="",B1414=""),"",IF(E1414=1,0,D1414*B1414/100/C1414))</f>
        <v/>
      </c>
      <c r="G1414">
        <f>IF(A1414="","",IF(OR(B1414&lt;&gt;B1413,C1414&lt;&gt;C1413,D1414&lt;&gt;D1413,E1414&lt;&gt;E1413),G1413+1,G1413))</f>
        <v/>
      </c>
    </row>
    <row r="1415">
      <c r="A1415" s="14">
        <f>IF(OR(NOT(ISNUMBER(Ввод!$B$5)),NOT(ISNUMBER(Ввод!$B$6))),"",IF(Ввод!$B$5+1413&gt;Ввод!$B$6,"",Ввод!$B$5+1413))</f>
        <v/>
      </c>
      <c r="B1415">
        <f>IF(A1415="","",IFERROR(INDEX(Ввод!$B$12:$B$71,MATCH(A1415,Ввод!$D$12:$D$71,1)),""))</f>
        <v/>
      </c>
      <c r="C1415">
        <f>IF(A1415="","",DATE(YEAR(A1415),12,31)-DATE(YEAR(A1415),1,1)+1)</f>
        <v/>
      </c>
      <c r="D1415">
        <f>IF(A1415="","",Ввод!$B$4-SUMIF(Оплаты!$A$6:$A$505,"&lt;"&amp;A1415,Оплаты!$B$6:$B$505))</f>
        <v/>
      </c>
      <c r="E1415">
        <f>IF(A1415="","",IF(SUMPRODUCT((Ввод!$F$12:$F$31&lt;&gt;"")*(Ввод!$F$12:$F$31&lt;=A1415)*(Ввод!$G$12:$G$31&gt;=A1415))&gt;0,1,0))</f>
        <v/>
      </c>
      <c r="F1415">
        <f>IF(OR(A1415="",B1415=""),"",IF(E1415=1,0,D1415*B1415/100/C1415))</f>
        <v/>
      </c>
      <c r="G1415">
        <f>IF(A1415="","",IF(OR(B1415&lt;&gt;B1414,C1415&lt;&gt;C1414,D1415&lt;&gt;D1414,E1415&lt;&gt;E1414),G1414+1,G1414))</f>
        <v/>
      </c>
    </row>
    <row r="1416">
      <c r="A1416" s="14">
        <f>IF(OR(NOT(ISNUMBER(Ввод!$B$5)),NOT(ISNUMBER(Ввод!$B$6))),"",IF(Ввод!$B$5+1414&gt;Ввод!$B$6,"",Ввод!$B$5+1414))</f>
        <v/>
      </c>
      <c r="B1416">
        <f>IF(A1416="","",IFERROR(INDEX(Ввод!$B$12:$B$71,MATCH(A1416,Ввод!$D$12:$D$71,1)),""))</f>
        <v/>
      </c>
      <c r="C1416">
        <f>IF(A1416="","",DATE(YEAR(A1416),12,31)-DATE(YEAR(A1416),1,1)+1)</f>
        <v/>
      </c>
      <c r="D1416">
        <f>IF(A1416="","",Ввод!$B$4-SUMIF(Оплаты!$A$6:$A$505,"&lt;"&amp;A1416,Оплаты!$B$6:$B$505))</f>
        <v/>
      </c>
      <c r="E1416">
        <f>IF(A1416="","",IF(SUMPRODUCT((Ввод!$F$12:$F$31&lt;&gt;"")*(Ввод!$F$12:$F$31&lt;=A1416)*(Ввод!$G$12:$G$31&gt;=A1416))&gt;0,1,0))</f>
        <v/>
      </c>
      <c r="F1416">
        <f>IF(OR(A1416="",B1416=""),"",IF(E1416=1,0,D1416*B1416/100/C1416))</f>
        <v/>
      </c>
      <c r="G1416">
        <f>IF(A1416="","",IF(OR(B1416&lt;&gt;B1415,C1416&lt;&gt;C1415,D1416&lt;&gt;D1415,E1416&lt;&gt;E1415),G1415+1,G1415))</f>
        <v/>
      </c>
    </row>
    <row r="1417">
      <c r="A1417" s="14">
        <f>IF(OR(NOT(ISNUMBER(Ввод!$B$5)),NOT(ISNUMBER(Ввод!$B$6))),"",IF(Ввод!$B$5+1415&gt;Ввод!$B$6,"",Ввод!$B$5+1415))</f>
        <v/>
      </c>
      <c r="B1417">
        <f>IF(A1417="","",IFERROR(INDEX(Ввод!$B$12:$B$71,MATCH(A1417,Ввод!$D$12:$D$71,1)),""))</f>
        <v/>
      </c>
      <c r="C1417">
        <f>IF(A1417="","",DATE(YEAR(A1417),12,31)-DATE(YEAR(A1417),1,1)+1)</f>
        <v/>
      </c>
      <c r="D1417">
        <f>IF(A1417="","",Ввод!$B$4-SUMIF(Оплаты!$A$6:$A$505,"&lt;"&amp;A1417,Оплаты!$B$6:$B$505))</f>
        <v/>
      </c>
      <c r="E1417">
        <f>IF(A1417="","",IF(SUMPRODUCT((Ввод!$F$12:$F$31&lt;&gt;"")*(Ввод!$F$12:$F$31&lt;=A1417)*(Ввод!$G$12:$G$31&gt;=A1417))&gt;0,1,0))</f>
        <v/>
      </c>
      <c r="F1417">
        <f>IF(OR(A1417="",B1417=""),"",IF(E1417=1,0,D1417*B1417/100/C1417))</f>
        <v/>
      </c>
      <c r="G1417">
        <f>IF(A1417="","",IF(OR(B1417&lt;&gt;B1416,C1417&lt;&gt;C1416,D1417&lt;&gt;D1416,E1417&lt;&gt;E1416),G1416+1,G1416))</f>
        <v/>
      </c>
    </row>
    <row r="1418">
      <c r="A1418" s="14">
        <f>IF(OR(NOT(ISNUMBER(Ввод!$B$5)),NOT(ISNUMBER(Ввод!$B$6))),"",IF(Ввод!$B$5+1416&gt;Ввод!$B$6,"",Ввод!$B$5+1416))</f>
        <v/>
      </c>
      <c r="B1418">
        <f>IF(A1418="","",IFERROR(INDEX(Ввод!$B$12:$B$71,MATCH(A1418,Ввод!$D$12:$D$71,1)),""))</f>
        <v/>
      </c>
      <c r="C1418">
        <f>IF(A1418="","",DATE(YEAR(A1418),12,31)-DATE(YEAR(A1418),1,1)+1)</f>
        <v/>
      </c>
      <c r="D1418">
        <f>IF(A1418="","",Ввод!$B$4-SUMIF(Оплаты!$A$6:$A$505,"&lt;"&amp;A1418,Оплаты!$B$6:$B$505))</f>
        <v/>
      </c>
      <c r="E1418">
        <f>IF(A1418="","",IF(SUMPRODUCT((Ввод!$F$12:$F$31&lt;&gt;"")*(Ввод!$F$12:$F$31&lt;=A1418)*(Ввод!$G$12:$G$31&gt;=A1418))&gt;0,1,0))</f>
        <v/>
      </c>
      <c r="F1418">
        <f>IF(OR(A1418="",B1418=""),"",IF(E1418=1,0,D1418*B1418/100/C1418))</f>
        <v/>
      </c>
      <c r="G1418">
        <f>IF(A1418="","",IF(OR(B1418&lt;&gt;B1417,C1418&lt;&gt;C1417,D1418&lt;&gt;D1417,E1418&lt;&gt;E1417),G1417+1,G1417))</f>
        <v/>
      </c>
    </row>
    <row r="1419">
      <c r="A1419" s="14">
        <f>IF(OR(NOT(ISNUMBER(Ввод!$B$5)),NOT(ISNUMBER(Ввод!$B$6))),"",IF(Ввод!$B$5+1417&gt;Ввод!$B$6,"",Ввод!$B$5+1417))</f>
        <v/>
      </c>
      <c r="B1419">
        <f>IF(A1419="","",IFERROR(INDEX(Ввод!$B$12:$B$71,MATCH(A1419,Ввод!$D$12:$D$71,1)),""))</f>
        <v/>
      </c>
      <c r="C1419">
        <f>IF(A1419="","",DATE(YEAR(A1419),12,31)-DATE(YEAR(A1419),1,1)+1)</f>
        <v/>
      </c>
      <c r="D1419">
        <f>IF(A1419="","",Ввод!$B$4-SUMIF(Оплаты!$A$6:$A$505,"&lt;"&amp;A1419,Оплаты!$B$6:$B$505))</f>
        <v/>
      </c>
      <c r="E1419">
        <f>IF(A1419="","",IF(SUMPRODUCT((Ввод!$F$12:$F$31&lt;&gt;"")*(Ввод!$F$12:$F$31&lt;=A1419)*(Ввод!$G$12:$G$31&gt;=A1419))&gt;0,1,0))</f>
        <v/>
      </c>
      <c r="F1419">
        <f>IF(OR(A1419="",B1419=""),"",IF(E1419=1,0,D1419*B1419/100/C1419))</f>
        <v/>
      </c>
      <c r="G1419">
        <f>IF(A1419="","",IF(OR(B1419&lt;&gt;B1418,C1419&lt;&gt;C1418,D1419&lt;&gt;D1418,E1419&lt;&gt;E1418),G1418+1,G1418))</f>
        <v/>
      </c>
    </row>
    <row r="1420">
      <c r="A1420" s="14">
        <f>IF(OR(NOT(ISNUMBER(Ввод!$B$5)),NOT(ISNUMBER(Ввод!$B$6))),"",IF(Ввод!$B$5+1418&gt;Ввод!$B$6,"",Ввод!$B$5+1418))</f>
        <v/>
      </c>
      <c r="B1420">
        <f>IF(A1420="","",IFERROR(INDEX(Ввод!$B$12:$B$71,MATCH(A1420,Ввод!$D$12:$D$71,1)),""))</f>
        <v/>
      </c>
      <c r="C1420">
        <f>IF(A1420="","",DATE(YEAR(A1420),12,31)-DATE(YEAR(A1420),1,1)+1)</f>
        <v/>
      </c>
      <c r="D1420">
        <f>IF(A1420="","",Ввод!$B$4-SUMIF(Оплаты!$A$6:$A$505,"&lt;"&amp;A1420,Оплаты!$B$6:$B$505))</f>
        <v/>
      </c>
      <c r="E1420">
        <f>IF(A1420="","",IF(SUMPRODUCT((Ввод!$F$12:$F$31&lt;&gt;"")*(Ввод!$F$12:$F$31&lt;=A1420)*(Ввод!$G$12:$G$31&gt;=A1420))&gt;0,1,0))</f>
        <v/>
      </c>
      <c r="F1420">
        <f>IF(OR(A1420="",B1420=""),"",IF(E1420=1,0,D1420*B1420/100/C1420))</f>
        <v/>
      </c>
      <c r="G1420">
        <f>IF(A1420="","",IF(OR(B1420&lt;&gt;B1419,C1420&lt;&gt;C1419,D1420&lt;&gt;D1419,E1420&lt;&gt;E1419),G1419+1,G1419))</f>
        <v/>
      </c>
    </row>
    <row r="1421">
      <c r="A1421" s="14">
        <f>IF(OR(NOT(ISNUMBER(Ввод!$B$5)),NOT(ISNUMBER(Ввод!$B$6))),"",IF(Ввод!$B$5+1419&gt;Ввод!$B$6,"",Ввод!$B$5+1419))</f>
        <v/>
      </c>
      <c r="B1421">
        <f>IF(A1421="","",IFERROR(INDEX(Ввод!$B$12:$B$71,MATCH(A1421,Ввод!$D$12:$D$71,1)),""))</f>
        <v/>
      </c>
      <c r="C1421">
        <f>IF(A1421="","",DATE(YEAR(A1421),12,31)-DATE(YEAR(A1421),1,1)+1)</f>
        <v/>
      </c>
      <c r="D1421">
        <f>IF(A1421="","",Ввод!$B$4-SUMIF(Оплаты!$A$6:$A$505,"&lt;"&amp;A1421,Оплаты!$B$6:$B$505))</f>
        <v/>
      </c>
      <c r="E1421">
        <f>IF(A1421="","",IF(SUMPRODUCT((Ввод!$F$12:$F$31&lt;&gt;"")*(Ввод!$F$12:$F$31&lt;=A1421)*(Ввод!$G$12:$G$31&gt;=A1421))&gt;0,1,0))</f>
        <v/>
      </c>
      <c r="F1421">
        <f>IF(OR(A1421="",B1421=""),"",IF(E1421=1,0,D1421*B1421/100/C1421))</f>
        <v/>
      </c>
      <c r="G1421">
        <f>IF(A1421="","",IF(OR(B1421&lt;&gt;B1420,C1421&lt;&gt;C1420,D1421&lt;&gt;D1420,E1421&lt;&gt;E1420),G1420+1,G1420))</f>
        <v/>
      </c>
    </row>
    <row r="1422">
      <c r="A1422" s="14">
        <f>IF(OR(NOT(ISNUMBER(Ввод!$B$5)),NOT(ISNUMBER(Ввод!$B$6))),"",IF(Ввод!$B$5+1420&gt;Ввод!$B$6,"",Ввод!$B$5+1420))</f>
        <v/>
      </c>
      <c r="B1422">
        <f>IF(A1422="","",IFERROR(INDEX(Ввод!$B$12:$B$71,MATCH(A1422,Ввод!$D$12:$D$71,1)),""))</f>
        <v/>
      </c>
      <c r="C1422">
        <f>IF(A1422="","",DATE(YEAR(A1422),12,31)-DATE(YEAR(A1422),1,1)+1)</f>
        <v/>
      </c>
      <c r="D1422">
        <f>IF(A1422="","",Ввод!$B$4-SUMIF(Оплаты!$A$6:$A$505,"&lt;"&amp;A1422,Оплаты!$B$6:$B$505))</f>
        <v/>
      </c>
      <c r="E1422">
        <f>IF(A1422="","",IF(SUMPRODUCT((Ввод!$F$12:$F$31&lt;&gt;"")*(Ввод!$F$12:$F$31&lt;=A1422)*(Ввод!$G$12:$G$31&gt;=A1422))&gt;0,1,0))</f>
        <v/>
      </c>
      <c r="F1422">
        <f>IF(OR(A1422="",B1422=""),"",IF(E1422=1,0,D1422*B1422/100/C1422))</f>
        <v/>
      </c>
      <c r="G1422">
        <f>IF(A1422="","",IF(OR(B1422&lt;&gt;B1421,C1422&lt;&gt;C1421,D1422&lt;&gt;D1421,E1422&lt;&gt;E1421),G1421+1,G1421))</f>
        <v/>
      </c>
    </row>
    <row r="1423">
      <c r="A1423" s="14">
        <f>IF(OR(NOT(ISNUMBER(Ввод!$B$5)),NOT(ISNUMBER(Ввод!$B$6))),"",IF(Ввод!$B$5+1421&gt;Ввод!$B$6,"",Ввод!$B$5+1421))</f>
        <v/>
      </c>
      <c r="B1423">
        <f>IF(A1423="","",IFERROR(INDEX(Ввод!$B$12:$B$71,MATCH(A1423,Ввод!$D$12:$D$71,1)),""))</f>
        <v/>
      </c>
      <c r="C1423">
        <f>IF(A1423="","",DATE(YEAR(A1423),12,31)-DATE(YEAR(A1423),1,1)+1)</f>
        <v/>
      </c>
      <c r="D1423">
        <f>IF(A1423="","",Ввод!$B$4-SUMIF(Оплаты!$A$6:$A$505,"&lt;"&amp;A1423,Оплаты!$B$6:$B$505))</f>
        <v/>
      </c>
      <c r="E1423">
        <f>IF(A1423="","",IF(SUMPRODUCT((Ввод!$F$12:$F$31&lt;&gt;"")*(Ввод!$F$12:$F$31&lt;=A1423)*(Ввод!$G$12:$G$31&gt;=A1423))&gt;0,1,0))</f>
        <v/>
      </c>
      <c r="F1423">
        <f>IF(OR(A1423="",B1423=""),"",IF(E1423=1,0,D1423*B1423/100/C1423))</f>
        <v/>
      </c>
      <c r="G1423">
        <f>IF(A1423="","",IF(OR(B1423&lt;&gt;B1422,C1423&lt;&gt;C1422,D1423&lt;&gt;D1422,E1423&lt;&gt;E1422),G1422+1,G1422))</f>
        <v/>
      </c>
    </row>
    <row r="1424">
      <c r="A1424" s="14">
        <f>IF(OR(NOT(ISNUMBER(Ввод!$B$5)),NOT(ISNUMBER(Ввод!$B$6))),"",IF(Ввод!$B$5+1422&gt;Ввод!$B$6,"",Ввод!$B$5+1422))</f>
        <v/>
      </c>
      <c r="B1424">
        <f>IF(A1424="","",IFERROR(INDEX(Ввод!$B$12:$B$71,MATCH(A1424,Ввод!$D$12:$D$71,1)),""))</f>
        <v/>
      </c>
      <c r="C1424">
        <f>IF(A1424="","",DATE(YEAR(A1424),12,31)-DATE(YEAR(A1424),1,1)+1)</f>
        <v/>
      </c>
      <c r="D1424">
        <f>IF(A1424="","",Ввод!$B$4-SUMIF(Оплаты!$A$6:$A$505,"&lt;"&amp;A1424,Оплаты!$B$6:$B$505))</f>
        <v/>
      </c>
      <c r="E1424">
        <f>IF(A1424="","",IF(SUMPRODUCT((Ввод!$F$12:$F$31&lt;&gt;"")*(Ввод!$F$12:$F$31&lt;=A1424)*(Ввод!$G$12:$G$31&gt;=A1424))&gt;0,1,0))</f>
        <v/>
      </c>
      <c r="F1424">
        <f>IF(OR(A1424="",B1424=""),"",IF(E1424=1,0,D1424*B1424/100/C1424))</f>
        <v/>
      </c>
      <c r="G1424">
        <f>IF(A1424="","",IF(OR(B1424&lt;&gt;B1423,C1424&lt;&gt;C1423,D1424&lt;&gt;D1423,E1424&lt;&gt;E1423),G1423+1,G1423))</f>
        <v/>
      </c>
    </row>
    <row r="1425">
      <c r="A1425" s="14">
        <f>IF(OR(NOT(ISNUMBER(Ввод!$B$5)),NOT(ISNUMBER(Ввод!$B$6))),"",IF(Ввод!$B$5+1423&gt;Ввод!$B$6,"",Ввод!$B$5+1423))</f>
        <v/>
      </c>
      <c r="B1425">
        <f>IF(A1425="","",IFERROR(INDEX(Ввод!$B$12:$B$71,MATCH(A1425,Ввод!$D$12:$D$71,1)),""))</f>
        <v/>
      </c>
      <c r="C1425">
        <f>IF(A1425="","",DATE(YEAR(A1425),12,31)-DATE(YEAR(A1425),1,1)+1)</f>
        <v/>
      </c>
      <c r="D1425">
        <f>IF(A1425="","",Ввод!$B$4-SUMIF(Оплаты!$A$6:$A$505,"&lt;"&amp;A1425,Оплаты!$B$6:$B$505))</f>
        <v/>
      </c>
      <c r="E1425">
        <f>IF(A1425="","",IF(SUMPRODUCT((Ввод!$F$12:$F$31&lt;&gt;"")*(Ввод!$F$12:$F$31&lt;=A1425)*(Ввод!$G$12:$G$31&gt;=A1425))&gt;0,1,0))</f>
        <v/>
      </c>
      <c r="F1425">
        <f>IF(OR(A1425="",B1425=""),"",IF(E1425=1,0,D1425*B1425/100/C1425))</f>
        <v/>
      </c>
      <c r="G1425">
        <f>IF(A1425="","",IF(OR(B1425&lt;&gt;B1424,C1425&lt;&gt;C1424,D1425&lt;&gt;D1424,E1425&lt;&gt;E1424),G1424+1,G1424))</f>
        <v/>
      </c>
    </row>
    <row r="1426">
      <c r="A1426" s="14">
        <f>IF(OR(NOT(ISNUMBER(Ввод!$B$5)),NOT(ISNUMBER(Ввод!$B$6))),"",IF(Ввод!$B$5+1424&gt;Ввод!$B$6,"",Ввод!$B$5+1424))</f>
        <v/>
      </c>
      <c r="B1426">
        <f>IF(A1426="","",IFERROR(INDEX(Ввод!$B$12:$B$71,MATCH(A1426,Ввод!$D$12:$D$71,1)),""))</f>
        <v/>
      </c>
      <c r="C1426">
        <f>IF(A1426="","",DATE(YEAR(A1426),12,31)-DATE(YEAR(A1426),1,1)+1)</f>
        <v/>
      </c>
      <c r="D1426">
        <f>IF(A1426="","",Ввод!$B$4-SUMIF(Оплаты!$A$6:$A$505,"&lt;"&amp;A1426,Оплаты!$B$6:$B$505))</f>
        <v/>
      </c>
      <c r="E1426">
        <f>IF(A1426="","",IF(SUMPRODUCT((Ввод!$F$12:$F$31&lt;&gt;"")*(Ввод!$F$12:$F$31&lt;=A1426)*(Ввод!$G$12:$G$31&gt;=A1426))&gt;0,1,0))</f>
        <v/>
      </c>
      <c r="F1426">
        <f>IF(OR(A1426="",B1426=""),"",IF(E1426=1,0,D1426*B1426/100/C1426))</f>
        <v/>
      </c>
      <c r="G1426">
        <f>IF(A1426="","",IF(OR(B1426&lt;&gt;B1425,C1426&lt;&gt;C1425,D1426&lt;&gt;D1425,E1426&lt;&gt;E1425),G1425+1,G1425))</f>
        <v/>
      </c>
    </row>
    <row r="1427">
      <c r="A1427" s="14">
        <f>IF(OR(NOT(ISNUMBER(Ввод!$B$5)),NOT(ISNUMBER(Ввод!$B$6))),"",IF(Ввод!$B$5+1425&gt;Ввод!$B$6,"",Ввод!$B$5+1425))</f>
        <v/>
      </c>
      <c r="B1427">
        <f>IF(A1427="","",IFERROR(INDEX(Ввод!$B$12:$B$71,MATCH(A1427,Ввод!$D$12:$D$71,1)),""))</f>
        <v/>
      </c>
      <c r="C1427">
        <f>IF(A1427="","",DATE(YEAR(A1427),12,31)-DATE(YEAR(A1427),1,1)+1)</f>
        <v/>
      </c>
      <c r="D1427">
        <f>IF(A1427="","",Ввод!$B$4-SUMIF(Оплаты!$A$6:$A$505,"&lt;"&amp;A1427,Оплаты!$B$6:$B$505))</f>
        <v/>
      </c>
      <c r="E1427">
        <f>IF(A1427="","",IF(SUMPRODUCT((Ввод!$F$12:$F$31&lt;&gt;"")*(Ввод!$F$12:$F$31&lt;=A1427)*(Ввод!$G$12:$G$31&gt;=A1427))&gt;0,1,0))</f>
        <v/>
      </c>
      <c r="F1427">
        <f>IF(OR(A1427="",B1427=""),"",IF(E1427=1,0,D1427*B1427/100/C1427))</f>
        <v/>
      </c>
      <c r="G1427">
        <f>IF(A1427="","",IF(OR(B1427&lt;&gt;B1426,C1427&lt;&gt;C1426,D1427&lt;&gt;D1426,E1427&lt;&gt;E1426),G1426+1,G1426))</f>
        <v/>
      </c>
    </row>
    <row r="1428">
      <c r="A1428" s="14">
        <f>IF(OR(NOT(ISNUMBER(Ввод!$B$5)),NOT(ISNUMBER(Ввод!$B$6))),"",IF(Ввод!$B$5+1426&gt;Ввод!$B$6,"",Ввод!$B$5+1426))</f>
        <v/>
      </c>
      <c r="B1428">
        <f>IF(A1428="","",IFERROR(INDEX(Ввод!$B$12:$B$71,MATCH(A1428,Ввод!$D$12:$D$71,1)),""))</f>
        <v/>
      </c>
      <c r="C1428">
        <f>IF(A1428="","",DATE(YEAR(A1428),12,31)-DATE(YEAR(A1428),1,1)+1)</f>
        <v/>
      </c>
      <c r="D1428">
        <f>IF(A1428="","",Ввод!$B$4-SUMIF(Оплаты!$A$6:$A$505,"&lt;"&amp;A1428,Оплаты!$B$6:$B$505))</f>
        <v/>
      </c>
      <c r="E1428">
        <f>IF(A1428="","",IF(SUMPRODUCT((Ввод!$F$12:$F$31&lt;&gt;"")*(Ввод!$F$12:$F$31&lt;=A1428)*(Ввод!$G$12:$G$31&gt;=A1428))&gt;0,1,0))</f>
        <v/>
      </c>
      <c r="F1428">
        <f>IF(OR(A1428="",B1428=""),"",IF(E1428=1,0,D1428*B1428/100/C1428))</f>
        <v/>
      </c>
      <c r="G1428">
        <f>IF(A1428="","",IF(OR(B1428&lt;&gt;B1427,C1428&lt;&gt;C1427,D1428&lt;&gt;D1427,E1428&lt;&gt;E1427),G1427+1,G1427))</f>
        <v/>
      </c>
    </row>
    <row r="1429">
      <c r="A1429" s="14">
        <f>IF(OR(NOT(ISNUMBER(Ввод!$B$5)),NOT(ISNUMBER(Ввод!$B$6))),"",IF(Ввод!$B$5+1427&gt;Ввод!$B$6,"",Ввод!$B$5+1427))</f>
        <v/>
      </c>
      <c r="B1429">
        <f>IF(A1429="","",IFERROR(INDEX(Ввод!$B$12:$B$71,MATCH(A1429,Ввод!$D$12:$D$71,1)),""))</f>
        <v/>
      </c>
      <c r="C1429">
        <f>IF(A1429="","",DATE(YEAR(A1429),12,31)-DATE(YEAR(A1429),1,1)+1)</f>
        <v/>
      </c>
      <c r="D1429">
        <f>IF(A1429="","",Ввод!$B$4-SUMIF(Оплаты!$A$6:$A$505,"&lt;"&amp;A1429,Оплаты!$B$6:$B$505))</f>
        <v/>
      </c>
      <c r="E1429">
        <f>IF(A1429="","",IF(SUMPRODUCT((Ввод!$F$12:$F$31&lt;&gt;"")*(Ввод!$F$12:$F$31&lt;=A1429)*(Ввод!$G$12:$G$31&gt;=A1429))&gt;0,1,0))</f>
        <v/>
      </c>
      <c r="F1429">
        <f>IF(OR(A1429="",B1429=""),"",IF(E1429=1,0,D1429*B1429/100/C1429))</f>
        <v/>
      </c>
      <c r="G1429">
        <f>IF(A1429="","",IF(OR(B1429&lt;&gt;B1428,C1429&lt;&gt;C1428,D1429&lt;&gt;D1428,E1429&lt;&gt;E1428),G1428+1,G1428))</f>
        <v/>
      </c>
    </row>
    <row r="1430">
      <c r="A1430" s="14">
        <f>IF(OR(NOT(ISNUMBER(Ввод!$B$5)),NOT(ISNUMBER(Ввод!$B$6))),"",IF(Ввод!$B$5+1428&gt;Ввод!$B$6,"",Ввод!$B$5+1428))</f>
        <v/>
      </c>
      <c r="B1430">
        <f>IF(A1430="","",IFERROR(INDEX(Ввод!$B$12:$B$71,MATCH(A1430,Ввод!$D$12:$D$71,1)),""))</f>
        <v/>
      </c>
      <c r="C1430">
        <f>IF(A1430="","",DATE(YEAR(A1430),12,31)-DATE(YEAR(A1430),1,1)+1)</f>
        <v/>
      </c>
      <c r="D1430">
        <f>IF(A1430="","",Ввод!$B$4-SUMIF(Оплаты!$A$6:$A$505,"&lt;"&amp;A1430,Оплаты!$B$6:$B$505))</f>
        <v/>
      </c>
      <c r="E1430">
        <f>IF(A1430="","",IF(SUMPRODUCT((Ввод!$F$12:$F$31&lt;&gt;"")*(Ввод!$F$12:$F$31&lt;=A1430)*(Ввод!$G$12:$G$31&gt;=A1430))&gt;0,1,0))</f>
        <v/>
      </c>
      <c r="F1430">
        <f>IF(OR(A1430="",B1430=""),"",IF(E1430=1,0,D1430*B1430/100/C1430))</f>
        <v/>
      </c>
      <c r="G1430">
        <f>IF(A1430="","",IF(OR(B1430&lt;&gt;B1429,C1430&lt;&gt;C1429,D1430&lt;&gt;D1429,E1430&lt;&gt;E1429),G1429+1,G1429))</f>
        <v/>
      </c>
    </row>
    <row r="1431">
      <c r="A1431" s="14">
        <f>IF(OR(NOT(ISNUMBER(Ввод!$B$5)),NOT(ISNUMBER(Ввод!$B$6))),"",IF(Ввод!$B$5+1429&gt;Ввод!$B$6,"",Ввод!$B$5+1429))</f>
        <v/>
      </c>
      <c r="B1431">
        <f>IF(A1431="","",IFERROR(INDEX(Ввод!$B$12:$B$71,MATCH(A1431,Ввод!$D$12:$D$71,1)),""))</f>
        <v/>
      </c>
      <c r="C1431">
        <f>IF(A1431="","",DATE(YEAR(A1431),12,31)-DATE(YEAR(A1431),1,1)+1)</f>
        <v/>
      </c>
      <c r="D1431">
        <f>IF(A1431="","",Ввод!$B$4-SUMIF(Оплаты!$A$6:$A$505,"&lt;"&amp;A1431,Оплаты!$B$6:$B$505))</f>
        <v/>
      </c>
      <c r="E1431">
        <f>IF(A1431="","",IF(SUMPRODUCT((Ввод!$F$12:$F$31&lt;&gt;"")*(Ввод!$F$12:$F$31&lt;=A1431)*(Ввод!$G$12:$G$31&gt;=A1431))&gt;0,1,0))</f>
        <v/>
      </c>
      <c r="F1431">
        <f>IF(OR(A1431="",B1431=""),"",IF(E1431=1,0,D1431*B1431/100/C1431))</f>
        <v/>
      </c>
      <c r="G1431">
        <f>IF(A1431="","",IF(OR(B1431&lt;&gt;B1430,C1431&lt;&gt;C1430,D1431&lt;&gt;D1430,E1431&lt;&gt;E1430),G1430+1,G1430))</f>
        <v/>
      </c>
    </row>
    <row r="1432">
      <c r="A1432" s="14">
        <f>IF(OR(NOT(ISNUMBER(Ввод!$B$5)),NOT(ISNUMBER(Ввод!$B$6))),"",IF(Ввод!$B$5+1430&gt;Ввод!$B$6,"",Ввод!$B$5+1430))</f>
        <v/>
      </c>
      <c r="B1432">
        <f>IF(A1432="","",IFERROR(INDEX(Ввод!$B$12:$B$71,MATCH(A1432,Ввод!$D$12:$D$71,1)),""))</f>
        <v/>
      </c>
      <c r="C1432">
        <f>IF(A1432="","",DATE(YEAR(A1432),12,31)-DATE(YEAR(A1432),1,1)+1)</f>
        <v/>
      </c>
      <c r="D1432">
        <f>IF(A1432="","",Ввод!$B$4-SUMIF(Оплаты!$A$6:$A$505,"&lt;"&amp;A1432,Оплаты!$B$6:$B$505))</f>
        <v/>
      </c>
      <c r="E1432">
        <f>IF(A1432="","",IF(SUMPRODUCT((Ввод!$F$12:$F$31&lt;&gt;"")*(Ввод!$F$12:$F$31&lt;=A1432)*(Ввод!$G$12:$G$31&gt;=A1432))&gt;0,1,0))</f>
        <v/>
      </c>
      <c r="F1432">
        <f>IF(OR(A1432="",B1432=""),"",IF(E1432=1,0,D1432*B1432/100/C1432))</f>
        <v/>
      </c>
      <c r="G1432">
        <f>IF(A1432="","",IF(OR(B1432&lt;&gt;B1431,C1432&lt;&gt;C1431,D1432&lt;&gt;D1431,E1432&lt;&gt;E1431),G1431+1,G1431))</f>
        <v/>
      </c>
    </row>
    <row r="1433">
      <c r="A1433" s="14">
        <f>IF(OR(NOT(ISNUMBER(Ввод!$B$5)),NOT(ISNUMBER(Ввод!$B$6))),"",IF(Ввод!$B$5+1431&gt;Ввод!$B$6,"",Ввод!$B$5+1431))</f>
        <v/>
      </c>
      <c r="B1433">
        <f>IF(A1433="","",IFERROR(INDEX(Ввод!$B$12:$B$71,MATCH(A1433,Ввод!$D$12:$D$71,1)),""))</f>
        <v/>
      </c>
      <c r="C1433">
        <f>IF(A1433="","",DATE(YEAR(A1433),12,31)-DATE(YEAR(A1433),1,1)+1)</f>
        <v/>
      </c>
      <c r="D1433">
        <f>IF(A1433="","",Ввод!$B$4-SUMIF(Оплаты!$A$6:$A$505,"&lt;"&amp;A1433,Оплаты!$B$6:$B$505))</f>
        <v/>
      </c>
      <c r="E1433">
        <f>IF(A1433="","",IF(SUMPRODUCT((Ввод!$F$12:$F$31&lt;&gt;"")*(Ввод!$F$12:$F$31&lt;=A1433)*(Ввод!$G$12:$G$31&gt;=A1433))&gt;0,1,0))</f>
        <v/>
      </c>
      <c r="F1433">
        <f>IF(OR(A1433="",B1433=""),"",IF(E1433=1,0,D1433*B1433/100/C1433))</f>
        <v/>
      </c>
      <c r="G1433">
        <f>IF(A1433="","",IF(OR(B1433&lt;&gt;B1432,C1433&lt;&gt;C1432,D1433&lt;&gt;D1432,E1433&lt;&gt;E1432),G1432+1,G1432))</f>
        <v/>
      </c>
    </row>
    <row r="1434">
      <c r="A1434" s="14">
        <f>IF(OR(NOT(ISNUMBER(Ввод!$B$5)),NOT(ISNUMBER(Ввод!$B$6))),"",IF(Ввод!$B$5+1432&gt;Ввод!$B$6,"",Ввод!$B$5+1432))</f>
        <v/>
      </c>
      <c r="B1434">
        <f>IF(A1434="","",IFERROR(INDEX(Ввод!$B$12:$B$71,MATCH(A1434,Ввод!$D$12:$D$71,1)),""))</f>
        <v/>
      </c>
      <c r="C1434">
        <f>IF(A1434="","",DATE(YEAR(A1434),12,31)-DATE(YEAR(A1434),1,1)+1)</f>
        <v/>
      </c>
      <c r="D1434">
        <f>IF(A1434="","",Ввод!$B$4-SUMIF(Оплаты!$A$6:$A$505,"&lt;"&amp;A1434,Оплаты!$B$6:$B$505))</f>
        <v/>
      </c>
      <c r="E1434">
        <f>IF(A1434="","",IF(SUMPRODUCT((Ввод!$F$12:$F$31&lt;&gt;"")*(Ввод!$F$12:$F$31&lt;=A1434)*(Ввод!$G$12:$G$31&gt;=A1434))&gt;0,1,0))</f>
        <v/>
      </c>
      <c r="F1434">
        <f>IF(OR(A1434="",B1434=""),"",IF(E1434=1,0,D1434*B1434/100/C1434))</f>
        <v/>
      </c>
      <c r="G1434">
        <f>IF(A1434="","",IF(OR(B1434&lt;&gt;B1433,C1434&lt;&gt;C1433,D1434&lt;&gt;D1433,E1434&lt;&gt;E1433),G1433+1,G1433))</f>
        <v/>
      </c>
    </row>
    <row r="1435">
      <c r="A1435" s="14">
        <f>IF(OR(NOT(ISNUMBER(Ввод!$B$5)),NOT(ISNUMBER(Ввод!$B$6))),"",IF(Ввод!$B$5+1433&gt;Ввод!$B$6,"",Ввод!$B$5+1433))</f>
        <v/>
      </c>
      <c r="B1435">
        <f>IF(A1435="","",IFERROR(INDEX(Ввод!$B$12:$B$71,MATCH(A1435,Ввод!$D$12:$D$71,1)),""))</f>
        <v/>
      </c>
      <c r="C1435">
        <f>IF(A1435="","",DATE(YEAR(A1435),12,31)-DATE(YEAR(A1435),1,1)+1)</f>
        <v/>
      </c>
      <c r="D1435">
        <f>IF(A1435="","",Ввод!$B$4-SUMIF(Оплаты!$A$6:$A$505,"&lt;"&amp;A1435,Оплаты!$B$6:$B$505))</f>
        <v/>
      </c>
      <c r="E1435">
        <f>IF(A1435="","",IF(SUMPRODUCT((Ввод!$F$12:$F$31&lt;&gt;"")*(Ввод!$F$12:$F$31&lt;=A1435)*(Ввод!$G$12:$G$31&gt;=A1435))&gt;0,1,0))</f>
        <v/>
      </c>
      <c r="F1435">
        <f>IF(OR(A1435="",B1435=""),"",IF(E1435=1,0,D1435*B1435/100/C1435))</f>
        <v/>
      </c>
      <c r="G1435">
        <f>IF(A1435="","",IF(OR(B1435&lt;&gt;B1434,C1435&lt;&gt;C1434,D1435&lt;&gt;D1434,E1435&lt;&gt;E1434),G1434+1,G1434))</f>
        <v/>
      </c>
    </row>
    <row r="1436">
      <c r="A1436" s="14">
        <f>IF(OR(NOT(ISNUMBER(Ввод!$B$5)),NOT(ISNUMBER(Ввод!$B$6))),"",IF(Ввод!$B$5+1434&gt;Ввод!$B$6,"",Ввод!$B$5+1434))</f>
        <v/>
      </c>
      <c r="B1436">
        <f>IF(A1436="","",IFERROR(INDEX(Ввод!$B$12:$B$71,MATCH(A1436,Ввод!$D$12:$D$71,1)),""))</f>
        <v/>
      </c>
      <c r="C1436">
        <f>IF(A1436="","",DATE(YEAR(A1436),12,31)-DATE(YEAR(A1436),1,1)+1)</f>
        <v/>
      </c>
      <c r="D1436">
        <f>IF(A1436="","",Ввод!$B$4-SUMIF(Оплаты!$A$6:$A$505,"&lt;"&amp;A1436,Оплаты!$B$6:$B$505))</f>
        <v/>
      </c>
      <c r="E1436">
        <f>IF(A1436="","",IF(SUMPRODUCT((Ввод!$F$12:$F$31&lt;&gt;"")*(Ввод!$F$12:$F$31&lt;=A1436)*(Ввод!$G$12:$G$31&gt;=A1436))&gt;0,1,0))</f>
        <v/>
      </c>
      <c r="F1436">
        <f>IF(OR(A1436="",B1436=""),"",IF(E1436=1,0,D1436*B1436/100/C1436))</f>
        <v/>
      </c>
      <c r="G1436">
        <f>IF(A1436="","",IF(OR(B1436&lt;&gt;B1435,C1436&lt;&gt;C1435,D1436&lt;&gt;D1435,E1436&lt;&gt;E1435),G1435+1,G1435))</f>
        <v/>
      </c>
    </row>
    <row r="1437">
      <c r="A1437" s="14">
        <f>IF(OR(NOT(ISNUMBER(Ввод!$B$5)),NOT(ISNUMBER(Ввод!$B$6))),"",IF(Ввод!$B$5+1435&gt;Ввод!$B$6,"",Ввод!$B$5+1435))</f>
        <v/>
      </c>
      <c r="B1437">
        <f>IF(A1437="","",IFERROR(INDEX(Ввод!$B$12:$B$71,MATCH(A1437,Ввод!$D$12:$D$71,1)),""))</f>
        <v/>
      </c>
      <c r="C1437">
        <f>IF(A1437="","",DATE(YEAR(A1437),12,31)-DATE(YEAR(A1437),1,1)+1)</f>
        <v/>
      </c>
      <c r="D1437">
        <f>IF(A1437="","",Ввод!$B$4-SUMIF(Оплаты!$A$6:$A$505,"&lt;"&amp;A1437,Оплаты!$B$6:$B$505))</f>
        <v/>
      </c>
      <c r="E1437">
        <f>IF(A1437="","",IF(SUMPRODUCT((Ввод!$F$12:$F$31&lt;&gt;"")*(Ввод!$F$12:$F$31&lt;=A1437)*(Ввод!$G$12:$G$31&gt;=A1437))&gt;0,1,0))</f>
        <v/>
      </c>
      <c r="F1437">
        <f>IF(OR(A1437="",B1437=""),"",IF(E1437=1,0,D1437*B1437/100/C1437))</f>
        <v/>
      </c>
      <c r="G1437">
        <f>IF(A1437="","",IF(OR(B1437&lt;&gt;B1436,C1437&lt;&gt;C1436,D1437&lt;&gt;D1436,E1437&lt;&gt;E1436),G1436+1,G1436))</f>
        <v/>
      </c>
    </row>
    <row r="1438">
      <c r="A1438" s="14">
        <f>IF(OR(NOT(ISNUMBER(Ввод!$B$5)),NOT(ISNUMBER(Ввод!$B$6))),"",IF(Ввод!$B$5+1436&gt;Ввод!$B$6,"",Ввод!$B$5+1436))</f>
        <v/>
      </c>
      <c r="B1438">
        <f>IF(A1438="","",IFERROR(INDEX(Ввод!$B$12:$B$71,MATCH(A1438,Ввод!$D$12:$D$71,1)),""))</f>
        <v/>
      </c>
      <c r="C1438">
        <f>IF(A1438="","",DATE(YEAR(A1438),12,31)-DATE(YEAR(A1438),1,1)+1)</f>
        <v/>
      </c>
      <c r="D1438">
        <f>IF(A1438="","",Ввод!$B$4-SUMIF(Оплаты!$A$6:$A$505,"&lt;"&amp;A1438,Оплаты!$B$6:$B$505))</f>
        <v/>
      </c>
      <c r="E1438">
        <f>IF(A1438="","",IF(SUMPRODUCT((Ввод!$F$12:$F$31&lt;&gt;"")*(Ввод!$F$12:$F$31&lt;=A1438)*(Ввод!$G$12:$G$31&gt;=A1438))&gt;0,1,0))</f>
        <v/>
      </c>
      <c r="F1438">
        <f>IF(OR(A1438="",B1438=""),"",IF(E1438=1,0,D1438*B1438/100/C1438))</f>
        <v/>
      </c>
      <c r="G1438">
        <f>IF(A1438="","",IF(OR(B1438&lt;&gt;B1437,C1438&lt;&gt;C1437,D1438&lt;&gt;D1437,E1438&lt;&gt;E1437),G1437+1,G1437))</f>
        <v/>
      </c>
    </row>
    <row r="1439">
      <c r="A1439" s="14">
        <f>IF(OR(NOT(ISNUMBER(Ввод!$B$5)),NOT(ISNUMBER(Ввод!$B$6))),"",IF(Ввод!$B$5+1437&gt;Ввод!$B$6,"",Ввод!$B$5+1437))</f>
        <v/>
      </c>
      <c r="B1439">
        <f>IF(A1439="","",IFERROR(INDEX(Ввод!$B$12:$B$71,MATCH(A1439,Ввод!$D$12:$D$71,1)),""))</f>
        <v/>
      </c>
      <c r="C1439">
        <f>IF(A1439="","",DATE(YEAR(A1439),12,31)-DATE(YEAR(A1439),1,1)+1)</f>
        <v/>
      </c>
      <c r="D1439">
        <f>IF(A1439="","",Ввод!$B$4-SUMIF(Оплаты!$A$6:$A$505,"&lt;"&amp;A1439,Оплаты!$B$6:$B$505))</f>
        <v/>
      </c>
      <c r="E1439">
        <f>IF(A1439="","",IF(SUMPRODUCT((Ввод!$F$12:$F$31&lt;&gt;"")*(Ввод!$F$12:$F$31&lt;=A1439)*(Ввод!$G$12:$G$31&gt;=A1439))&gt;0,1,0))</f>
        <v/>
      </c>
      <c r="F1439">
        <f>IF(OR(A1439="",B1439=""),"",IF(E1439=1,0,D1439*B1439/100/C1439))</f>
        <v/>
      </c>
      <c r="G1439">
        <f>IF(A1439="","",IF(OR(B1439&lt;&gt;B1438,C1439&lt;&gt;C1438,D1439&lt;&gt;D1438,E1439&lt;&gt;E1438),G1438+1,G1438))</f>
        <v/>
      </c>
    </row>
    <row r="1440">
      <c r="A1440" s="14">
        <f>IF(OR(NOT(ISNUMBER(Ввод!$B$5)),NOT(ISNUMBER(Ввод!$B$6))),"",IF(Ввод!$B$5+1438&gt;Ввод!$B$6,"",Ввод!$B$5+1438))</f>
        <v/>
      </c>
      <c r="B1440">
        <f>IF(A1440="","",IFERROR(INDEX(Ввод!$B$12:$B$71,MATCH(A1440,Ввод!$D$12:$D$71,1)),""))</f>
        <v/>
      </c>
      <c r="C1440">
        <f>IF(A1440="","",DATE(YEAR(A1440),12,31)-DATE(YEAR(A1440),1,1)+1)</f>
        <v/>
      </c>
      <c r="D1440">
        <f>IF(A1440="","",Ввод!$B$4-SUMIF(Оплаты!$A$6:$A$505,"&lt;"&amp;A1440,Оплаты!$B$6:$B$505))</f>
        <v/>
      </c>
      <c r="E1440">
        <f>IF(A1440="","",IF(SUMPRODUCT((Ввод!$F$12:$F$31&lt;&gt;"")*(Ввод!$F$12:$F$31&lt;=A1440)*(Ввод!$G$12:$G$31&gt;=A1440))&gt;0,1,0))</f>
        <v/>
      </c>
      <c r="F1440">
        <f>IF(OR(A1440="",B1440=""),"",IF(E1440=1,0,D1440*B1440/100/C1440))</f>
        <v/>
      </c>
      <c r="G1440">
        <f>IF(A1440="","",IF(OR(B1440&lt;&gt;B1439,C1440&lt;&gt;C1439,D1440&lt;&gt;D1439,E1440&lt;&gt;E1439),G1439+1,G1439))</f>
        <v/>
      </c>
    </row>
    <row r="1441">
      <c r="A1441" s="14">
        <f>IF(OR(NOT(ISNUMBER(Ввод!$B$5)),NOT(ISNUMBER(Ввод!$B$6))),"",IF(Ввод!$B$5+1439&gt;Ввод!$B$6,"",Ввод!$B$5+1439))</f>
        <v/>
      </c>
      <c r="B1441">
        <f>IF(A1441="","",IFERROR(INDEX(Ввод!$B$12:$B$71,MATCH(A1441,Ввод!$D$12:$D$71,1)),""))</f>
        <v/>
      </c>
      <c r="C1441">
        <f>IF(A1441="","",DATE(YEAR(A1441),12,31)-DATE(YEAR(A1441),1,1)+1)</f>
        <v/>
      </c>
      <c r="D1441">
        <f>IF(A1441="","",Ввод!$B$4-SUMIF(Оплаты!$A$6:$A$505,"&lt;"&amp;A1441,Оплаты!$B$6:$B$505))</f>
        <v/>
      </c>
      <c r="E1441">
        <f>IF(A1441="","",IF(SUMPRODUCT((Ввод!$F$12:$F$31&lt;&gt;"")*(Ввод!$F$12:$F$31&lt;=A1441)*(Ввод!$G$12:$G$31&gt;=A1441))&gt;0,1,0))</f>
        <v/>
      </c>
      <c r="F1441">
        <f>IF(OR(A1441="",B1441=""),"",IF(E1441=1,0,D1441*B1441/100/C1441))</f>
        <v/>
      </c>
      <c r="G1441">
        <f>IF(A1441="","",IF(OR(B1441&lt;&gt;B1440,C1441&lt;&gt;C1440,D1441&lt;&gt;D1440,E1441&lt;&gt;E1440),G1440+1,G1440))</f>
        <v/>
      </c>
    </row>
    <row r="1442">
      <c r="A1442" s="14">
        <f>IF(OR(NOT(ISNUMBER(Ввод!$B$5)),NOT(ISNUMBER(Ввод!$B$6))),"",IF(Ввод!$B$5+1440&gt;Ввод!$B$6,"",Ввод!$B$5+1440))</f>
        <v/>
      </c>
      <c r="B1442">
        <f>IF(A1442="","",IFERROR(INDEX(Ввод!$B$12:$B$71,MATCH(A1442,Ввод!$D$12:$D$71,1)),""))</f>
        <v/>
      </c>
      <c r="C1442">
        <f>IF(A1442="","",DATE(YEAR(A1442),12,31)-DATE(YEAR(A1442),1,1)+1)</f>
        <v/>
      </c>
      <c r="D1442">
        <f>IF(A1442="","",Ввод!$B$4-SUMIF(Оплаты!$A$6:$A$505,"&lt;"&amp;A1442,Оплаты!$B$6:$B$505))</f>
        <v/>
      </c>
      <c r="E1442">
        <f>IF(A1442="","",IF(SUMPRODUCT((Ввод!$F$12:$F$31&lt;&gt;"")*(Ввод!$F$12:$F$31&lt;=A1442)*(Ввод!$G$12:$G$31&gt;=A1442))&gt;0,1,0))</f>
        <v/>
      </c>
      <c r="F1442">
        <f>IF(OR(A1442="",B1442=""),"",IF(E1442=1,0,D1442*B1442/100/C1442))</f>
        <v/>
      </c>
      <c r="G1442">
        <f>IF(A1442="","",IF(OR(B1442&lt;&gt;B1441,C1442&lt;&gt;C1441,D1442&lt;&gt;D1441,E1442&lt;&gt;E1441),G1441+1,G1441))</f>
        <v/>
      </c>
    </row>
    <row r="1443">
      <c r="A1443" s="14">
        <f>IF(OR(NOT(ISNUMBER(Ввод!$B$5)),NOT(ISNUMBER(Ввод!$B$6))),"",IF(Ввод!$B$5+1441&gt;Ввод!$B$6,"",Ввод!$B$5+1441))</f>
        <v/>
      </c>
      <c r="B1443">
        <f>IF(A1443="","",IFERROR(INDEX(Ввод!$B$12:$B$71,MATCH(A1443,Ввод!$D$12:$D$71,1)),""))</f>
        <v/>
      </c>
      <c r="C1443">
        <f>IF(A1443="","",DATE(YEAR(A1443),12,31)-DATE(YEAR(A1443),1,1)+1)</f>
        <v/>
      </c>
      <c r="D1443">
        <f>IF(A1443="","",Ввод!$B$4-SUMIF(Оплаты!$A$6:$A$505,"&lt;"&amp;A1443,Оплаты!$B$6:$B$505))</f>
        <v/>
      </c>
      <c r="E1443">
        <f>IF(A1443="","",IF(SUMPRODUCT((Ввод!$F$12:$F$31&lt;&gt;"")*(Ввод!$F$12:$F$31&lt;=A1443)*(Ввод!$G$12:$G$31&gt;=A1443))&gt;0,1,0))</f>
        <v/>
      </c>
      <c r="F1443">
        <f>IF(OR(A1443="",B1443=""),"",IF(E1443=1,0,D1443*B1443/100/C1443))</f>
        <v/>
      </c>
      <c r="G1443">
        <f>IF(A1443="","",IF(OR(B1443&lt;&gt;B1442,C1443&lt;&gt;C1442,D1443&lt;&gt;D1442,E1443&lt;&gt;E1442),G1442+1,G1442))</f>
        <v/>
      </c>
    </row>
    <row r="1444">
      <c r="A1444" s="14">
        <f>IF(OR(NOT(ISNUMBER(Ввод!$B$5)),NOT(ISNUMBER(Ввод!$B$6))),"",IF(Ввод!$B$5+1442&gt;Ввод!$B$6,"",Ввод!$B$5+1442))</f>
        <v/>
      </c>
      <c r="B1444">
        <f>IF(A1444="","",IFERROR(INDEX(Ввод!$B$12:$B$71,MATCH(A1444,Ввод!$D$12:$D$71,1)),""))</f>
        <v/>
      </c>
      <c r="C1444">
        <f>IF(A1444="","",DATE(YEAR(A1444),12,31)-DATE(YEAR(A1444),1,1)+1)</f>
        <v/>
      </c>
      <c r="D1444">
        <f>IF(A1444="","",Ввод!$B$4-SUMIF(Оплаты!$A$6:$A$505,"&lt;"&amp;A1444,Оплаты!$B$6:$B$505))</f>
        <v/>
      </c>
      <c r="E1444">
        <f>IF(A1444="","",IF(SUMPRODUCT((Ввод!$F$12:$F$31&lt;&gt;"")*(Ввод!$F$12:$F$31&lt;=A1444)*(Ввод!$G$12:$G$31&gt;=A1444))&gt;0,1,0))</f>
        <v/>
      </c>
      <c r="F1444">
        <f>IF(OR(A1444="",B1444=""),"",IF(E1444=1,0,D1444*B1444/100/C1444))</f>
        <v/>
      </c>
      <c r="G1444">
        <f>IF(A1444="","",IF(OR(B1444&lt;&gt;B1443,C1444&lt;&gt;C1443,D1444&lt;&gt;D1443,E1444&lt;&gt;E1443),G1443+1,G1443))</f>
        <v/>
      </c>
    </row>
    <row r="1445">
      <c r="A1445" s="14">
        <f>IF(OR(NOT(ISNUMBER(Ввод!$B$5)),NOT(ISNUMBER(Ввод!$B$6))),"",IF(Ввод!$B$5+1443&gt;Ввод!$B$6,"",Ввод!$B$5+1443))</f>
        <v/>
      </c>
      <c r="B1445">
        <f>IF(A1445="","",IFERROR(INDEX(Ввод!$B$12:$B$71,MATCH(A1445,Ввод!$D$12:$D$71,1)),""))</f>
        <v/>
      </c>
      <c r="C1445">
        <f>IF(A1445="","",DATE(YEAR(A1445),12,31)-DATE(YEAR(A1445),1,1)+1)</f>
        <v/>
      </c>
      <c r="D1445">
        <f>IF(A1445="","",Ввод!$B$4-SUMIF(Оплаты!$A$6:$A$505,"&lt;"&amp;A1445,Оплаты!$B$6:$B$505))</f>
        <v/>
      </c>
      <c r="E1445">
        <f>IF(A1445="","",IF(SUMPRODUCT((Ввод!$F$12:$F$31&lt;&gt;"")*(Ввод!$F$12:$F$31&lt;=A1445)*(Ввод!$G$12:$G$31&gt;=A1445))&gt;0,1,0))</f>
        <v/>
      </c>
      <c r="F1445">
        <f>IF(OR(A1445="",B1445=""),"",IF(E1445=1,0,D1445*B1445/100/C1445))</f>
        <v/>
      </c>
      <c r="G1445">
        <f>IF(A1445="","",IF(OR(B1445&lt;&gt;B1444,C1445&lt;&gt;C1444,D1445&lt;&gt;D1444,E1445&lt;&gt;E1444),G1444+1,G1444))</f>
        <v/>
      </c>
    </row>
    <row r="1446">
      <c r="A1446" s="14">
        <f>IF(OR(NOT(ISNUMBER(Ввод!$B$5)),NOT(ISNUMBER(Ввод!$B$6))),"",IF(Ввод!$B$5+1444&gt;Ввод!$B$6,"",Ввод!$B$5+1444))</f>
        <v/>
      </c>
      <c r="B1446">
        <f>IF(A1446="","",IFERROR(INDEX(Ввод!$B$12:$B$71,MATCH(A1446,Ввод!$D$12:$D$71,1)),""))</f>
        <v/>
      </c>
      <c r="C1446">
        <f>IF(A1446="","",DATE(YEAR(A1446),12,31)-DATE(YEAR(A1446),1,1)+1)</f>
        <v/>
      </c>
      <c r="D1446">
        <f>IF(A1446="","",Ввод!$B$4-SUMIF(Оплаты!$A$6:$A$505,"&lt;"&amp;A1446,Оплаты!$B$6:$B$505))</f>
        <v/>
      </c>
      <c r="E1446">
        <f>IF(A1446="","",IF(SUMPRODUCT((Ввод!$F$12:$F$31&lt;&gt;"")*(Ввод!$F$12:$F$31&lt;=A1446)*(Ввод!$G$12:$G$31&gt;=A1446))&gt;0,1,0))</f>
        <v/>
      </c>
      <c r="F1446">
        <f>IF(OR(A1446="",B1446=""),"",IF(E1446=1,0,D1446*B1446/100/C1446))</f>
        <v/>
      </c>
      <c r="G1446">
        <f>IF(A1446="","",IF(OR(B1446&lt;&gt;B1445,C1446&lt;&gt;C1445,D1446&lt;&gt;D1445,E1446&lt;&gt;E1445),G1445+1,G1445))</f>
        <v/>
      </c>
    </row>
    <row r="1447">
      <c r="A1447" s="14">
        <f>IF(OR(NOT(ISNUMBER(Ввод!$B$5)),NOT(ISNUMBER(Ввод!$B$6))),"",IF(Ввод!$B$5+1445&gt;Ввод!$B$6,"",Ввод!$B$5+1445))</f>
        <v/>
      </c>
      <c r="B1447">
        <f>IF(A1447="","",IFERROR(INDEX(Ввод!$B$12:$B$71,MATCH(A1447,Ввод!$D$12:$D$71,1)),""))</f>
        <v/>
      </c>
      <c r="C1447">
        <f>IF(A1447="","",DATE(YEAR(A1447),12,31)-DATE(YEAR(A1447),1,1)+1)</f>
        <v/>
      </c>
      <c r="D1447">
        <f>IF(A1447="","",Ввод!$B$4-SUMIF(Оплаты!$A$6:$A$505,"&lt;"&amp;A1447,Оплаты!$B$6:$B$505))</f>
        <v/>
      </c>
      <c r="E1447">
        <f>IF(A1447="","",IF(SUMPRODUCT((Ввод!$F$12:$F$31&lt;&gt;"")*(Ввод!$F$12:$F$31&lt;=A1447)*(Ввод!$G$12:$G$31&gt;=A1447))&gt;0,1,0))</f>
        <v/>
      </c>
      <c r="F1447">
        <f>IF(OR(A1447="",B1447=""),"",IF(E1447=1,0,D1447*B1447/100/C1447))</f>
        <v/>
      </c>
      <c r="G1447">
        <f>IF(A1447="","",IF(OR(B1447&lt;&gt;B1446,C1447&lt;&gt;C1446,D1447&lt;&gt;D1446,E1447&lt;&gt;E1446),G1446+1,G1446))</f>
        <v/>
      </c>
    </row>
    <row r="1448">
      <c r="A1448" s="14">
        <f>IF(OR(NOT(ISNUMBER(Ввод!$B$5)),NOT(ISNUMBER(Ввод!$B$6))),"",IF(Ввод!$B$5+1446&gt;Ввод!$B$6,"",Ввод!$B$5+1446))</f>
        <v/>
      </c>
      <c r="B1448">
        <f>IF(A1448="","",IFERROR(INDEX(Ввод!$B$12:$B$71,MATCH(A1448,Ввод!$D$12:$D$71,1)),""))</f>
        <v/>
      </c>
      <c r="C1448">
        <f>IF(A1448="","",DATE(YEAR(A1448),12,31)-DATE(YEAR(A1448),1,1)+1)</f>
        <v/>
      </c>
      <c r="D1448">
        <f>IF(A1448="","",Ввод!$B$4-SUMIF(Оплаты!$A$6:$A$505,"&lt;"&amp;A1448,Оплаты!$B$6:$B$505))</f>
        <v/>
      </c>
      <c r="E1448">
        <f>IF(A1448="","",IF(SUMPRODUCT((Ввод!$F$12:$F$31&lt;&gt;"")*(Ввод!$F$12:$F$31&lt;=A1448)*(Ввод!$G$12:$G$31&gt;=A1448))&gt;0,1,0))</f>
        <v/>
      </c>
      <c r="F1448">
        <f>IF(OR(A1448="",B1448=""),"",IF(E1448=1,0,D1448*B1448/100/C1448))</f>
        <v/>
      </c>
      <c r="G1448">
        <f>IF(A1448="","",IF(OR(B1448&lt;&gt;B1447,C1448&lt;&gt;C1447,D1448&lt;&gt;D1447,E1448&lt;&gt;E1447),G1447+1,G1447))</f>
        <v/>
      </c>
    </row>
    <row r="1449">
      <c r="A1449" s="14">
        <f>IF(OR(NOT(ISNUMBER(Ввод!$B$5)),NOT(ISNUMBER(Ввод!$B$6))),"",IF(Ввод!$B$5+1447&gt;Ввод!$B$6,"",Ввод!$B$5+1447))</f>
        <v/>
      </c>
      <c r="B1449">
        <f>IF(A1449="","",IFERROR(INDEX(Ввод!$B$12:$B$71,MATCH(A1449,Ввод!$D$12:$D$71,1)),""))</f>
        <v/>
      </c>
      <c r="C1449">
        <f>IF(A1449="","",DATE(YEAR(A1449),12,31)-DATE(YEAR(A1449),1,1)+1)</f>
        <v/>
      </c>
      <c r="D1449">
        <f>IF(A1449="","",Ввод!$B$4-SUMIF(Оплаты!$A$6:$A$505,"&lt;"&amp;A1449,Оплаты!$B$6:$B$505))</f>
        <v/>
      </c>
      <c r="E1449">
        <f>IF(A1449="","",IF(SUMPRODUCT((Ввод!$F$12:$F$31&lt;&gt;"")*(Ввод!$F$12:$F$31&lt;=A1449)*(Ввод!$G$12:$G$31&gt;=A1449))&gt;0,1,0))</f>
        <v/>
      </c>
      <c r="F1449">
        <f>IF(OR(A1449="",B1449=""),"",IF(E1449=1,0,D1449*B1449/100/C1449))</f>
        <v/>
      </c>
      <c r="G1449">
        <f>IF(A1449="","",IF(OR(B1449&lt;&gt;B1448,C1449&lt;&gt;C1448,D1449&lt;&gt;D1448,E1449&lt;&gt;E1448),G1448+1,G1448))</f>
        <v/>
      </c>
    </row>
    <row r="1450">
      <c r="A1450" s="14">
        <f>IF(OR(NOT(ISNUMBER(Ввод!$B$5)),NOT(ISNUMBER(Ввод!$B$6))),"",IF(Ввод!$B$5+1448&gt;Ввод!$B$6,"",Ввод!$B$5+1448))</f>
        <v/>
      </c>
      <c r="B1450">
        <f>IF(A1450="","",IFERROR(INDEX(Ввод!$B$12:$B$71,MATCH(A1450,Ввод!$D$12:$D$71,1)),""))</f>
        <v/>
      </c>
      <c r="C1450">
        <f>IF(A1450="","",DATE(YEAR(A1450),12,31)-DATE(YEAR(A1450),1,1)+1)</f>
        <v/>
      </c>
      <c r="D1450">
        <f>IF(A1450="","",Ввод!$B$4-SUMIF(Оплаты!$A$6:$A$505,"&lt;"&amp;A1450,Оплаты!$B$6:$B$505))</f>
        <v/>
      </c>
      <c r="E1450">
        <f>IF(A1450="","",IF(SUMPRODUCT((Ввод!$F$12:$F$31&lt;&gt;"")*(Ввод!$F$12:$F$31&lt;=A1450)*(Ввод!$G$12:$G$31&gt;=A1450))&gt;0,1,0))</f>
        <v/>
      </c>
      <c r="F1450">
        <f>IF(OR(A1450="",B1450=""),"",IF(E1450=1,0,D1450*B1450/100/C1450))</f>
        <v/>
      </c>
      <c r="G1450">
        <f>IF(A1450="","",IF(OR(B1450&lt;&gt;B1449,C1450&lt;&gt;C1449,D1450&lt;&gt;D1449,E1450&lt;&gt;E1449),G1449+1,G1449))</f>
        <v/>
      </c>
    </row>
    <row r="1451">
      <c r="A1451" s="14">
        <f>IF(OR(NOT(ISNUMBER(Ввод!$B$5)),NOT(ISNUMBER(Ввод!$B$6))),"",IF(Ввод!$B$5+1449&gt;Ввод!$B$6,"",Ввод!$B$5+1449))</f>
        <v/>
      </c>
      <c r="B1451">
        <f>IF(A1451="","",IFERROR(INDEX(Ввод!$B$12:$B$71,MATCH(A1451,Ввод!$D$12:$D$71,1)),""))</f>
        <v/>
      </c>
      <c r="C1451">
        <f>IF(A1451="","",DATE(YEAR(A1451),12,31)-DATE(YEAR(A1451),1,1)+1)</f>
        <v/>
      </c>
      <c r="D1451">
        <f>IF(A1451="","",Ввод!$B$4-SUMIF(Оплаты!$A$6:$A$505,"&lt;"&amp;A1451,Оплаты!$B$6:$B$505))</f>
        <v/>
      </c>
      <c r="E1451">
        <f>IF(A1451="","",IF(SUMPRODUCT((Ввод!$F$12:$F$31&lt;&gt;"")*(Ввод!$F$12:$F$31&lt;=A1451)*(Ввод!$G$12:$G$31&gt;=A1451))&gt;0,1,0))</f>
        <v/>
      </c>
      <c r="F1451">
        <f>IF(OR(A1451="",B1451=""),"",IF(E1451=1,0,D1451*B1451/100/C1451))</f>
        <v/>
      </c>
      <c r="G1451">
        <f>IF(A1451="","",IF(OR(B1451&lt;&gt;B1450,C1451&lt;&gt;C1450,D1451&lt;&gt;D1450,E1451&lt;&gt;E1450),G1450+1,G1450))</f>
        <v/>
      </c>
    </row>
    <row r="1452">
      <c r="A1452" s="14">
        <f>IF(OR(NOT(ISNUMBER(Ввод!$B$5)),NOT(ISNUMBER(Ввод!$B$6))),"",IF(Ввод!$B$5+1450&gt;Ввод!$B$6,"",Ввод!$B$5+1450))</f>
        <v/>
      </c>
      <c r="B1452">
        <f>IF(A1452="","",IFERROR(INDEX(Ввод!$B$12:$B$71,MATCH(A1452,Ввод!$D$12:$D$71,1)),""))</f>
        <v/>
      </c>
      <c r="C1452">
        <f>IF(A1452="","",DATE(YEAR(A1452),12,31)-DATE(YEAR(A1452),1,1)+1)</f>
        <v/>
      </c>
      <c r="D1452">
        <f>IF(A1452="","",Ввод!$B$4-SUMIF(Оплаты!$A$6:$A$505,"&lt;"&amp;A1452,Оплаты!$B$6:$B$505))</f>
        <v/>
      </c>
      <c r="E1452">
        <f>IF(A1452="","",IF(SUMPRODUCT((Ввод!$F$12:$F$31&lt;&gt;"")*(Ввод!$F$12:$F$31&lt;=A1452)*(Ввод!$G$12:$G$31&gt;=A1452))&gt;0,1,0))</f>
        <v/>
      </c>
      <c r="F1452">
        <f>IF(OR(A1452="",B1452=""),"",IF(E1452=1,0,D1452*B1452/100/C1452))</f>
        <v/>
      </c>
      <c r="G1452">
        <f>IF(A1452="","",IF(OR(B1452&lt;&gt;B1451,C1452&lt;&gt;C1451,D1452&lt;&gt;D1451,E1452&lt;&gt;E1451),G1451+1,G1451))</f>
        <v/>
      </c>
    </row>
    <row r="1453">
      <c r="A1453" s="14">
        <f>IF(OR(NOT(ISNUMBER(Ввод!$B$5)),NOT(ISNUMBER(Ввод!$B$6))),"",IF(Ввод!$B$5+1451&gt;Ввод!$B$6,"",Ввод!$B$5+1451))</f>
        <v/>
      </c>
      <c r="B1453">
        <f>IF(A1453="","",IFERROR(INDEX(Ввод!$B$12:$B$71,MATCH(A1453,Ввод!$D$12:$D$71,1)),""))</f>
        <v/>
      </c>
      <c r="C1453">
        <f>IF(A1453="","",DATE(YEAR(A1453),12,31)-DATE(YEAR(A1453),1,1)+1)</f>
        <v/>
      </c>
      <c r="D1453">
        <f>IF(A1453="","",Ввод!$B$4-SUMIF(Оплаты!$A$6:$A$505,"&lt;"&amp;A1453,Оплаты!$B$6:$B$505))</f>
        <v/>
      </c>
      <c r="E1453">
        <f>IF(A1453="","",IF(SUMPRODUCT((Ввод!$F$12:$F$31&lt;&gt;"")*(Ввод!$F$12:$F$31&lt;=A1453)*(Ввод!$G$12:$G$31&gt;=A1453))&gt;0,1,0))</f>
        <v/>
      </c>
      <c r="F1453">
        <f>IF(OR(A1453="",B1453=""),"",IF(E1453=1,0,D1453*B1453/100/C1453))</f>
        <v/>
      </c>
      <c r="G1453">
        <f>IF(A1453="","",IF(OR(B1453&lt;&gt;B1452,C1453&lt;&gt;C1452,D1453&lt;&gt;D1452,E1453&lt;&gt;E1452),G1452+1,G1452))</f>
        <v/>
      </c>
    </row>
    <row r="1454">
      <c r="A1454" s="14">
        <f>IF(OR(NOT(ISNUMBER(Ввод!$B$5)),NOT(ISNUMBER(Ввод!$B$6))),"",IF(Ввод!$B$5+1452&gt;Ввод!$B$6,"",Ввод!$B$5+1452))</f>
        <v/>
      </c>
      <c r="B1454">
        <f>IF(A1454="","",IFERROR(INDEX(Ввод!$B$12:$B$71,MATCH(A1454,Ввод!$D$12:$D$71,1)),""))</f>
        <v/>
      </c>
      <c r="C1454">
        <f>IF(A1454="","",DATE(YEAR(A1454),12,31)-DATE(YEAR(A1454),1,1)+1)</f>
        <v/>
      </c>
      <c r="D1454">
        <f>IF(A1454="","",Ввод!$B$4-SUMIF(Оплаты!$A$6:$A$505,"&lt;"&amp;A1454,Оплаты!$B$6:$B$505))</f>
        <v/>
      </c>
      <c r="E1454">
        <f>IF(A1454="","",IF(SUMPRODUCT((Ввод!$F$12:$F$31&lt;&gt;"")*(Ввод!$F$12:$F$31&lt;=A1454)*(Ввод!$G$12:$G$31&gt;=A1454))&gt;0,1,0))</f>
        <v/>
      </c>
      <c r="F1454">
        <f>IF(OR(A1454="",B1454=""),"",IF(E1454=1,0,D1454*B1454/100/C1454))</f>
        <v/>
      </c>
      <c r="G1454">
        <f>IF(A1454="","",IF(OR(B1454&lt;&gt;B1453,C1454&lt;&gt;C1453,D1454&lt;&gt;D1453,E1454&lt;&gt;E1453),G1453+1,G1453))</f>
        <v/>
      </c>
    </row>
    <row r="1455">
      <c r="A1455" s="14">
        <f>IF(OR(NOT(ISNUMBER(Ввод!$B$5)),NOT(ISNUMBER(Ввод!$B$6))),"",IF(Ввод!$B$5+1453&gt;Ввод!$B$6,"",Ввод!$B$5+1453))</f>
        <v/>
      </c>
      <c r="B1455">
        <f>IF(A1455="","",IFERROR(INDEX(Ввод!$B$12:$B$71,MATCH(A1455,Ввод!$D$12:$D$71,1)),""))</f>
        <v/>
      </c>
      <c r="C1455">
        <f>IF(A1455="","",DATE(YEAR(A1455),12,31)-DATE(YEAR(A1455),1,1)+1)</f>
        <v/>
      </c>
      <c r="D1455">
        <f>IF(A1455="","",Ввод!$B$4-SUMIF(Оплаты!$A$6:$A$505,"&lt;"&amp;A1455,Оплаты!$B$6:$B$505))</f>
        <v/>
      </c>
      <c r="E1455">
        <f>IF(A1455="","",IF(SUMPRODUCT((Ввод!$F$12:$F$31&lt;&gt;"")*(Ввод!$F$12:$F$31&lt;=A1455)*(Ввод!$G$12:$G$31&gt;=A1455))&gt;0,1,0))</f>
        <v/>
      </c>
      <c r="F1455">
        <f>IF(OR(A1455="",B1455=""),"",IF(E1455=1,0,D1455*B1455/100/C1455))</f>
        <v/>
      </c>
      <c r="G1455">
        <f>IF(A1455="","",IF(OR(B1455&lt;&gt;B1454,C1455&lt;&gt;C1454,D1455&lt;&gt;D1454,E1455&lt;&gt;E1454),G1454+1,G1454))</f>
        <v/>
      </c>
    </row>
    <row r="1456">
      <c r="A1456" s="14">
        <f>IF(OR(NOT(ISNUMBER(Ввод!$B$5)),NOT(ISNUMBER(Ввод!$B$6))),"",IF(Ввод!$B$5+1454&gt;Ввод!$B$6,"",Ввод!$B$5+1454))</f>
        <v/>
      </c>
      <c r="B1456">
        <f>IF(A1456="","",IFERROR(INDEX(Ввод!$B$12:$B$71,MATCH(A1456,Ввод!$D$12:$D$71,1)),""))</f>
        <v/>
      </c>
      <c r="C1456">
        <f>IF(A1456="","",DATE(YEAR(A1456),12,31)-DATE(YEAR(A1456),1,1)+1)</f>
        <v/>
      </c>
      <c r="D1456">
        <f>IF(A1456="","",Ввод!$B$4-SUMIF(Оплаты!$A$6:$A$505,"&lt;"&amp;A1456,Оплаты!$B$6:$B$505))</f>
        <v/>
      </c>
      <c r="E1456">
        <f>IF(A1456="","",IF(SUMPRODUCT((Ввод!$F$12:$F$31&lt;&gt;"")*(Ввод!$F$12:$F$31&lt;=A1456)*(Ввод!$G$12:$G$31&gt;=A1456))&gt;0,1,0))</f>
        <v/>
      </c>
      <c r="F1456">
        <f>IF(OR(A1456="",B1456=""),"",IF(E1456=1,0,D1456*B1456/100/C1456))</f>
        <v/>
      </c>
      <c r="G1456">
        <f>IF(A1456="","",IF(OR(B1456&lt;&gt;B1455,C1456&lt;&gt;C1455,D1456&lt;&gt;D1455,E1456&lt;&gt;E1455),G1455+1,G1455))</f>
        <v/>
      </c>
    </row>
    <row r="1457">
      <c r="A1457" s="14">
        <f>IF(OR(NOT(ISNUMBER(Ввод!$B$5)),NOT(ISNUMBER(Ввод!$B$6))),"",IF(Ввод!$B$5+1455&gt;Ввод!$B$6,"",Ввод!$B$5+1455))</f>
        <v/>
      </c>
      <c r="B1457">
        <f>IF(A1457="","",IFERROR(INDEX(Ввод!$B$12:$B$71,MATCH(A1457,Ввод!$D$12:$D$71,1)),""))</f>
        <v/>
      </c>
      <c r="C1457">
        <f>IF(A1457="","",DATE(YEAR(A1457),12,31)-DATE(YEAR(A1457),1,1)+1)</f>
        <v/>
      </c>
      <c r="D1457">
        <f>IF(A1457="","",Ввод!$B$4-SUMIF(Оплаты!$A$6:$A$505,"&lt;"&amp;A1457,Оплаты!$B$6:$B$505))</f>
        <v/>
      </c>
      <c r="E1457">
        <f>IF(A1457="","",IF(SUMPRODUCT((Ввод!$F$12:$F$31&lt;&gt;"")*(Ввод!$F$12:$F$31&lt;=A1457)*(Ввод!$G$12:$G$31&gt;=A1457))&gt;0,1,0))</f>
        <v/>
      </c>
      <c r="F1457">
        <f>IF(OR(A1457="",B1457=""),"",IF(E1457=1,0,D1457*B1457/100/C1457))</f>
        <v/>
      </c>
      <c r="G1457">
        <f>IF(A1457="","",IF(OR(B1457&lt;&gt;B1456,C1457&lt;&gt;C1456,D1457&lt;&gt;D1456,E1457&lt;&gt;E1456),G1456+1,G1456))</f>
        <v/>
      </c>
    </row>
    <row r="1458">
      <c r="A1458" s="14">
        <f>IF(OR(NOT(ISNUMBER(Ввод!$B$5)),NOT(ISNUMBER(Ввод!$B$6))),"",IF(Ввод!$B$5+1456&gt;Ввод!$B$6,"",Ввод!$B$5+1456))</f>
        <v/>
      </c>
      <c r="B1458">
        <f>IF(A1458="","",IFERROR(INDEX(Ввод!$B$12:$B$71,MATCH(A1458,Ввод!$D$12:$D$71,1)),""))</f>
        <v/>
      </c>
      <c r="C1458">
        <f>IF(A1458="","",DATE(YEAR(A1458),12,31)-DATE(YEAR(A1458),1,1)+1)</f>
        <v/>
      </c>
      <c r="D1458">
        <f>IF(A1458="","",Ввод!$B$4-SUMIF(Оплаты!$A$6:$A$505,"&lt;"&amp;A1458,Оплаты!$B$6:$B$505))</f>
        <v/>
      </c>
      <c r="E1458">
        <f>IF(A1458="","",IF(SUMPRODUCT((Ввод!$F$12:$F$31&lt;&gt;"")*(Ввод!$F$12:$F$31&lt;=A1458)*(Ввод!$G$12:$G$31&gt;=A1458))&gt;0,1,0))</f>
        <v/>
      </c>
      <c r="F1458">
        <f>IF(OR(A1458="",B1458=""),"",IF(E1458=1,0,D1458*B1458/100/C1458))</f>
        <v/>
      </c>
      <c r="G1458">
        <f>IF(A1458="","",IF(OR(B1458&lt;&gt;B1457,C1458&lt;&gt;C1457,D1458&lt;&gt;D1457,E1458&lt;&gt;E1457),G1457+1,G1457))</f>
        <v/>
      </c>
    </row>
    <row r="1459">
      <c r="A1459" s="14">
        <f>IF(OR(NOT(ISNUMBER(Ввод!$B$5)),NOT(ISNUMBER(Ввод!$B$6))),"",IF(Ввод!$B$5+1457&gt;Ввод!$B$6,"",Ввод!$B$5+1457))</f>
        <v/>
      </c>
      <c r="B1459">
        <f>IF(A1459="","",IFERROR(INDEX(Ввод!$B$12:$B$71,MATCH(A1459,Ввод!$D$12:$D$71,1)),""))</f>
        <v/>
      </c>
      <c r="C1459">
        <f>IF(A1459="","",DATE(YEAR(A1459),12,31)-DATE(YEAR(A1459),1,1)+1)</f>
        <v/>
      </c>
      <c r="D1459">
        <f>IF(A1459="","",Ввод!$B$4-SUMIF(Оплаты!$A$6:$A$505,"&lt;"&amp;A1459,Оплаты!$B$6:$B$505))</f>
        <v/>
      </c>
      <c r="E1459">
        <f>IF(A1459="","",IF(SUMPRODUCT((Ввод!$F$12:$F$31&lt;&gt;"")*(Ввод!$F$12:$F$31&lt;=A1459)*(Ввод!$G$12:$G$31&gt;=A1459))&gt;0,1,0))</f>
        <v/>
      </c>
      <c r="F1459">
        <f>IF(OR(A1459="",B1459=""),"",IF(E1459=1,0,D1459*B1459/100/C1459))</f>
        <v/>
      </c>
      <c r="G1459">
        <f>IF(A1459="","",IF(OR(B1459&lt;&gt;B1458,C1459&lt;&gt;C1458,D1459&lt;&gt;D1458,E1459&lt;&gt;E1458),G1458+1,G1458))</f>
        <v/>
      </c>
    </row>
    <row r="1460">
      <c r="A1460" s="14">
        <f>IF(OR(NOT(ISNUMBER(Ввод!$B$5)),NOT(ISNUMBER(Ввод!$B$6))),"",IF(Ввод!$B$5+1458&gt;Ввод!$B$6,"",Ввод!$B$5+1458))</f>
        <v/>
      </c>
      <c r="B1460">
        <f>IF(A1460="","",IFERROR(INDEX(Ввод!$B$12:$B$71,MATCH(A1460,Ввод!$D$12:$D$71,1)),""))</f>
        <v/>
      </c>
      <c r="C1460">
        <f>IF(A1460="","",DATE(YEAR(A1460),12,31)-DATE(YEAR(A1460),1,1)+1)</f>
        <v/>
      </c>
      <c r="D1460">
        <f>IF(A1460="","",Ввод!$B$4-SUMIF(Оплаты!$A$6:$A$505,"&lt;"&amp;A1460,Оплаты!$B$6:$B$505))</f>
        <v/>
      </c>
      <c r="E1460">
        <f>IF(A1460="","",IF(SUMPRODUCT((Ввод!$F$12:$F$31&lt;&gt;"")*(Ввод!$F$12:$F$31&lt;=A1460)*(Ввод!$G$12:$G$31&gt;=A1460))&gt;0,1,0))</f>
        <v/>
      </c>
      <c r="F1460">
        <f>IF(OR(A1460="",B1460=""),"",IF(E1460=1,0,D1460*B1460/100/C1460))</f>
        <v/>
      </c>
      <c r="G1460">
        <f>IF(A1460="","",IF(OR(B1460&lt;&gt;B1459,C1460&lt;&gt;C1459,D1460&lt;&gt;D1459,E1460&lt;&gt;E1459),G1459+1,G1459))</f>
        <v/>
      </c>
    </row>
    <row r="1461">
      <c r="A1461" s="14">
        <f>IF(OR(NOT(ISNUMBER(Ввод!$B$5)),NOT(ISNUMBER(Ввод!$B$6))),"",IF(Ввод!$B$5+1459&gt;Ввод!$B$6,"",Ввод!$B$5+1459))</f>
        <v/>
      </c>
      <c r="B1461">
        <f>IF(A1461="","",IFERROR(INDEX(Ввод!$B$12:$B$71,MATCH(A1461,Ввод!$D$12:$D$71,1)),""))</f>
        <v/>
      </c>
      <c r="C1461">
        <f>IF(A1461="","",DATE(YEAR(A1461),12,31)-DATE(YEAR(A1461),1,1)+1)</f>
        <v/>
      </c>
      <c r="D1461">
        <f>IF(A1461="","",Ввод!$B$4-SUMIF(Оплаты!$A$6:$A$505,"&lt;"&amp;A1461,Оплаты!$B$6:$B$505))</f>
        <v/>
      </c>
      <c r="E1461">
        <f>IF(A1461="","",IF(SUMPRODUCT((Ввод!$F$12:$F$31&lt;&gt;"")*(Ввод!$F$12:$F$31&lt;=A1461)*(Ввод!$G$12:$G$31&gt;=A1461))&gt;0,1,0))</f>
        <v/>
      </c>
      <c r="F1461">
        <f>IF(OR(A1461="",B1461=""),"",IF(E1461=1,0,D1461*B1461/100/C1461))</f>
        <v/>
      </c>
      <c r="G1461">
        <f>IF(A1461="","",IF(OR(B1461&lt;&gt;B1460,C1461&lt;&gt;C1460,D1461&lt;&gt;D1460,E1461&lt;&gt;E1460),G1460+1,G1460))</f>
        <v/>
      </c>
    </row>
    <row r="1462">
      <c r="A1462" s="14">
        <f>IF(OR(NOT(ISNUMBER(Ввод!$B$5)),NOT(ISNUMBER(Ввод!$B$6))),"",IF(Ввод!$B$5+1460&gt;Ввод!$B$6,"",Ввод!$B$5+1460))</f>
        <v/>
      </c>
      <c r="B1462">
        <f>IF(A1462="","",IFERROR(INDEX(Ввод!$B$12:$B$71,MATCH(A1462,Ввод!$D$12:$D$71,1)),""))</f>
        <v/>
      </c>
      <c r="C1462">
        <f>IF(A1462="","",DATE(YEAR(A1462),12,31)-DATE(YEAR(A1462),1,1)+1)</f>
        <v/>
      </c>
      <c r="D1462">
        <f>IF(A1462="","",Ввод!$B$4-SUMIF(Оплаты!$A$6:$A$505,"&lt;"&amp;A1462,Оплаты!$B$6:$B$505))</f>
        <v/>
      </c>
      <c r="E1462">
        <f>IF(A1462="","",IF(SUMPRODUCT((Ввод!$F$12:$F$31&lt;&gt;"")*(Ввод!$F$12:$F$31&lt;=A1462)*(Ввод!$G$12:$G$31&gt;=A1462))&gt;0,1,0))</f>
        <v/>
      </c>
      <c r="F1462">
        <f>IF(OR(A1462="",B1462=""),"",IF(E1462=1,0,D1462*B1462/100/C1462))</f>
        <v/>
      </c>
      <c r="G1462">
        <f>IF(A1462="","",IF(OR(B1462&lt;&gt;B1461,C1462&lt;&gt;C1461,D1462&lt;&gt;D1461,E1462&lt;&gt;E1461),G1461+1,G1461))</f>
        <v/>
      </c>
    </row>
    <row r="1463">
      <c r="A1463" s="14">
        <f>IF(OR(NOT(ISNUMBER(Ввод!$B$5)),NOT(ISNUMBER(Ввод!$B$6))),"",IF(Ввод!$B$5+1461&gt;Ввод!$B$6,"",Ввод!$B$5+1461))</f>
        <v/>
      </c>
      <c r="B1463">
        <f>IF(A1463="","",IFERROR(INDEX(Ввод!$B$12:$B$71,MATCH(A1463,Ввод!$D$12:$D$71,1)),""))</f>
        <v/>
      </c>
      <c r="C1463">
        <f>IF(A1463="","",DATE(YEAR(A1463),12,31)-DATE(YEAR(A1463),1,1)+1)</f>
        <v/>
      </c>
      <c r="D1463">
        <f>IF(A1463="","",Ввод!$B$4-SUMIF(Оплаты!$A$6:$A$505,"&lt;"&amp;A1463,Оплаты!$B$6:$B$505))</f>
        <v/>
      </c>
      <c r="E1463">
        <f>IF(A1463="","",IF(SUMPRODUCT((Ввод!$F$12:$F$31&lt;&gt;"")*(Ввод!$F$12:$F$31&lt;=A1463)*(Ввод!$G$12:$G$31&gt;=A1463))&gt;0,1,0))</f>
        <v/>
      </c>
      <c r="F1463">
        <f>IF(OR(A1463="",B1463=""),"",IF(E1463=1,0,D1463*B1463/100/C1463))</f>
        <v/>
      </c>
      <c r="G1463">
        <f>IF(A1463="","",IF(OR(B1463&lt;&gt;B1462,C1463&lt;&gt;C1462,D1463&lt;&gt;D1462,E1463&lt;&gt;E1462),G1462+1,G1462))</f>
        <v/>
      </c>
    </row>
    <row r="1464">
      <c r="A1464" s="14">
        <f>IF(OR(NOT(ISNUMBER(Ввод!$B$5)),NOT(ISNUMBER(Ввод!$B$6))),"",IF(Ввод!$B$5+1462&gt;Ввод!$B$6,"",Ввод!$B$5+1462))</f>
        <v/>
      </c>
      <c r="B1464">
        <f>IF(A1464="","",IFERROR(INDEX(Ввод!$B$12:$B$71,MATCH(A1464,Ввод!$D$12:$D$71,1)),""))</f>
        <v/>
      </c>
      <c r="C1464">
        <f>IF(A1464="","",DATE(YEAR(A1464),12,31)-DATE(YEAR(A1464),1,1)+1)</f>
        <v/>
      </c>
      <c r="D1464">
        <f>IF(A1464="","",Ввод!$B$4-SUMIF(Оплаты!$A$6:$A$505,"&lt;"&amp;A1464,Оплаты!$B$6:$B$505))</f>
        <v/>
      </c>
      <c r="E1464">
        <f>IF(A1464="","",IF(SUMPRODUCT((Ввод!$F$12:$F$31&lt;&gt;"")*(Ввод!$F$12:$F$31&lt;=A1464)*(Ввод!$G$12:$G$31&gt;=A1464))&gt;0,1,0))</f>
        <v/>
      </c>
      <c r="F1464">
        <f>IF(OR(A1464="",B1464=""),"",IF(E1464=1,0,D1464*B1464/100/C1464))</f>
        <v/>
      </c>
      <c r="G1464">
        <f>IF(A1464="","",IF(OR(B1464&lt;&gt;B1463,C1464&lt;&gt;C1463,D1464&lt;&gt;D1463,E1464&lt;&gt;E1463),G1463+1,G1463))</f>
        <v/>
      </c>
    </row>
    <row r="1465">
      <c r="A1465" s="14">
        <f>IF(OR(NOT(ISNUMBER(Ввод!$B$5)),NOT(ISNUMBER(Ввод!$B$6))),"",IF(Ввод!$B$5+1463&gt;Ввод!$B$6,"",Ввод!$B$5+1463))</f>
        <v/>
      </c>
      <c r="B1465">
        <f>IF(A1465="","",IFERROR(INDEX(Ввод!$B$12:$B$71,MATCH(A1465,Ввод!$D$12:$D$71,1)),""))</f>
        <v/>
      </c>
      <c r="C1465">
        <f>IF(A1465="","",DATE(YEAR(A1465),12,31)-DATE(YEAR(A1465),1,1)+1)</f>
        <v/>
      </c>
      <c r="D1465">
        <f>IF(A1465="","",Ввод!$B$4-SUMIF(Оплаты!$A$6:$A$505,"&lt;"&amp;A1465,Оплаты!$B$6:$B$505))</f>
        <v/>
      </c>
      <c r="E1465">
        <f>IF(A1465="","",IF(SUMPRODUCT((Ввод!$F$12:$F$31&lt;&gt;"")*(Ввод!$F$12:$F$31&lt;=A1465)*(Ввод!$G$12:$G$31&gt;=A1465))&gt;0,1,0))</f>
        <v/>
      </c>
      <c r="F1465">
        <f>IF(OR(A1465="",B1465=""),"",IF(E1465=1,0,D1465*B1465/100/C1465))</f>
        <v/>
      </c>
      <c r="G1465">
        <f>IF(A1465="","",IF(OR(B1465&lt;&gt;B1464,C1465&lt;&gt;C1464,D1465&lt;&gt;D1464,E1465&lt;&gt;E1464),G1464+1,G1464))</f>
        <v/>
      </c>
    </row>
    <row r="1466">
      <c r="A1466" s="14">
        <f>IF(OR(NOT(ISNUMBER(Ввод!$B$5)),NOT(ISNUMBER(Ввод!$B$6))),"",IF(Ввод!$B$5+1464&gt;Ввод!$B$6,"",Ввод!$B$5+1464))</f>
        <v/>
      </c>
      <c r="B1466">
        <f>IF(A1466="","",IFERROR(INDEX(Ввод!$B$12:$B$71,MATCH(A1466,Ввод!$D$12:$D$71,1)),""))</f>
        <v/>
      </c>
      <c r="C1466">
        <f>IF(A1466="","",DATE(YEAR(A1466),12,31)-DATE(YEAR(A1466),1,1)+1)</f>
        <v/>
      </c>
      <c r="D1466">
        <f>IF(A1466="","",Ввод!$B$4-SUMIF(Оплаты!$A$6:$A$505,"&lt;"&amp;A1466,Оплаты!$B$6:$B$505))</f>
        <v/>
      </c>
      <c r="E1466">
        <f>IF(A1466="","",IF(SUMPRODUCT((Ввод!$F$12:$F$31&lt;&gt;"")*(Ввод!$F$12:$F$31&lt;=A1466)*(Ввод!$G$12:$G$31&gt;=A1466))&gt;0,1,0))</f>
        <v/>
      </c>
      <c r="F1466">
        <f>IF(OR(A1466="",B1466=""),"",IF(E1466=1,0,D1466*B1466/100/C1466))</f>
        <v/>
      </c>
      <c r="G1466">
        <f>IF(A1466="","",IF(OR(B1466&lt;&gt;B1465,C1466&lt;&gt;C1465,D1466&lt;&gt;D1465,E1466&lt;&gt;E1465),G1465+1,G1465))</f>
        <v/>
      </c>
    </row>
    <row r="1467">
      <c r="A1467" s="14">
        <f>IF(OR(NOT(ISNUMBER(Ввод!$B$5)),NOT(ISNUMBER(Ввод!$B$6))),"",IF(Ввод!$B$5+1465&gt;Ввод!$B$6,"",Ввод!$B$5+1465))</f>
        <v/>
      </c>
      <c r="B1467">
        <f>IF(A1467="","",IFERROR(INDEX(Ввод!$B$12:$B$71,MATCH(A1467,Ввод!$D$12:$D$71,1)),""))</f>
        <v/>
      </c>
      <c r="C1467">
        <f>IF(A1467="","",DATE(YEAR(A1467),12,31)-DATE(YEAR(A1467),1,1)+1)</f>
        <v/>
      </c>
      <c r="D1467">
        <f>IF(A1467="","",Ввод!$B$4-SUMIF(Оплаты!$A$6:$A$505,"&lt;"&amp;A1467,Оплаты!$B$6:$B$505))</f>
        <v/>
      </c>
      <c r="E1467">
        <f>IF(A1467="","",IF(SUMPRODUCT((Ввод!$F$12:$F$31&lt;&gt;"")*(Ввод!$F$12:$F$31&lt;=A1467)*(Ввод!$G$12:$G$31&gt;=A1467))&gt;0,1,0))</f>
        <v/>
      </c>
      <c r="F1467">
        <f>IF(OR(A1467="",B1467=""),"",IF(E1467=1,0,D1467*B1467/100/C1467))</f>
        <v/>
      </c>
      <c r="G1467">
        <f>IF(A1467="","",IF(OR(B1467&lt;&gt;B1466,C1467&lt;&gt;C1466,D1467&lt;&gt;D1466,E1467&lt;&gt;E1466),G1466+1,G1466))</f>
        <v/>
      </c>
    </row>
    <row r="1468">
      <c r="A1468" s="14">
        <f>IF(OR(NOT(ISNUMBER(Ввод!$B$5)),NOT(ISNUMBER(Ввод!$B$6))),"",IF(Ввод!$B$5+1466&gt;Ввод!$B$6,"",Ввод!$B$5+1466))</f>
        <v/>
      </c>
      <c r="B1468">
        <f>IF(A1468="","",IFERROR(INDEX(Ввод!$B$12:$B$71,MATCH(A1468,Ввод!$D$12:$D$71,1)),""))</f>
        <v/>
      </c>
      <c r="C1468">
        <f>IF(A1468="","",DATE(YEAR(A1468),12,31)-DATE(YEAR(A1468),1,1)+1)</f>
        <v/>
      </c>
      <c r="D1468">
        <f>IF(A1468="","",Ввод!$B$4-SUMIF(Оплаты!$A$6:$A$505,"&lt;"&amp;A1468,Оплаты!$B$6:$B$505))</f>
        <v/>
      </c>
      <c r="E1468">
        <f>IF(A1468="","",IF(SUMPRODUCT((Ввод!$F$12:$F$31&lt;&gt;"")*(Ввод!$F$12:$F$31&lt;=A1468)*(Ввод!$G$12:$G$31&gt;=A1468))&gt;0,1,0))</f>
        <v/>
      </c>
      <c r="F1468">
        <f>IF(OR(A1468="",B1468=""),"",IF(E1468=1,0,D1468*B1468/100/C1468))</f>
        <v/>
      </c>
      <c r="G1468">
        <f>IF(A1468="","",IF(OR(B1468&lt;&gt;B1467,C1468&lt;&gt;C1467,D1468&lt;&gt;D1467,E1468&lt;&gt;E1467),G1467+1,G1467))</f>
        <v/>
      </c>
    </row>
    <row r="1469">
      <c r="A1469" s="14">
        <f>IF(OR(NOT(ISNUMBER(Ввод!$B$5)),NOT(ISNUMBER(Ввод!$B$6))),"",IF(Ввод!$B$5+1467&gt;Ввод!$B$6,"",Ввод!$B$5+1467))</f>
        <v/>
      </c>
      <c r="B1469">
        <f>IF(A1469="","",IFERROR(INDEX(Ввод!$B$12:$B$71,MATCH(A1469,Ввод!$D$12:$D$71,1)),""))</f>
        <v/>
      </c>
      <c r="C1469">
        <f>IF(A1469="","",DATE(YEAR(A1469),12,31)-DATE(YEAR(A1469),1,1)+1)</f>
        <v/>
      </c>
      <c r="D1469">
        <f>IF(A1469="","",Ввод!$B$4-SUMIF(Оплаты!$A$6:$A$505,"&lt;"&amp;A1469,Оплаты!$B$6:$B$505))</f>
        <v/>
      </c>
      <c r="E1469">
        <f>IF(A1469="","",IF(SUMPRODUCT((Ввод!$F$12:$F$31&lt;&gt;"")*(Ввод!$F$12:$F$31&lt;=A1469)*(Ввод!$G$12:$G$31&gt;=A1469))&gt;0,1,0))</f>
        <v/>
      </c>
      <c r="F1469">
        <f>IF(OR(A1469="",B1469=""),"",IF(E1469=1,0,D1469*B1469/100/C1469))</f>
        <v/>
      </c>
      <c r="G1469">
        <f>IF(A1469="","",IF(OR(B1469&lt;&gt;B1468,C1469&lt;&gt;C1468,D1469&lt;&gt;D1468,E1469&lt;&gt;E1468),G1468+1,G1468))</f>
        <v/>
      </c>
    </row>
    <row r="1470">
      <c r="A1470" s="14">
        <f>IF(OR(NOT(ISNUMBER(Ввод!$B$5)),NOT(ISNUMBER(Ввод!$B$6))),"",IF(Ввод!$B$5+1468&gt;Ввод!$B$6,"",Ввод!$B$5+1468))</f>
        <v/>
      </c>
      <c r="B1470">
        <f>IF(A1470="","",IFERROR(INDEX(Ввод!$B$12:$B$71,MATCH(A1470,Ввод!$D$12:$D$71,1)),""))</f>
        <v/>
      </c>
      <c r="C1470">
        <f>IF(A1470="","",DATE(YEAR(A1470),12,31)-DATE(YEAR(A1470),1,1)+1)</f>
        <v/>
      </c>
      <c r="D1470">
        <f>IF(A1470="","",Ввод!$B$4-SUMIF(Оплаты!$A$6:$A$505,"&lt;"&amp;A1470,Оплаты!$B$6:$B$505))</f>
        <v/>
      </c>
      <c r="E1470">
        <f>IF(A1470="","",IF(SUMPRODUCT((Ввод!$F$12:$F$31&lt;&gt;"")*(Ввод!$F$12:$F$31&lt;=A1470)*(Ввод!$G$12:$G$31&gt;=A1470))&gt;0,1,0))</f>
        <v/>
      </c>
      <c r="F1470">
        <f>IF(OR(A1470="",B1470=""),"",IF(E1470=1,0,D1470*B1470/100/C1470))</f>
        <v/>
      </c>
      <c r="G1470">
        <f>IF(A1470="","",IF(OR(B1470&lt;&gt;B1469,C1470&lt;&gt;C1469,D1470&lt;&gt;D1469,E1470&lt;&gt;E1469),G1469+1,G1469))</f>
        <v/>
      </c>
    </row>
    <row r="1471">
      <c r="A1471" s="14">
        <f>IF(OR(NOT(ISNUMBER(Ввод!$B$5)),NOT(ISNUMBER(Ввод!$B$6))),"",IF(Ввод!$B$5+1469&gt;Ввод!$B$6,"",Ввод!$B$5+1469))</f>
        <v/>
      </c>
      <c r="B1471">
        <f>IF(A1471="","",IFERROR(INDEX(Ввод!$B$12:$B$71,MATCH(A1471,Ввод!$D$12:$D$71,1)),""))</f>
        <v/>
      </c>
      <c r="C1471">
        <f>IF(A1471="","",DATE(YEAR(A1471),12,31)-DATE(YEAR(A1471),1,1)+1)</f>
        <v/>
      </c>
      <c r="D1471">
        <f>IF(A1471="","",Ввод!$B$4-SUMIF(Оплаты!$A$6:$A$505,"&lt;"&amp;A1471,Оплаты!$B$6:$B$505))</f>
        <v/>
      </c>
      <c r="E1471">
        <f>IF(A1471="","",IF(SUMPRODUCT((Ввод!$F$12:$F$31&lt;&gt;"")*(Ввод!$F$12:$F$31&lt;=A1471)*(Ввод!$G$12:$G$31&gt;=A1471))&gt;0,1,0))</f>
        <v/>
      </c>
      <c r="F1471">
        <f>IF(OR(A1471="",B1471=""),"",IF(E1471=1,0,D1471*B1471/100/C1471))</f>
        <v/>
      </c>
      <c r="G1471">
        <f>IF(A1471="","",IF(OR(B1471&lt;&gt;B1470,C1471&lt;&gt;C1470,D1471&lt;&gt;D1470,E1471&lt;&gt;E1470),G1470+1,G1470))</f>
        <v/>
      </c>
    </row>
    <row r="1472">
      <c r="A1472" s="14">
        <f>IF(OR(NOT(ISNUMBER(Ввод!$B$5)),NOT(ISNUMBER(Ввод!$B$6))),"",IF(Ввод!$B$5+1470&gt;Ввод!$B$6,"",Ввод!$B$5+1470))</f>
        <v/>
      </c>
      <c r="B1472">
        <f>IF(A1472="","",IFERROR(INDEX(Ввод!$B$12:$B$71,MATCH(A1472,Ввод!$D$12:$D$71,1)),""))</f>
        <v/>
      </c>
      <c r="C1472">
        <f>IF(A1472="","",DATE(YEAR(A1472),12,31)-DATE(YEAR(A1472),1,1)+1)</f>
        <v/>
      </c>
      <c r="D1472">
        <f>IF(A1472="","",Ввод!$B$4-SUMIF(Оплаты!$A$6:$A$505,"&lt;"&amp;A1472,Оплаты!$B$6:$B$505))</f>
        <v/>
      </c>
      <c r="E1472">
        <f>IF(A1472="","",IF(SUMPRODUCT((Ввод!$F$12:$F$31&lt;&gt;"")*(Ввод!$F$12:$F$31&lt;=A1472)*(Ввод!$G$12:$G$31&gt;=A1472))&gt;0,1,0))</f>
        <v/>
      </c>
      <c r="F1472">
        <f>IF(OR(A1472="",B1472=""),"",IF(E1472=1,0,D1472*B1472/100/C1472))</f>
        <v/>
      </c>
      <c r="G1472">
        <f>IF(A1472="","",IF(OR(B1472&lt;&gt;B1471,C1472&lt;&gt;C1471,D1472&lt;&gt;D1471,E1472&lt;&gt;E1471),G1471+1,G1471))</f>
        <v/>
      </c>
    </row>
    <row r="1473">
      <c r="A1473" s="14">
        <f>IF(OR(NOT(ISNUMBER(Ввод!$B$5)),NOT(ISNUMBER(Ввод!$B$6))),"",IF(Ввод!$B$5+1471&gt;Ввод!$B$6,"",Ввод!$B$5+1471))</f>
        <v/>
      </c>
      <c r="B1473">
        <f>IF(A1473="","",IFERROR(INDEX(Ввод!$B$12:$B$71,MATCH(A1473,Ввод!$D$12:$D$71,1)),""))</f>
        <v/>
      </c>
      <c r="C1473">
        <f>IF(A1473="","",DATE(YEAR(A1473),12,31)-DATE(YEAR(A1473),1,1)+1)</f>
        <v/>
      </c>
      <c r="D1473">
        <f>IF(A1473="","",Ввод!$B$4-SUMIF(Оплаты!$A$6:$A$505,"&lt;"&amp;A1473,Оплаты!$B$6:$B$505))</f>
        <v/>
      </c>
      <c r="E1473">
        <f>IF(A1473="","",IF(SUMPRODUCT((Ввод!$F$12:$F$31&lt;&gt;"")*(Ввод!$F$12:$F$31&lt;=A1473)*(Ввод!$G$12:$G$31&gt;=A1473))&gt;0,1,0))</f>
        <v/>
      </c>
      <c r="F1473">
        <f>IF(OR(A1473="",B1473=""),"",IF(E1473=1,0,D1473*B1473/100/C1473))</f>
        <v/>
      </c>
      <c r="G1473">
        <f>IF(A1473="","",IF(OR(B1473&lt;&gt;B1472,C1473&lt;&gt;C1472,D1473&lt;&gt;D1472,E1473&lt;&gt;E1472),G1472+1,G1472))</f>
        <v/>
      </c>
    </row>
    <row r="1474">
      <c r="A1474" s="14">
        <f>IF(OR(NOT(ISNUMBER(Ввод!$B$5)),NOT(ISNUMBER(Ввод!$B$6))),"",IF(Ввод!$B$5+1472&gt;Ввод!$B$6,"",Ввод!$B$5+1472))</f>
        <v/>
      </c>
      <c r="B1474">
        <f>IF(A1474="","",IFERROR(INDEX(Ввод!$B$12:$B$71,MATCH(A1474,Ввод!$D$12:$D$71,1)),""))</f>
        <v/>
      </c>
      <c r="C1474">
        <f>IF(A1474="","",DATE(YEAR(A1474),12,31)-DATE(YEAR(A1474),1,1)+1)</f>
        <v/>
      </c>
      <c r="D1474">
        <f>IF(A1474="","",Ввод!$B$4-SUMIF(Оплаты!$A$6:$A$505,"&lt;"&amp;A1474,Оплаты!$B$6:$B$505))</f>
        <v/>
      </c>
      <c r="E1474">
        <f>IF(A1474="","",IF(SUMPRODUCT((Ввод!$F$12:$F$31&lt;&gt;"")*(Ввод!$F$12:$F$31&lt;=A1474)*(Ввод!$G$12:$G$31&gt;=A1474))&gt;0,1,0))</f>
        <v/>
      </c>
      <c r="F1474">
        <f>IF(OR(A1474="",B1474=""),"",IF(E1474=1,0,D1474*B1474/100/C1474))</f>
        <v/>
      </c>
      <c r="G1474">
        <f>IF(A1474="","",IF(OR(B1474&lt;&gt;B1473,C1474&lt;&gt;C1473,D1474&lt;&gt;D1473,E1474&lt;&gt;E1473),G1473+1,G1473))</f>
        <v/>
      </c>
    </row>
    <row r="1475">
      <c r="A1475" s="14">
        <f>IF(OR(NOT(ISNUMBER(Ввод!$B$5)),NOT(ISNUMBER(Ввод!$B$6))),"",IF(Ввод!$B$5+1473&gt;Ввод!$B$6,"",Ввод!$B$5+1473))</f>
        <v/>
      </c>
      <c r="B1475">
        <f>IF(A1475="","",IFERROR(INDEX(Ввод!$B$12:$B$71,MATCH(A1475,Ввод!$D$12:$D$71,1)),""))</f>
        <v/>
      </c>
      <c r="C1475">
        <f>IF(A1475="","",DATE(YEAR(A1475),12,31)-DATE(YEAR(A1475),1,1)+1)</f>
        <v/>
      </c>
      <c r="D1475">
        <f>IF(A1475="","",Ввод!$B$4-SUMIF(Оплаты!$A$6:$A$505,"&lt;"&amp;A1475,Оплаты!$B$6:$B$505))</f>
        <v/>
      </c>
      <c r="E1475">
        <f>IF(A1475="","",IF(SUMPRODUCT((Ввод!$F$12:$F$31&lt;&gt;"")*(Ввод!$F$12:$F$31&lt;=A1475)*(Ввод!$G$12:$G$31&gt;=A1475))&gt;0,1,0))</f>
        <v/>
      </c>
      <c r="F1475">
        <f>IF(OR(A1475="",B1475=""),"",IF(E1475=1,0,D1475*B1475/100/C1475))</f>
        <v/>
      </c>
      <c r="G1475">
        <f>IF(A1475="","",IF(OR(B1475&lt;&gt;B1474,C1475&lt;&gt;C1474,D1475&lt;&gt;D1474,E1475&lt;&gt;E1474),G1474+1,G1474))</f>
        <v/>
      </c>
    </row>
    <row r="1476">
      <c r="A1476" s="14">
        <f>IF(OR(NOT(ISNUMBER(Ввод!$B$5)),NOT(ISNUMBER(Ввод!$B$6))),"",IF(Ввод!$B$5+1474&gt;Ввод!$B$6,"",Ввод!$B$5+1474))</f>
        <v/>
      </c>
      <c r="B1476">
        <f>IF(A1476="","",IFERROR(INDEX(Ввод!$B$12:$B$71,MATCH(A1476,Ввод!$D$12:$D$71,1)),""))</f>
        <v/>
      </c>
      <c r="C1476">
        <f>IF(A1476="","",DATE(YEAR(A1476),12,31)-DATE(YEAR(A1476),1,1)+1)</f>
        <v/>
      </c>
      <c r="D1476">
        <f>IF(A1476="","",Ввод!$B$4-SUMIF(Оплаты!$A$6:$A$505,"&lt;"&amp;A1476,Оплаты!$B$6:$B$505))</f>
        <v/>
      </c>
      <c r="E1476">
        <f>IF(A1476="","",IF(SUMPRODUCT((Ввод!$F$12:$F$31&lt;&gt;"")*(Ввод!$F$12:$F$31&lt;=A1476)*(Ввод!$G$12:$G$31&gt;=A1476))&gt;0,1,0))</f>
        <v/>
      </c>
      <c r="F1476">
        <f>IF(OR(A1476="",B1476=""),"",IF(E1476=1,0,D1476*B1476/100/C1476))</f>
        <v/>
      </c>
      <c r="G1476">
        <f>IF(A1476="","",IF(OR(B1476&lt;&gt;B1475,C1476&lt;&gt;C1475,D1476&lt;&gt;D1475,E1476&lt;&gt;E1475),G1475+1,G1475))</f>
        <v/>
      </c>
    </row>
    <row r="1477">
      <c r="A1477" s="14">
        <f>IF(OR(NOT(ISNUMBER(Ввод!$B$5)),NOT(ISNUMBER(Ввод!$B$6))),"",IF(Ввод!$B$5+1475&gt;Ввод!$B$6,"",Ввод!$B$5+1475))</f>
        <v/>
      </c>
      <c r="B1477">
        <f>IF(A1477="","",IFERROR(INDEX(Ввод!$B$12:$B$71,MATCH(A1477,Ввод!$D$12:$D$71,1)),""))</f>
        <v/>
      </c>
      <c r="C1477">
        <f>IF(A1477="","",DATE(YEAR(A1477),12,31)-DATE(YEAR(A1477),1,1)+1)</f>
        <v/>
      </c>
      <c r="D1477">
        <f>IF(A1477="","",Ввод!$B$4-SUMIF(Оплаты!$A$6:$A$505,"&lt;"&amp;A1477,Оплаты!$B$6:$B$505))</f>
        <v/>
      </c>
      <c r="E1477">
        <f>IF(A1477="","",IF(SUMPRODUCT((Ввод!$F$12:$F$31&lt;&gt;"")*(Ввод!$F$12:$F$31&lt;=A1477)*(Ввод!$G$12:$G$31&gt;=A1477))&gt;0,1,0))</f>
        <v/>
      </c>
      <c r="F1477">
        <f>IF(OR(A1477="",B1477=""),"",IF(E1477=1,0,D1477*B1477/100/C1477))</f>
        <v/>
      </c>
      <c r="G1477">
        <f>IF(A1477="","",IF(OR(B1477&lt;&gt;B1476,C1477&lt;&gt;C1476,D1477&lt;&gt;D1476,E1477&lt;&gt;E1476),G1476+1,G1476))</f>
        <v/>
      </c>
    </row>
    <row r="1478">
      <c r="A1478" s="14">
        <f>IF(OR(NOT(ISNUMBER(Ввод!$B$5)),NOT(ISNUMBER(Ввод!$B$6))),"",IF(Ввод!$B$5+1476&gt;Ввод!$B$6,"",Ввод!$B$5+1476))</f>
        <v/>
      </c>
      <c r="B1478">
        <f>IF(A1478="","",IFERROR(INDEX(Ввод!$B$12:$B$71,MATCH(A1478,Ввод!$D$12:$D$71,1)),""))</f>
        <v/>
      </c>
      <c r="C1478">
        <f>IF(A1478="","",DATE(YEAR(A1478),12,31)-DATE(YEAR(A1478),1,1)+1)</f>
        <v/>
      </c>
      <c r="D1478">
        <f>IF(A1478="","",Ввод!$B$4-SUMIF(Оплаты!$A$6:$A$505,"&lt;"&amp;A1478,Оплаты!$B$6:$B$505))</f>
        <v/>
      </c>
      <c r="E1478">
        <f>IF(A1478="","",IF(SUMPRODUCT((Ввод!$F$12:$F$31&lt;&gt;"")*(Ввод!$F$12:$F$31&lt;=A1478)*(Ввод!$G$12:$G$31&gt;=A1478))&gt;0,1,0))</f>
        <v/>
      </c>
      <c r="F1478">
        <f>IF(OR(A1478="",B1478=""),"",IF(E1478=1,0,D1478*B1478/100/C1478))</f>
        <v/>
      </c>
      <c r="G1478">
        <f>IF(A1478="","",IF(OR(B1478&lt;&gt;B1477,C1478&lt;&gt;C1477,D1478&lt;&gt;D1477,E1478&lt;&gt;E1477),G1477+1,G1477))</f>
        <v/>
      </c>
    </row>
    <row r="1479">
      <c r="A1479" s="14">
        <f>IF(OR(NOT(ISNUMBER(Ввод!$B$5)),NOT(ISNUMBER(Ввод!$B$6))),"",IF(Ввод!$B$5+1477&gt;Ввод!$B$6,"",Ввод!$B$5+1477))</f>
        <v/>
      </c>
      <c r="B1479">
        <f>IF(A1479="","",IFERROR(INDEX(Ввод!$B$12:$B$71,MATCH(A1479,Ввод!$D$12:$D$71,1)),""))</f>
        <v/>
      </c>
      <c r="C1479">
        <f>IF(A1479="","",DATE(YEAR(A1479),12,31)-DATE(YEAR(A1479),1,1)+1)</f>
        <v/>
      </c>
      <c r="D1479">
        <f>IF(A1479="","",Ввод!$B$4-SUMIF(Оплаты!$A$6:$A$505,"&lt;"&amp;A1479,Оплаты!$B$6:$B$505))</f>
        <v/>
      </c>
      <c r="E1479">
        <f>IF(A1479="","",IF(SUMPRODUCT((Ввод!$F$12:$F$31&lt;&gt;"")*(Ввод!$F$12:$F$31&lt;=A1479)*(Ввод!$G$12:$G$31&gt;=A1479))&gt;0,1,0))</f>
        <v/>
      </c>
      <c r="F1479">
        <f>IF(OR(A1479="",B1479=""),"",IF(E1479=1,0,D1479*B1479/100/C1479))</f>
        <v/>
      </c>
      <c r="G1479">
        <f>IF(A1479="","",IF(OR(B1479&lt;&gt;B1478,C1479&lt;&gt;C1478,D1479&lt;&gt;D1478,E1479&lt;&gt;E1478),G1478+1,G1478))</f>
        <v/>
      </c>
    </row>
    <row r="1480">
      <c r="A1480" s="14">
        <f>IF(OR(NOT(ISNUMBER(Ввод!$B$5)),NOT(ISNUMBER(Ввод!$B$6))),"",IF(Ввод!$B$5+1478&gt;Ввод!$B$6,"",Ввод!$B$5+1478))</f>
        <v/>
      </c>
      <c r="B1480">
        <f>IF(A1480="","",IFERROR(INDEX(Ввод!$B$12:$B$71,MATCH(A1480,Ввод!$D$12:$D$71,1)),""))</f>
        <v/>
      </c>
      <c r="C1480">
        <f>IF(A1480="","",DATE(YEAR(A1480),12,31)-DATE(YEAR(A1480),1,1)+1)</f>
        <v/>
      </c>
      <c r="D1480">
        <f>IF(A1480="","",Ввод!$B$4-SUMIF(Оплаты!$A$6:$A$505,"&lt;"&amp;A1480,Оплаты!$B$6:$B$505))</f>
        <v/>
      </c>
      <c r="E1480">
        <f>IF(A1480="","",IF(SUMPRODUCT((Ввод!$F$12:$F$31&lt;&gt;"")*(Ввод!$F$12:$F$31&lt;=A1480)*(Ввод!$G$12:$G$31&gt;=A1480))&gt;0,1,0))</f>
        <v/>
      </c>
      <c r="F1480">
        <f>IF(OR(A1480="",B1480=""),"",IF(E1480=1,0,D1480*B1480/100/C1480))</f>
        <v/>
      </c>
      <c r="G1480">
        <f>IF(A1480="","",IF(OR(B1480&lt;&gt;B1479,C1480&lt;&gt;C1479,D1480&lt;&gt;D1479,E1480&lt;&gt;E1479),G1479+1,G1479))</f>
        <v/>
      </c>
    </row>
    <row r="1481">
      <c r="A1481" s="14">
        <f>IF(OR(NOT(ISNUMBER(Ввод!$B$5)),NOT(ISNUMBER(Ввод!$B$6))),"",IF(Ввод!$B$5+1479&gt;Ввод!$B$6,"",Ввод!$B$5+1479))</f>
        <v/>
      </c>
      <c r="B1481">
        <f>IF(A1481="","",IFERROR(INDEX(Ввод!$B$12:$B$71,MATCH(A1481,Ввод!$D$12:$D$71,1)),""))</f>
        <v/>
      </c>
      <c r="C1481">
        <f>IF(A1481="","",DATE(YEAR(A1481),12,31)-DATE(YEAR(A1481),1,1)+1)</f>
        <v/>
      </c>
      <c r="D1481">
        <f>IF(A1481="","",Ввод!$B$4-SUMIF(Оплаты!$A$6:$A$505,"&lt;"&amp;A1481,Оплаты!$B$6:$B$505))</f>
        <v/>
      </c>
      <c r="E1481">
        <f>IF(A1481="","",IF(SUMPRODUCT((Ввод!$F$12:$F$31&lt;&gt;"")*(Ввод!$F$12:$F$31&lt;=A1481)*(Ввод!$G$12:$G$31&gt;=A1481))&gt;0,1,0))</f>
        <v/>
      </c>
      <c r="F1481">
        <f>IF(OR(A1481="",B1481=""),"",IF(E1481=1,0,D1481*B1481/100/C1481))</f>
        <v/>
      </c>
      <c r="G1481">
        <f>IF(A1481="","",IF(OR(B1481&lt;&gt;B1480,C1481&lt;&gt;C1480,D1481&lt;&gt;D1480,E1481&lt;&gt;E1480),G1480+1,G1480))</f>
        <v/>
      </c>
    </row>
    <row r="1482">
      <c r="A1482" s="14">
        <f>IF(OR(NOT(ISNUMBER(Ввод!$B$5)),NOT(ISNUMBER(Ввод!$B$6))),"",IF(Ввод!$B$5+1480&gt;Ввод!$B$6,"",Ввод!$B$5+1480))</f>
        <v/>
      </c>
      <c r="B1482">
        <f>IF(A1482="","",IFERROR(INDEX(Ввод!$B$12:$B$71,MATCH(A1482,Ввод!$D$12:$D$71,1)),""))</f>
        <v/>
      </c>
      <c r="C1482">
        <f>IF(A1482="","",DATE(YEAR(A1482),12,31)-DATE(YEAR(A1482),1,1)+1)</f>
        <v/>
      </c>
      <c r="D1482">
        <f>IF(A1482="","",Ввод!$B$4-SUMIF(Оплаты!$A$6:$A$505,"&lt;"&amp;A1482,Оплаты!$B$6:$B$505))</f>
        <v/>
      </c>
      <c r="E1482">
        <f>IF(A1482="","",IF(SUMPRODUCT((Ввод!$F$12:$F$31&lt;&gt;"")*(Ввод!$F$12:$F$31&lt;=A1482)*(Ввод!$G$12:$G$31&gt;=A1482))&gt;0,1,0))</f>
        <v/>
      </c>
      <c r="F1482">
        <f>IF(OR(A1482="",B1482=""),"",IF(E1482=1,0,D1482*B1482/100/C1482))</f>
        <v/>
      </c>
      <c r="G1482">
        <f>IF(A1482="","",IF(OR(B1482&lt;&gt;B1481,C1482&lt;&gt;C1481,D1482&lt;&gt;D1481,E1482&lt;&gt;E1481),G1481+1,G1481))</f>
        <v/>
      </c>
    </row>
    <row r="1483">
      <c r="A1483" s="14">
        <f>IF(OR(NOT(ISNUMBER(Ввод!$B$5)),NOT(ISNUMBER(Ввод!$B$6))),"",IF(Ввод!$B$5+1481&gt;Ввод!$B$6,"",Ввод!$B$5+1481))</f>
        <v/>
      </c>
      <c r="B1483">
        <f>IF(A1483="","",IFERROR(INDEX(Ввод!$B$12:$B$71,MATCH(A1483,Ввод!$D$12:$D$71,1)),""))</f>
        <v/>
      </c>
      <c r="C1483">
        <f>IF(A1483="","",DATE(YEAR(A1483),12,31)-DATE(YEAR(A1483),1,1)+1)</f>
        <v/>
      </c>
      <c r="D1483">
        <f>IF(A1483="","",Ввод!$B$4-SUMIF(Оплаты!$A$6:$A$505,"&lt;"&amp;A1483,Оплаты!$B$6:$B$505))</f>
        <v/>
      </c>
      <c r="E1483">
        <f>IF(A1483="","",IF(SUMPRODUCT((Ввод!$F$12:$F$31&lt;&gt;"")*(Ввод!$F$12:$F$31&lt;=A1483)*(Ввод!$G$12:$G$31&gt;=A1483))&gt;0,1,0))</f>
        <v/>
      </c>
      <c r="F1483">
        <f>IF(OR(A1483="",B1483=""),"",IF(E1483=1,0,D1483*B1483/100/C1483))</f>
        <v/>
      </c>
      <c r="G1483">
        <f>IF(A1483="","",IF(OR(B1483&lt;&gt;B1482,C1483&lt;&gt;C1482,D1483&lt;&gt;D1482,E1483&lt;&gt;E1482),G1482+1,G1482))</f>
        <v/>
      </c>
    </row>
    <row r="1484">
      <c r="A1484" s="14">
        <f>IF(OR(NOT(ISNUMBER(Ввод!$B$5)),NOT(ISNUMBER(Ввод!$B$6))),"",IF(Ввод!$B$5+1482&gt;Ввод!$B$6,"",Ввод!$B$5+1482))</f>
        <v/>
      </c>
      <c r="B1484">
        <f>IF(A1484="","",IFERROR(INDEX(Ввод!$B$12:$B$71,MATCH(A1484,Ввод!$D$12:$D$71,1)),""))</f>
        <v/>
      </c>
      <c r="C1484">
        <f>IF(A1484="","",DATE(YEAR(A1484),12,31)-DATE(YEAR(A1484),1,1)+1)</f>
        <v/>
      </c>
      <c r="D1484">
        <f>IF(A1484="","",Ввод!$B$4-SUMIF(Оплаты!$A$6:$A$505,"&lt;"&amp;A1484,Оплаты!$B$6:$B$505))</f>
        <v/>
      </c>
      <c r="E1484">
        <f>IF(A1484="","",IF(SUMPRODUCT((Ввод!$F$12:$F$31&lt;&gt;"")*(Ввод!$F$12:$F$31&lt;=A1484)*(Ввод!$G$12:$G$31&gt;=A1484))&gt;0,1,0))</f>
        <v/>
      </c>
      <c r="F1484">
        <f>IF(OR(A1484="",B1484=""),"",IF(E1484=1,0,D1484*B1484/100/C1484))</f>
        <v/>
      </c>
      <c r="G1484">
        <f>IF(A1484="","",IF(OR(B1484&lt;&gt;B1483,C1484&lt;&gt;C1483,D1484&lt;&gt;D1483,E1484&lt;&gt;E1483),G1483+1,G1483))</f>
        <v/>
      </c>
    </row>
    <row r="1485">
      <c r="A1485" s="14">
        <f>IF(OR(NOT(ISNUMBER(Ввод!$B$5)),NOT(ISNUMBER(Ввод!$B$6))),"",IF(Ввод!$B$5+1483&gt;Ввод!$B$6,"",Ввод!$B$5+1483))</f>
        <v/>
      </c>
      <c r="B1485">
        <f>IF(A1485="","",IFERROR(INDEX(Ввод!$B$12:$B$71,MATCH(A1485,Ввод!$D$12:$D$71,1)),""))</f>
        <v/>
      </c>
      <c r="C1485">
        <f>IF(A1485="","",DATE(YEAR(A1485),12,31)-DATE(YEAR(A1485),1,1)+1)</f>
        <v/>
      </c>
      <c r="D1485">
        <f>IF(A1485="","",Ввод!$B$4-SUMIF(Оплаты!$A$6:$A$505,"&lt;"&amp;A1485,Оплаты!$B$6:$B$505))</f>
        <v/>
      </c>
      <c r="E1485">
        <f>IF(A1485="","",IF(SUMPRODUCT((Ввод!$F$12:$F$31&lt;&gt;"")*(Ввод!$F$12:$F$31&lt;=A1485)*(Ввод!$G$12:$G$31&gt;=A1485))&gt;0,1,0))</f>
        <v/>
      </c>
      <c r="F1485">
        <f>IF(OR(A1485="",B1485=""),"",IF(E1485=1,0,D1485*B1485/100/C1485))</f>
        <v/>
      </c>
      <c r="G1485">
        <f>IF(A1485="","",IF(OR(B1485&lt;&gt;B1484,C1485&lt;&gt;C1484,D1485&lt;&gt;D1484,E1485&lt;&gt;E1484),G1484+1,G1484))</f>
        <v/>
      </c>
    </row>
    <row r="1486">
      <c r="A1486" s="14">
        <f>IF(OR(NOT(ISNUMBER(Ввод!$B$5)),NOT(ISNUMBER(Ввод!$B$6))),"",IF(Ввод!$B$5+1484&gt;Ввод!$B$6,"",Ввод!$B$5+1484))</f>
        <v/>
      </c>
      <c r="B1486">
        <f>IF(A1486="","",IFERROR(INDEX(Ввод!$B$12:$B$71,MATCH(A1486,Ввод!$D$12:$D$71,1)),""))</f>
        <v/>
      </c>
      <c r="C1486">
        <f>IF(A1486="","",DATE(YEAR(A1486),12,31)-DATE(YEAR(A1486),1,1)+1)</f>
        <v/>
      </c>
      <c r="D1486">
        <f>IF(A1486="","",Ввод!$B$4-SUMIF(Оплаты!$A$6:$A$505,"&lt;"&amp;A1486,Оплаты!$B$6:$B$505))</f>
        <v/>
      </c>
      <c r="E1486">
        <f>IF(A1486="","",IF(SUMPRODUCT((Ввод!$F$12:$F$31&lt;&gt;"")*(Ввод!$F$12:$F$31&lt;=A1486)*(Ввод!$G$12:$G$31&gt;=A1486))&gt;0,1,0))</f>
        <v/>
      </c>
      <c r="F1486">
        <f>IF(OR(A1486="",B1486=""),"",IF(E1486=1,0,D1486*B1486/100/C1486))</f>
        <v/>
      </c>
      <c r="G1486">
        <f>IF(A1486="","",IF(OR(B1486&lt;&gt;B1485,C1486&lt;&gt;C1485,D1486&lt;&gt;D1485,E1486&lt;&gt;E1485),G1485+1,G1485))</f>
        <v/>
      </c>
    </row>
    <row r="1487">
      <c r="A1487" s="14">
        <f>IF(OR(NOT(ISNUMBER(Ввод!$B$5)),NOT(ISNUMBER(Ввод!$B$6))),"",IF(Ввод!$B$5+1485&gt;Ввод!$B$6,"",Ввод!$B$5+1485))</f>
        <v/>
      </c>
      <c r="B1487">
        <f>IF(A1487="","",IFERROR(INDEX(Ввод!$B$12:$B$71,MATCH(A1487,Ввод!$D$12:$D$71,1)),""))</f>
        <v/>
      </c>
      <c r="C1487">
        <f>IF(A1487="","",DATE(YEAR(A1487),12,31)-DATE(YEAR(A1487),1,1)+1)</f>
        <v/>
      </c>
      <c r="D1487">
        <f>IF(A1487="","",Ввод!$B$4-SUMIF(Оплаты!$A$6:$A$505,"&lt;"&amp;A1487,Оплаты!$B$6:$B$505))</f>
        <v/>
      </c>
      <c r="E1487">
        <f>IF(A1487="","",IF(SUMPRODUCT((Ввод!$F$12:$F$31&lt;&gt;"")*(Ввод!$F$12:$F$31&lt;=A1487)*(Ввод!$G$12:$G$31&gt;=A1487))&gt;0,1,0))</f>
        <v/>
      </c>
      <c r="F1487">
        <f>IF(OR(A1487="",B1487=""),"",IF(E1487=1,0,D1487*B1487/100/C1487))</f>
        <v/>
      </c>
      <c r="G1487">
        <f>IF(A1487="","",IF(OR(B1487&lt;&gt;B1486,C1487&lt;&gt;C1486,D1487&lt;&gt;D1486,E1487&lt;&gt;E1486),G1486+1,G1486))</f>
        <v/>
      </c>
    </row>
    <row r="1488">
      <c r="A1488" s="14">
        <f>IF(OR(NOT(ISNUMBER(Ввод!$B$5)),NOT(ISNUMBER(Ввод!$B$6))),"",IF(Ввод!$B$5+1486&gt;Ввод!$B$6,"",Ввод!$B$5+1486))</f>
        <v/>
      </c>
      <c r="B1488">
        <f>IF(A1488="","",IFERROR(INDEX(Ввод!$B$12:$B$71,MATCH(A1488,Ввод!$D$12:$D$71,1)),""))</f>
        <v/>
      </c>
      <c r="C1488">
        <f>IF(A1488="","",DATE(YEAR(A1488),12,31)-DATE(YEAR(A1488),1,1)+1)</f>
        <v/>
      </c>
      <c r="D1488">
        <f>IF(A1488="","",Ввод!$B$4-SUMIF(Оплаты!$A$6:$A$505,"&lt;"&amp;A1488,Оплаты!$B$6:$B$505))</f>
        <v/>
      </c>
      <c r="E1488">
        <f>IF(A1488="","",IF(SUMPRODUCT((Ввод!$F$12:$F$31&lt;&gt;"")*(Ввод!$F$12:$F$31&lt;=A1488)*(Ввод!$G$12:$G$31&gt;=A1488))&gt;0,1,0))</f>
        <v/>
      </c>
      <c r="F1488">
        <f>IF(OR(A1488="",B1488=""),"",IF(E1488=1,0,D1488*B1488/100/C1488))</f>
        <v/>
      </c>
      <c r="G1488">
        <f>IF(A1488="","",IF(OR(B1488&lt;&gt;B1487,C1488&lt;&gt;C1487,D1488&lt;&gt;D1487,E1488&lt;&gt;E1487),G1487+1,G1487))</f>
        <v/>
      </c>
    </row>
    <row r="1489">
      <c r="A1489" s="14">
        <f>IF(OR(NOT(ISNUMBER(Ввод!$B$5)),NOT(ISNUMBER(Ввод!$B$6))),"",IF(Ввод!$B$5+1487&gt;Ввод!$B$6,"",Ввод!$B$5+1487))</f>
        <v/>
      </c>
      <c r="B1489">
        <f>IF(A1489="","",IFERROR(INDEX(Ввод!$B$12:$B$71,MATCH(A1489,Ввод!$D$12:$D$71,1)),""))</f>
        <v/>
      </c>
      <c r="C1489">
        <f>IF(A1489="","",DATE(YEAR(A1489),12,31)-DATE(YEAR(A1489),1,1)+1)</f>
        <v/>
      </c>
      <c r="D1489">
        <f>IF(A1489="","",Ввод!$B$4-SUMIF(Оплаты!$A$6:$A$505,"&lt;"&amp;A1489,Оплаты!$B$6:$B$505))</f>
        <v/>
      </c>
      <c r="E1489">
        <f>IF(A1489="","",IF(SUMPRODUCT((Ввод!$F$12:$F$31&lt;&gt;"")*(Ввод!$F$12:$F$31&lt;=A1489)*(Ввод!$G$12:$G$31&gt;=A1489))&gt;0,1,0))</f>
        <v/>
      </c>
      <c r="F1489">
        <f>IF(OR(A1489="",B1489=""),"",IF(E1489=1,0,D1489*B1489/100/C1489))</f>
        <v/>
      </c>
      <c r="G1489">
        <f>IF(A1489="","",IF(OR(B1489&lt;&gt;B1488,C1489&lt;&gt;C1488,D1489&lt;&gt;D1488,E1489&lt;&gt;E1488),G1488+1,G1488))</f>
        <v/>
      </c>
    </row>
    <row r="1490">
      <c r="A1490" s="14">
        <f>IF(OR(NOT(ISNUMBER(Ввод!$B$5)),NOT(ISNUMBER(Ввод!$B$6))),"",IF(Ввод!$B$5+1488&gt;Ввод!$B$6,"",Ввод!$B$5+1488))</f>
        <v/>
      </c>
      <c r="B1490">
        <f>IF(A1490="","",IFERROR(INDEX(Ввод!$B$12:$B$71,MATCH(A1490,Ввод!$D$12:$D$71,1)),""))</f>
        <v/>
      </c>
      <c r="C1490">
        <f>IF(A1490="","",DATE(YEAR(A1490),12,31)-DATE(YEAR(A1490),1,1)+1)</f>
        <v/>
      </c>
      <c r="D1490">
        <f>IF(A1490="","",Ввод!$B$4-SUMIF(Оплаты!$A$6:$A$505,"&lt;"&amp;A1490,Оплаты!$B$6:$B$505))</f>
        <v/>
      </c>
      <c r="E1490">
        <f>IF(A1490="","",IF(SUMPRODUCT((Ввод!$F$12:$F$31&lt;&gt;"")*(Ввод!$F$12:$F$31&lt;=A1490)*(Ввод!$G$12:$G$31&gt;=A1490))&gt;0,1,0))</f>
        <v/>
      </c>
      <c r="F1490">
        <f>IF(OR(A1490="",B1490=""),"",IF(E1490=1,0,D1490*B1490/100/C1490))</f>
        <v/>
      </c>
      <c r="G1490">
        <f>IF(A1490="","",IF(OR(B1490&lt;&gt;B1489,C1490&lt;&gt;C1489,D1490&lt;&gt;D1489,E1490&lt;&gt;E1489),G1489+1,G1489))</f>
        <v/>
      </c>
    </row>
    <row r="1491">
      <c r="A1491" s="14">
        <f>IF(OR(NOT(ISNUMBER(Ввод!$B$5)),NOT(ISNUMBER(Ввод!$B$6))),"",IF(Ввод!$B$5+1489&gt;Ввод!$B$6,"",Ввод!$B$5+1489))</f>
        <v/>
      </c>
      <c r="B1491">
        <f>IF(A1491="","",IFERROR(INDEX(Ввод!$B$12:$B$71,MATCH(A1491,Ввод!$D$12:$D$71,1)),""))</f>
        <v/>
      </c>
      <c r="C1491">
        <f>IF(A1491="","",DATE(YEAR(A1491),12,31)-DATE(YEAR(A1491),1,1)+1)</f>
        <v/>
      </c>
      <c r="D1491">
        <f>IF(A1491="","",Ввод!$B$4-SUMIF(Оплаты!$A$6:$A$505,"&lt;"&amp;A1491,Оплаты!$B$6:$B$505))</f>
        <v/>
      </c>
      <c r="E1491">
        <f>IF(A1491="","",IF(SUMPRODUCT((Ввод!$F$12:$F$31&lt;&gt;"")*(Ввод!$F$12:$F$31&lt;=A1491)*(Ввод!$G$12:$G$31&gt;=A1491))&gt;0,1,0))</f>
        <v/>
      </c>
      <c r="F1491">
        <f>IF(OR(A1491="",B1491=""),"",IF(E1491=1,0,D1491*B1491/100/C1491))</f>
        <v/>
      </c>
      <c r="G1491">
        <f>IF(A1491="","",IF(OR(B1491&lt;&gt;B1490,C1491&lt;&gt;C1490,D1491&lt;&gt;D1490,E1491&lt;&gt;E1490),G1490+1,G1490))</f>
        <v/>
      </c>
    </row>
    <row r="1492">
      <c r="A1492" s="14">
        <f>IF(OR(NOT(ISNUMBER(Ввод!$B$5)),NOT(ISNUMBER(Ввод!$B$6))),"",IF(Ввод!$B$5+1490&gt;Ввод!$B$6,"",Ввод!$B$5+1490))</f>
        <v/>
      </c>
      <c r="B1492">
        <f>IF(A1492="","",IFERROR(INDEX(Ввод!$B$12:$B$71,MATCH(A1492,Ввод!$D$12:$D$71,1)),""))</f>
        <v/>
      </c>
      <c r="C1492">
        <f>IF(A1492="","",DATE(YEAR(A1492),12,31)-DATE(YEAR(A1492),1,1)+1)</f>
        <v/>
      </c>
      <c r="D1492">
        <f>IF(A1492="","",Ввод!$B$4-SUMIF(Оплаты!$A$6:$A$505,"&lt;"&amp;A1492,Оплаты!$B$6:$B$505))</f>
        <v/>
      </c>
      <c r="E1492">
        <f>IF(A1492="","",IF(SUMPRODUCT((Ввод!$F$12:$F$31&lt;&gt;"")*(Ввод!$F$12:$F$31&lt;=A1492)*(Ввод!$G$12:$G$31&gt;=A1492))&gt;0,1,0))</f>
        <v/>
      </c>
      <c r="F1492">
        <f>IF(OR(A1492="",B1492=""),"",IF(E1492=1,0,D1492*B1492/100/C1492))</f>
        <v/>
      </c>
      <c r="G1492">
        <f>IF(A1492="","",IF(OR(B1492&lt;&gt;B1491,C1492&lt;&gt;C1491,D1492&lt;&gt;D1491,E1492&lt;&gt;E1491),G1491+1,G1491))</f>
        <v/>
      </c>
    </row>
    <row r="1493">
      <c r="A1493" s="14">
        <f>IF(OR(NOT(ISNUMBER(Ввод!$B$5)),NOT(ISNUMBER(Ввод!$B$6))),"",IF(Ввод!$B$5+1491&gt;Ввод!$B$6,"",Ввод!$B$5+1491))</f>
        <v/>
      </c>
      <c r="B1493">
        <f>IF(A1493="","",IFERROR(INDEX(Ввод!$B$12:$B$71,MATCH(A1493,Ввод!$D$12:$D$71,1)),""))</f>
        <v/>
      </c>
      <c r="C1493">
        <f>IF(A1493="","",DATE(YEAR(A1493),12,31)-DATE(YEAR(A1493),1,1)+1)</f>
        <v/>
      </c>
      <c r="D1493">
        <f>IF(A1493="","",Ввод!$B$4-SUMIF(Оплаты!$A$6:$A$505,"&lt;"&amp;A1493,Оплаты!$B$6:$B$505))</f>
        <v/>
      </c>
      <c r="E1493">
        <f>IF(A1493="","",IF(SUMPRODUCT((Ввод!$F$12:$F$31&lt;&gt;"")*(Ввод!$F$12:$F$31&lt;=A1493)*(Ввод!$G$12:$G$31&gt;=A1493))&gt;0,1,0))</f>
        <v/>
      </c>
      <c r="F1493">
        <f>IF(OR(A1493="",B1493=""),"",IF(E1493=1,0,D1493*B1493/100/C1493))</f>
        <v/>
      </c>
      <c r="G1493">
        <f>IF(A1493="","",IF(OR(B1493&lt;&gt;B1492,C1493&lt;&gt;C1492,D1493&lt;&gt;D1492,E1493&lt;&gt;E1492),G1492+1,G1492))</f>
        <v/>
      </c>
    </row>
    <row r="1494">
      <c r="A1494" s="14">
        <f>IF(OR(NOT(ISNUMBER(Ввод!$B$5)),NOT(ISNUMBER(Ввод!$B$6))),"",IF(Ввод!$B$5+1492&gt;Ввод!$B$6,"",Ввод!$B$5+1492))</f>
        <v/>
      </c>
      <c r="B1494">
        <f>IF(A1494="","",IFERROR(INDEX(Ввод!$B$12:$B$71,MATCH(A1494,Ввод!$D$12:$D$71,1)),""))</f>
        <v/>
      </c>
      <c r="C1494">
        <f>IF(A1494="","",DATE(YEAR(A1494),12,31)-DATE(YEAR(A1494),1,1)+1)</f>
        <v/>
      </c>
      <c r="D1494">
        <f>IF(A1494="","",Ввод!$B$4-SUMIF(Оплаты!$A$6:$A$505,"&lt;"&amp;A1494,Оплаты!$B$6:$B$505))</f>
        <v/>
      </c>
      <c r="E1494">
        <f>IF(A1494="","",IF(SUMPRODUCT((Ввод!$F$12:$F$31&lt;&gt;"")*(Ввод!$F$12:$F$31&lt;=A1494)*(Ввод!$G$12:$G$31&gt;=A1494))&gt;0,1,0))</f>
        <v/>
      </c>
      <c r="F1494">
        <f>IF(OR(A1494="",B1494=""),"",IF(E1494=1,0,D1494*B1494/100/C1494))</f>
        <v/>
      </c>
      <c r="G1494">
        <f>IF(A1494="","",IF(OR(B1494&lt;&gt;B1493,C1494&lt;&gt;C1493,D1494&lt;&gt;D1493,E1494&lt;&gt;E1493),G1493+1,G1493))</f>
        <v/>
      </c>
    </row>
    <row r="1495">
      <c r="A1495" s="14">
        <f>IF(OR(NOT(ISNUMBER(Ввод!$B$5)),NOT(ISNUMBER(Ввод!$B$6))),"",IF(Ввод!$B$5+1493&gt;Ввод!$B$6,"",Ввод!$B$5+1493))</f>
        <v/>
      </c>
      <c r="B1495">
        <f>IF(A1495="","",IFERROR(INDEX(Ввод!$B$12:$B$71,MATCH(A1495,Ввод!$D$12:$D$71,1)),""))</f>
        <v/>
      </c>
      <c r="C1495">
        <f>IF(A1495="","",DATE(YEAR(A1495),12,31)-DATE(YEAR(A1495),1,1)+1)</f>
        <v/>
      </c>
      <c r="D1495">
        <f>IF(A1495="","",Ввод!$B$4-SUMIF(Оплаты!$A$6:$A$505,"&lt;"&amp;A1495,Оплаты!$B$6:$B$505))</f>
        <v/>
      </c>
      <c r="E1495">
        <f>IF(A1495="","",IF(SUMPRODUCT((Ввод!$F$12:$F$31&lt;&gt;"")*(Ввод!$F$12:$F$31&lt;=A1495)*(Ввод!$G$12:$G$31&gt;=A1495))&gt;0,1,0))</f>
        <v/>
      </c>
      <c r="F1495">
        <f>IF(OR(A1495="",B1495=""),"",IF(E1495=1,0,D1495*B1495/100/C1495))</f>
        <v/>
      </c>
      <c r="G1495">
        <f>IF(A1495="","",IF(OR(B1495&lt;&gt;B1494,C1495&lt;&gt;C1494,D1495&lt;&gt;D1494,E1495&lt;&gt;E1494),G1494+1,G1494))</f>
        <v/>
      </c>
    </row>
    <row r="1496">
      <c r="A1496" s="14">
        <f>IF(OR(NOT(ISNUMBER(Ввод!$B$5)),NOT(ISNUMBER(Ввод!$B$6))),"",IF(Ввод!$B$5+1494&gt;Ввод!$B$6,"",Ввод!$B$5+1494))</f>
        <v/>
      </c>
      <c r="B1496">
        <f>IF(A1496="","",IFERROR(INDEX(Ввод!$B$12:$B$71,MATCH(A1496,Ввод!$D$12:$D$71,1)),""))</f>
        <v/>
      </c>
      <c r="C1496">
        <f>IF(A1496="","",DATE(YEAR(A1496),12,31)-DATE(YEAR(A1496),1,1)+1)</f>
        <v/>
      </c>
      <c r="D1496">
        <f>IF(A1496="","",Ввод!$B$4-SUMIF(Оплаты!$A$6:$A$505,"&lt;"&amp;A1496,Оплаты!$B$6:$B$505))</f>
        <v/>
      </c>
      <c r="E1496">
        <f>IF(A1496="","",IF(SUMPRODUCT((Ввод!$F$12:$F$31&lt;&gt;"")*(Ввод!$F$12:$F$31&lt;=A1496)*(Ввод!$G$12:$G$31&gt;=A1496))&gt;0,1,0))</f>
        <v/>
      </c>
      <c r="F1496">
        <f>IF(OR(A1496="",B1496=""),"",IF(E1496=1,0,D1496*B1496/100/C1496))</f>
        <v/>
      </c>
      <c r="G1496">
        <f>IF(A1496="","",IF(OR(B1496&lt;&gt;B1495,C1496&lt;&gt;C1495,D1496&lt;&gt;D1495,E1496&lt;&gt;E1495),G1495+1,G1495))</f>
        <v/>
      </c>
    </row>
    <row r="1497">
      <c r="A1497" s="14">
        <f>IF(OR(NOT(ISNUMBER(Ввод!$B$5)),NOT(ISNUMBER(Ввод!$B$6))),"",IF(Ввод!$B$5+1495&gt;Ввод!$B$6,"",Ввод!$B$5+1495))</f>
        <v/>
      </c>
      <c r="B1497">
        <f>IF(A1497="","",IFERROR(INDEX(Ввод!$B$12:$B$71,MATCH(A1497,Ввод!$D$12:$D$71,1)),""))</f>
        <v/>
      </c>
      <c r="C1497">
        <f>IF(A1497="","",DATE(YEAR(A1497),12,31)-DATE(YEAR(A1497),1,1)+1)</f>
        <v/>
      </c>
      <c r="D1497">
        <f>IF(A1497="","",Ввод!$B$4-SUMIF(Оплаты!$A$6:$A$505,"&lt;"&amp;A1497,Оплаты!$B$6:$B$505))</f>
        <v/>
      </c>
      <c r="E1497">
        <f>IF(A1497="","",IF(SUMPRODUCT((Ввод!$F$12:$F$31&lt;&gt;"")*(Ввод!$F$12:$F$31&lt;=A1497)*(Ввод!$G$12:$G$31&gt;=A1497))&gt;0,1,0))</f>
        <v/>
      </c>
      <c r="F1497">
        <f>IF(OR(A1497="",B1497=""),"",IF(E1497=1,0,D1497*B1497/100/C1497))</f>
        <v/>
      </c>
      <c r="G1497">
        <f>IF(A1497="","",IF(OR(B1497&lt;&gt;B1496,C1497&lt;&gt;C1496,D1497&lt;&gt;D1496,E1497&lt;&gt;E1496),G1496+1,G1496))</f>
        <v/>
      </c>
    </row>
    <row r="1498">
      <c r="A1498" s="14">
        <f>IF(OR(NOT(ISNUMBER(Ввод!$B$5)),NOT(ISNUMBER(Ввод!$B$6))),"",IF(Ввод!$B$5+1496&gt;Ввод!$B$6,"",Ввод!$B$5+1496))</f>
        <v/>
      </c>
      <c r="B1498">
        <f>IF(A1498="","",IFERROR(INDEX(Ввод!$B$12:$B$71,MATCH(A1498,Ввод!$D$12:$D$71,1)),""))</f>
        <v/>
      </c>
      <c r="C1498">
        <f>IF(A1498="","",DATE(YEAR(A1498),12,31)-DATE(YEAR(A1498),1,1)+1)</f>
        <v/>
      </c>
      <c r="D1498">
        <f>IF(A1498="","",Ввод!$B$4-SUMIF(Оплаты!$A$6:$A$505,"&lt;"&amp;A1498,Оплаты!$B$6:$B$505))</f>
        <v/>
      </c>
      <c r="E1498">
        <f>IF(A1498="","",IF(SUMPRODUCT((Ввод!$F$12:$F$31&lt;&gt;"")*(Ввод!$F$12:$F$31&lt;=A1498)*(Ввод!$G$12:$G$31&gt;=A1498))&gt;0,1,0))</f>
        <v/>
      </c>
      <c r="F1498">
        <f>IF(OR(A1498="",B1498=""),"",IF(E1498=1,0,D1498*B1498/100/C1498))</f>
        <v/>
      </c>
      <c r="G1498">
        <f>IF(A1498="","",IF(OR(B1498&lt;&gt;B1497,C1498&lt;&gt;C1497,D1498&lt;&gt;D1497,E1498&lt;&gt;E1497),G1497+1,G1497))</f>
        <v/>
      </c>
    </row>
    <row r="1499">
      <c r="A1499" s="14">
        <f>IF(OR(NOT(ISNUMBER(Ввод!$B$5)),NOT(ISNUMBER(Ввод!$B$6))),"",IF(Ввод!$B$5+1497&gt;Ввод!$B$6,"",Ввод!$B$5+1497))</f>
        <v/>
      </c>
      <c r="B1499">
        <f>IF(A1499="","",IFERROR(INDEX(Ввод!$B$12:$B$71,MATCH(A1499,Ввод!$D$12:$D$71,1)),""))</f>
        <v/>
      </c>
      <c r="C1499">
        <f>IF(A1499="","",DATE(YEAR(A1499),12,31)-DATE(YEAR(A1499),1,1)+1)</f>
        <v/>
      </c>
      <c r="D1499">
        <f>IF(A1499="","",Ввод!$B$4-SUMIF(Оплаты!$A$6:$A$505,"&lt;"&amp;A1499,Оплаты!$B$6:$B$505))</f>
        <v/>
      </c>
      <c r="E1499">
        <f>IF(A1499="","",IF(SUMPRODUCT((Ввод!$F$12:$F$31&lt;&gt;"")*(Ввод!$F$12:$F$31&lt;=A1499)*(Ввод!$G$12:$G$31&gt;=A1499))&gt;0,1,0))</f>
        <v/>
      </c>
      <c r="F1499">
        <f>IF(OR(A1499="",B1499=""),"",IF(E1499=1,0,D1499*B1499/100/C1499))</f>
        <v/>
      </c>
      <c r="G1499">
        <f>IF(A1499="","",IF(OR(B1499&lt;&gt;B1498,C1499&lt;&gt;C1498,D1499&lt;&gt;D1498,E1499&lt;&gt;E1498),G1498+1,G1498))</f>
        <v/>
      </c>
    </row>
    <row r="1500">
      <c r="A1500" s="14">
        <f>IF(OR(NOT(ISNUMBER(Ввод!$B$5)),NOT(ISNUMBER(Ввод!$B$6))),"",IF(Ввод!$B$5+1498&gt;Ввод!$B$6,"",Ввод!$B$5+1498))</f>
        <v/>
      </c>
      <c r="B1500">
        <f>IF(A1500="","",IFERROR(INDEX(Ввод!$B$12:$B$71,MATCH(A1500,Ввод!$D$12:$D$71,1)),""))</f>
        <v/>
      </c>
      <c r="C1500">
        <f>IF(A1500="","",DATE(YEAR(A1500),12,31)-DATE(YEAR(A1500),1,1)+1)</f>
        <v/>
      </c>
      <c r="D1500">
        <f>IF(A1500="","",Ввод!$B$4-SUMIF(Оплаты!$A$6:$A$505,"&lt;"&amp;A1500,Оплаты!$B$6:$B$505))</f>
        <v/>
      </c>
      <c r="E1500">
        <f>IF(A1500="","",IF(SUMPRODUCT((Ввод!$F$12:$F$31&lt;&gt;"")*(Ввод!$F$12:$F$31&lt;=A1500)*(Ввод!$G$12:$G$31&gt;=A1500))&gt;0,1,0))</f>
        <v/>
      </c>
      <c r="F1500">
        <f>IF(OR(A1500="",B1500=""),"",IF(E1500=1,0,D1500*B1500/100/C1500))</f>
        <v/>
      </c>
      <c r="G1500">
        <f>IF(A1500="","",IF(OR(B1500&lt;&gt;B1499,C1500&lt;&gt;C1499,D1500&lt;&gt;D1499,E1500&lt;&gt;E1499),G1499+1,G1499))</f>
        <v/>
      </c>
    </row>
    <row r="1501">
      <c r="A1501" s="14">
        <f>IF(OR(NOT(ISNUMBER(Ввод!$B$5)),NOT(ISNUMBER(Ввод!$B$6))),"",IF(Ввод!$B$5+1499&gt;Ввод!$B$6,"",Ввод!$B$5+1499))</f>
        <v/>
      </c>
      <c r="B1501">
        <f>IF(A1501="","",IFERROR(INDEX(Ввод!$B$12:$B$71,MATCH(A1501,Ввод!$D$12:$D$71,1)),""))</f>
        <v/>
      </c>
      <c r="C1501">
        <f>IF(A1501="","",DATE(YEAR(A1501),12,31)-DATE(YEAR(A1501),1,1)+1)</f>
        <v/>
      </c>
      <c r="D1501">
        <f>IF(A1501="","",Ввод!$B$4-SUMIF(Оплаты!$A$6:$A$505,"&lt;"&amp;A1501,Оплаты!$B$6:$B$505))</f>
        <v/>
      </c>
      <c r="E1501">
        <f>IF(A1501="","",IF(SUMPRODUCT((Ввод!$F$12:$F$31&lt;&gt;"")*(Ввод!$F$12:$F$31&lt;=A1501)*(Ввод!$G$12:$G$31&gt;=A1501))&gt;0,1,0))</f>
        <v/>
      </c>
      <c r="F1501">
        <f>IF(OR(A1501="",B1501=""),"",IF(E1501=1,0,D1501*B1501/100/C1501))</f>
        <v/>
      </c>
      <c r="G1501">
        <f>IF(A1501="","",IF(OR(B1501&lt;&gt;B1500,C1501&lt;&gt;C1500,D1501&lt;&gt;D1500,E1501&lt;&gt;E1500),G1500+1,G1500))</f>
        <v/>
      </c>
    </row>
    <row r="1502">
      <c r="A1502" s="14">
        <f>IF(OR(NOT(ISNUMBER(Ввод!$B$5)),NOT(ISNUMBER(Ввод!$B$6))),"",IF(Ввод!$B$5+1500&gt;Ввод!$B$6,"",Ввод!$B$5+1500))</f>
        <v/>
      </c>
      <c r="B1502">
        <f>IF(A1502="","",IFERROR(INDEX(Ввод!$B$12:$B$71,MATCH(A1502,Ввод!$D$12:$D$71,1)),""))</f>
        <v/>
      </c>
      <c r="C1502">
        <f>IF(A1502="","",DATE(YEAR(A1502),12,31)-DATE(YEAR(A1502),1,1)+1)</f>
        <v/>
      </c>
      <c r="D1502">
        <f>IF(A1502="","",Ввод!$B$4-SUMIF(Оплаты!$A$6:$A$505,"&lt;"&amp;A1502,Оплаты!$B$6:$B$505))</f>
        <v/>
      </c>
      <c r="E1502">
        <f>IF(A1502="","",IF(SUMPRODUCT((Ввод!$F$12:$F$31&lt;&gt;"")*(Ввод!$F$12:$F$31&lt;=A1502)*(Ввод!$G$12:$G$31&gt;=A1502))&gt;0,1,0))</f>
        <v/>
      </c>
      <c r="F1502">
        <f>IF(OR(A1502="",B1502=""),"",IF(E1502=1,0,D1502*B1502/100/C1502))</f>
        <v/>
      </c>
      <c r="G1502">
        <f>IF(A1502="","",IF(OR(B1502&lt;&gt;B1501,C1502&lt;&gt;C1501,D1502&lt;&gt;D1501,E1502&lt;&gt;E1501),G1501+1,G1501))</f>
        <v/>
      </c>
    </row>
    <row r="1503">
      <c r="A1503" s="14">
        <f>IF(OR(NOT(ISNUMBER(Ввод!$B$5)),NOT(ISNUMBER(Ввод!$B$6))),"",IF(Ввод!$B$5+1501&gt;Ввод!$B$6,"",Ввод!$B$5+1501))</f>
        <v/>
      </c>
      <c r="B1503">
        <f>IF(A1503="","",IFERROR(INDEX(Ввод!$B$12:$B$71,MATCH(A1503,Ввод!$D$12:$D$71,1)),""))</f>
        <v/>
      </c>
      <c r="C1503">
        <f>IF(A1503="","",DATE(YEAR(A1503),12,31)-DATE(YEAR(A1503),1,1)+1)</f>
        <v/>
      </c>
      <c r="D1503">
        <f>IF(A1503="","",Ввод!$B$4-SUMIF(Оплаты!$A$6:$A$505,"&lt;"&amp;A1503,Оплаты!$B$6:$B$505))</f>
        <v/>
      </c>
      <c r="E1503">
        <f>IF(A1503="","",IF(SUMPRODUCT((Ввод!$F$12:$F$31&lt;&gt;"")*(Ввод!$F$12:$F$31&lt;=A1503)*(Ввод!$G$12:$G$31&gt;=A1503))&gt;0,1,0))</f>
        <v/>
      </c>
      <c r="F1503">
        <f>IF(OR(A1503="",B1503=""),"",IF(E1503=1,0,D1503*B1503/100/C1503))</f>
        <v/>
      </c>
      <c r="G1503">
        <f>IF(A1503="","",IF(OR(B1503&lt;&gt;B1502,C1503&lt;&gt;C1502,D1503&lt;&gt;D1502,E1503&lt;&gt;E1502),G1502+1,G1502))</f>
        <v/>
      </c>
    </row>
    <row r="1504">
      <c r="A1504" s="14">
        <f>IF(OR(NOT(ISNUMBER(Ввод!$B$5)),NOT(ISNUMBER(Ввод!$B$6))),"",IF(Ввод!$B$5+1502&gt;Ввод!$B$6,"",Ввод!$B$5+1502))</f>
        <v/>
      </c>
      <c r="B1504">
        <f>IF(A1504="","",IFERROR(INDEX(Ввод!$B$12:$B$71,MATCH(A1504,Ввод!$D$12:$D$71,1)),""))</f>
        <v/>
      </c>
      <c r="C1504">
        <f>IF(A1504="","",DATE(YEAR(A1504),12,31)-DATE(YEAR(A1504),1,1)+1)</f>
        <v/>
      </c>
      <c r="D1504">
        <f>IF(A1504="","",Ввод!$B$4-SUMIF(Оплаты!$A$6:$A$505,"&lt;"&amp;A1504,Оплаты!$B$6:$B$505))</f>
        <v/>
      </c>
      <c r="E1504">
        <f>IF(A1504="","",IF(SUMPRODUCT((Ввод!$F$12:$F$31&lt;&gt;"")*(Ввод!$F$12:$F$31&lt;=A1504)*(Ввод!$G$12:$G$31&gt;=A1504))&gt;0,1,0))</f>
        <v/>
      </c>
      <c r="F1504">
        <f>IF(OR(A1504="",B1504=""),"",IF(E1504=1,0,D1504*B1504/100/C1504))</f>
        <v/>
      </c>
      <c r="G1504">
        <f>IF(A1504="","",IF(OR(B1504&lt;&gt;B1503,C1504&lt;&gt;C1503,D1504&lt;&gt;D1503,E1504&lt;&gt;E1503),G1503+1,G1503))</f>
        <v/>
      </c>
    </row>
    <row r="1505">
      <c r="A1505" s="14">
        <f>IF(OR(NOT(ISNUMBER(Ввод!$B$5)),NOT(ISNUMBER(Ввод!$B$6))),"",IF(Ввод!$B$5+1503&gt;Ввод!$B$6,"",Ввод!$B$5+1503))</f>
        <v/>
      </c>
      <c r="B1505">
        <f>IF(A1505="","",IFERROR(INDEX(Ввод!$B$12:$B$71,MATCH(A1505,Ввод!$D$12:$D$71,1)),""))</f>
        <v/>
      </c>
      <c r="C1505">
        <f>IF(A1505="","",DATE(YEAR(A1505),12,31)-DATE(YEAR(A1505),1,1)+1)</f>
        <v/>
      </c>
      <c r="D1505">
        <f>IF(A1505="","",Ввод!$B$4-SUMIF(Оплаты!$A$6:$A$505,"&lt;"&amp;A1505,Оплаты!$B$6:$B$505))</f>
        <v/>
      </c>
      <c r="E1505">
        <f>IF(A1505="","",IF(SUMPRODUCT((Ввод!$F$12:$F$31&lt;&gt;"")*(Ввод!$F$12:$F$31&lt;=A1505)*(Ввод!$G$12:$G$31&gt;=A1505))&gt;0,1,0))</f>
        <v/>
      </c>
      <c r="F1505">
        <f>IF(OR(A1505="",B1505=""),"",IF(E1505=1,0,D1505*B1505/100/C1505))</f>
        <v/>
      </c>
      <c r="G1505">
        <f>IF(A1505="","",IF(OR(B1505&lt;&gt;B1504,C1505&lt;&gt;C1504,D1505&lt;&gt;D1504,E1505&lt;&gt;E1504),G1504+1,G1504))</f>
        <v/>
      </c>
    </row>
    <row r="1506">
      <c r="A1506" s="14">
        <f>IF(OR(NOT(ISNUMBER(Ввод!$B$5)),NOT(ISNUMBER(Ввод!$B$6))),"",IF(Ввод!$B$5+1504&gt;Ввод!$B$6,"",Ввод!$B$5+1504))</f>
        <v/>
      </c>
      <c r="B1506">
        <f>IF(A1506="","",IFERROR(INDEX(Ввод!$B$12:$B$71,MATCH(A1506,Ввод!$D$12:$D$71,1)),""))</f>
        <v/>
      </c>
      <c r="C1506">
        <f>IF(A1506="","",DATE(YEAR(A1506),12,31)-DATE(YEAR(A1506),1,1)+1)</f>
        <v/>
      </c>
      <c r="D1506">
        <f>IF(A1506="","",Ввод!$B$4-SUMIF(Оплаты!$A$6:$A$505,"&lt;"&amp;A1506,Оплаты!$B$6:$B$505))</f>
        <v/>
      </c>
      <c r="E1506">
        <f>IF(A1506="","",IF(SUMPRODUCT((Ввод!$F$12:$F$31&lt;&gt;"")*(Ввод!$F$12:$F$31&lt;=A1506)*(Ввод!$G$12:$G$31&gt;=A1506))&gt;0,1,0))</f>
        <v/>
      </c>
      <c r="F1506">
        <f>IF(OR(A1506="",B1506=""),"",IF(E1506=1,0,D1506*B1506/100/C1506))</f>
        <v/>
      </c>
      <c r="G1506">
        <f>IF(A1506="","",IF(OR(B1506&lt;&gt;B1505,C1506&lt;&gt;C1505,D1506&lt;&gt;D1505,E1506&lt;&gt;E1505),G1505+1,G1505))</f>
        <v/>
      </c>
    </row>
    <row r="1507">
      <c r="A1507" s="14">
        <f>IF(OR(NOT(ISNUMBER(Ввод!$B$5)),NOT(ISNUMBER(Ввод!$B$6))),"",IF(Ввод!$B$5+1505&gt;Ввод!$B$6,"",Ввод!$B$5+1505))</f>
        <v/>
      </c>
      <c r="B1507">
        <f>IF(A1507="","",IFERROR(INDEX(Ввод!$B$12:$B$71,MATCH(A1507,Ввод!$D$12:$D$71,1)),""))</f>
        <v/>
      </c>
      <c r="C1507">
        <f>IF(A1507="","",DATE(YEAR(A1507),12,31)-DATE(YEAR(A1507),1,1)+1)</f>
        <v/>
      </c>
      <c r="D1507">
        <f>IF(A1507="","",Ввод!$B$4-SUMIF(Оплаты!$A$6:$A$505,"&lt;"&amp;A1507,Оплаты!$B$6:$B$505))</f>
        <v/>
      </c>
      <c r="E1507">
        <f>IF(A1507="","",IF(SUMPRODUCT((Ввод!$F$12:$F$31&lt;&gt;"")*(Ввод!$F$12:$F$31&lt;=A1507)*(Ввод!$G$12:$G$31&gt;=A1507))&gt;0,1,0))</f>
        <v/>
      </c>
      <c r="F1507">
        <f>IF(OR(A1507="",B1507=""),"",IF(E1507=1,0,D1507*B1507/100/C1507))</f>
        <v/>
      </c>
      <c r="G1507">
        <f>IF(A1507="","",IF(OR(B1507&lt;&gt;B1506,C1507&lt;&gt;C1506,D1507&lt;&gt;D1506,E1507&lt;&gt;E1506),G1506+1,G1506))</f>
        <v/>
      </c>
    </row>
    <row r="1508">
      <c r="A1508" s="14">
        <f>IF(OR(NOT(ISNUMBER(Ввод!$B$5)),NOT(ISNUMBER(Ввод!$B$6))),"",IF(Ввод!$B$5+1506&gt;Ввод!$B$6,"",Ввод!$B$5+1506))</f>
        <v/>
      </c>
      <c r="B1508">
        <f>IF(A1508="","",IFERROR(INDEX(Ввод!$B$12:$B$71,MATCH(A1508,Ввод!$D$12:$D$71,1)),""))</f>
        <v/>
      </c>
      <c r="C1508">
        <f>IF(A1508="","",DATE(YEAR(A1508),12,31)-DATE(YEAR(A1508),1,1)+1)</f>
        <v/>
      </c>
      <c r="D1508">
        <f>IF(A1508="","",Ввод!$B$4-SUMIF(Оплаты!$A$6:$A$505,"&lt;"&amp;A1508,Оплаты!$B$6:$B$505))</f>
        <v/>
      </c>
      <c r="E1508">
        <f>IF(A1508="","",IF(SUMPRODUCT((Ввод!$F$12:$F$31&lt;&gt;"")*(Ввод!$F$12:$F$31&lt;=A1508)*(Ввод!$G$12:$G$31&gt;=A1508))&gt;0,1,0))</f>
        <v/>
      </c>
      <c r="F1508">
        <f>IF(OR(A1508="",B1508=""),"",IF(E1508=1,0,D1508*B1508/100/C1508))</f>
        <v/>
      </c>
      <c r="G1508">
        <f>IF(A1508="","",IF(OR(B1508&lt;&gt;B1507,C1508&lt;&gt;C1507,D1508&lt;&gt;D1507,E1508&lt;&gt;E1507),G1507+1,G1507))</f>
        <v/>
      </c>
    </row>
    <row r="1509">
      <c r="A1509" s="14">
        <f>IF(OR(NOT(ISNUMBER(Ввод!$B$5)),NOT(ISNUMBER(Ввод!$B$6))),"",IF(Ввод!$B$5+1507&gt;Ввод!$B$6,"",Ввод!$B$5+1507))</f>
        <v/>
      </c>
      <c r="B1509">
        <f>IF(A1509="","",IFERROR(INDEX(Ввод!$B$12:$B$71,MATCH(A1509,Ввод!$D$12:$D$71,1)),""))</f>
        <v/>
      </c>
      <c r="C1509">
        <f>IF(A1509="","",DATE(YEAR(A1509),12,31)-DATE(YEAR(A1509),1,1)+1)</f>
        <v/>
      </c>
      <c r="D1509">
        <f>IF(A1509="","",Ввод!$B$4-SUMIF(Оплаты!$A$6:$A$505,"&lt;"&amp;A1509,Оплаты!$B$6:$B$505))</f>
        <v/>
      </c>
      <c r="E1509">
        <f>IF(A1509="","",IF(SUMPRODUCT((Ввод!$F$12:$F$31&lt;&gt;"")*(Ввод!$F$12:$F$31&lt;=A1509)*(Ввод!$G$12:$G$31&gt;=A1509))&gt;0,1,0))</f>
        <v/>
      </c>
      <c r="F1509">
        <f>IF(OR(A1509="",B1509=""),"",IF(E1509=1,0,D1509*B1509/100/C1509))</f>
        <v/>
      </c>
      <c r="G1509">
        <f>IF(A1509="","",IF(OR(B1509&lt;&gt;B1508,C1509&lt;&gt;C1508,D1509&lt;&gt;D1508,E1509&lt;&gt;E1508),G1508+1,G1508))</f>
        <v/>
      </c>
    </row>
    <row r="1510">
      <c r="A1510" s="14">
        <f>IF(OR(NOT(ISNUMBER(Ввод!$B$5)),NOT(ISNUMBER(Ввод!$B$6))),"",IF(Ввод!$B$5+1508&gt;Ввод!$B$6,"",Ввод!$B$5+1508))</f>
        <v/>
      </c>
      <c r="B1510">
        <f>IF(A1510="","",IFERROR(INDEX(Ввод!$B$12:$B$71,MATCH(A1510,Ввод!$D$12:$D$71,1)),""))</f>
        <v/>
      </c>
      <c r="C1510">
        <f>IF(A1510="","",DATE(YEAR(A1510),12,31)-DATE(YEAR(A1510),1,1)+1)</f>
        <v/>
      </c>
      <c r="D1510">
        <f>IF(A1510="","",Ввод!$B$4-SUMIF(Оплаты!$A$6:$A$505,"&lt;"&amp;A1510,Оплаты!$B$6:$B$505))</f>
        <v/>
      </c>
      <c r="E1510">
        <f>IF(A1510="","",IF(SUMPRODUCT((Ввод!$F$12:$F$31&lt;&gt;"")*(Ввод!$F$12:$F$31&lt;=A1510)*(Ввод!$G$12:$G$31&gt;=A1510))&gt;0,1,0))</f>
        <v/>
      </c>
      <c r="F1510">
        <f>IF(OR(A1510="",B1510=""),"",IF(E1510=1,0,D1510*B1510/100/C1510))</f>
        <v/>
      </c>
      <c r="G1510">
        <f>IF(A1510="","",IF(OR(B1510&lt;&gt;B1509,C1510&lt;&gt;C1509,D1510&lt;&gt;D1509,E1510&lt;&gt;E1509),G1509+1,G1509))</f>
        <v/>
      </c>
    </row>
    <row r="1511">
      <c r="A1511" s="14">
        <f>IF(OR(NOT(ISNUMBER(Ввод!$B$5)),NOT(ISNUMBER(Ввод!$B$6))),"",IF(Ввод!$B$5+1509&gt;Ввод!$B$6,"",Ввод!$B$5+1509))</f>
        <v/>
      </c>
      <c r="B1511">
        <f>IF(A1511="","",IFERROR(INDEX(Ввод!$B$12:$B$71,MATCH(A1511,Ввод!$D$12:$D$71,1)),""))</f>
        <v/>
      </c>
      <c r="C1511">
        <f>IF(A1511="","",DATE(YEAR(A1511),12,31)-DATE(YEAR(A1511),1,1)+1)</f>
        <v/>
      </c>
      <c r="D1511">
        <f>IF(A1511="","",Ввод!$B$4-SUMIF(Оплаты!$A$6:$A$505,"&lt;"&amp;A1511,Оплаты!$B$6:$B$505))</f>
        <v/>
      </c>
      <c r="E1511">
        <f>IF(A1511="","",IF(SUMPRODUCT((Ввод!$F$12:$F$31&lt;&gt;"")*(Ввод!$F$12:$F$31&lt;=A1511)*(Ввод!$G$12:$G$31&gt;=A1511))&gt;0,1,0))</f>
        <v/>
      </c>
      <c r="F1511">
        <f>IF(OR(A1511="",B1511=""),"",IF(E1511=1,0,D1511*B1511/100/C1511))</f>
        <v/>
      </c>
      <c r="G1511">
        <f>IF(A1511="","",IF(OR(B1511&lt;&gt;B1510,C1511&lt;&gt;C1510,D1511&lt;&gt;D1510,E1511&lt;&gt;E1510),G1510+1,G1510))</f>
        <v/>
      </c>
    </row>
    <row r="1512">
      <c r="A1512" s="14">
        <f>IF(OR(NOT(ISNUMBER(Ввод!$B$5)),NOT(ISNUMBER(Ввод!$B$6))),"",IF(Ввод!$B$5+1510&gt;Ввод!$B$6,"",Ввод!$B$5+1510))</f>
        <v/>
      </c>
      <c r="B1512">
        <f>IF(A1512="","",IFERROR(INDEX(Ввод!$B$12:$B$71,MATCH(A1512,Ввод!$D$12:$D$71,1)),""))</f>
        <v/>
      </c>
      <c r="C1512">
        <f>IF(A1512="","",DATE(YEAR(A1512),12,31)-DATE(YEAR(A1512),1,1)+1)</f>
        <v/>
      </c>
      <c r="D1512">
        <f>IF(A1512="","",Ввод!$B$4-SUMIF(Оплаты!$A$6:$A$505,"&lt;"&amp;A1512,Оплаты!$B$6:$B$505))</f>
        <v/>
      </c>
      <c r="E1512">
        <f>IF(A1512="","",IF(SUMPRODUCT((Ввод!$F$12:$F$31&lt;&gt;"")*(Ввод!$F$12:$F$31&lt;=A1512)*(Ввод!$G$12:$G$31&gt;=A1512))&gt;0,1,0))</f>
        <v/>
      </c>
      <c r="F1512">
        <f>IF(OR(A1512="",B1512=""),"",IF(E1512=1,0,D1512*B1512/100/C1512))</f>
        <v/>
      </c>
      <c r="G1512">
        <f>IF(A1512="","",IF(OR(B1512&lt;&gt;B1511,C1512&lt;&gt;C1511,D1512&lt;&gt;D1511,E1512&lt;&gt;E1511),G1511+1,G1511))</f>
        <v/>
      </c>
    </row>
    <row r="1513">
      <c r="A1513" s="14">
        <f>IF(OR(NOT(ISNUMBER(Ввод!$B$5)),NOT(ISNUMBER(Ввод!$B$6))),"",IF(Ввод!$B$5+1511&gt;Ввод!$B$6,"",Ввод!$B$5+1511))</f>
        <v/>
      </c>
      <c r="B1513">
        <f>IF(A1513="","",IFERROR(INDEX(Ввод!$B$12:$B$71,MATCH(A1513,Ввод!$D$12:$D$71,1)),""))</f>
        <v/>
      </c>
      <c r="C1513">
        <f>IF(A1513="","",DATE(YEAR(A1513),12,31)-DATE(YEAR(A1513),1,1)+1)</f>
        <v/>
      </c>
      <c r="D1513">
        <f>IF(A1513="","",Ввод!$B$4-SUMIF(Оплаты!$A$6:$A$505,"&lt;"&amp;A1513,Оплаты!$B$6:$B$505))</f>
        <v/>
      </c>
      <c r="E1513">
        <f>IF(A1513="","",IF(SUMPRODUCT((Ввод!$F$12:$F$31&lt;&gt;"")*(Ввод!$F$12:$F$31&lt;=A1513)*(Ввод!$G$12:$G$31&gt;=A1513))&gt;0,1,0))</f>
        <v/>
      </c>
      <c r="F1513">
        <f>IF(OR(A1513="",B1513=""),"",IF(E1513=1,0,D1513*B1513/100/C1513))</f>
        <v/>
      </c>
      <c r="G1513">
        <f>IF(A1513="","",IF(OR(B1513&lt;&gt;B1512,C1513&lt;&gt;C1512,D1513&lt;&gt;D1512,E1513&lt;&gt;E1512),G1512+1,G1512))</f>
        <v/>
      </c>
    </row>
    <row r="1514">
      <c r="A1514" s="14">
        <f>IF(OR(NOT(ISNUMBER(Ввод!$B$5)),NOT(ISNUMBER(Ввод!$B$6))),"",IF(Ввод!$B$5+1512&gt;Ввод!$B$6,"",Ввод!$B$5+1512))</f>
        <v/>
      </c>
      <c r="B1514">
        <f>IF(A1514="","",IFERROR(INDEX(Ввод!$B$12:$B$71,MATCH(A1514,Ввод!$D$12:$D$71,1)),""))</f>
        <v/>
      </c>
      <c r="C1514">
        <f>IF(A1514="","",DATE(YEAR(A1514),12,31)-DATE(YEAR(A1514),1,1)+1)</f>
        <v/>
      </c>
      <c r="D1514">
        <f>IF(A1514="","",Ввод!$B$4-SUMIF(Оплаты!$A$6:$A$505,"&lt;"&amp;A1514,Оплаты!$B$6:$B$505))</f>
        <v/>
      </c>
      <c r="E1514">
        <f>IF(A1514="","",IF(SUMPRODUCT((Ввод!$F$12:$F$31&lt;&gt;"")*(Ввод!$F$12:$F$31&lt;=A1514)*(Ввод!$G$12:$G$31&gt;=A1514))&gt;0,1,0))</f>
        <v/>
      </c>
      <c r="F1514">
        <f>IF(OR(A1514="",B1514=""),"",IF(E1514=1,0,D1514*B1514/100/C1514))</f>
        <v/>
      </c>
      <c r="G1514">
        <f>IF(A1514="","",IF(OR(B1514&lt;&gt;B1513,C1514&lt;&gt;C1513,D1514&lt;&gt;D1513,E1514&lt;&gt;E1513),G1513+1,G1513))</f>
        <v/>
      </c>
    </row>
    <row r="1515">
      <c r="A1515" s="14">
        <f>IF(OR(NOT(ISNUMBER(Ввод!$B$5)),NOT(ISNUMBER(Ввод!$B$6))),"",IF(Ввод!$B$5+1513&gt;Ввод!$B$6,"",Ввод!$B$5+1513))</f>
        <v/>
      </c>
      <c r="B1515">
        <f>IF(A1515="","",IFERROR(INDEX(Ввод!$B$12:$B$71,MATCH(A1515,Ввод!$D$12:$D$71,1)),""))</f>
        <v/>
      </c>
      <c r="C1515">
        <f>IF(A1515="","",DATE(YEAR(A1515),12,31)-DATE(YEAR(A1515),1,1)+1)</f>
        <v/>
      </c>
      <c r="D1515">
        <f>IF(A1515="","",Ввод!$B$4-SUMIF(Оплаты!$A$6:$A$505,"&lt;"&amp;A1515,Оплаты!$B$6:$B$505))</f>
        <v/>
      </c>
      <c r="E1515">
        <f>IF(A1515="","",IF(SUMPRODUCT((Ввод!$F$12:$F$31&lt;&gt;"")*(Ввод!$F$12:$F$31&lt;=A1515)*(Ввод!$G$12:$G$31&gt;=A1515))&gt;0,1,0))</f>
        <v/>
      </c>
      <c r="F1515">
        <f>IF(OR(A1515="",B1515=""),"",IF(E1515=1,0,D1515*B1515/100/C1515))</f>
        <v/>
      </c>
      <c r="G1515">
        <f>IF(A1515="","",IF(OR(B1515&lt;&gt;B1514,C1515&lt;&gt;C1514,D1515&lt;&gt;D1514,E1515&lt;&gt;E1514),G1514+1,G1514))</f>
        <v/>
      </c>
    </row>
    <row r="1516">
      <c r="A1516" s="14">
        <f>IF(OR(NOT(ISNUMBER(Ввод!$B$5)),NOT(ISNUMBER(Ввод!$B$6))),"",IF(Ввод!$B$5+1514&gt;Ввод!$B$6,"",Ввод!$B$5+1514))</f>
        <v/>
      </c>
      <c r="B1516">
        <f>IF(A1516="","",IFERROR(INDEX(Ввод!$B$12:$B$71,MATCH(A1516,Ввод!$D$12:$D$71,1)),""))</f>
        <v/>
      </c>
      <c r="C1516">
        <f>IF(A1516="","",DATE(YEAR(A1516),12,31)-DATE(YEAR(A1516),1,1)+1)</f>
        <v/>
      </c>
      <c r="D1516">
        <f>IF(A1516="","",Ввод!$B$4-SUMIF(Оплаты!$A$6:$A$505,"&lt;"&amp;A1516,Оплаты!$B$6:$B$505))</f>
        <v/>
      </c>
      <c r="E1516">
        <f>IF(A1516="","",IF(SUMPRODUCT((Ввод!$F$12:$F$31&lt;&gt;"")*(Ввод!$F$12:$F$31&lt;=A1516)*(Ввод!$G$12:$G$31&gt;=A1516))&gt;0,1,0))</f>
        <v/>
      </c>
      <c r="F1516">
        <f>IF(OR(A1516="",B1516=""),"",IF(E1516=1,0,D1516*B1516/100/C1516))</f>
        <v/>
      </c>
      <c r="G1516">
        <f>IF(A1516="","",IF(OR(B1516&lt;&gt;B1515,C1516&lt;&gt;C1515,D1516&lt;&gt;D1515,E1516&lt;&gt;E1515),G1515+1,G1515))</f>
        <v/>
      </c>
    </row>
    <row r="1517">
      <c r="A1517" s="14">
        <f>IF(OR(NOT(ISNUMBER(Ввод!$B$5)),NOT(ISNUMBER(Ввод!$B$6))),"",IF(Ввод!$B$5+1515&gt;Ввод!$B$6,"",Ввод!$B$5+1515))</f>
        <v/>
      </c>
      <c r="B1517">
        <f>IF(A1517="","",IFERROR(INDEX(Ввод!$B$12:$B$71,MATCH(A1517,Ввод!$D$12:$D$71,1)),""))</f>
        <v/>
      </c>
      <c r="C1517">
        <f>IF(A1517="","",DATE(YEAR(A1517),12,31)-DATE(YEAR(A1517),1,1)+1)</f>
        <v/>
      </c>
      <c r="D1517">
        <f>IF(A1517="","",Ввод!$B$4-SUMIF(Оплаты!$A$6:$A$505,"&lt;"&amp;A1517,Оплаты!$B$6:$B$505))</f>
        <v/>
      </c>
      <c r="E1517">
        <f>IF(A1517="","",IF(SUMPRODUCT((Ввод!$F$12:$F$31&lt;&gt;"")*(Ввод!$F$12:$F$31&lt;=A1517)*(Ввод!$G$12:$G$31&gt;=A1517))&gt;0,1,0))</f>
        <v/>
      </c>
      <c r="F1517">
        <f>IF(OR(A1517="",B1517=""),"",IF(E1517=1,0,D1517*B1517/100/C1517))</f>
        <v/>
      </c>
      <c r="G1517">
        <f>IF(A1517="","",IF(OR(B1517&lt;&gt;B1516,C1517&lt;&gt;C1516,D1517&lt;&gt;D1516,E1517&lt;&gt;E1516),G1516+1,G1516))</f>
        <v/>
      </c>
    </row>
    <row r="1518">
      <c r="A1518" s="14">
        <f>IF(OR(NOT(ISNUMBER(Ввод!$B$5)),NOT(ISNUMBER(Ввод!$B$6))),"",IF(Ввод!$B$5+1516&gt;Ввод!$B$6,"",Ввод!$B$5+1516))</f>
        <v/>
      </c>
      <c r="B1518">
        <f>IF(A1518="","",IFERROR(INDEX(Ввод!$B$12:$B$71,MATCH(A1518,Ввод!$D$12:$D$71,1)),""))</f>
        <v/>
      </c>
      <c r="C1518">
        <f>IF(A1518="","",DATE(YEAR(A1518),12,31)-DATE(YEAR(A1518),1,1)+1)</f>
        <v/>
      </c>
      <c r="D1518">
        <f>IF(A1518="","",Ввод!$B$4-SUMIF(Оплаты!$A$6:$A$505,"&lt;"&amp;A1518,Оплаты!$B$6:$B$505))</f>
        <v/>
      </c>
      <c r="E1518">
        <f>IF(A1518="","",IF(SUMPRODUCT((Ввод!$F$12:$F$31&lt;&gt;"")*(Ввод!$F$12:$F$31&lt;=A1518)*(Ввод!$G$12:$G$31&gt;=A1518))&gt;0,1,0))</f>
        <v/>
      </c>
      <c r="F1518">
        <f>IF(OR(A1518="",B1518=""),"",IF(E1518=1,0,D1518*B1518/100/C1518))</f>
        <v/>
      </c>
      <c r="G1518">
        <f>IF(A1518="","",IF(OR(B1518&lt;&gt;B1517,C1518&lt;&gt;C1517,D1518&lt;&gt;D1517,E1518&lt;&gt;E1517),G1517+1,G1517))</f>
        <v/>
      </c>
    </row>
    <row r="1519">
      <c r="A1519" s="14">
        <f>IF(OR(NOT(ISNUMBER(Ввод!$B$5)),NOT(ISNUMBER(Ввод!$B$6))),"",IF(Ввод!$B$5+1517&gt;Ввод!$B$6,"",Ввод!$B$5+1517))</f>
        <v/>
      </c>
      <c r="B1519">
        <f>IF(A1519="","",IFERROR(INDEX(Ввод!$B$12:$B$71,MATCH(A1519,Ввод!$D$12:$D$71,1)),""))</f>
        <v/>
      </c>
      <c r="C1519">
        <f>IF(A1519="","",DATE(YEAR(A1519),12,31)-DATE(YEAR(A1519),1,1)+1)</f>
        <v/>
      </c>
      <c r="D1519">
        <f>IF(A1519="","",Ввод!$B$4-SUMIF(Оплаты!$A$6:$A$505,"&lt;"&amp;A1519,Оплаты!$B$6:$B$505))</f>
        <v/>
      </c>
      <c r="E1519">
        <f>IF(A1519="","",IF(SUMPRODUCT((Ввод!$F$12:$F$31&lt;&gt;"")*(Ввод!$F$12:$F$31&lt;=A1519)*(Ввод!$G$12:$G$31&gt;=A1519))&gt;0,1,0))</f>
        <v/>
      </c>
      <c r="F1519">
        <f>IF(OR(A1519="",B1519=""),"",IF(E1519=1,0,D1519*B1519/100/C1519))</f>
        <v/>
      </c>
      <c r="G1519">
        <f>IF(A1519="","",IF(OR(B1519&lt;&gt;B1518,C1519&lt;&gt;C1518,D1519&lt;&gt;D1518,E1519&lt;&gt;E1518),G1518+1,G1518))</f>
        <v/>
      </c>
    </row>
    <row r="1520">
      <c r="A1520" s="14">
        <f>IF(OR(NOT(ISNUMBER(Ввод!$B$5)),NOT(ISNUMBER(Ввод!$B$6))),"",IF(Ввод!$B$5+1518&gt;Ввод!$B$6,"",Ввод!$B$5+1518))</f>
        <v/>
      </c>
      <c r="B1520">
        <f>IF(A1520="","",IFERROR(INDEX(Ввод!$B$12:$B$71,MATCH(A1520,Ввод!$D$12:$D$71,1)),""))</f>
        <v/>
      </c>
      <c r="C1520">
        <f>IF(A1520="","",DATE(YEAR(A1520),12,31)-DATE(YEAR(A1520),1,1)+1)</f>
        <v/>
      </c>
      <c r="D1520">
        <f>IF(A1520="","",Ввод!$B$4-SUMIF(Оплаты!$A$6:$A$505,"&lt;"&amp;A1520,Оплаты!$B$6:$B$505))</f>
        <v/>
      </c>
      <c r="E1520">
        <f>IF(A1520="","",IF(SUMPRODUCT((Ввод!$F$12:$F$31&lt;&gt;"")*(Ввод!$F$12:$F$31&lt;=A1520)*(Ввод!$G$12:$G$31&gt;=A1520))&gt;0,1,0))</f>
        <v/>
      </c>
      <c r="F1520">
        <f>IF(OR(A1520="",B1520=""),"",IF(E1520=1,0,D1520*B1520/100/C1520))</f>
        <v/>
      </c>
      <c r="G1520">
        <f>IF(A1520="","",IF(OR(B1520&lt;&gt;B1519,C1520&lt;&gt;C1519,D1520&lt;&gt;D1519,E1520&lt;&gt;E1519),G1519+1,G1519))</f>
        <v/>
      </c>
    </row>
    <row r="1521">
      <c r="A1521" s="14">
        <f>IF(OR(NOT(ISNUMBER(Ввод!$B$5)),NOT(ISNUMBER(Ввод!$B$6))),"",IF(Ввод!$B$5+1519&gt;Ввод!$B$6,"",Ввод!$B$5+1519))</f>
        <v/>
      </c>
      <c r="B1521">
        <f>IF(A1521="","",IFERROR(INDEX(Ввод!$B$12:$B$71,MATCH(A1521,Ввод!$D$12:$D$71,1)),""))</f>
        <v/>
      </c>
      <c r="C1521">
        <f>IF(A1521="","",DATE(YEAR(A1521),12,31)-DATE(YEAR(A1521),1,1)+1)</f>
        <v/>
      </c>
      <c r="D1521">
        <f>IF(A1521="","",Ввод!$B$4-SUMIF(Оплаты!$A$6:$A$505,"&lt;"&amp;A1521,Оплаты!$B$6:$B$505))</f>
        <v/>
      </c>
      <c r="E1521">
        <f>IF(A1521="","",IF(SUMPRODUCT((Ввод!$F$12:$F$31&lt;&gt;"")*(Ввод!$F$12:$F$31&lt;=A1521)*(Ввод!$G$12:$G$31&gt;=A1521))&gt;0,1,0))</f>
        <v/>
      </c>
      <c r="F1521">
        <f>IF(OR(A1521="",B1521=""),"",IF(E1521=1,0,D1521*B1521/100/C1521))</f>
        <v/>
      </c>
      <c r="G1521">
        <f>IF(A1521="","",IF(OR(B1521&lt;&gt;B1520,C1521&lt;&gt;C1520,D1521&lt;&gt;D1520,E1521&lt;&gt;E1520),G1520+1,G1520))</f>
        <v/>
      </c>
    </row>
    <row r="1522">
      <c r="A1522" s="14">
        <f>IF(OR(NOT(ISNUMBER(Ввод!$B$5)),NOT(ISNUMBER(Ввод!$B$6))),"",IF(Ввод!$B$5+1520&gt;Ввод!$B$6,"",Ввод!$B$5+1520))</f>
        <v/>
      </c>
      <c r="B1522">
        <f>IF(A1522="","",IFERROR(INDEX(Ввод!$B$12:$B$71,MATCH(A1522,Ввод!$D$12:$D$71,1)),""))</f>
        <v/>
      </c>
      <c r="C1522">
        <f>IF(A1522="","",DATE(YEAR(A1522),12,31)-DATE(YEAR(A1522),1,1)+1)</f>
        <v/>
      </c>
      <c r="D1522">
        <f>IF(A1522="","",Ввод!$B$4-SUMIF(Оплаты!$A$6:$A$505,"&lt;"&amp;A1522,Оплаты!$B$6:$B$505))</f>
        <v/>
      </c>
      <c r="E1522">
        <f>IF(A1522="","",IF(SUMPRODUCT((Ввод!$F$12:$F$31&lt;&gt;"")*(Ввод!$F$12:$F$31&lt;=A1522)*(Ввод!$G$12:$G$31&gt;=A1522))&gt;0,1,0))</f>
        <v/>
      </c>
      <c r="F1522">
        <f>IF(OR(A1522="",B1522=""),"",IF(E1522=1,0,D1522*B1522/100/C1522))</f>
        <v/>
      </c>
      <c r="G1522">
        <f>IF(A1522="","",IF(OR(B1522&lt;&gt;B1521,C1522&lt;&gt;C1521,D1522&lt;&gt;D1521,E1522&lt;&gt;E1521),G1521+1,G1521))</f>
        <v/>
      </c>
    </row>
    <row r="1523">
      <c r="A1523" s="14">
        <f>IF(OR(NOT(ISNUMBER(Ввод!$B$5)),NOT(ISNUMBER(Ввод!$B$6))),"",IF(Ввод!$B$5+1521&gt;Ввод!$B$6,"",Ввод!$B$5+1521))</f>
        <v/>
      </c>
      <c r="B1523">
        <f>IF(A1523="","",IFERROR(INDEX(Ввод!$B$12:$B$71,MATCH(A1523,Ввод!$D$12:$D$71,1)),""))</f>
        <v/>
      </c>
      <c r="C1523">
        <f>IF(A1523="","",DATE(YEAR(A1523),12,31)-DATE(YEAR(A1523),1,1)+1)</f>
        <v/>
      </c>
      <c r="D1523">
        <f>IF(A1523="","",Ввод!$B$4-SUMIF(Оплаты!$A$6:$A$505,"&lt;"&amp;A1523,Оплаты!$B$6:$B$505))</f>
        <v/>
      </c>
      <c r="E1523">
        <f>IF(A1523="","",IF(SUMPRODUCT((Ввод!$F$12:$F$31&lt;&gt;"")*(Ввод!$F$12:$F$31&lt;=A1523)*(Ввод!$G$12:$G$31&gt;=A1523))&gt;0,1,0))</f>
        <v/>
      </c>
      <c r="F1523">
        <f>IF(OR(A1523="",B1523=""),"",IF(E1523=1,0,D1523*B1523/100/C1523))</f>
        <v/>
      </c>
      <c r="G1523">
        <f>IF(A1523="","",IF(OR(B1523&lt;&gt;B1522,C1523&lt;&gt;C1522,D1523&lt;&gt;D1522,E1523&lt;&gt;E1522),G1522+1,G1522))</f>
        <v/>
      </c>
    </row>
    <row r="1524">
      <c r="A1524" s="14">
        <f>IF(OR(NOT(ISNUMBER(Ввод!$B$5)),NOT(ISNUMBER(Ввод!$B$6))),"",IF(Ввод!$B$5+1522&gt;Ввод!$B$6,"",Ввод!$B$5+1522))</f>
        <v/>
      </c>
      <c r="B1524">
        <f>IF(A1524="","",IFERROR(INDEX(Ввод!$B$12:$B$71,MATCH(A1524,Ввод!$D$12:$D$71,1)),""))</f>
        <v/>
      </c>
      <c r="C1524">
        <f>IF(A1524="","",DATE(YEAR(A1524),12,31)-DATE(YEAR(A1524),1,1)+1)</f>
        <v/>
      </c>
      <c r="D1524">
        <f>IF(A1524="","",Ввод!$B$4-SUMIF(Оплаты!$A$6:$A$505,"&lt;"&amp;A1524,Оплаты!$B$6:$B$505))</f>
        <v/>
      </c>
      <c r="E1524">
        <f>IF(A1524="","",IF(SUMPRODUCT((Ввод!$F$12:$F$31&lt;&gt;"")*(Ввод!$F$12:$F$31&lt;=A1524)*(Ввод!$G$12:$G$31&gt;=A1524))&gt;0,1,0))</f>
        <v/>
      </c>
      <c r="F1524">
        <f>IF(OR(A1524="",B1524=""),"",IF(E1524=1,0,D1524*B1524/100/C1524))</f>
        <v/>
      </c>
      <c r="G1524">
        <f>IF(A1524="","",IF(OR(B1524&lt;&gt;B1523,C1524&lt;&gt;C1523,D1524&lt;&gt;D1523,E1524&lt;&gt;E1523),G1523+1,G1523))</f>
        <v/>
      </c>
    </row>
    <row r="1525">
      <c r="A1525" s="14">
        <f>IF(OR(NOT(ISNUMBER(Ввод!$B$5)),NOT(ISNUMBER(Ввод!$B$6))),"",IF(Ввод!$B$5+1523&gt;Ввод!$B$6,"",Ввод!$B$5+1523))</f>
        <v/>
      </c>
      <c r="B1525">
        <f>IF(A1525="","",IFERROR(INDEX(Ввод!$B$12:$B$71,MATCH(A1525,Ввод!$D$12:$D$71,1)),""))</f>
        <v/>
      </c>
      <c r="C1525">
        <f>IF(A1525="","",DATE(YEAR(A1525),12,31)-DATE(YEAR(A1525),1,1)+1)</f>
        <v/>
      </c>
      <c r="D1525">
        <f>IF(A1525="","",Ввод!$B$4-SUMIF(Оплаты!$A$6:$A$505,"&lt;"&amp;A1525,Оплаты!$B$6:$B$505))</f>
        <v/>
      </c>
      <c r="E1525">
        <f>IF(A1525="","",IF(SUMPRODUCT((Ввод!$F$12:$F$31&lt;&gt;"")*(Ввод!$F$12:$F$31&lt;=A1525)*(Ввод!$G$12:$G$31&gt;=A1525))&gt;0,1,0))</f>
        <v/>
      </c>
      <c r="F1525">
        <f>IF(OR(A1525="",B1525=""),"",IF(E1525=1,0,D1525*B1525/100/C1525))</f>
        <v/>
      </c>
      <c r="G1525">
        <f>IF(A1525="","",IF(OR(B1525&lt;&gt;B1524,C1525&lt;&gt;C1524,D1525&lt;&gt;D1524,E1525&lt;&gt;E1524),G1524+1,G1524))</f>
        <v/>
      </c>
    </row>
    <row r="1526">
      <c r="A1526" s="14">
        <f>IF(OR(NOT(ISNUMBER(Ввод!$B$5)),NOT(ISNUMBER(Ввод!$B$6))),"",IF(Ввод!$B$5+1524&gt;Ввод!$B$6,"",Ввод!$B$5+1524))</f>
        <v/>
      </c>
      <c r="B1526">
        <f>IF(A1526="","",IFERROR(INDEX(Ввод!$B$12:$B$71,MATCH(A1526,Ввод!$D$12:$D$71,1)),""))</f>
        <v/>
      </c>
      <c r="C1526">
        <f>IF(A1526="","",DATE(YEAR(A1526),12,31)-DATE(YEAR(A1526),1,1)+1)</f>
        <v/>
      </c>
      <c r="D1526">
        <f>IF(A1526="","",Ввод!$B$4-SUMIF(Оплаты!$A$6:$A$505,"&lt;"&amp;A1526,Оплаты!$B$6:$B$505))</f>
        <v/>
      </c>
      <c r="E1526">
        <f>IF(A1526="","",IF(SUMPRODUCT((Ввод!$F$12:$F$31&lt;&gt;"")*(Ввод!$F$12:$F$31&lt;=A1526)*(Ввод!$G$12:$G$31&gt;=A1526))&gt;0,1,0))</f>
        <v/>
      </c>
      <c r="F1526">
        <f>IF(OR(A1526="",B1526=""),"",IF(E1526=1,0,D1526*B1526/100/C1526))</f>
        <v/>
      </c>
      <c r="G1526">
        <f>IF(A1526="","",IF(OR(B1526&lt;&gt;B1525,C1526&lt;&gt;C1525,D1526&lt;&gt;D1525,E1526&lt;&gt;E1525),G1525+1,G1525))</f>
        <v/>
      </c>
    </row>
    <row r="1527">
      <c r="A1527" s="14">
        <f>IF(OR(NOT(ISNUMBER(Ввод!$B$5)),NOT(ISNUMBER(Ввод!$B$6))),"",IF(Ввод!$B$5+1525&gt;Ввод!$B$6,"",Ввод!$B$5+1525))</f>
        <v/>
      </c>
      <c r="B1527">
        <f>IF(A1527="","",IFERROR(INDEX(Ввод!$B$12:$B$71,MATCH(A1527,Ввод!$D$12:$D$71,1)),""))</f>
        <v/>
      </c>
      <c r="C1527">
        <f>IF(A1527="","",DATE(YEAR(A1527),12,31)-DATE(YEAR(A1527),1,1)+1)</f>
        <v/>
      </c>
      <c r="D1527">
        <f>IF(A1527="","",Ввод!$B$4-SUMIF(Оплаты!$A$6:$A$505,"&lt;"&amp;A1527,Оплаты!$B$6:$B$505))</f>
        <v/>
      </c>
      <c r="E1527">
        <f>IF(A1527="","",IF(SUMPRODUCT((Ввод!$F$12:$F$31&lt;&gt;"")*(Ввод!$F$12:$F$31&lt;=A1527)*(Ввод!$G$12:$G$31&gt;=A1527))&gt;0,1,0))</f>
        <v/>
      </c>
      <c r="F1527">
        <f>IF(OR(A1527="",B1527=""),"",IF(E1527=1,0,D1527*B1527/100/C1527))</f>
        <v/>
      </c>
      <c r="G1527">
        <f>IF(A1527="","",IF(OR(B1527&lt;&gt;B1526,C1527&lt;&gt;C1526,D1527&lt;&gt;D1526,E1527&lt;&gt;E1526),G1526+1,G1526))</f>
        <v/>
      </c>
    </row>
    <row r="1528">
      <c r="A1528" s="14">
        <f>IF(OR(NOT(ISNUMBER(Ввод!$B$5)),NOT(ISNUMBER(Ввод!$B$6))),"",IF(Ввод!$B$5+1526&gt;Ввод!$B$6,"",Ввод!$B$5+1526))</f>
        <v/>
      </c>
      <c r="B1528">
        <f>IF(A1528="","",IFERROR(INDEX(Ввод!$B$12:$B$71,MATCH(A1528,Ввод!$D$12:$D$71,1)),""))</f>
        <v/>
      </c>
      <c r="C1528">
        <f>IF(A1528="","",DATE(YEAR(A1528),12,31)-DATE(YEAR(A1528),1,1)+1)</f>
        <v/>
      </c>
      <c r="D1528">
        <f>IF(A1528="","",Ввод!$B$4-SUMIF(Оплаты!$A$6:$A$505,"&lt;"&amp;A1528,Оплаты!$B$6:$B$505))</f>
        <v/>
      </c>
      <c r="E1528">
        <f>IF(A1528="","",IF(SUMPRODUCT((Ввод!$F$12:$F$31&lt;&gt;"")*(Ввод!$F$12:$F$31&lt;=A1528)*(Ввод!$G$12:$G$31&gt;=A1528))&gt;0,1,0))</f>
        <v/>
      </c>
      <c r="F1528">
        <f>IF(OR(A1528="",B1528=""),"",IF(E1528=1,0,D1528*B1528/100/C1528))</f>
        <v/>
      </c>
      <c r="G1528">
        <f>IF(A1528="","",IF(OR(B1528&lt;&gt;B1527,C1528&lt;&gt;C1527,D1528&lt;&gt;D1527,E1528&lt;&gt;E1527),G1527+1,G1527))</f>
        <v/>
      </c>
    </row>
    <row r="1529">
      <c r="A1529" s="14">
        <f>IF(OR(NOT(ISNUMBER(Ввод!$B$5)),NOT(ISNUMBER(Ввод!$B$6))),"",IF(Ввод!$B$5+1527&gt;Ввод!$B$6,"",Ввод!$B$5+1527))</f>
        <v/>
      </c>
      <c r="B1529">
        <f>IF(A1529="","",IFERROR(INDEX(Ввод!$B$12:$B$71,MATCH(A1529,Ввод!$D$12:$D$71,1)),""))</f>
        <v/>
      </c>
      <c r="C1529">
        <f>IF(A1529="","",DATE(YEAR(A1529),12,31)-DATE(YEAR(A1529),1,1)+1)</f>
        <v/>
      </c>
      <c r="D1529">
        <f>IF(A1529="","",Ввод!$B$4-SUMIF(Оплаты!$A$6:$A$505,"&lt;"&amp;A1529,Оплаты!$B$6:$B$505))</f>
        <v/>
      </c>
      <c r="E1529">
        <f>IF(A1529="","",IF(SUMPRODUCT((Ввод!$F$12:$F$31&lt;&gt;"")*(Ввод!$F$12:$F$31&lt;=A1529)*(Ввод!$G$12:$G$31&gt;=A1529))&gt;0,1,0))</f>
        <v/>
      </c>
      <c r="F1529">
        <f>IF(OR(A1529="",B1529=""),"",IF(E1529=1,0,D1529*B1529/100/C1529))</f>
        <v/>
      </c>
      <c r="G1529">
        <f>IF(A1529="","",IF(OR(B1529&lt;&gt;B1528,C1529&lt;&gt;C1528,D1529&lt;&gt;D1528,E1529&lt;&gt;E1528),G1528+1,G1528))</f>
        <v/>
      </c>
    </row>
    <row r="1530">
      <c r="A1530" s="14">
        <f>IF(OR(NOT(ISNUMBER(Ввод!$B$5)),NOT(ISNUMBER(Ввод!$B$6))),"",IF(Ввод!$B$5+1528&gt;Ввод!$B$6,"",Ввод!$B$5+1528))</f>
        <v/>
      </c>
      <c r="B1530">
        <f>IF(A1530="","",IFERROR(INDEX(Ввод!$B$12:$B$71,MATCH(A1530,Ввод!$D$12:$D$71,1)),""))</f>
        <v/>
      </c>
      <c r="C1530">
        <f>IF(A1530="","",DATE(YEAR(A1530),12,31)-DATE(YEAR(A1530),1,1)+1)</f>
        <v/>
      </c>
      <c r="D1530">
        <f>IF(A1530="","",Ввод!$B$4-SUMIF(Оплаты!$A$6:$A$505,"&lt;"&amp;A1530,Оплаты!$B$6:$B$505))</f>
        <v/>
      </c>
      <c r="E1530">
        <f>IF(A1530="","",IF(SUMPRODUCT((Ввод!$F$12:$F$31&lt;&gt;"")*(Ввод!$F$12:$F$31&lt;=A1530)*(Ввод!$G$12:$G$31&gt;=A1530))&gt;0,1,0))</f>
        <v/>
      </c>
      <c r="F1530">
        <f>IF(OR(A1530="",B1530=""),"",IF(E1530=1,0,D1530*B1530/100/C1530))</f>
        <v/>
      </c>
      <c r="G1530">
        <f>IF(A1530="","",IF(OR(B1530&lt;&gt;B1529,C1530&lt;&gt;C1529,D1530&lt;&gt;D1529,E1530&lt;&gt;E1529),G1529+1,G1529))</f>
        <v/>
      </c>
    </row>
    <row r="1531">
      <c r="A1531" s="14">
        <f>IF(OR(NOT(ISNUMBER(Ввод!$B$5)),NOT(ISNUMBER(Ввод!$B$6))),"",IF(Ввод!$B$5+1529&gt;Ввод!$B$6,"",Ввод!$B$5+1529))</f>
        <v/>
      </c>
      <c r="B1531">
        <f>IF(A1531="","",IFERROR(INDEX(Ввод!$B$12:$B$71,MATCH(A1531,Ввод!$D$12:$D$71,1)),""))</f>
        <v/>
      </c>
      <c r="C1531">
        <f>IF(A1531="","",DATE(YEAR(A1531),12,31)-DATE(YEAR(A1531),1,1)+1)</f>
        <v/>
      </c>
      <c r="D1531">
        <f>IF(A1531="","",Ввод!$B$4-SUMIF(Оплаты!$A$6:$A$505,"&lt;"&amp;A1531,Оплаты!$B$6:$B$505))</f>
        <v/>
      </c>
      <c r="E1531">
        <f>IF(A1531="","",IF(SUMPRODUCT((Ввод!$F$12:$F$31&lt;&gt;"")*(Ввод!$F$12:$F$31&lt;=A1531)*(Ввод!$G$12:$G$31&gt;=A1531))&gt;0,1,0))</f>
        <v/>
      </c>
      <c r="F1531">
        <f>IF(OR(A1531="",B1531=""),"",IF(E1531=1,0,D1531*B1531/100/C1531))</f>
        <v/>
      </c>
      <c r="G1531">
        <f>IF(A1531="","",IF(OR(B1531&lt;&gt;B1530,C1531&lt;&gt;C1530,D1531&lt;&gt;D1530,E1531&lt;&gt;E1530),G1530+1,G1530))</f>
        <v/>
      </c>
    </row>
    <row r="1532">
      <c r="A1532" s="14">
        <f>IF(OR(NOT(ISNUMBER(Ввод!$B$5)),NOT(ISNUMBER(Ввод!$B$6))),"",IF(Ввод!$B$5+1530&gt;Ввод!$B$6,"",Ввод!$B$5+1530))</f>
        <v/>
      </c>
      <c r="B1532">
        <f>IF(A1532="","",IFERROR(INDEX(Ввод!$B$12:$B$71,MATCH(A1532,Ввод!$D$12:$D$71,1)),""))</f>
        <v/>
      </c>
      <c r="C1532">
        <f>IF(A1532="","",DATE(YEAR(A1532),12,31)-DATE(YEAR(A1532),1,1)+1)</f>
        <v/>
      </c>
      <c r="D1532">
        <f>IF(A1532="","",Ввод!$B$4-SUMIF(Оплаты!$A$6:$A$505,"&lt;"&amp;A1532,Оплаты!$B$6:$B$505))</f>
        <v/>
      </c>
      <c r="E1532">
        <f>IF(A1532="","",IF(SUMPRODUCT((Ввод!$F$12:$F$31&lt;&gt;"")*(Ввод!$F$12:$F$31&lt;=A1532)*(Ввод!$G$12:$G$31&gt;=A1532))&gt;0,1,0))</f>
        <v/>
      </c>
      <c r="F1532">
        <f>IF(OR(A1532="",B1532=""),"",IF(E1532=1,0,D1532*B1532/100/C1532))</f>
        <v/>
      </c>
      <c r="G1532">
        <f>IF(A1532="","",IF(OR(B1532&lt;&gt;B1531,C1532&lt;&gt;C1531,D1532&lt;&gt;D1531,E1532&lt;&gt;E1531),G1531+1,G1531))</f>
        <v/>
      </c>
    </row>
    <row r="1533">
      <c r="A1533" s="14">
        <f>IF(OR(NOT(ISNUMBER(Ввод!$B$5)),NOT(ISNUMBER(Ввод!$B$6))),"",IF(Ввод!$B$5+1531&gt;Ввод!$B$6,"",Ввод!$B$5+1531))</f>
        <v/>
      </c>
      <c r="B1533">
        <f>IF(A1533="","",IFERROR(INDEX(Ввод!$B$12:$B$71,MATCH(A1533,Ввод!$D$12:$D$71,1)),""))</f>
        <v/>
      </c>
      <c r="C1533">
        <f>IF(A1533="","",DATE(YEAR(A1533),12,31)-DATE(YEAR(A1533),1,1)+1)</f>
        <v/>
      </c>
      <c r="D1533">
        <f>IF(A1533="","",Ввод!$B$4-SUMIF(Оплаты!$A$6:$A$505,"&lt;"&amp;A1533,Оплаты!$B$6:$B$505))</f>
        <v/>
      </c>
      <c r="E1533">
        <f>IF(A1533="","",IF(SUMPRODUCT((Ввод!$F$12:$F$31&lt;&gt;"")*(Ввод!$F$12:$F$31&lt;=A1533)*(Ввод!$G$12:$G$31&gt;=A1533))&gt;0,1,0))</f>
        <v/>
      </c>
      <c r="F1533">
        <f>IF(OR(A1533="",B1533=""),"",IF(E1533=1,0,D1533*B1533/100/C1533))</f>
        <v/>
      </c>
      <c r="G1533">
        <f>IF(A1533="","",IF(OR(B1533&lt;&gt;B1532,C1533&lt;&gt;C1532,D1533&lt;&gt;D1532,E1533&lt;&gt;E1532),G1532+1,G1532))</f>
        <v/>
      </c>
    </row>
    <row r="1534">
      <c r="A1534" s="14">
        <f>IF(OR(NOT(ISNUMBER(Ввод!$B$5)),NOT(ISNUMBER(Ввод!$B$6))),"",IF(Ввод!$B$5+1532&gt;Ввод!$B$6,"",Ввод!$B$5+1532))</f>
        <v/>
      </c>
      <c r="B1534">
        <f>IF(A1534="","",IFERROR(INDEX(Ввод!$B$12:$B$71,MATCH(A1534,Ввод!$D$12:$D$71,1)),""))</f>
        <v/>
      </c>
      <c r="C1534">
        <f>IF(A1534="","",DATE(YEAR(A1534),12,31)-DATE(YEAR(A1534),1,1)+1)</f>
        <v/>
      </c>
      <c r="D1534">
        <f>IF(A1534="","",Ввод!$B$4-SUMIF(Оплаты!$A$6:$A$505,"&lt;"&amp;A1534,Оплаты!$B$6:$B$505))</f>
        <v/>
      </c>
      <c r="E1534">
        <f>IF(A1534="","",IF(SUMPRODUCT((Ввод!$F$12:$F$31&lt;&gt;"")*(Ввод!$F$12:$F$31&lt;=A1534)*(Ввод!$G$12:$G$31&gt;=A1534))&gt;0,1,0))</f>
        <v/>
      </c>
      <c r="F1534">
        <f>IF(OR(A1534="",B1534=""),"",IF(E1534=1,0,D1534*B1534/100/C1534))</f>
        <v/>
      </c>
      <c r="G1534">
        <f>IF(A1534="","",IF(OR(B1534&lt;&gt;B1533,C1534&lt;&gt;C1533,D1534&lt;&gt;D1533,E1534&lt;&gt;E1533),G1533+1,G1533))</f>
        <v/>
      </c>
    </row>
    <row r="1535">
      <c r="A1535" s="14">
        <f>IF(OR(NOT(ISNUMBER(Ввод!$B$5)),NOT(ISNUMBER(Ввод!$B$6))),"",IF(Ввод!$B$5+1533&gt;Ввод!$B$6,"",Ввод!$B$5+1533))</f>
        <v/>
      </c>
      <c r="B1535">
        <f>IF(A1535="","",IFERROR(INDEX(Ввод!$B$12:$B$71,MATCH(A1535,Ввод!$D$12:$D$71,1)),""))</f>
        <v/>
      </c>
      <c r="C1535">
        <f>IF(A1535="","",DATE(YEAR(A1535),12,31)-DATE(YEAR(A1535),1,1)+1)</f>
        <v/>
      </c>
      <c r="D1535">
        <f>IF(A1535="","",Ввод!$B$4-SUMIF(Оплаты!$A$6:$A$505,"&lt;"&amp;A1535,Оплаты!$B$6:$B$505))</f>
        <v/>
      </c>
      <c r="E1535">
        <f>IF(A1535="","",IF(SUMPRODUCT((Ввод!$F$12:$F$31&lt;&gt;"")*(Ввод!$F$12:$F$31&lt;=A1535)*(Ввод!$G$12:$G$31&gt;=A1535))&gt;0,1,0))</f>
        <v/>
      </c>
      <c r="F1535">
        <f>IF(OR(A1535="",B1535=""),"",IF(E1535=1,0,D1535*B1535/100/C1535))</f>
        <v/>
      </c>
      <c r="G1535">
        <f>IF(A1535="","",IF(OR(B1535&lt;&gt;B1534,C1535&lt;&gt;C1534,D1535&lt;&gt;D1534,E1535&lt;&gt;E1534),G1534+1,G1534))</f>
        <v/>
      </c>
    </row>
    <row r="1536">
      <c r="A1536" s="14">
        <f>IF(OR(NOT(ISNUMBER(Ввод!$B$5)),NOT(ISNUMBER(Ввод!$B$6))),"",IF(Ввод!$B$5+1534&gt;Ввод!$B$6,"",Ввод!$B$5+1534))</f>
        <v/>
      </c>
      <c r="B1536">
        <f>IF(A1536="","",IFERROR(INDEX(Ввод!$B$12:$B$71,MATCH(A1536,Ввод!$D$12:$D$71,1)),""))</f>
        <v/>
      </c>
      <c r="C1536">
        <f>IF(A1536="","",DATE(YEAR(A1536),12,31)-DATE(YEAR(A1536),1,1)+1)</f>
        <v/>
      </c>
      <c r="D1536">
        <f>IF(A1536="","",Ввод!$B$4-SUMIF(Оплаты!$A$6:$A$505,"&lt;"&amp;A1536,Оплаты!$B$6:$B$505))</f>
        <v/>
      </c>
      <c r="E1536">
        <f>IF(A1536="","",IF(SUMPRODUCT((Ввод!$F$12:$F$31&lt;&gt;"")*(Ввод!$F$12:$F$31&lt;=A1536)*(Ввод!$G$12:$G$31&gt;=A1536))&gt;0,1,0))</f>
        <v/>
      </c>
      <c r="F1536">
        <f>IF(OR(A1536="",B1536=""),"",IF(E1536=1,0,D1536*B1536/100/C1536))</f>
        <v/>
      </c>
      <c r="G1536">
        <f>IF(A1536="","",IF(OR(B1536&lt;&gt;B1535,C1536&lt;&gt;C1535,D1536&lt;&gt;D1535,E1536&lt;&gt;E1535),G1535+1,G1535))</f>
        <v/>
      </c>
    </row>
    <row r="1537">
      <c r="A1537" s="14">
        <f>IF(OR(NOT(ISNUMBER(Ввод!$B$5)),NOT(ISNUMBER(Ввод!$B$6))),"",IF(Ввод!$B$5+1535&gt;Ввод!$B$6,"",Ввод!$B$5+1535))</f>
        <v/>
      </c>
      <c r="B1537">
        <f>IF(A1537="","",IFERROR(INDEX(Ввод!$B$12:$B$71,MATCH(A1537,Ввод!$D$12:$D$71,1)),""))</f>
        <v/>
      </c>
      <c r="C1537">
        <f>IF(A1537="","",DATE(YEAR(A1537),12,31)-DATE(YEAR(A1537),1,1)+1)</f>
        <v/>
      </c>
      <c r="D1537">
        <f>IF(A1537="","",Ввод!$B$4-SUMIF(Оплаты!$A$6:$A$505,"&lt;"&amp;A1537,Оплаты!$B$6:$B$505))</f>
        <v/>
      </c>
      <c r="E1537">
        <f>IF(A1537="","",IF(SUMPRODUCT((Ввод!$F$12:$F$31&lt;&gt;"")*(Ввод!$F$12:$F$31&lt;=A1537)*(Ввод!$G$12:$G$31&gt;=A1537))&gt;0,1,0))</f>
        <v/>
      </c>
      <c r="F1537">
        <f>IF(OR(A1537="",B1537=""),"",IF(E1537=1,0,D1537*B1537/100/C1537))</f>
        <v/>
      </c>
      <c r="G1537">
        <f>IF(A1537="","",IF(OR(B1537&lt;&gt;B1536,C1537&lt;&gt;C1536,D1537&lt;&gt;D1536,E1537&lt;&gt;E1536),G1536+1,G1536))</f>
        <v/>
      </c>
    </row>
    <row r="1538">
      <c r="A1538" s="14">
        <f>IF(OR(NOT(ISNUMBER(Ввод!$B$5)),NOT(ISNUMBER(Ввод!$B$6))),"",IF(Ввод!$B$5+1536&gt;Ввод!$B$6,"",Ввод!$B$5+1536))</f>
        <v/>
      </c>
      <c r="B1538">
        <f>IF(A1538="","",IFERROR(INDEX(Ввод!$B$12:$B$71,MATCH(A1538,Ввод!$D$12:$D$71,1)),""))</f>
        <v/>
      </c>
      <c r="C1538">
        <f>IF(A1538="","",DATE(YEAR(A1538),12,31)-DATE(YEAR(A1538),1,1)+1)</f>
        <v/>
      </c>
      <c r="D1538">
        <f>IF(A1538="","",Ввод!$B$4-SUMIF(Оплаты!$A$6:$A$505,"&lt;"&amp;A1538,Оплаты!$B$6:$B$505))</f>
        <v/>
      </c>
      <c r="E1538">
        <f>IF(A1538="","",IF(SUMPRODUCT((Ввод!$F$12:$F$31&lt;&gt;"")*(Ввод!$F$12:$F$31&lt;=A1538)*(Ввод!$G$12:$G$31&gt;=A1538))&gt;0,1,0))</f>
        <v/>
      </c>
      <c r="F1538">
        <f>IF(OR(A1538="",B1538=""),"",IF(E1538=1,0,D1538*B1538/100/C1538))</f>
        <v/>
      </c>
      <c r="G1538">
        <f>IF(A1538="","",IF(OR(B1538&lt;&gt;B1537,C1538&lt;&gt;C1537,D1538&lt;&gt;D1537,E1538&lt;&gt;E1537),G1537+1,G1537))</f>
        <v/>
      </c>
    </row>
    <row r="1539">
      <c r="A1539" s="14">
        <f>IF(OR(NOT(ISNUMBER(Ввод!$B$5)),NOT(ISNUMBER(Ввод!$B$6))),"",IF(Ввод!$B$5+1537&gt;Ввод!$B$6,"",Ввод!$B$5+1537))</f>
        <v/>
      </c>
      <c r="B1539">
        <f>IF(A1539="","",IFERROR(INDEX(Ввод!$B$12:$B$71,MATCH(A1539,Ввод!$D$12:$D$71,1)),""))</f>
        <v/>
      </c>
      <c r="C1539">
        <f>IF(A1539="","",DATE(YEAR(A1539),12,31)-DATE(YEAR(A1539),1,1)+1)</f>
        <v/>
      </c>
      <c r="D1539">
        <f>IF(A1539="","",Ввод!$B$4-SUMIF(Оплаты!$A$6:$A$505,"&lt;"&amp;A1539,Оплаты!$B$6:$B$505))</f>
        <v/>
      </c>
      <c r="E1539">
        <f>IF(A1539="","",IF(SUMPRODUCT((Ввод!$F$12:$F$31&lt;&gt;"")*(Ввод!$F$12:$F$31&lt;=A1539)*(Ввод!$G$12:$G$31&gt;=A1539))&gt;0,1,0))</f>
        <v/>
      </c>
      <c r="F1539">
        <f>IF(OR(A1539="",B1539=""),"",IF(E1539=1,0,D1539*B1539/100/C1539))</f>
        <v/>
      </c>
      <c r="G1539">
        <f>IF(A1539="","",IF(OR(B1539&lt;&gt;B1538,C1539&lt;&gt;C1538,D1539&lt;&gt;D1538,E1539&lt;&gt;E1538),G1538+1,G1538))</f>
        <v/>
      </c>
    </row>
    <row r="1540">
      <c r="A1540" s="14">
        <f>IF(OR(NOT(ISNUMBER(Ввод!$B$5)),NOT(ISNUMBER(Ввод!$B$6))),"",IF(Ввод!$B$5+1538&gt;Ввод!$B$6,"",Ввод!$B$5+1538))</f>
        <v/>
      </c>
      <c r="B1540">
        <f>IF(A1540="","",IFERROR(INDEX(Ввод!$B$12:$B$71,MATCH(A1540,Ввод!$D$12:$D$71,1)),""))</f>
        <v/>
      </c>
      <c r="C1540">
        <f>IF(A1540="","",DATE(YEAR(A1540),12,31)-DATE(YEAR(A1540),1,1)+1)</f>
        <v/>
      </c>
      <c r="D1540">
        <f>IF(A1540="","",Ввод!$B$4-SUMIF(Оплаты!$A$6:$A$505,"&lt;"&amp;A1540,Оплаты!$B$6:$B$505))</f>
        <v/>
      </c>
      <c r="E1540">
        <f>IF(A1540="","",IF(SUMPRODUCT((Ввод!$F$12:$F$31&lt;&gt;"")*(Ввод!$F$12:$F$31&lt;=A1540)*(Ввод!$G$12:$G$31&gt;=A1540))&gt;0,1,0))</f>
        <v/>
      </c>
      <c r="F1540">
        <f>IF(OR(A1540="",B1540=""),"",IF(E1540=1,0,D1540*B1540/100/C1540))</f>
        <v/>
      </c>
      <c r="G1540">
        <f>IF(A1540="","",IF(OR(B1540&lt;&gt;B1539,C1540&lt;&gt;C1539,D1540&lt;&gt;D1539,E1540&lt;&gt;E1539),G1539+1,G1539))</f>
        <v/>
      </c>
    </row>
    <row r="1541">
      <c r="A1541" s="14">
        <f>IF(OR(NOT(ISNUMBER(Ввод!$B$5)),NOT(ISNUMBER(Ввод!$B$6))),"",IF(Ввод!$B$5+1539&gt;Ввод!$B$6,"",Ввод!$B$5+1539))</f>
        <v/>
      </c>
      <c r="B1541">
        <f>IF(A1541="","",IFERROR(INDEX(Ввод!$B$12:$B$71,MATCH(A1541,Ввод!$D$12:$D$71,1)),""))</f>
        <v/>
      </c>
      <c r="C1541">
        <f>IF(A1541="","",DATE(YEAR(A1541),12,31)-DATE(YEAR(A1541),1,1)+1)</f>
        <v/>
      </c>
      <c r="D1541">
        <f>IF(A1541="","",Ввод!$B$4-SUMIF(Оплаты!$A$6:$A$505,"&lt;"&amp;A1541,Оплаты!$B$6:$B$505))</f>
        <v/>
      </c>
      <c r="E1541">
        <f>IF(A1541="","",IF(SUMPRODUCT((Ввод!$F$12:$F$31&lt;&gt;"")*(Ввод!$F$12:$F$31&lt;=A1541)*(Ввод!$G$12:$G$31&gt;=A1541))&gt;0,1,0))</f>
        <v/>
      </c>
      <c r="F1541">
        <f>IF(OR(A1541="",B1541=""),"",IF(E1541=1,0,D1541*B1541/100/C1541))</f>
        <v/>
      </c>
      <c r="G1541">
        <f>IF(A1541="","",IF(OR(B1541&lt;&gt;B1540,C1541&lt;&gt;C1540,D1541&lt;&gt;D1540,E1541&lt;&gt;E1540),G1540+1,G1540))</f>
        <v/>
      </c>
    </row>
    <row r="1542">
      <c r="A1542" s="14">
        <f>IF(OR(NOT(ISNUMBER(Ввод!$B$5)),NOT(ISNUMBER(Ввод!$B$6))),"",IF(Ввод!$B$5+1540&gt;Ввод!$B$6,"",Ввод!$B$5+1540))</f>
        <v/>
      </c>
      <c r="B1542">
        <f>IF(A1542="","",IFERROR(INDEX(Ввод!$B$12:$B$71,MATCH(A1542,Ввод!$D$12:$D$71,1)),""))</f>
        <v/>
      </c>
      <c r="C1542">
        <f>IF(A1542="","",DATE(YEAR(A1542),12,31)-DATE(YEAR(A1542),1,1)+1)</f>
        <v/>
      </c>
      <c r="D1542">
        <f>IF(A1542="","",Ввод!$B$4-SUMIF(Оплаты!$A$6:$A$505,"&lt;"&amp;A1542,Оплаты!$B$6:$B$505))</f>
        <v/>
      </c>
      <c r="E1542">
        <f>IF(A1542="","",IF(SUMPRODUCT((Ввод!$F$12:$F$31&lt;&gt;"")*(Ввод!$F$12:$F$31&lt;=A1542)*(Ввод!$G$12:$G$31&gt;=A1542))&gt;0,1,0))</f>
        <v/>
      </c>
      <c r="F1542">
        <f>IF(OR(A1542="",B1542=""),"",IF(E1542=1,0,D1542*B1542/100/C1542))</f>
        <v/>
      </c>
      <c r="G1542">
        <f>IF(A1542="","",IF(OR(B1542&lt;&gt;B1541,C1542&lt;&gt;C1541,D1542&lt;&gt;D1541,E1542&lt;&gt;E1541),G1541+1,G1541))</f>
        <v/>
      </c>
    </row>
    <row r="1543">
      <c r="A1543" s="14">
        <f>IF(OR(NOT(ISNUMBER(Ввод!$B$5)),NOT(ISNUMBER(Ввод!$B$6))),"",IF(Ввод!$B$5+1541&gt;Ввод!$B$6,"",Ввод!$B$5+1541))</f>
        <v/>
      </c>
      <c r="B1543">
        <f>IF(A1543="","",IFERROR(INDEX(Ввод!$B$12:$B$71,MATCH(A1543,Ввод!$D$12:$D$71,1)),""))</f>
        <v/>
      </c>
      <c r="C1543">
        <f>IF(A1543="","",DATE(YEAR(A1543),12,31)-DATE(YEAR(A1543),1,1)+1)</f>
        <v/>
      </c>
      <c r="D1543">
        <f>IF(A1543="","",Ввод!$B$4-SUMIF(Оплаты!$A$6:$A$505,"&lt;"&amp;A1543,Оплаты!$B$6:$B$505))</f>
        <v/>
      </c>
      <c r="E1543">
        <f>IF(A1543="","",IF(SUMPRODUCT((Ввод!$F$12:$F$31&lt;&gt;"")*(Ввод!$F$12:$F$31&lt;=A1543)*(Ввод!$G$12:$G$31&gt;=A1543))&gt;0,1,0))</f>
        <v/>
      </c>
      <c r="F1543">
        <f>IF(OR(A1543="",B1543=""),"",IF(E1543=1,0,D1543*B1543/100/C1543))</f>
        <v/>
      </c>
      <c r="G1543">
        <f>IF(A1543="","",IF(OR(B1543&lt;&gt;B1542,C1543&lt;&gt;C1542,D1543&lt;&gt;D1542,E1543&lt;&gt;E1542),G1542+1,G1542))</f>
        <v/>
      </c>
    </row>
    <row r="1544">
      <c r="A1544" s="14">
        <f>IF(OR(NOT(ISNUMBER(Ввод!$B$5)),NOT(ISNUMBER(Ввод!$B$6))),"",IF(Ввод!$B$5+1542&gt;Ввод!$B$6,"",Ввод!$B$5+1542))</f>
        <v/>
      </c>
      <c r="B1544">
        <f>IF(A1544="","",IFERROR(INDEX(Ввод!$B$12:$B$71,MATCH(A1544,Ввод!$D$12:$D$71,1)),""))</f>
        <v/>
      </c>
      <c r="C1544">
        <f>IF(A1544="","",DATE(YEAR(A1544),12,31)-DATE(YEAR(A1544),1,1)+1)</f>
        <v/>
      </c>
      <c r="D1544">
        <f>IF(A1544="","",Ввод!$B$4-SUMIF(Оплаты!$A$6:$A$505,"&lt;"&amp;A1544,Оплаты!$B$6:$B$505))</f>
        <v/>
      </c>
      <c r="E1544">
        <f>IF(A1544="","",IF(SUMPRODUCT((Ввод!$F$12:$F$31&lt;&gt;"")*(Ввод!$F$12:$F$31&lt;=A1544)*(Ввод!$G$12:$G$31&gt;=A1544))&gt;0,1,0))</f>
        <v/>
      </c>
      <c r="F1544">
        <f>IF(OR(A1544="",B1544=""),"",IF(E1544=1,0,D1544*B1544/100/C1544))</f>
        <v/>
      </c>
      <c r="G1544">
        <f>IF(A1544="","",IF(OR(B1544&lt;&gt;B1543,C1544&lt;&gt;C1543,D1544&lt;&gt;D1543,E1544&lt;&gt;E1543),G1543+1,G1543))</f>
        <v/>
      </c>
    </row>
    <row r="1545">
      <c r="A1545" s="14">
        <f>IF(OR(NOT(ISNUMBER(Ввод!$B$5)),NOT(ISNUMBER(Ввод!$B$6))),"",IF(Ввод!$B$5+1543&gt;Ввод!$B$6,"",Ввод!$B$5+1543))</f>
        <v/>
      </c>
      <c r="B1545">
        <f>IF(A1545="","",IFERROR(INDEX(Ввод!$B$12:$B$71,MATCH(A1545,Ввод!$D$12:$D$71,1)),""))</f>
        <v/>
      </c>
      <c r="C1545">
        <f>IF(A1545="","",DATE(YEAR(A1545),12,31)-DATE(YEAR(A1545),1,1)+1)</f>
        <v/>
      </c>
      <c r="D1545">
        <f>IF(A1545="","",Ввод!$B$4-SUMIF(Оплаты!$A$6:$A$505,"&lt;"&amp;A1545,Оплаты!$B$6:$B$505))</f>
        <v/>
      </c>
      <c r="E1545">
        <f>IF(A1545="","",IF(SUMPRODUCT((Ввод!$F$12:$F$31&lt;&gt;"")*(Ввод!$F$12:$F$31&lt;=A1545)*(Ввод!$G$12:$G$31&gt;=A1545))&gt;0,1,0))</f>
        <v/>
      </c>
      <c r="F1545">
        <f>IF(OR(A1545="",B1545=""),"",IF(E1545=1,0,D1545*B1545/100/C1545))</f>
        <v/>
      </c>
      <c r="G1545">
        <f>IF(A1545="","",IF(OR(B1545&lt;&gt;B1544,C1545&lt;&gt;C1544,D1545&lt;&gt;D1544,E1545&lt;&gt;E1544),G1544+1,G1544))</f>
        <v/>
      </c>
    </row>
    <row r="1546">
      <c r="A1546" s="14">
        <f>IF(OR(NOT(ISNUMBER(Ввод!$B$5)),NOT(ISNUMBER(Ввод!$B$6))),"",IF(Ввод!$B$5+1544&gt;Ввод!$B$6,"",Ввод!$B$5+1544))</f>
        <v/>
      </c>
      <c r="B1546">
        <f>IF(A1546="","",IFERROR(INDEX(Ввод!$B$12:$B$71,MATCH(A1546,Ввод!$D$12:$D$71,1)),""))</f>
        <v/>
      </c>
      <c r="C1546">
        <f>IF(A1546="","",DATE(YEAR(A1546),12,31)-DATE(YEAR(A1546),1,1)+1)</f>
        <v/>
      </c>
      <c r="D1546">
        <f>IF(A1546="","",Ввод!$B$4-SUMIF(Оплаты!$A$6:$A$505,"&lt;"&amp;A1546,Оплаты!$B$6:$B$505))</f>
        <v/>
      </c>
      <c r="E1546">
        <f>IF(A1546="","",IF(SUMPRODUCT((Ввод!$F$12:$F$31&lt;&gt;"")*(Ввод!$F$12:$F$31&lt;=A1546)*(Ввод!$G$12:$G$31&gt;=A1546))&gt;0,1,0))</f>
        <v/>
      </c>
      <c r="F1546">
        <f>IF(OR(A1546="",B1546=""),"",IF(E1546=1,0,D1546*B1546/100/C1546))</f>
        <v/>
      </c>
      <c r="G1546">
        <f>IF(A1546="","",IF(OR(B1546&lt;&gt;B1545,C1546&lt;&gt;C1545,D1546&lt;&gt;D1545,E1546&lt;&gt;E1545),G1545+1,G1545))</f>
        <v/>
      </c>
    </row>
    <row r="1547">
      <c r="A1547" s="14">
        <f>IF(OR(NOT(ISNUMBER(Ввод!$B$5)),NOT(ISNUMBER(Ввод!$B$6))),"",IF(Ввод!$B$5+1545&gt;Ввод!$B$6,"",Ввод!$B$5+1545))</f>
        <v/>
      </c>
      <c r="B1547">
        <f>IF(A1547="","",IFERROR(INDEX(Ввод!$B$12:$B$71,MATCH(A1547,Ввод!$D$12:$D$71,1)),""))</f>
        <v/>
      </c>
      <c r="C1547">
        <f>IF(A1547="","",DATE(YEAR(A1547),12,31)-DATE(YEAR(A1547),1,1)+1)</f>
        <v/>
      </c>
      <c r="D1547">
        <f>IF(A1547="","",Ввод!$B$4-SUMIF(Оплаты!$A$6:$A$505,"&lt;"&amp;A1547,Оплаты!$B$6:$B$505))</f>
        <v/>
      </c>
      <c r="E1547">
        <f>IF(A1547="","",IF(SUMPRODUCT((Ввод!$F$12:$F$31&lt;&gt;"")*(Ввод!$F$12:$F$31&lt;=A1547)*(Ввод!$G$12:$G$31&gt;=A1547))&gt;0,1,0))</f>
        <v/>
      </c>
      <c r="F1547">
        <f>IF(OR(A1547="",B1547=""),"",IF(E1547=1,0,D1547*B1547/100/C1547))</f>
        <v/>
      </c>
      <c r="G1547">
        <f>IF(A1547="","",IF(OR(B1547&lt;&gt;B1546,C1547&lt;&gt;C1546,D1547&lt;&gt;D1546,E1547&lt;&gt;E1546),G1546+1,G1546))</f>
        <v/>
      </c>
    </row>
    <row r="1548">
      <c r="A1548" s="14">
        <f>IF(OR(NOT(ISNUMBER(Ввод!$B$5)),NOT(ISNUMBER(Ввод!$B$6))),"",IF(Ввод!$B$5+1546&gt;Ввод!$B$6,"",Ввод!$B$5+1546))</f>
        <v/>
      </c>
      <c r="B1548">
        <f>IF(A1548="","",IFERROR(INDEX(Ввод!$B$12:$B$71,MATCH(A1548,Ввод!$D$12:$D$71,1)),""))</f>
        <v/>
      </c>
      <c r="C1548">
        <f>IF(A1548="","",DATE(YEAR(A1548),12,31)-DATE(YEAR(A1548),1,1)+1)</f>
        <v/>
      </c>
      <c r="D1548">
        <f>IF(A1548="","",Ввод!$B$4-SUMIF(Оплаты!$A$6:$A$505,"&lt;"&amp;A1548,Оплаты!$B$6:$B$505))</f>
        <v/>
      </c>
      <c r="E1548">
        <f>IF(A1548="","",IF(SUMPRODUCT((Ввод!$F$12:$F$31&lt;&gt;"")*(Ввод!$F$12:$F$31&lt;=A1548)*(Ввод!$G$12:$G$31&gt;=A1548))&gt;0,1,0))</f>
        <v/>
      </c>
      <c r="F1548">
        <f>IF(OR(A1548="",B1548=""),"",IF(E1548=1,0,D1548*B1548/100/C1548))</f>
        <v/>
      </c>
      <c r="G1548">
        <f>IF(A1548="","",IF(OR(B1548&lt;&gt;B1547,C1548&lt;&gt;C1547,D1548&lt;&gt;D1547,E1548&lt;&gt;E1547),G1547+1,G1547))</f>
        <v/>
      </c>
    </row>
    <row r="1549">
      <c r="A1549" s="14">
        <f>IF(OR(NOT(ISNUMBER(Ввод!$B$5)),NOT(ISNUMBER(Ввод!$B$6))),"",IF(Ввод!$B$5+1547&gt;Ввод!$B$6,"",Ввод!$B$5+1547))</f>
        <v/>
      </c>
      <c r="B1549">
        <f>IF(A1549="","",IFERROR(INDEX(Ввод!$B$12:$B$71,MATCH(A1549,Ввод!$D$12:$D$71,1)),""))</f>
        <v/>
      </c>
      <c r="C1549">
        <f>IF(A1549="","",DATE(YEAR(A1549),12,31)-DATE(YEAR(A1549),1,1)+1)</f>
        <v/>
      </c>
      <c r="D1549">
        <f>IF(A1549="","",Ввод!$B$4-SUMIF(Оплаты!$A$6:$A$505,"&lt;"&amp;A1549,Оплаты!$B$6:$B$505))</f>
        <v/>
      </c>
      <c r="E1549">
        <f>IF(A1549="","",IF(SUMPRODUCT((Ввод!$F$12:$F$31&lt;&gt;"")*(Ввод!$F$12:$F$31&lt;=A1549)*(Ввод!$G$12:$G$31&gt;=A1549))&gt;0,1,0))</f>
        <v/>
      </c>
      <c r="F1549">
        <f>IF(OR(A1549="",B1549=""),"",IF(E1549=1,0,D1549*B1549/100/C1549))</f>
        <v/>
      </c>
      <c r="G1549">
        <f>IF(A1549="","",IF(OR(B1549&lt;&gt;B1548,C1549&lt;&gt;C1548,D1549&lt;&gt;D1548,E1549&lt;&gt;E1548),G1548+1,G1548))</f>
        <v/>
      </c>
    </row>
    <row r="1550">
      <c r="A1550" s="14">
        <f>IF(OR(NOT(ISNUMBER(Ввод!$B$5)),NOT(ISNUMBER(Ввод!$B$6))),"",IF(Ввод!$B$5+1548&gt;Ввод!$B$6,"",Ввод!$B$5+1548))</f>
        <v/>
      </c>
      <c r="B1550">
        <f>IF(A1550="","",IFERROR(INDEX(Ввод!$B$12:$B$71,MATCH(A1550,Ввод!$D$12:$D$71,1)),""))</f>
        <v/>
      </c>
      <c r="C1550">
        <f>IF(A1550="","",DATE(YEAR(A1550),12,31)-DATE(YEAR(A1550),1,1)+1)</f>
        <v/>
      </c>
      <c r="D1550">
        <f>IF(A1550="","",Ввод!$B$4-SUMIF(Оплаты!$A$6:$A$505,"&lt;"&amp;A1550,Оплаты!$B$6:$B$505))</f>
        <v/>
      </c>
      <c r="E1550">
        <f>IF(A1550="","",IF(SUMPRODUCT((Ввод!$F$12:$F$31&lt;&gt;"")*(Ввод!$F$12:$F$31&lt;=A1550)*(Ввод!$G$12:$G$31&gt;=A1550))&gt;0,1,0))</f>
        <v/>
      </c>
      <c r="F1550">
        <f>IF(OR(A1550="",B1550=""),"",IF(E1550=1,0,D1550*B1550/100/C1550))</f>
        <v/>
      </c>
      <c r="G1550">
        <f>IF(A1550="","",IF(OR(B1550&lt;&gt;B1549,C1550&lt;&gt;C1549,D1550&lt;&gt;D1549,E1550&lt;&gt;E1549),G1549+1,G1549))</f>
        <v/>
      </c>
    </row>
    <row r="1551">
      <c r="A1551" s="14">
        <f>IF(OR(NOT(ISNUMBER(Ввод!$B$5)),NOT(ISNUMBER(Ввод!$B$6))),"",IF(Ввод!$B$5+1549&gt;Ввод!$B$6,"",Ввод!$B$5+1549))</f>
        <v/>
      </c>
      <c r="B1551">
        <f>IF(A1551="","",IFERROR(INDEX(Ввод!$B$12:$B$71,MATCH(A1551,Ввод!$D$12:$D$71,1)),""))</f>
        <v/>
      </c>
      <c r="C1551">
        <f>IF(A1551="","",DATE(YEAR(A1551),12,31)-DATE(YEAR(A1551),1,1)+1)</f>
        <v/>
      </c>
      <c r="D1551">
        <f>IF(A1551="","",Ввод!$B$4-SUMIF(Оплаты!$A$6:$A$505,"&lt;"&amp;A1551,Оплаты!$B$6:$B$505))</f>
        <v/>
      </c>
      <c r="E1551">
        <f>IF(A1551="","",IF(SUMPRODUCT((Ввод!$F$12:$F$31&lt;&gt;"")*(Ввод!$F$12:$F$31&lt;=A1551)*(Ввод!$G$12:$G$31&gt;=A1551))&gt;0,1,0))</f>
        <v/>
      </c>
      <c r="F1551">
        <f>IF(OR(A1551="",B1551=""),"",IF(E1551=1,0,D1551*B1551/100/C1551))</f>
        <v/>
      </c>
      <c r="G1551">
        <f>IF(A1551="","",IF(OR(B1551&lt;&gt;B1550,C1551&lt;&gt;C1550,D1551&lt;&gt;D1550,E1551&lt;&gt;E1550),G1550+1,G1550))</f>
        <v/>
      </c>
    </row>
    <row r="1552">
      <c r="A1552" s="14">
        <f>IF(OR(NOT(ISNUMBER(Ввод!$B$5)),NOT(ISNUMBER(Ввод!$B$6))),"",IF(Ввод!$B$5+1550&gt;Ввод!$B$6,"",Ввод!$B$5+1550))</f>
        <v/>
      </c>
      <c r="B1552">
        <f>IF(A1552="","",IFERROR(INDEX(Ввод!$B$12:$B$71,MATCH(A1552,Ввод!$D$12:$D$71,1)),""))</f>
        <v/>
      </c>
      <c r="C1552">
        <f>IF(A1552="","",DATE(YEAR(A1552),12,31)-DATE(YEAR(A1552),1,1)+1)</f>
        <v/>
      </c>
      <c r="D1552">
        <f>IF(A1552="","",Ввод!$B$4-SUMIF(Оплаты!$A$6:$A$505,"&lt;"&amp;A1552,Оплаты!$B$6:$B$505))</f>
        <v/>
      </c>
      <c r="E1552">
        <f>IF(A1552="","",IF(SUMPRODUCT((Ввод!$F$12:$F$31&lt;&gt;"")*(Ввод!$F$12:$F$31&lt;=A1552)*(Ввод!$G$12:$G$31&gt;=A1552))&gt;0,1,0))</f>
        <v/>
      </c>
      <c r="F1552">
        <f>IF(OR(A1552="",B1552=""),"",IF(E1552=1,0,D1552*B1552/100/C1552))</f>
        <v/>
      </c>
      <c r="G1552">
        <f>IF(A1552="","",IF(OR(B1552&lt;&gt;B1551,C1552&lt;&gt;C1551,D1552&lt;&gt;D1551,E1552&lt;&gt;E1551),G1551+1,G1551))</f>
        <v/>
      </c>
    </row>
    <row r="1553">
      <c r="A1553" s="14">
        <f>IF(OR(NOT(ISNUMBER(Ввод!$B$5)),NOT(ISNUMBER(Ввод!$B$6))),"",IF(Ввод!$B$5+1551&gt;Ввод!$B$6,"",Ввод!$B$5+1551))</f>
        <v/>
      </c>
      <c r="B1553">
        <f>IF(A1553="","",IFERROR(INDEX(Ввод!$B$12:$B$71,MATCH(A1553,Ввод!$D$12:$D$71,1)),""))</f>
        <v/>
      </c>
      <c r="C1553">
        <f>IF(A1553="","",DATE(YEAR(A1553),12,31)-DATE(YEAR(A1553),1,1)+1)</f>
        <v/>
      </c>
      <c r="D1553">
        <f>IF(A1553="","",Ввод!$B$4-SUMIF(Оплаты!$A$6:$A$505,"&lt;"&amp;A1553,Оплаты!$B$6:$B$505))</f>
        <v/>
      </c>
      <c r="E1553">
        <f>IF(A1553="","",IF(SUMPRODUCT((Ввод!$F$12:$F$31&lt;&gt;"")*(Ввод!$F$12:$F$31&lt;=A1553)*(Ввод!$G$12:$G$31&gt;=A1553))&gt;0,1,0))</f>
        <v/>
      </c>
      <c r="F1553">
        <f>IF(OR(A1553="",B1553=""),"",IF(E1553=1,0,D1553*B1553/100/C1553))</f>
        <v/>
      </c>
      <c r="G1553">
        <f>IF(A1553="","",IF(OR(B1553&lt;&gt;B1552,C1553&lt;&gt;C1552,D1553&lt;&gt;D1552,E1553&lt;&gt;E1552),G1552+1,G1552))</f>
        <v/>
      </c>
    </row>
    <row r="1554">
      <c r="A1554" s="14">
        <f>IF(OR(NOT(ISNUMBER(Ввод!$B$5)),NOT(ISNUMBER(Ввод!$B$6))),"",IF(Ввод!$B$5+1552&gt;Ввод!$B$6,"",Ввод!$B$5+1552))</f>
        <v/>
      </c>
      <c r="B1554">
        <f>IF(A1554="","",IFERROR(INDEX(Ввод!$B$12:$B$71,MATCH(A1554,Ввод!$D$12:$D$71,1)),""))</f>
        <v/>
      </c>
      <c r="C1554">
        <f>IF(A1554="","",DATE(YEAR(A1554),12,31)-DATE(YEAR(A1554),1,1)+1)</f>
        <v/>
      </c>
      <c r="D1554">
        <f>IF(A1554="","",Ввод!$B$4-SUMIF(Оплаты!$A$6:$A$505,"&lt;"&amp;A1554,Оплаты!$B$6:$B$505))</f>
        <v/>
      </c>
      <c r="E1554">
        <f>IF(A1554="","",IF(SUMPRODUCT((Ввод!$F$12:$F$31&lt;&gt;"")*(Ввод!$F$12:$F$31&lt;=A1554)*(Ввод!$G$12:$G$31&gt;=A1554))&gt;0,1,0))</f>
        <v/>
      </c>
      <c r="F1554">
        <f>IF(OR(A1554="",B1554=""),"",IF(E1554=1,0,D1554*B1554/100/C1554))</f>
        <v/>
      </c>
      <c r="G1554">
        <f>IF(A1554="","",IF(OR(B1554&lt;&gt;B1553,C1554&lt;&gt;C1553,D1554&lt;&gt;D1553,E1554&lt;&gt;E1553),G1553+1,G1553))</f>
        <v/>
      </c>
    </row>
    <row r="1555">
      <c r="A1555" s="14">
        <f>IF(OR(NOT(ISNUMBER(Ввод!$B$5)),NOT(ISNUMBER(Ввод!$B$6))),"",IF(Ввод!$B$5+1553&gt;Ввод!$B$6,"",Ввод!$B$5+1553))</f>
        <v/>
      </c>
      <c r="B1555">
        <f>IF(A1555="","",IFERROR(INDEX(Ввод!$B$12:$B$71,MATCH(A1555,Ввод!$D$12:$D$71,1)),""))</f>
        <v/>
      </c>
      <c r="C1555">
        <f>IF(A1555="","",DATE(YEAR(A1555),12,31)-DATE(YEAR(A1555),1,1)+1)</f>
        <v/>
      </c>
      <c r="D1555">
        <f>IF(A1555="","",Ввод!$B$4-SUMIF(Оплаты!$A$6:$A$505,"&lt;"&amp;A1555,Оплаты!$B$6:$B$505))</f>
        <v/>
      </c>
      <c r="E1555">
        <f>IF(A1555="","",IF(SUMPRODUCT((Ввод!$F$12:$F$31&lt;&gt;"")*(Ввод!$F$12:$F$31&lt;=A1555)*(Ввод!$G$12:$G$31&gt;=A1555))&gt;0,1,0))</f>
        <v/>
      </c>
      <c r="F1555">
        <f>IF(OR(A1555="",B1555=""),"",IF(E1555=1,0,D1555*B1555/100/C1555))</f>
        <v/>
      </c>
      <c r="G1555">
        <f>IF(A1555="","",IF(OR(B1555&lt;&gt;B1554,C1555&lt;&gt;C1554,D1555&lt;&gt;D1554,E1555&lt;&gt;E1554),G1554+1,G1554))</f>
        <v/>
      </c>
    </row>
    <row r="1556">
      <c r="A1556" s="14">
        <f>IF(OR(NOT(ISNUMBER(Ввод!$B$5)),NOT(ISNUMBER(Ввод!$B$6))),"",IF(Ввод!$B$5+1554&gt;Ввод!$B$6,"",Ввод!$B$5+1554))</f>
        <v/>
      </c>
      <c r="B1556">
        <f>IF(A1556="","",IFERROR(INDEX(Ввод!$B$12:$B$71,MATCH(A1556,Ввод!$D$12:$D$71,1)),""))</f>
        <v/>
      </c>
      <c r="C1556">
        <f>IF(A1556="","",DATE(YEAR(A1556),12,31)-DATE(YEAR(A1556),1,1)+1)</f>
        <v/>
      </c>
      <c r="D1556">
        <f>IF(A1556="","",Ввод!$B$4-SUMIF(Оплаты!$A$6:$A$505,"&lt;"&amp;A1556,Оплаты!$B$6:$B$505))</f>
        <v/>
      </c>
      <c r="E1556">
        <f>IF(A1556="","",IF(SUMPRODUCT((Ввод!$F$12:$F$31&lt;&gt;"")*(Ввод!$F$12:$F$31&lt;=A1556)*(Ввод!$G$12:$G$31&gt;=A1556))&gt;0,1,0))</f>
        <v/>
      </c>
      <c r="F1556">
        <f>IF(OR(A1556="",B1556=""),"",IF(E1556=1,0,D1556*B1556/100/C1556))</f>
        <v/>
      </c>
      <c r="G1556">
        <f>IF(A1556="","",IF(OR(B1556&lt;&gt;B1555,C1556&lt;&gt;C1555,D1556&lt;&gt;D1555,E1556&lt;&gt;E1555),G1555+1,G1555))</f>
        <v/>
      </c>
    </row>
    <row r="1557">
      <c r="A1557" s="14">
        <f>IF(OR(NOT(ISNUMBER(Ввод!$B$5)),NOT(ISNUMBER(Ввод!$B$6))),"",IF(Ввод!$B$5+1555&gt;Ввод!$B$6,"",Ввод!$B$5+1555))</f>
        <v/>
      </c>
      <c r="B1557">
        <f>IF(A1557="","",IFERROR(INDEX(Ввод!$B$12:$B$71,MATCH(A1557,Ввод!$D$12:$D$71,1)),""))</f>
        <v/>
      </c>
      <c r="C1557">
        <f>IF(A1557="","",DATE(YEAR(A1557),12,31)-DATE(YEAR(A1557),1,1)+1)</f>
        <v/>
      </c>
      <c r="D1557">
        <f>IF(A1557="","",Ввод!$B$4-SUMIF(Оплаты!$A$6:$A$505,"&lt;"&amp;A1557,Оплаты!$B$6:$B$505))</f>
        <v/>
      </c>
      <c r="E1557">
        <f>IF(A1557="","",IF(SUMPRODUCT((Ввод!$F$12:$F$31&lt;&gt;"")*(Ввод!$F$12:$F$31&lt;=A1557)*(Ввод!$G$12:$G$31&gt;=A1557))&gt;0,1,0))</f>
        <v/>
      </c>
      <c r="F1557">
        <f>IF(OR(A1557="",B1557=""),"",IF(E1557=1,0,D1557*B1557/100/C1557))</f>
        <v/>
      </c>
      <c r="G1557">
        <f>IF(A1557="","",IF(OR(B1557&lt;&gt;B1556,C1557&lt;&gt;C1556,D1557&lt;&gt;D1556,E1557&lt;&gt;E1556),G1556+1,G1556))</f>
        <v/>
      </c>
    </row>
    <row r="1558">
      <c r="A1558" s="14">
        <f>IF(OR(NOT(ISNUMBER(Ввод!$B$5)),NOT(ISNUMBER(Ввод!$B$6))),"",IF(Ввод!$B$5+1556&gt;Ввод!$B$6,"",Ввод!$B$5+1556))</f>
        <v/>
      </c>
      <c r="B1558">
        <f>IF(A1558="","",IFERROR(INDEX(Ввод!$B$12:$B$71,MATCH(A1558,Ввод!$D$12:$D$71,1)),""))</f>
        <v/>
      </c>
      <c r="C1558">
        <f>IF(A1558="","",DATE(YEAR(A1558),12,31)-DATE(YEAR(A1558),1,1)+1)</f>
        <v/>
      </c>
      <c r="D1558">
        <f>IF(A1558="","",Ввод!$B$4-SUMIF(Оплаты!$A$6:$A$505,"&lt;"&amp;A1558,Оплаты!$B$6:$B$505))</f>
        <v/>
      </c>
      <c r="E1558">
        <f>IF(A1558="","",IF(SUMPRODUCT((Ввод!$F$12:$F$31&lt;&gt;"")*(Ввод!$F$12:$F$31&lt;=A1558)*(Ввод!$G$12:$G$31&gt;=A1558))&gt;0,1,0))</f>
        <v/>
      </c>
      <c r="F1558">
        <f>IF(OR(A1558="",B1558=""),"",IF(E1558=1,0,D1558*B1558/100/C1558))</f>
        <v/>
      </c>
      <c r="G1558">
        <f>IF(A1558="","",IF(OR(B1558&lt;&gt;B1557,C1558&lt;&gt;C1557,D1558&lt;&gt;D1557,E1558&lt;&gt;E1557),G1557+1,G1557))</f>
        <v/>
      </c>
    </row>
    <row r="1559">
      <c r="A1559" s="14">
        <f>IF(OR(NOT(ISNUMBER(Ввод!$B$5)),NOT(ISNUMBER(Ввод!$B$6))),"",IF(Ввод!$B$5+1557&gt;Ввод!$B$6,"",Ввод!$B$5+1557))</f>
        <v/>
      </c>
      <c r="B1559">
        <f>IF(A1559="","",IFERROR(INDEX(Ввод!$B$12:$B$71,MATCH(A1559,Ввод!$D$12:$D$71,1)),""))</f>
        <v/>
      </c>
      <c r="C1559">
        <f>IF(A1559="","",DATE(YEAR(A1559),12,31)-DATE(YEAR(A1559),1,1)+1)</f>
        <v/>
      </c>
      <c r="D1559">
        <f>IF(A1559="","",Ввод!$B$4-SUMIF(Оплаты!$A$6:$A$505,"&lt;"&amp;A1559,Оплаты!$B$6:$B$505))</f>
        <v/>
      </c>
      <c r="E1559">
        <f>IF(A1559="","",IF(SUMPRODUCT((Ввод!$F$12:$F$31&lt;&gt;"")*(Ввод!$F$12:$F$31&lt;=A1559)*(Ввод!$G$12:$G$31&gt;=A1559))&gt;0,1,0))</f>
        <v/>
      </c>
      <c r="F1559">
        <f>IF(OR(A1559="",B1559=""),"",IF(E1559=1,0,D1559*B1559/100/C1559))</f>
        <v/>
      </c>
      <c r="G1559">
        <f>IF(A1559="","",IF(OR(B1559&lt;&gt;B1558,C1559&lt;&gt;C1558,D1559&lt;&gt;D1558,E1559&lt;&gt;E1558),G1558+1,G1558))</f>
        <v/>
      </c>
    </row>
    <row r="1560">
      <c r="A1560" s="14">
        <f>IF(OR(NOT(ISNUMBER(Ввод!$B$5)),NOT(ISNUMBER(Ввод!$B$6))),"",IF(Ввод!$B$5+1558&gt;Ввод!$B$6,"",Ввод!$B$5+1558))</f>
        <v/>
      </c>
      <c r="B1560">
        <f>IF(A1560="","",IFERROR(INDEX(Ввод!$B$12:$B$71,MATCH(A1560,Ввод!$D$12:$D$71,1)),""))</f>
        <v/>
      </c>
      <c r="C1560">
        <f>IF(A1560="","",DATE(YEAR(A1560),12,31)-DATE(YEAR(A1560),1,1)+1)</f>
        <v/>
      </c>
      <c r="D1560">
        <f>IF(A1560="","",Ввод!$B$4-SUMIF(Оплаты!$A$6:$A$505,"&lt;"&amp;A1560,Оплаты!$B$6:$B$505))</f>
        <v/>
      </c>
      <c r="E1560">
        <f>IF(A1560="","",IF(SUMPRODUCT((Ввод!$F$12:$F$31&lt;&gt;"")*(Ввод!$F$12:$F$31&lt;=A1560)*(Ввод!$G$12:$G$31&gt;=A1560))&gt;0,1,0))</f>
        <v/>
      </c>
      <c r="F1560">
        <f>IF(OR(A1560="",B1560=""),"",IF(E1560=1,0,D1560*B1560/100/C1560))</f>
        <v/>
      </c>
      <c r="G1560">
        <f>IF(A1560="","",IF(OR(B1560&lt;&gt;B1559,C1560&lt;&gt;C1559,D1560&lt;&gt;D1559,E1560&lt;&gt;E1559),G1559+1,G1559))</f>
        <v/>
      </c>
    </row>
    <row r="1561">
      <c r="A1561" s="14">
        <f>IF(OR(NOT(ISNUMBER(Ввод!$B$5)),NOT(ISNUMBER(Ввод!$B$6))),"",IF(Ввод!$B$5+1559&gt;Ввод!$B$6,"",Ввод!$B$5+1559))</f>
        <v/>
      </c>
      <c r="B1561">
        <f>IF(A1561="","",IFERROR(INDEX(Ввод!$B$12:$B$71,MATCH(A1561,Ввод!$D$12:$D$71,1)),""))</f>
        <v/>
      </c>
      <c r="C1561">
        <f>IF(A1561="","",DATE(YEAR(A1561),12,31)-DATE(YEAR(A1561),1,1)+1)</f>
        <v/>
      </c>
      <c r="D1561">
        <f>IF(A1561="","",Ввод!$B$4-SUMIF(Оплаты!$A$6:$A$505,"&lt;"&amp;A1561,Оплаты!$B$6:$B$505))</f>
        <v/>
      </c>
      <c r="E1561">
        <f>IF(A1561="","",IF(SUMPRODUCT((Ввод!$F$12:$F$31&lt;&gt;"")*(Ввод!$F$12:$F$31&lt;=A1561)*(Ввод!$G$12:$G$31&gt;=A1561))&gt;0,1,0))</f>
        <v/>
      </c>
      <c r="F1561">
        <f>IF(OR(A1561="",B1561=""),"",IF(E1561=1,0,D1561*B1561/100/C1561))</f>
        <v/>
      </c>
      <c r="G1561">
        <f>IF(A1561="","",IF(OR(B1561&lt;&gt;B1560,C1561&lt;&gt;C1560,D1561&lt;&gt;D1560,E1561&lt;&gt;E1560),G1560+1,G1560))</f>
        <v/>
      </c>
    </row>
    <row r="1562">
      <c r="A1562" s="14">
        <f>IF(OR(NOT(ISNUMBER(Ввод!$B$5)),NOT(ISNUMBER(Ввод!$B$6))),"",IF(Ввод!$B$5+1560&gt;Ввод!$B$6,"",Ввод!$B$5+1560))</f>
        <v/>
      </c>
      <c r="B1562">
        <f>IF(A1562="","",IFERROR(INDEX(Ввод!$B$12:$B$71,MATCH(A1562,Ввод!$D$12:$D$71,1)),""))</f>
        <v/>
      </c>
      <c r="C1562">
        <f>IF(A1562="","",DATE(YEAR(A1562),12,31)-DATE(YEAR(A1562),1,1)+1)</f>
        <v/>
      </c>
      <c r="D1562">
        <f>IF(A1562="","",Ввод!$B$4-SUMIF(Оплаты!$A$6:$A$505,"&lt;"&amp;A1562,Оплаты!$B$6:$B$505))</f>
        <v/>
      </c>
      <c r="E1562">
        <f>IF(A1562="","",IF(SUMPRODUCT((Ввод!$F$12:$F$31&lt;&gt;"")*(Ввод!$F$12:$F$31&lt;=A1562)*(Ввод!$G$12:$G$31&gt;=A1562))&gt;0,1,0))</f>
        <v/>
      </c>
      <c r="F1562">
        <f>IF(OR(A1562="",B1562=""),"",IF(E1562=1,0,D1562*B1562/100/C1562))</f>
        <v/>
      </c>
      <c r="G1562">
        <f>IF(A1562="","",IF(OR(B1562&lt;&gt;B1561,C1562&lt;&gt;C1561,D1562&lt;&gt;D1561,E1562&lt;&gt;E1561),G1561+1,G1561))</f>
        <v/>
      </c>
    </row>
    <row r="1563">
      <c r="A1563" s="14">
        <f>IF(OR(NOT(ISNUMBER(Ввод!$B$5)),NOT(ISNUMBER(Ввод!$B$6))),"",IF(Ввод!$B$5+1561&gt;Ввод!$B$6,"",Ввод!$B$5+1561))</f>
        <v/>
      </c>
      <c r="B1563">
        <f>IF(A1563="","",IFERROR(INDEX(Ввод!$B$12:$B$71,MATCH(A1563,Ввод!$D$12:$D$71,1)),""))</f>
        <v/>
      </c>
      <c r="C1563">
        <f>IF(A1563="","",DATE(YEAR(A1563),12,31)-DATE(YEAR(A1563),1,1)+1)</f>
        <v/>
      </c>
      <c r="D1563">
        <f>IF(A1563="","",Ввод!$B$4-SUMIF(Оплаты!$A$6:$A$505,"&lt;"&amp;A1563,Оплаты!$B$6:$B$505))</f>
        <v/>
      </c>
      <c r="E1563">
        <f>IF(A1563="","",IF(SUMPRODUCT((Ввод!$F$12:$F$31&lt;&gt;"")*(Ввод!$F$12:$F$31&lt;=A1563)*(Ввод!$G$12:$G$31&gt;=A1563))&gt;0,1,0))</f>
        <v/>
      </c>
      <c r="F1563">
        <f>IF(OR(A1563="",B1563=""),"",IF(E1563=1,0,D1563*B1563/100/C1563))</f>
        <v/>
      </c>
      <c r="G1563">
        <f>IF(A1563="","",IF(OR(B1563&lt;&gt;B1562,C1563&lt;&gt;C1562,D1563&lt;&gt;D1562,E1563&lt;&gt;E1562),G1562+1,G1562))</f>
        <v/>
      </c>
    </row>
    <row r="1564">
      <c r="A1564" s="14">
        <f>IF(OR(NOT(ISNUMBER(Ввод!$B$5)),NOT(ISNUMBER(Ввод!$B$6))),"",IF(Ввод!$B$5+1562&gt;Ввод!$B$6,"",Ввод!$B$5+1562))</f>
        <v/>
      </c>
      <c r="B1564">
        <f>IF(A1564="","",IFERROR(INDEX(Ввод!$B$12:$B$71,MATCH(A1564,Ввод!$D$12:$D$71,1)),""))</f>
        <v/>
      </c>
      <c r="C1564">
        <f>IF(A1564="","",DATE(YEAR(A1564),12,31)-DATE(YEAR(A1564),1,1)+1)</f>
        <v/>
      </c>
      <c r="D1564">
        <f>IF(A1564="","",Ввод!$B$4-SUMIF(Оплаты!$A$6:$A$505,"&lt;"&amp;A1564,Оплаты!$B$6:$B$505))</f>
        <v/>
      </c>
      <c r="E1564">
        <f>IF(A1564="","",IF(SUMPRODUCT((Ввод!$F$12:$F$31&lt;&gt;"")*(Ввод!$F$12:$F$31&lt;=A1564)*(Ввод!$G$12:$G$31&gt;=A1564))&gt;0,1,0))</f>
        <v/>
      </c>
      <c r="F1564">
        <f>IF(OR(A1564="",B1564=""),"",IF(E1564=1,0,D1564*B1564/100/C1564))</f>
        <v/>
      </c>
      <c r="G1564">
        <f>IF(A1564="","",IF(OR(B1564&lt;&gt;B1563,C1564&lt;&gt;C1563,D1564&lt;&gt;D1563,E1564&lt;&gt;E1563),G1563+1,G1563))</f>
        <v/>
      </c>
    </row>
    <row r="1565">
      <c r="A1565" s="14">
        <f>IF(OR(NOT(ISNUMBER(Ввод!$B$5)),NOT(ISNUMBER(Ввод!$B$6))),"",IF(Ввод!$B$5+1563&gt;Ввод!$B$6,"",Ввод!$B$5+1563))</f>
        <v/>
      </c>
      <c r="B1565">
        <f>IF(A1565="","",IFERROR(INDEX(Ввод!$B$12:$B$71,MATCH(A1565,Ввод!$D$12:$D$71,1)),""))</f>
        <v/>
      </c>
      <c r="C1565">
        <f>IF(A1565="","",DATE(YEAR(A1565),12,31)-DATE(YEAR(A1565),1,1)+1)</f>
        <v/>
      </c>
      <c r="D1565">
        <f>IF(A1565="","",Ввод!$B$4-SUMIF(Оплаты!$A$6:$A$505,"&lt;"&amp;A1565,Оплаты!$B$6:$B$505))</f>
        <v/>
      </c>
      <c r="E1565">
        <f>IF(A1565="","",IF(SUMPRODUCT((Ввод!$F$12:$F$31&lt;&gt;"")*(Ввод!$F$12:$F$31&lt;=A1565)*(Ввод!$G$12:$G$31&gt;=A1565))&gt;0,1,0))</f>
        <v/>
      </c>
      <c r="F1565">
        <f>IF(OR(A1565="",B1565=""),"",IF(E1565=1,0,D1565*B1565/100/C1565))</f>
        <v/>
      </c>
      <c r="G1565">
        <f>IF(A1565="","",IF(OR(B1565&lt;&gt;B1564,C1565&lt;&gt;C1564,D1565&lt;&gt;D1564,E1565&lt;&gt;E1564),G1564+1,G1564))</f>
        <v/>
      </c>
    </row>
    <row r="1566">
      <c r="A1566" s="14">
        <f>IF(OR(NOT(ISNUMBER(Ввод!$B$5)),NOT(ISNUMBER(Ввод!$B$6))),"",IF(Ввод!$B$5+1564&gt;Ввод!$B$6,"",Ввод!$B$5+1564))</f>
        <v/>
      </c>
      <c r="B1566">
        <f>IF(A1566="","",IFERROR(INDEX(Ввод!$B$12:$B$71,MATCH(A1566,Ввод!$D$12:$D$71,1)),""))</f>
        <v/>
      </c>
      <c r="C1566">
        <f>IF(A1566="","",DATE(YEAR(A1566),12,31)-DATE(YEAR(A1566),1,1)+1)</f>
        <v/>
      </c>
      <c r="D1566">
        <f>IF(A1566="","",Ввод!$B$4-SUMIF(Оплаты!$A$6:$A$505,"&lt;"&amp;A1566,Оплаты!$B$6:$B$505))</f>
        <v/>
      </c>
      <c r="E1566">
        <f>IF(A1566="","",IF(SUMPRODUCT((Ввод!$F$12:$F$31&lt;&gt;"")*(Ввод!$F$12:$F$31&lt;=A1566)*(Ввод!$G$12:$G$31&gt;=A1566))&gt;0,1,0))</f>
        <v/>
      </c>
      <c r="F1566">
        <f>IF(OR(A1566="",B1566=""),"",IF(E1566=1,0,D1566*B1566/100/C1566))</f>
        <v/>
      </c>
      <c r="G1566">
        <f>IF(A1566="","",IF(OR(B1566&lt;&gt;B1565,C1566&lt;&gt;C1565,D1566&lt;&gt;D1565,E1566&lt;&gt;E1565),G1565+1,G1565))</f>
        <v/>
      </c>
    </row>
    <row r="1567">
      <c r="A1567" s="14">
        <f>IF(OR(NOT(ISNUMBER(Ввод!$B$5)),NOT(ISNUMBER(Ввод!$B$6))),"",IF(Ввод!$B$5+1565&gt;Ввод!$B$6,"",Ввод!$B$5+1565))</f>
        <v/>
      </c>
      <c r="B1567">
        <f>IF(A1567="","",IFERROR(INDEX(Ввод!$B$12:$B$71,MATCH(A1567,Ввод!$D$12:$D$71,1)),""))</f>
        <v/>
      </c>
      <c r="C1567">
        <f>IF(A1567="","",DATE(YEAR(A1567),12,31)-DATE(YEAR(A1567),1,1)+1)</f>
        <v/>
      </c>
      <c r="D1567">
        <f>IF(A1567="","",Ввод!$B$4-SUMIF(Оплаты!$A$6:$A$505,"&lt;"&amp;A1567,Оплаты!$B$6:$B$505))</f>
        <v/>
      </c>
      <c r="E1567">
        <f>IF(A1567="","",IF(SUMPRODUCT((Ввод!$F$12:$F$31&lt;&gt;"")*(Ввод!$F$12:$F$31&lt;=A1567)*(Ввод!$G$12:$G$31&gt;=A1567))&gt;0,1,0))</f>
        <v/>
      </c>
      <c r="F1567">
        <f>IF(OR(A1567="",B1567=""),"",IF(E1567=1,0,D1567*B1567/100/C1567))</f>
        <v/>
      </c>
      <c r="G1567">
        <f>IF(A1567="","",IF(OR(B1567&lt;&gt;B1566,C1567&lt;&gt;C1566,D1567&lt;&gt;D1566,E1567&lt;&gt;E1566),G1566+1,G1566))</f>
        <v/>
      </c>
    </row>
    <row r="1568">
      <c r="A1568" s="14">
        <f>IF(OR(NOT(ISNUMBER(Ввод!$B$5)),NOT(ISNUMBER(Ввод!$B$6))),"",IF(Ввод!$B$5+1566&gt;Ввод!$B$6,"",Ввод!$B$5+1566))</f>
        <v/>
      </c>
      <c r="B1568">
        <f>IF(A1568="","",IFERROR(INDEX(Ввод!$B$12:$B$71,MATCH(A1568,Ввод!$D$12:$D$71,1)),""))</f>
        <v/>
      </c>
      <c r="C1568">
        <f>IF(A1568="","",DATE(YEAR(A1568),12,31)-DATE(YEAR(A1568),1,1)+1)</f>
        <v/>
      </c>
      <c r="D1568">
        <f>IF(A1568="","",Ввод!$B$4-SUMIF(Оплаты!$A$6:$A$505,"&lt;"&amp;A1568,Оплаты!$B$6:$B$505))</f>
        <v/>
      </c>
      <c r="E1568">
        <f>IF(A1568="","",IF(SUMPRODUCT((Ввод!$F$12:$F$31&lt;&gt;"")*(Ввод!$F$12:$F$31&lt;=A1568)*(Ввод!$G$12:$G$31&gt;=A1568))&gt;0,1,0))</f>
        <v/>
      </c>
      <c r="F1568">
        <f>IF(OR(A1568="",B1568=""),"",IF(E1568=1,0,D1568*B1568/100/C1568))</f>
        <v/>
      </c>
      <c r="G1568">
        <f>IF(A1568="","",IF(OR(B1568&lt;&gt;B1567,C1568&lt;&gt;C1567,D1568&lt;&gt;D1567,E1568&lt;&gt;E1567),G1567+1,G1567))</f>
        <v/>
      </c>
    </row>
    <row r="1569">
      <c r="A1569" s="14">
        <f>IF(OR(NOT(ISNUMBER(Ввод!$B$5)),NOT(ISNUMBER(Ввод!$B$6))),"",IF(Ввод!$B$5+1567&gt;Ввод!$B$6,"",Ввод!$B$5+1567))</f>
        <v/>
      </c>
      <c r="B1569">
        <f>IF(A1569="","",IFERROR(INDEX(Ввод!$B$12:$B$71,MATCH(A1569,Ввод!$D$12:$D$71,1)),""))</f>
        <v/>
      </c>
      <c r="C1569">
        <f>IF(A1569="","",DATE(YEAR(A1569),12,31)-DATE(YEAR(A1569),1,1)+1)</f>
        <v/>
      </c>
      <c r="D1569">
        <f>IF(A1569="","",Ввод!$B$4-SUMIF(Оплаты!$A$6:$A$505,"&lt;"&amp;A1569,Оплаты!$B$6:$B$505))</f>
        <v/>
      </c>
      <c r="E1569">
        <f>IF(A1569="","",IF(SUMPRODUCT((Ввод!$F$12:$F$31&lt;&gt;"")*(Ввод!$F$12:$F$31&lt;=A1569)*(Ввод!$G$12:$G$31&gt;=A1569))&gt;0,1,0))</f>
        <v/>
      </c>
      <c r="F1569">
        <f>IF(OR(A1569="",B1569=""),"",IF(E1569=1,0,D1569*B1569/100/C1569))</f>
        <v/>
      </c>
      <c r="G1569">
        <f>IF(A1569="","",IF(OR(B1569&lt;&gt;B1568,C1569&lt;&gt;C1568,D1569&lt;&gt;D1568,E1569&lt;&gt;E1568),G1568+1,G1568))</f>
        <v/>
      </c>
    </row>
    <row r="1570">
      <c r="A1570" s="14">
        <f>IF(OR(NOT(ISNUMBER(Ввод!$B$5)),NOT(ISNUMBER(Ввод!$B$6))),"",IF(Ввод!$B$5+1568&gt;Ввод!$B$6,"",Ввод!$B$5+1568))</f>
        <v/>
      </c>
      <c r="B1570">
        <f>IF(A1570="","",IFERROR(INDEX(Ввод!$B$12:$B$71,MATCH(A1570,Ввод!$D$12:$D$71,1)),""))</f>
        <v/>
      </c>
      <c r="C1570">
        <f>IF(A1570="","",DATE(YEAR(A1570),12,31)-DATE(YEAR(A1570),1,1)+1)</f>
        <v/>
      </c>
      <c r="D1570">
        <f>IF(A1570="","",Ввод!$B$4-SUMIF(Оплаты!$A$6:$A$505,"&lt;"&amp;A1570,Оплаты!$B$6:$B$505))</f>
        <v/>
      </c>
      <c r="E1570">
        <f>IF(A1570="","",IF(SUMPRODUCT((Ввод!$F$12:$F$31&lt;&gt;"")*(Ввод!$F$12:$F$31&lt;=A1570)*(Ввод!$G$12:$G$31&gt;=A1570))&gt;0,1,0))</f>
        <v/>
      </c>
      <c r="F1570">
        <f>IF(OR(A1570="",B1570=""),"",IF(E1570=1,0,D1570*B1570/100/C1570))</f>
        <v/>
      </c>
      <c r="G1570">
        <f>IF(A1570="","",IF(OR(B1570&lt;&gt;B1569,C1570&lt;&gt;C1569,D1570&lt;&gt;D1569,E1570&lt;&gt;E1569),G1569+1,G1569))</f>
        <v/>
      </c>
    </row>
    <row r="1571">
      <c r="A1571" s="14">
        <f>IF(OR(NOT(ISNUMBER(Ввод!$B$5)),NOT(ISNUMBER(Ввод!$B$6))),"",IF(Ввод!$B$5+1569&gt;Ввод!$B$6,"",Ввод!$B$5+1569))</f>
        <v/>
      </c>
      <c r="B1571">
        <f>IF(A1571="","",IFERROR(INDEX(Ввод!$B$12:$B$71,MATCH(A1571,Ввод!$D$12:$D$71,1)),""))</f>
        <v/>
      </c>
      <c r="C1571">
        <f>IF(A1571="","",DATE(YEAR(A1571),12,31)-DATE(YEAR(A1571),1,1)+1)</f>
        <v/>
      </c>
      <c r="D1571">
        <f>IF(A1571="","",Ввод!$B$4-SUMIF(Оплаты!$A$6:$A$505,"&lt;"&amp;A1571,Оплаты!$B$6:$B$505))</f>
        <v/>
      </c>
      <c r="E1571">
        <f>IF(A1571="","",IF(SUMPRODUCT((Ввод!$F$12:$F$31&lt;&gt;"")*(Ввод!$F$12:$F$31&lt;=A1571)*(Ввод!$G$12:$G$31&gt;=A1571))&gt;0,1,0))</f>
        <v/>
      </c>
      <c r="F1571">
        <f>IF(OR(A1571="",B1571=""),"",IF(E1571=1,0,D1571*B1571/100/C1571))</f>
        <v/>
      </c>
      <c r="G1571">
        <f>IF(A1571="","",IF(OR(B1571&lt;&gt;B1570,C1571&lt;&gt;C1570,D1571&lt;&gt;D1570,E1571&lt;&gt;E1570),G1570+1,G1570))</f>
        <v/>
      </c>
    </row>
    <row r="1572">
      <c r="A1572" s="14">
        <f>IF(OR(NOT(ISNUMBER(Ввод!$B$5)),NOT(ISNUMBER(Ввод!$B$6))),"",IF(Ввод!$B$5+1570&gt;Ввод!$B$6,"",Ввод!$B$5+1570))</f>
        <v/>
      </c>
      <c r="B1572">
        <f>IF(A1572="","",IFERROR(INDEX(Ввод!$B$12:$B$71,MATCH(A1572,Ввод!$D$12:$D$71,1)),""))</f>
        <v/>
      </c>
      <c r="C1572">
        <f>IF(A1572="","",DATE(YEAR(A1572),12,31)-DATE(YEAR(A1572),1,1)+1)</f>
        <v/>
      </c>
      <c r="D1572">
        <f>IF(A1572="","",Ввод!$B$4-SUMIF(Оплаты!$A$6:$A$505,"&lt;"&amp;A1572,Оплаты!$B$6:$B$505))</f>
        <v/>
      </c>
      <c r="E1572">
        <f>IF(A1572="","",IF(SUMPRODUCT((Ввод!$F$12:$F$31&lt;&gt;"")*(Ввод!$F$12:$F$31&lt;=A1572)*(Ввод!$G$12:$G$31&gt;=A1572))&gt;0,1,0))</f>
        <v/>
      </c>
      <c r="F1572">
        <f>IF(OR(A1572="",B1572=""),"",IF(E1572=1,0,D1572*B1572/100/C1572))</f>
        <v/>
      </c>
      <c r="G1572">
        <f>IF(A1572="","",IF(OR(B1572&lt;&gt;B1571,C1572&lt;&gt;C1571,D1572&lt;&gt;D1571,E1572&lt;&gt;E1571),G1571+1,G1571))</f>
        <v/>
      </c>
    </row>
    <row r="1573">
      <c r="A1573" s="14">
        <f>IF(OR(NOT(ISNUMBER(Ввод!$B$5)),NOT(ISNUMBER(Ввод!$B$6))),"",IF(Ввод!$B$5+1571&gt;Ввод!$B$6,"",Ввод!$B$5+1571))</f>
        <v/>
      </c>
      <c r="B1573">
        <f>IF(A1573="","",IFERROR(INDEX(Ввод!$B$12:$B$71,MATCH(A1573,Ввод!$D$12:$D$71,1)),""))</f>
        <v/>
      </c>
      <c r="C1573">
        <f>IF(A1573="","",DATE(YEAR(A1573),12,31)-DATE(YEAR(A1573),1,1)+1)</f>
        <v/>
      </c>
      <c r="D1573">
        <f>IF(A1573="","",Ввод!$B$4-SUMIF(Оплаты!$A$6:$A$505,"&lt;"&amp;A1573,Оплаты!$B$6:$B$505))</f>
        <v/>
      </c>
      <c r="E1573">
        <f>IF(A1573="","",IF(SUMPRODUCT((Ввод!$F$12:$F$31&lt;&gt;"")*(Ввод!$F$12:$F$31&lt;=A1573)*(Ввод!$G$12:$G$31&gt;=A1573))&gt;0,1,0))</f>
        <v/>
      </c>
      <c r="F1573">
        <f>IF(OR(A1573="",B1573=""),"",IF(E1573=1,0,D1573*B1573/100/C1573))</f>
        <v/>
      </c>
      <c r="G1573">
        <f>IF(A1573="","",IF(OR(B1573&lt;&gt;B1572,C1573&lt;&gt;C1572,D1573&lt;&gt;D1572,E1573&lt;&gt;E1572),G1572+1,G1572))</f>
        <v/>
      </c>
    </row>
    <row r="1574">
      <c r="A1574" s="14">
        <f>IF(OR(NOT(ISNUMBER(Ввод!$B$5)),NOT(ISNUMBER(Ввод!$B$6))),"",IF(Ввод!$B$5+1572&gt;Ввод!$B$6,"",Ввод!$B$5+1572))</f>
        <v/>
      </c>
      <c r="B1574">
        <f>IF(A1574="","",IFERROR(INDEX(Ввод!$B$12:$B$71,MATCH(A1574,Ввод!$D$12:$D$71,1)),""))</f>
        <v/>
      </c>
      <c r="C1574">
        <f>IF(A1574="","",DATE(YEAR(A1574),12,31)-DATE(YEAR(A1574),1,1)+1)</f>
        <v/>
      </c>
      <c r="D1574">
        <f>IF(A1574="","",Ввод!$B$4-SUMIF(Оплаты!$A$6:$A$505,"&lt;"&amp;A1574,Оплаты!$B$6:$B$505))</f>
        <v/>
      </c>
      <c r="E1574">
        <f>IF(A1574="","",IF(SUMPRODUCT((Ввод!$F$12:$F$31&lt;&gt;"")*(Ввод!$F$12:$F$31&lt;=A1574)*(Ввод!$G$12:$G$31&gt;=A1574))&gt;0,1,0))</f>
        <v/>
      </c>
      <c r="F1574">
        <f>IF(OR(A1574="",B1574=""),"",IF(E1574=1,0,D1574*B1574/100/C1574))</f>
        <v/>
      </c>
      <c r="G1574">
        <f>IF(A1574="","",IF(OR(B1574&lt;&gt;B1573,C1574&lt;&gt;C1573,D1574&lt;&gt;D1573,E1574&lt;&gt;E1573),G1573+1,G1573))</f>
        <v/>
      </c>
    </row>
    <row r="1575">
      <c r="A1575" s="14">
        <f>IF(OR(NOT(ISNUMBER(Ввод!$B$5)),NOT(ISNUMBER(Ввод!$B$6))),"",IF(Ввод!$B$5+1573&gt;Ввод!$B$6,"",Ввод!$B$5+1573))</f>
        <v/>
      </c>
      <c r="B1575">
        <f>IF(A1575="","",IFERROR(INDEX(Ввод!$B$12:$B$71,MATCH(A1575,Ввод!$D$12:$D$71,1)),""))</f>
        <v/>
      </c>
      <c r="C1575">
        <f>IF(A1575="","",DATE(YEAR(A1575),12,31)-DATE(YEAR(A1575),1,1)+1)</f>
        <v/>
      </c>
      <c r="D1575">
        <f>IF(A1575="","",Ввод!$B$4-SUMIF(Оплаты!$A$6:$A$505,"&lt;"&amp;A1575,Оплаты!$B$6:$B$505))</f>
        <v/>
      </c>
      <c r="E1575">
        <f>IF(A1575="","",IF(SUMPRODUCT((Ввод!$F$12:$F$31&lt;&gt;"")*(Ввод!$F$12:$F$31&lt;=A1575)*(Ввод!$G$12:$G$31&gt;=A1575))&gt;0,1,0))</f>
        <v/>
      </c>
      <c r="F1575">
        <f>IF(OR(A1575="",B1575=""),"",IF(E1575=1,0,D1575*B1575/100/C1575))</f>
        <v/>
      </c>
      <c r="G1575">
        <f>IF(A1575="","",IF(OR(B1575&lt;&gt;B1574,C1575&lt;&gt;C1574,D1575&lt;&gt;D1574,E1575&lt;&gt;E1574),G1574+1,G1574))</f>
        <v/>
      </c>
    </row>
    <row r="1576">
      <c r="A1576" s="14">
        <f>IF(OR(NOT(ISNUMBER(Ввод!$B$5)),NOT(ISNUMBER(Ввод!$B$6))),"",IF(Ввод!$B$5+1574&gt;Ввод!$B$6,"",Ввод!$B$5+1574))</f>
        <v/>
      </c>
      <c r="B1576">
        <f>IF(A1576="","",IFERROR(INDEX(Ввод!$B$12:$B$71,MATCH(A1576,Ввод!$D$12:$D$71,1)),""))</f>
        <v/>
      </c>
      <c r="C1576">
        <f>IF(A1576="","",DATE(YEAR(A1576),12,31)-DATE(YEAR(A1576),1,1)+1)</f>
        <v/>
      </c>
      <c r="D1576">
        <f>IF(A1576="","",Ввод!$B$4-SUMIF(Оплаты!$A$6:$A$505,"&lt;"&amp;A1576,Оплаты!$B$6:$B$505))</f>
        <v/>
      </c>
      <c r="E1576">
        <f>IF(A1576="","",IF(SUMPRODUCT((Ввод!$F$12:$F$31&lt;&gt;"")*(Ввод!$F$12:$F$31&lt;=A1576)*(Ввод!$G$12:$G$31&gt;=A1576))&gt;0,1,0))</f>
        <v/>
      </c>
      <c r="F1576">
        <f>IF(OR(A1576="",B1576=""),"",IF(E1576=1,0,D1576*B1576/100/C1576))</f>
        <v/>
      </c>
      <c r="G1576">
        <f>IF(A1576="","",IF(OR(B1576&lt;&gt;B1575,C1576&lt;&gt;C1575,D1576&lt;&gt;D1575,E1576&lt;&gt;E1575),G1575+1,G1575))</f>
        <v/>
      </c>
    </row>
    <row r="1577">
      <c r="A1577" s="14">
        <f>IF(OR(NOT(ISNUMBER(Ввод!$B$5)),NOT(ISNUMBER(Ввод!$B$6))),"",IF(Ввод!$B$5+1575&gt;Ввод!$B$6,"",Ввод!$B$5+1575))</f>
        <v/>
      </c>
      <c r="B1577">
        <f>IF(A1577="","",IFERROR(INDEX(Ввод!$B$12:$B$71,MATCH(A1577,Ввод!$D$12:$D$71,1)),""))</f>
        <v/>
      </c>
      <c r="C1577">
        <f>IF(A1577="","",DATE(YEAR(A1577),12,31)-DATE(YEAR(A1577),1,1)+1)</f>
        <v/>
      </c>
      <c r="D1577">
        <f>IF(A1577="","",Ввод!$B$4-SUMIF(Оплаты!$A$6:$A$505,"&lt;"&amp;A1577,Оплаты!$B$6:$B$505))</f>
        <v/>
      </c>
      <c r="E1577">
        <f>IF(A1577="","",IF(SUMPRODUCT((Ввод!$F$12:$F$31&lt;&gt;"")*(Ввод!$F$12:$F$31&lt;=A1577)*(Ввод!$G$12:$G$31&gt;=A1577))&gt;0,1,0))</f>
        <v/>
      </c>
      <c r="F1577">
        <f>IF(OR(A1577="",B1577=""),"",IF(E1577=1,0,D1577*B1577/100/C1577))</f>
        <v/>
      </c>
      <c r="G1577">
        <f>IF(A1577="","",IF(OR(B1577&lt;&gt;B1576,C1577&lt;&gt;C1576,D1577&lt;&gt;D1576,E1577&lt;&gt;E1576),G1576+1,G1576))</f>
        <v/>
      </c>
    </row>
    <row r="1578">
      <c r="A1578" s="14">
        <f>IF(OR(NOT(ISNUMBER(Ввод!$B$5)),NOT(ISNUMBER(Ввод!$B$6))),"",IF(Ввод!$B$5+1576&gt;Ввод!$B$6,"",Ввод!$B$5+1576))</f>
        <v/>
      </c>
      <c r="B1578">
        <f>IF(A1578="","",IFERROR(INDEX(Ввод!$B$12:$B$71,MATCH(A1578,Ввод!$D$12:$D$71,1)),""))</f>
        <v/>
      </c>
      <c r="C1578">
        <f>IF(A1578="","",DATE(YEAR(A1578),12,31)-DATE(YEAR(A1578),1,1)+1)</f>
        <v/>
      </c>
      <c r="D1578">
        <f>IF(A1578="","",Ввод!$B$4-SUMIF(Оплаты!$A$6:$A$505,"&lt;"&amp;A1578,Оплаты!$B$6:$B$505))</f>
        <v/>
      </c>
      <c r="E1578">
        <f>IF(A1578="","",IF(SUMPRODUCT((Ввод!$F$12:$F$31&lt;&gt;"")*(Ввод!$F$12:$F$31&lt;=A1578)*(Ввод!$G$12:$G$31&gt;=A1578))&gt;0,1,0))</f>
        <v/>
      </c>
      <c r="F1578">
        <f>IF(OR(A1578="",B1578=""),"",IF(E1578=1,0,D1578*B1578/100/C1578))</f>
        <v/>
      </c>
      <c r="G1578">
        <f>IF(A1578="","",IF(OR(B1578&lt;&gt;B1577,C1578&lt;&gt;C1577,D1578&lt;&gt;D1577,E1578&lt;&gt;E1577),G1577+1,G1577))</f>
        <v/>
      </c>
    </row>
    <row r="1579">
      <c r="A1579" s="14">
        <f>IF(OR(NOT(ISNUMBER(Ввод!$B$5)),NOT(ISNUMBER(Ввод!$B$6))),"",IF(Ввод!$B$5+1577&gt;Ввод!$B$6,"",Ввод!$B$5+1577))</f>
        <v/>
      </c>
      <c r="B1579">
        <f>IF(A1579="","",IFERROR(INDEX(Ввод!$B$12:$B$71,MATCH(A1579,Ввод!$D$12:$D$71,1)),""))</f>
        <v/>
      </c>
      <c r="C1579">
        <f>IF(A1579="","",DATE(YEAR(A1579),12,31)-DATE(YEAR(A1579),1,1)+1)</f>
        <v/>
      </c>
      <c r="D1579">
        <f>IF(A1579="","",Ввод!$B$4-SUMIF(Оплаты!$A$6:$A$505,"&lt;"&amp;A1579,Оплаты!$B$6:$B$505))</f>
        <v/>
      </c>
      <c r="E1579">
        <f>IF(A1579="","",IF(SUMPRODUCT((Ввод!$F$12:$F$31&lt;&gt;"")*(Ввод!$F$12:$F$31&lt;=A1579)*(Ввод!$G$12:$G$31&gt;=A1579))&gt;0,1,0))</f>
        <v/>
      </c>
      <c r="F1579">
        <f>IF(OR(A1579="",B1579=""),"",IF(E1579=1,0,D1579*B1579/100/C1579))</f>
        <v/>
      </c>
      <c r="G1579">
        <f>IF(A1579="","",IF(OR(B1579&lt;&gt;B1578,C1579&lt;&gt;C1578,D1579&lt;&gt;D1578,E1579&lt;&gt;E1578),G1578+1,G1578))</f>
        <v/>
      </c>
    </row>
    <row r="1580">
      <c r="A1580" s="14">
        <f>IF(OR(NOT(ISNUMBER(Ввод!$B$5)),NOT(ISNUMBER(Ввод!$B$6))),"",IF(Ввод!$B$5+1578&gt;Ввод!$B$6,"",Ввод!$B$5+1578))</f>
        <v/>
      </c>
      <c r="B1580">
        <f>IF(A1580="","",IFERROR(INDEX(Ввод!$B$12:$B$71,MATCH(A1580,Ввод!$D$12:$D$71,1)),""))</f>
        <v/>
      </c>
      <c r="C1580">
        <f>IF(A1580="","",DATE(YEAR(A1580),12,31)-DATE(YEAR(A1580),1,1)+1)</f>
        <v/>
      </c>
      <c r="D1580">
        <f>IF(A1580="","",Ввод!$B$4-SUMIF(Оплаты!$A$6:$A$505,"&lt;"&amp;A1580,Оплаты!$B$6:$B$505))</f>
        <v/>
      </c>
      <c r="E1580">
        <f>IF(A1580="","",IF(SUMPRODUCT((Ввод!$F$12:$F$31&lt;&gt;"")*(Ввод!$F$12:$F$31&lt;=A1580)*(Ввод!$G$12:$G$31&gt;=A1580))&gt;0,1,0))</f>
        <v/>
      </c>
      <c r="F1580">
        <f>IF(OR(A1580="",B1580=""),"",IF(E1580=1,0,D1580*B1580/100/C1580))</f>
        <v/>
      </c>
      <c r="G1580">
        <f>IF(A1580="","",IF(OR(B1580&lt;&gt;B1579,C1580&lt;&gt;C1579,D1580&lt;&gt;D1579,E1580&lt;&gt;E1579),G1579+1,G1579))</f>
        <v/>
      </c>
    </row>
    <row r="1581">
      <c r="A1581" s="14">
        <f>IF(OR(NOT(ISNUMBER(Ввод!$B$5)),NOT(ISNUMBER(Ввод!$B$6))),"",IF(Ввод!$B$5+1579&gt;Ввод!$B$6,"",Ввод!$B$5+1579))</f>
        <v/>
      </c>
      <c r="B1581">
        <f>IF(A1581="","",IFERROR(INDEX(Ввод!$B$12:$B$71,MATCH(A1581,Ввод!$D$12:$D$71,1)),""))</f>
        <v/>
      </c>
      <c r="C1581">
        <f>IF(A1581="","",DATE(YEAR(A1581),12,31)-DATE(YEAR(A1581),1,1)+1)</f>
        <v/>
      </c>
      <c r="D1581">
        <f>IF(A1581="","",Ввод!$B$4-SUMIF(Оплаты!$A$6:$A$505,"&lt;"&amp;A1581,Оплаты!$B$6:$B$505))</f>
        <v/>
      </c>
      <c r="E1581">
        <f>IF(A1581="","",IF(SUMPRODUCT((Ввод!$F$12:$F$31&lt;&gt;"")*(Ввод!$F$12:$F$31&lt;=A1581)*(Ввод!$G$12:$G$31&gt;=A1581))&gt;0,1,0))</f>
        <v/>
      </c>
      <c r="F1581">
        <f>IF(OR(A1581="",B1581=""),"",IF(E1581=1,0,D1581*B1581/100/C1581))</f>
        <v/>
      </c>
      <c r="G1581">
        <f>IF(A1581="","",IF(OR(B1581&lt;&gt;B1580,C1581&lt;&gt;C1580,D1581&lt;&gt;D1580,E1581&lt;&gt;E1580),G1580+1,G1580))</f>
        <v/>
      </c>
    </row>
    <row r="1582">
      <c r="A1582" s="14">
        <f>IF(OR(NOT(ISNUMBER(Ввод!$B$5)),NOT(ISNUMBER(Ввод!$B$6))),"",IF(Ввод!$B$5+1580&gt;Ввод!$B$6,"",Ввод!$B$5+1580))</f>
        <v/>
      </c>
      <c r="B1582">
        <f>IF(A1582="","",IFERROR(INDEX(Ввод!$B$12:$B$71,MATCH(A1582,Ввод!$D$12:$D$71,1)),""))</f>
        <v/>
      </c>
      <c r="C1582">
        <f>IF(A1582="","",DATE(YEAR(A1582),12,31)-DATE(YEAR(A1582),1,1)+1)</f>
        <v/>
      </c>
      <c r="D1582">
        <f>IF(A1582="","",Ввод!$B$4-SUMIF(Оплаты!$A$6:$A$505,"&lt;"&amp;A1582,Оплаты!$B$6:$B$505))</f>
        <v/>
      </c>
      <c r="E1582">
        <f>IF(A1582="","",IF(SUMPRODUCT((Ввод!$F$12:$F$31&lt;&gt;"")*(Ввод!$F$12:$F$31&lt;=A1582)*(Ввод!$G$12:$G$31&gt;=A1582))&gt;0,1,0))</f>
        <v/>
      </c>
      <c r="F1582">
        <f>IF(OR(A1582="",B1582=""),"",IF(E1582=1,0,D1582*B1582/100/C1582))</f>
        <v/>
      </c>
      <c r="G1582">
        <f>IF(A1582="","",IF(OR(B1582&lt;&gt;B1581,C1582&lt;&gt;C1581,D1582&lt;&gt;D1581,E1582&lt;&gt;E1581),G1581+1,G1581))</f>
        <v/>
      </c>
    </row>
    <row r="1583">
      <c r="A1583" s="14">
        <f>IF(OR(NOT(ISNUMBER(Ввод!$B$5)),NOT(ISNUMBER(Ввод!$B$6))),"",IF(Ввод!$B$5+1581&gt;Ввод!$B$6,"",Ввод!$B$5+1581))</f>
        <v/>
      </c>
      <c r="B1583">
        <f>IF(A1583="","",IFERROR(INDEX(Ввод!$B$12:$B$71,MATCH(A1583,Ввод!$D$12:$D$71,1)),""))</f>
        <v/>
      </c>
      <c r="C1583">
        <f>IF(A1583="","",DATE(YEAR(A1583),12,31)-DATE(YEAR(A1583),1,1)+1)</f>
        <v/>
      </c>
      <c r="D1583">
        <f>IF(A1583="","",Ввод!$B$4-SUMIF(Оплаты!$A$6:$A$505,"&lt;"&amp;A1583,Оплаты!$B$6:$B$505))</f>
        <v/>
      </c>
      <c r="E1583">
        <f>IF(A1583="","",IF(SUMPRODUCT((Ввод!$F$12:$F$31&lt;&gt;"")*(Ввод!$F$12:$F$31&lt;=A1583)*(Ввод!$G$12:$G$31&gt;=A1583))&gt;0,1,0))</f>
        <v/>
      </c>
      <c r="F1583">
        <f>IF(OR(A1583="",B1583=""),"",IF(E1583=1,0,D1583*B1583/100/C1583))</f>
        <v/>
      </c>
      <c r="G1583">
        <f>IF(A1583="","",IF(OR(B1583&lt;&gt;B1582,C1583&lt;&gt;C1582,D1583&lt;&gt;D1582,E1583&lt;&gt;E1582),G1582+1,G1582))</f>
        <v/>
      </c>
    </row>
    <row r="1584">
      <c r="A1584" s="14">
        <f>IF(OR(NOT(ISNUMBER(Ввод!$B$5)),NOT(ISNUMBER(Ввод!$B$6))),"",IF(Ввод!$B$5+1582&gt;Ввод!$B$6,"",Ввод!$B$5+1582))</f>
        <v/>
      </c>
      <c r="B1584">
        <f>IF(A1584="","",IFERROR(INDEX(Ввод!$B$12:$B$71,MATCH(A1584,Ввод!$D$12:$D$71,1)),""))</f>
        <v/>
      </c>
      <c r="C1584">
        <f>IF(A1584="","",DATE(YEAR(A1584),12,31)-DATE(YEAR(A1584),1,1)+1)</f>
        <v/>
      </c>
      <c r="D1584">
        <f>IF(A1584="","",Ввод!$B$4-SUMIF(Оплаты!$A$6:$A$505,"&lt;"&amp;A1584,Оплаты!$B$6:$B$505))</f>
        <v/>
      </c>
      <c r="E1584">
        <f>IF(A1584="","",IF(SUMPRODUCT((Ввод!$F$12:$F$31&lt;&gt;"")*(Ввод!$F$12:$F$31&lt;=A1584)*(Ввод!$G$12:$G$31&gt;=A1584))&gt;0,1,0))</f>
        <v/>
      </c>
      <c r="F1584">
        <f>IF(OR(A1584="",B1584=""),"",IF(E1584=1,0,D1584*B1584/100/C1584))</f>
        <v/>
      </c>
      <c r="G1584">
        <f>IF(A1584="","",IF(OR(B1584&lt;&gt;B1583,C1584&lt;&gt;C1583,D1584&lt;&gt;D1583,E1584&lt;&gt;E1583),G1583+1,G1583))</f>
        <v/>
      </c>
    </row>
    <row r="1585">
      <c r="A1585" s="14">
        <f>IF(OR(NOT(ISNUMBER(Ввод!$B$5)),NOT(ISNUMBER(Ввод!$B$6))),"",IF(Ввод!$B$5+1583&gt;Ввод!$B$6,"",Ввод!$B$5+1583))</f>
        <v/>
      </c>
      <c r="B1585">
        <f>IF(A1585="","",IFERROR(INDEX(Ввод!$B$12:$B$71,MATCH(A1585,Ввод!$D$12:$D$71,1)),""))</f>
        <v/>
      </c>
      <c r="C1585">
        <f>IF(A1585="","",DATE(YEAR(A1585),12,31)-DATE(YEAR(A1585),1,1)+1)</f>
        <v/>
      </c>
      <c r="D1585">
        <f>IF(A1585="","",Ввод!$B$4-SUMIF(Оплаты!$A$6:$A$505,"&lt;"&amp;A1585,Оплаты!$B$6:$B$505))</f>
        <v/>
      </c>
      <c r="E1585">
        <f>IF(A1585="","",IF(SUMPRODUCT((Ввод!$F$12:$F$31&lt;&gt;"")*(Ввод!$F$12:$F$31&lt;=A1585)*(Ввод!$G$12:$G$31&gt;=A1585))&gt;0,1,0))</f>
        <v/>
      </c>
      <c r="F1585">
        <f>IF(OR(A1585="",B1585=""),"",IF(E1585=1,0,D1585*B1585/100/C1585))</f>
        <v/>
      </c>
      <c r="G1585">
        <f>IF(A1585="","",IF(OR(B1585&lt;&gt;B1584,C1585&lt;&gt;C1584,D1585&lt;&gt;D1584,E1585&lt;&gt;E1584),G1584+1,G1584))</f>
        <v/>
      </c>
    </row>
    <row r="1586">
      <c r="A1586" s="14">
        <f>IF(OR(NOT(ISNUMBER(Ввод!$B$5)),NOT(ISNUMBER(Ввод!$B$6))),"",IF(Ввод!$B$5+1584&gt;Ввод!$B$6,"",Ввод!$B$5+1584))</f>
        <v/>
      </c>
      <c r="B1586">
        <f>IF(A1586="","",IFERROR(INDEX(Ввод!$B$12:$B$71,MATCH(A1586,Ввод!$D$12:$D$71,1)),""))</f>
        <v/>
      </c>
      <c r="C1586">
        <f>IF(A1586="","",DATE(YEAR(A1586),12,31)-DATE(YEAR(A1586),1,1)+1)</f>
        <v/>
      </c>
      <c r="D1586">
        <f>IF(A1586="","",Ввод!$B$4-SUMIF(Оплаты!$A$6:$A$505,"&lt;"&amp;A1586,Оплаты!$B$6:$B$505))</f>
        <v/>
      </c>
      <c r="E1586">
        <f>IF(A1586="","",IF(SUMPRODUCT((Ввод!$F$12:$F$31&lt;&gt;"")*(Ввод!$F$12:$F$31&lt;=A1586)*(Ввод!$G$12:$G$31&gt;=A1586))&gt;0,1,0))</f>
        <v/>
      </c>
      <c r="F1586">
        <f>IF(OR(A1586="",B1586=""),"",IF(E1586=1,0,D1586*B1586/100/C1586))</f>
        <v/>
      </c>
      <c r="G1586">
        <f>IF(A1586="","",IF(OR(B1586&lt;&gt;B1585,C1586&lt;&gt;C1585,D1586&lt;&gt;D1585,E1586&lt;&gt;E1585),G1585+1,G1585))</f>
        <v/>
      </c>
    </row>
    <row r="1587">
      <c r="A1587" s="14">
        <f>IF(OR(NOT(ISNUMBER(Ввод!$B$5)),NOT(ISNUMBER(Ввод!$B$6))),"",IF(Ввод!$B$5+1585&gt;Ввод!$B$6,"",Ввод!$B$5+1585))</f>
        <v/>
      </c>
      <c r="B1587">
        <f>IF(A1587="","",IFERROR(INDEX(Ввод!$B$12:$B$71,MATCH(A1587,Ввод!$D$12:$D$71,1)),""))</f>
        <v/>
      </c>
      <c r="C1587">
        <f>IF(A1587="","",DATE(YEAR(A1587),12,31)-DATE(YEAR(A1587),1,1)+1)</f>
        <v/>
      </c>
      <c r="D1587">
        <f>IF(A1587="","",Ввод!$B$4-SUMIF(Оплаты!$A$6:$A$505,"&lt;"&amp;A1587,Оплаты!$B$6:$B$505))</f>
        <v/>
      </c>
      <c r="E1587">
        <f>IF(A1587="","",IF(SUMPRODUCT((Ввод!$F$12:$F$31&lt;&gt;"")*(Ввод!$F$12:$F$31&lt;=A1587)*(Ввод!$G$12:$G$31&gt;=A1587))&gt;0,1,0))</f>
        <v/>
      </c>
      <c r="F1587">
        <f>IF(OR(A1587="",B1587=""),"",IF(E1587=1,0,D1587*B1587/100/C1587))</f>
        <v/>
      </c>
      <c r="G1587">
        <f>IF(A1587="","",IF(OR(B1587&lt;&gt;B1586,C1587&lt;&gt;C1586,D1587&lt;&gt;D1586,E1587&lt;&gt;E1586),G1586+1,G1586))</f>
        <v/>
      </c>
    </row>
    <row r="1588">
      <c r="A1588" s="14">
        <f>IF(OR(NOT(ISNUMBER(Ввод!$B$5)),NOT(ISNUMBER(Ввод!$B$6))),"",IF(Ввод!$B$5+1586&gt;Ввод!$B$6,"",Ввод!$B$5+1586))</f>
        <v/>
      </c>
      <c r="B1588">
        <f>IF(A1588="","",IFERROR(INDEX(Ввод!$B$12:$B$71,MATCH(A1588,Ввод!$D$12:$D$71,1)),""))</f>
        <v/>
      </c>
      <c r="C1588">
        <f>IF(A1588="","",DATE(YEAR(A1588),12,31)-DATE(YEAR(A1588),1,1)+1)</f>
        <v/>
      </c>
      <c r="D1588">
        <f>IF(A1588="","",Ввод!$B$4-SUMIF(Оплаты!$A$6:$A$505,"&lt;"&amp;A1588,Оплаты!$B$6:$B$505))</f>
        <v/>
      </c>
      <c r="E1588">
        <f>IF(A1588="","",IF(SUMPRODUCT((Ввод!$F$12:$F$31&lt;&gt;"")*(Ввод!$F$12:$F$31&lt;=A1588)*(Ввод!$G$12:$G$31&gt;=A1588))&gt;0,1,0))</f>
        <v/>
      </c>
      <c r="F1588">
        <f>IF(OR(A1588="",B1588=""),"",IF(E1588=1,0,D1588*B1588/100/C1588))</f>
        <v/>
      </c>
      <c r="G1588">
        <f>IF(A1588="","",IF(OR(B1588&lt;&gt;B1587,C1588&lt;&gt;C1587,D1588&lt;&gt;D1587,E1588&lt;&gt;E1587),G1587+1,G1587))</f>
        <v/>
      </c>
    </row>
    <row r="1589">
      <c r="A1589" s="14">
        <f>IF(OR(NOT(ISNUMBER(Ввод!$B$5)),NOT(ISNUMBER(Ввод!$B$6))),"",IF(Ввод!$B$5+1587&gt;Ввод!$B$6,"",Ввод!$B$5+1587))</f>
        <v/>
      </c>
      <c r="B1589">
        <f>IF(A1589="","",IFERROR(INDEX(Ввод!$B$12:$B$71,MATCH(A1589,Ввод!$D$12:$D$71,1)),""))</f>
        <v/>
      </c>
      <c r="C1589">
        <f>IF(A1589="","",DATE(YEAR(A1589),12,31)-DATE(YEAR(A1589),1,1)+1)</f>
        <v/>
      </c>
      <c r="D1589">
        <f>IF(A1589="","",Ввод!$B$4-SUMIF(Оплаты!$A$6:$A$505,"&lt;"&amp;A1589,Оплаты!$B$6:$B$505))</f>
        <v/>
      </c>
      <c r="E1589">
        <f>IF(A1589="","",IF(SUMPRODUCT((Ввод!$F$12:$F$31&lt;&gt;"")*(Ввод!$F$12:$F$31&lt;=A1589)*(Ввод!$G$12:$G$31&gt;=A1589))&gt;0,1,0))</f>
        <v/>
      </c>
      <c r="F1589">
        <f>IF(OR(A1589="",B1589=""),"",IF(E1589=1,0,D1589*B1589/100/C1589))</f>
        <v/>
      </c>
      <c r="G1589">
        <f>IF(A1589="","",IF(OR(B1589&lt;&gt;B1588,C1589&lt;&gt;C1588,D1589&lt;&gt;D1588,E1589&lt;&gt;E1588),G1588+1,G1588))</f>
        <v/>
      </c>
    </row>
    <row r="1590">
      <c r="A1590" s="14">
        <f>IF(OR(NOT(ISNUMBER(Ввод!$B$5)),NOT(ISNUMBER(Ввод!$B$6))),"",IF(Ввод!$B$5+1588&gt;Ввод!$B$6,"",Ввод!$B$5+1588))</f>
        <v/>
      </c>
      <c r="B1590">
        <f>IF(A1590="","",IFERROR(INDEX(Ввод!$B$12:$B$71,MATCH(A1590,Ввод!$D$12:$D$71,1)),""))</f>
        <v/>
      </c>
      <c r="C1590">
        <f>IF(A1590="","",DATE(YEAR(A1590),12,31)-DATE(YEAR(A1590),1,1)+1)</f>
        <v/>
      </c>
      <c r="D1590">
        <f>IF(A1590="","",Ввод!$B$4-SUMIF(Оплаты!$A$6:$A$505,"&lt;"&amp;A1590,Оплаты!$B$6:$B$505))</f>
        <v/>
      </c>
      <c r="E1590">
        <f>IF(A1590="","",IF(SUMPRODUCT((Ввод!$F$12:$F$31&lt;&gt;"")*(Ввод!$F$12:$F$31&lt;=A1590)*(Ввод!$G$12:$G$31&gt;=A1590))&gt;0,1,0))</f>
        <v/>
      </c>
      <c r="F1590">
        <f>IF(OR(A1590="",B1590=""),"",IF(E1590=1,0,D1590*B1590/100/C1590))</f>
        <v/>
      </c>
      <c r="G1590">
        <f>IF(A1590="","",IF(OR(B1590&lt;&gt;B1589,C1590&lt;&gt;C1589,D1590&lt;&gt;D1589,E1590&lt;&gt;E1589),G1589+1,G1589))</f>
        <v/>
      </c>
    </row>
    <row r="1591">
      <c r="A1591" s="14">
        <f>IF(OR(NOT(ISNUMBER(Ввод!$B$5)),NOT(ISNUMBER(Ввод!$B$6))),"",IF(Ввод!$B$5+1589&gt;Ввод!$B$6,"",Ввод!$B$5+1589))</f>
        <v/>
      </c>
      <c r="B1591">
        <f>IF(A1591="","",IFERROR(INDEX(Ввод!$B$12:$B$71,MATCH(A1591,Ввод!$D$12:$D$71,1)),""))</f>
        <v/>
      </c>
      <c r="C1591">
        <f>IF(A1591="","",DATE(YEAR(A1591),12,31)-DATE(YEAR(A1591),1,1)+1)</f>
        <v/>
      </c>
      <c r="D1591">
        <f>IF(A1591="","",Ввод!$B$4-SUMIF(Оплаты!$A$6:$A$505,"&lt;"&amp;A1591,Оплаты!$B$6:$B$505))</f>
        <v/>
      </c>
      <c r="E1591">
        <f>IF(A1591="","",IF(SUMPRODUCT((Ввод!$F$12:$F$31&lt;&gt;"")*(Ввод!$F$12:$F$31&lt;=A1591)*(Ввод!$G$12:$G$31&gt;=A1591))&gt;0,1,0))</f>
        <v/>
      </c>
      <c r="F1591">
        <f>IF(OR(A1591="",B1591=""),"",IF(E1591=1,0,D1591*B1591/100/C1591))</f>
        <v/>
      </c>
      <c r="G1591">
        <f>IF(A1591="","",IF(OR(B1591&lt;&gt;B1590,C1591&lt;&gt;C1590,D1591&lt;&gt;D1590,E1591&lt;&gt;E1590),G1590+1,G1590))</f>
        <v/>
      </c>
    </row>
    <row r="1592">
      <c r="A1592" s="14">
        <f>IF(OR(NOT(ISNUMBER(Ввод!$B$5)),NOT(ISNUMBER(Ввод!$B$6))),"",IF(Ввод!$B$5+1590&gt;Ввод!$B$6,"",Ввод!$B$5+1590))</f>
        <v/>
      </c>
      <c r="B1592">
        <f>IF(A1592="","",IFERROR(INDEX(Ввод!$B$12:$B$71,MATCH(A1592,Ввод!$D$12:$D$71,1)),""))</f>
        <v/>
      </c>
      <c r="C1592">
        <f>IF(A1592="","",DATE(YEAR(A1592),12,31)-DATE(YEAR(A1592),1,1)+1)</f>
        <v/>
      </c>
      <c r="D1592">
        <f>IF(A1592="","",Ввод!$B$4-SUMIF(Оплаты!$A$6:$A$505,"&lt;"&amp;A1592,Оплаты!$B$6:$B$505))</f>
        <v/>
      </c>
      <c r="E1592">
        <f>IF(A1592="","",IF(SUMPRODUCT((Ввод!$F$12:$F$31&lt;&gt;"")*(Ввод!$F$12:$F$31&lt;=A1592)*(Ввод!$G$12:$G$31&gt;=A1592))&gt;0,1,0))</f>
        <v/>
      </c>
      <c r="F1592">
        <f>IF(OR(A1592="",B1592=""),"",IF(E1592=1,0,D1592*B1592/100/C1592))</f>
        <v/>
      </c>
      <c r="G1592">
        <f>IF(A1592="","",IF(OR(B1592&lt;&gt;B1591,C1592&lt;&gt;C1591,D1592&lt;&gt;D1591,E1592&lt;&gt;E1591),G1591+1,G1591))</f>
        <v/>
      </c>
    </row>
    <row r="1593">
      <c r="A1593" s="14">
        <f>IF(OR(NOT(ISNUMBER(Ввод!$B$5)),NOT(ISNUMBER(Ввод!$B$6))),"",IF(Ввод!$B$5+1591&gt;Ввод!$B$6,"",Ввод!$B$5+1591))</f>
        <v/>
      </c>
      <c r="B1593">
        <f>IF(A1593="","",IFERROR(INDEX(Ввод!$B$12:$B$71,MATCH(A1593,Ввод!$D$12:$D$71,1)),""))</f>
        <v/>
      </c>
      <c r="C1593">
        <f>IF(A1593="","",DATE(YEAR(A1593),12,31)-DATE(YEAR(A1593),1,1)+1)</f>
        <v/>
      </c>
      <c r="D1593">
        <f>IF(A1593="","",Ввод!$B$4-SUMIF(Оплаты!$A$6:$A$505,"&lt;"&amp;A1593,Оплаты!$B$6:$B$505))</f>
        <v/>
      </c>
      <c r="E1593">
        <f>IF(A1593="","",IF(SUMPRODUCT((Ввод!$F$12:$F$31&lt;&gt;"")*(Ввод!$F$12:$F$31&lt;=A1593)*(Ввод!$G$12:$G$31&gt;=A1593))&gt;0,1,0))</f>
        <v/>
      </c>
      <c r="F1593">
        <f>IF(OR(A1593="",B1593=""),"",IF(E1593=1,0,D1593*B1593/100/C1593))</f>
        <v/>
      </c>
      <c r="G1593">
        <f>IF(A1593="","",IF(OR(B1593&lt;&gt;B1592,C1593&lt;&gt;C1592,D1593&lt;&gt;D1592,E1593&lt;&gt;E1592),G1592+1,G1592))</f>
        <v/>
      </c>
    </row>
    <row r="1594">
      <c r="A1594" s="14">
        <f>IF(OR(NOT(ISNUMBER(Ввод!$B$5)),NOT(ISNUMBER(Ввод!$B$6))),"",IF(Ввод!$B$5+1592&gt;Ввод!$B$6,"",Ввод!$B$5+1592))</f>
        <v/>
      </c>
      <c r="B1594">
        <f>IF(A1594="","",IFERROR(INDEX(Ввод!$B$12:$B$71,MATCH(A1594,Ввод!$D$12:$D$71,1)),""))</f>
        <v/>
      </c>
      <c r="C1594">
        <f>IF(A1594="","",DATE(YEAR(A1594),12,31)-DATE(YEAR(A1594),1,1)+1)</f>
        <v/>
      </c>
      <c r="D1594">
        <f>IF(A1594="","",Ввод!$B$4-SUMIF(Оплаты!$A$6:$A$505,"&lt;"&amp;A1594,Оплаты!$B$6:$B$505))</f>
        <v/>
      </c>
      <c r="E1594">
        <f>IF(A1594="","",IF(SUMPRODUCT((Ввод!$F$12:$F$31&lt;&gt;"")*(Ввод!$F$12:$F$31&lt;=A1594)*(Ввод!$G$12:$G$31&gt;=A1594))&gt;0,1,0))</f>
        <v/>
      </c>
      <c r="F1594">
        <f>IF(OR(A1594="",B1594=""),"",IF(E1594=1,0,D1594*B1594/100/C1594))</f>
        <v/>
      </c>
      <c r="G1594">
        <f>IF(A1594="","",IF(OR(B1594&lt;&gt;B1593,C1594&lt;&gt;C1593,D1594&lt;&gt;D1593,E1594&lt;&gt;E1593),G1593+1,G1593))</f>
        <v/>
      </c>
    </row>
    <row r="1595">
      <c r="A1595" s="14">
        <f>IF(OR(NOT(ISNUMBER(Ввод!$B$5)),NOT(ISNUMBER(Ввод!$B$6))),"",IF(Ввод!$B$5+1593&gt;Ввод!$B$6,"",Ввод!$B$5+1593))</f>
        <v/>
      </c>
      <c r="B1595">
        <f>IF(A1595="","",IFERROR(INDEX(Ввод!$B$12:$B$71,MATCH(A1595,Ввод!$D$12:$D$71,1)),""))</f>
        <v/>
      </c>
      <c r="C1595">
        <f>IF(A1595="","",DATE(YEAR(A1595),12,31)-DATE(YEAR(A1595),1,1)+1)</f>
        <v/>
      </c>
      <c r="D1595">
        <f>IF(A1595="","",Ввод!$B$4-SUMIF(Оплаты!$A$6:$A$505,"&lt;"&amp;A1595,Оплаты!$B$6:$B$505))</f>
        <v/>
      </c>
      <c r="E1595">
        <f>IF(A1595="","",IF(SUMPRODUCT((Ввод!$F$12:$F$31&lt;&gt;"")*(Ввод!$F$12:$F$31&lt;=A1595)*(Ввод!$G$12:$G$31&gt;=A1595))&gt;0,1,0))</f>
        <v/>
      </c>
      <c r="F1595">
        <f>IF(OR(A1595="",B1595=""),"",IF(E1595=1,0,D1595*B1595/100/C1595))</f>
        <v/>
      </c>
      <c r="G1595">
        <f>IF(A1595="","",IF(OR(B1595&lt;&gt;B1594,C1595&lt;&gt;C1594,D1595&lt;&gt;D1594,E1595&lt;&gt;E1594),G1594+1,G1594))</f>
        <v/>
      </c>
    </row>
    <row r="1596">
      <c r="A1596" s="14">
        <f>IF(OR(NOT(ISNUMBER(Ввод!$B$5)),NOT(ISNUMBER(Ввод!$B$6))),"",IF(Ввод!$B$5+1594&gt;Ввод!$B$6,"",Ввод!$B$5+1594))</f>
        <v/>
      </c>
      <c r="B1596">
        <f>IF(A1596="","",IFERROR(INDEX(Ввод!$B$12:$B$71,MATCH(A1596,Ввод!$D$12:$D$71,1)),""))</f>
        <v/>
      </c>
      <c r="C1596">
        <f>IF(A1596="","",DATE(YEAR(A1596),12,31)-DATE(YEAR(A1596),1,1)+1)</f>
        <v/>
      </c>
      <c r="D1596">
        <f>IF(A1596="","",Ввод!$B$4-SUMIF(Оплаты!$A$6:$A$505,"&lt;"&amp;A1596,Оплаты!$B$6:$B$505))</f>
        <v/>
      </c>
      <c r="E1596">
        <f>IF(A1596="","",IF(SUMPRODUCT((Ввод!$F$12:$F$31&lt;&gt;"")*(Ввод!$F$12:$F$31&lt;=A1596)*(Ввод!$G$12:$G$31&gt;=A1596))&gt;0,1,0))</f>
        <v/>
      </c>
      <c r="F1596">
        <f>IF(OR(A1596="",B1596=""),"",IF(E1596=1,0,D1596*B1596/100/C1596))</f>
        <v/>
      </c>
      <c r="G1596">
        <f>IF(A1596="","",IF(OR(B1596&lt;&gt;B1595,C1596&lt;&gt;C1595,D1596&lt;&gt;D1595,E1596&lt;&gt;E1595),G1595+1,G1595))</f>
        <v/>
      </c>
    </row>
    <row r="1597">
      <c r="A1597" s="14">
        <f>IF(OR(NOT(ISNUMBER(Ввод!$B$5)),NOT(ISNUMBER(Ввод!$B$6))),"",IF(Ввод!$B$5+1595&gt;Ввод!$B$6,"",Ввод!$B$5+1595))</f>
        <v/>
      </c>
      <c r="B1597">
        <f>IF(A1597="","",IFERROR(INDEX(Ввод!$B$12:$B$71,MATCH(A1597,Ввод!$D$12:$D$71,1)),""))</f>
        <v/>
      </c>
      <c r="C1597">
        <f>IF(A1597="","",DATE(YEAR(A1597),12,31)-DATE(YEAR(A1597),1,1)+1)</f>
        <v/>
      </c>
      <c r="D1597">
        <f>IF(A1597="","",Ввод!$B$4-SUMIF(Оплаты!$A$6:$A$505,"&lt;"&amp;A1597,Оплаты!$B$6:$B$505))</f>
        <v/>
      </c>
      <c r="E1597">
        <f>IF(A1597="","",IF(SUMPRODUCT((Ввод!$F$12:$F$31&lt;&gt;"")*(Ввод!$F$12:$F$31&lt;=A1597)*(Ввод!$G$12:$G$31&gt;=A1597))&gt;0,1,0))</f>
        <v/>
      </c>
      <c r="F1597">
        <f>IF(OR(A1597="",B1597=""),"",IF(E1597=1,0,D1597*B1597/100/C1597))</f>
        <v/>
      </c>
      <c r="G1597">
        <f>IF(A1597="","",IF(OR(B1597&lt;&gt;B1596,C1597&lt;&gt;C1596,D1597&lt;&gt;D1596,E1597&lt;&gt;E1596),G1596+1,G1596))</f>
        <v/>
      </c>
    </row>
    <row r="1598">
      <c r="A1598" s="14">
        <f>IF(OR(NOT(ISNUMBER(Ввод!$B$5)),NOT(ISNUMBER(Ввод!$B$6))),"",IF(Ввод!$B$5+1596&gt;Ввод!$B$6,"",Ввод!$B$5+1596))</f>
        <v/>
      </c>
      <c r="B1598">
        <f>IF(A1598="","",IFERROR(INDEX(Ввод!$B$12:$B$71,MATCH(A1598,Ввод!$D$12:$D$71,1)),""))</f>
        <v/>
      </c>
      <c r="C1598">
        <f>IF(A1598="","",DATE(YEAR(A1598),12,31)-DATE(YEAR(A1598),1,1)+1)</f>
        <v/>
      </c>
      <c r="D1598">
        <f>IF(A1598="","",Ввод!$B$4-SUMIF(Оплаты!$A$6:$A$505,"&lt;"&amp;A1598,Оплаты!$B$6:$B$505))</f>
        <v/>
      </c>
      <c r="E1598">
        <f>IF(A1598="","",IF(SUMPRODUCT((Ввод!$F$12:$F$31&lt;&gt;"")*(Ввод!$F$12:$F$31&lt;=A1598)*(Ввод!$G$12:$G$31&gt;=A1598))&gt;0,1,0))</f>
        <v/>
      </c>
      <c r="F1598">
        <f>IF(OR(A1598="",B1598=""),"",IF(E1598=1,0,D1598*B1598/100/C1598))</f>
        <v/>
      </c>
      <c r="G1598">
        <f>IF(A1598="","",IF(OR(B1598&lt;&gt;B1597,C1598&lt;&gt;C1597,D1598&lt;&gt;D1597,E1598&lt;&gt;E1597),G1597+1,G1597))</f>
        <v/>
      </c>
    </row>
    <row r="1599">
      <c r="A1599" s="14">
        <f>IF(OR(NOT(ISNUMBER(Ввод!$B$5)),NOT(ISNUMBER(Ввод!$B$6))),"",IF(Ввод!$B$5+1597&gt;Ввод!$B$6,"",Ввод!$B$5+1597))</f>
        <v/>
      </c>
      <c r="B1599">
        <f>IF(A1599="","",IFERROR(INDEX(Ввод!$B$12:$B$71,MATCH(A1599,Ввод!$D$12:$D$71,1)),""))</f>
        <v/>
      </c>
      <c r="C1599">
        <f>IF(A1599="","",DATE(YEAR(A1599),12,31)-DATE(YEAR(A1599),1,1)+1)</f>
        <v/>
      </c>
      <c r="D1599">
        <f>IF(A1599="","",Ввод!$B$4-SUMIF(Оплаты!$A$6:$A$505,"&lt;"&amp;A1599,Оплаты!$B$6:$B$505))</f>
        <v/>
      </c>
      <c r="E1599">
        <f>IF(A1599="","",IF(SUMPRODUCT((Ввод!$F$12:$F$31&lt;&gt;"")*(Ввод!$F$12:$F$31&lt;=A1599)*(Ввод!$G$12:$G$31&gt;=A1599))&gt;0,1,0))</f>
        <v/>
      </c>
      <c r="F1599">
        <f>IF(OR(A1599="",B1599=""),"",IF(E1599=1,0,D1599*B1599/100/C1599))</f>
        <v/>
      </c>
      <c r="G1599">
        <f>IF(A1599="","",IF(OR(B1599&lt;&gt;B1598,C1599&lt;&gt;C1598,D1599&lt;&gt;D1598,E1599&lt;&gt;E1598),G1598+1,G1598))</f>
        <v/>
      </c>
    </row>
    <row r="1600">
      <c r="A1600" s="14">
        <f>IF(OR(NOT(ISNUMBER(Ввод!$B$5)),NOT(ISNUMBER(Ввод!$B$6))),"",IF(Ввод!$B$5+1598&gt;Ввод!$B$6,"",Ввод!$B$5+1598))</f>
        <v/>
      </c>
      <c r="B1600">
        <f>IF(A1600="","",IFERROR(INDEX(Ввод!$B$12:$B$71,MATCH(A1600,Ввод!$D$12:$D$71,1)),""))</f>
        <v/>
      </c>
      <c r="C1600">
        <f>IF(A1600="","",DATE(YEAR(A1600),12,31)-DATE(YEAR(A1600),1,1)+1)</f>
        <v/>
      </c>
      <c r="D1600">
        <f>IF(A1600="","",Ввод!$B$4-SUMIF(Оплаты!$A$6:$A$505,"&lt;"&amp;A1600,Оплаты!$B$6:$B$505))</f>
        <v/>
      </c>
      <c r="E1600">
        <f>IF(A1600="","",IF(SUMPRODUCT((Ввод!$F$12:$F$31&lt;&gt;"")*(Ввод!$F$12:$F$31&lt;=A1600)*(Ввод!$G$12:$G$31&gt;=A1600))&gt;0,1,0))</f>
        <v/>
      </c>
      <c r="F1600">
        <f>IF(OR(A1600="",B1600=""),"",IF(E1600=1,0,D1600*B1600/100/C1600))</f>
        <v/>
      </c>
      <c r="G1600">
        <f>IF(A1600="","",IF(OR(B1600&lt;&gt;B1599,C1600&lt;&gt;C1599,D1600&lt;&gt;D1599,E1600&lt;&gt;E1599),G1599+1,G1599))</f>
        <v/>
      </c>
    </row>
    <row r="1601">
      <c r="A1601" s="14">
        <f>IF(OR(NOT(ISNUMBER(Ввод!$B$5)),NOT(ISNUMBER(Ввод!$B$6))),"",IF(Ввод!$B$5+1599&gt;Ввод!$B$6,"",Ввод!$B$5+1599))</f>
        <v/>
      </c>
      <c r="B1601">
        <f>IF(A1601="","",IFERROR(INDEX(Ввод!$B$12:$B$71,MATCH(A1601,Ввод!$D$12:$D$71,1)),""))</f>
        <v/>
      </c>
      <c r="C1601">
        <f>IF(A1601="","",DATE(YEAR(A1601),12,31)-DATE(YEAR(A1601),1,1)+1)</f>
        <v/>
      </c>
      <c r="D1601">
        <f>IF(A1601="","",Ввод!$B$4-SUMIF(Оплаты!$A$6:$A$505,"&lt;"&amp;A1601,Оплаты!$B$6:$B$505))</f>
        <v/>
      </c>
      <c r="E1601">
        <f>IF(A1601="","",IF(SUMPRODUCT((Ввод!$F$12:$F$31&lt;&gt;"")*(Ввод!$F$12:$F$31&lt;=A1601)*(Ввод!$G$12:$G$31&gt;=A1601))&gt;0,1,0))</f>
        <v/>
      </c>
      <c r="F1601">
        <f>IF(OR(A1601="",B1601=""),"",IF(E1601=1,0,D1601*B1601/100/C1601))</f>
        <v/>
      </c>
      <c r="G1601">
        <f>IF(A1601="","",IF(OR(B1601&lt;&gt;B1600,C1601&lt;&gt;C1600,D1601&lt;&gt;D1600,E1601&lt;&gt;E1600),G1600+1,G1600))</f>
        <v/>
      </c>
    </row>
    <row r="1602">
      <c r="A1602" s="14">
        <f>IF(OR(NOT(ISNUMBER(Ввод!$B$5)),NOT(ISNUMBER(Ввод!$B$6))),"",IF(Ввод!$B$5+1600&gt;Ввод!$B$6,"",Ввод!$B$5+1600))</f>
        <v/>
      </c>
      <c r="B1602">
        <f>IF(A1602="","",IFERROR(INDEX(Ввод!$B$12:$B$71,MATCH(A1602,Ввод!$D$12:$D$71,1)),""))</f>
        <v/>
      </c>
      <c r="C1602">
        <f>IF(A1602="","",DATE(YEAR(A1602),12,31)-DATE(YEAR(A1602),1,1)+1)</f>
        <v/>
      </c>
      <c r="D1602">
        <f>IF(A1602="","",Ввод!$B$4-SUMIF(Оплаты!$A$6:$A$505,"&lt;"&amp;A1602,Оплаты!$B$6:$B$505))</f>
        <v/>
      </c>
      <c r="E1602">
        <f>IF(A1602="","",IF(SUMPRODUCT((Ввод!$F$12:$F$31&lt;&gt;"")*(Ввод!$F$12:$F$31&lt;=A1602)*(Ввод!$G$12:$G$31&gt;=A1602))&gt;0,1,0))</f>
        <v/>
      </c>
      <c r="F1602">
        <f>IF(OR(A1602="",B1602=""),"",IF(E1602=1,0,D1602*B1602/100/C1602))</f>
        <v/>
      </c>
      <c r="G1602">
        <f>IF(A1602="","",IF(OR(B1602&lt;&gt;B1601,C1602&lt;&gt;C1601,D1602&lt;&gt;D1601,E1602&lt;&gt;E1601),G1601+1,G1601))</f>
        <v/>
      </c>
    </row>
    <row r="1603">
      <c r="A1603" s="14">
        <f>IF(OR(NOT(ISNUMBER(Ввод!$B$5)),NOT(ISNUMBER(Ввод!$B$6))),"",IF(Ввод!$B$5+1601&gt;Ввод!$B$6,"",Ввод!$B$5+1601))</f>
        <v/>
      </c>
      <c r="B1603">
        <f>IF(A1603="","",IFERROR(INDEX(Ввод!$B$12:$B$71,MATCH(A1603,Ввод!$D$12:$D$71,1)),""))</f>
        <v/>
      </c>
      <c r="C1603">
        <f>IF(A1603="","",DATE(YEAR(A1603),12,31)-DATE(YEAR(A1603),1,1)+1)</f>
        <v/>
      </c>
      <c r="D1603">
        <f>IF(A1603="","",Ввод!$B$4-SUMIF(Оплаты!$A$6:$A$505,"&lt;"&amp;A1603,Оплаты!$B$6:$B$505))</f>
        <v/>
      </c>
      <c r="E1603">
        <f>IF(A1603="","",IF(SUMPRODUCT((Ввод!$F$12:$F$31&lt;&gt;"")*(Ввод!$F$12:$F$31&lt;=A1603)*(Ввод!$G$12:$G$31&gt;=A1603))&gt;0,1,0))</f>
        <v/>
      </c>
      <c r="F1603">
        <f>IF(OR(A1603="",B1603=""),"",IF(E1603=1,0,D1603*B1603/100/C1603))</f>
        <v/>
      </c>
      <c r="G1603">
        <f>IF(A1603="","",IF(OR(B1603&lt;&gt;B1602,C1603&lt;&gt;C1602,D1603&lt;&gt;D1602,E1603&lt;&gt;E1602),G1602+1,G1602))</f>
        <v/>
      </c>
    </row>
    <row r="1604">
      <c r="A1604" s="14">
        <f>IF(OR(NOT(ISNUMBER(Ввод!$B$5)),NOT(ISNUMBER(Ввод!$B$6))),"",IF(Ввод!$B$5+1602&gt;Ввод!$B$6,"",Ввод!$B$5+1602))</f>
        <v/>
      </c>
      <c r="B1604">
        <f>IF(A1604="","",IFERROR(INDEX(Ввод!$B$12:$B$71,MATCH(A1604,Ввод!$D$12:$D$71,1)),""))</f>
        <v/>
      </c>
      <c r="C1604">
        <f>IF(A1604="","",DATE(YEAR(A1604),12,31)-DATE(YEAR(A1604),1,1)+1)</f>
        <v/>
      </c>
      <c r="D1604">
        <f>IF(A1604="","",Ввод!$B$4-SUMIF(Оплаты!$A$6:$A$505,"&lt;"&amp;A1604,Оплаты!$B$6:$B$505))</f>
        <v/>
      </c>
      <c r="E1604">
        <f>IF(A1604="","",IF(SUMPRODUCT((Ввод!$F$12:$F$31&lt;&gt;"")*(Ввод!$F$12:$F$31&lt;=A1604)*(Ввод!$G$12:$G$31&gt;=A1604))&gt;0,1,0))</f>
        <v/>
      </c>
      <c r="F1604">
        <f>IF(OR(A1604="",B1604=""),"",IF(E1604=1,0,D1604*B1604/100/C1604))</f>
        <v/>
      </c>
      <c r="G1604">
        <f>IF(A1604="","",IF(OR(B1604&lt;&gt;B1603,C1604&lt;&gt;C1603,D1604&lt;&gt;D1603,E1604&lt;&gt;E1603),G1603+1,G1603))</f>
        <v/>
      </c>
    </row>
    <row r="1605">
      <c r="A1605" s="14">
        <f>IF(OR(NOT(ISNUMBER(Ввод!$B$5)),NOT(ISNUMBER(Ввод!$B$6))),"",IF(Ввод!$B$5+1603&gt;Ввод!$B$6,"",Ввод!$B$5+1603))</f>
        <v/>
      </c>
      <c r="B1605">
        <f>IF(A1605="","",IFERROR(INDEX(Ввод!$B$12:$B$71,MATCH(A1605,Ввод!$D$12:$D$71,1)),""))</f>
        <v/>
      </c>
      <c r="C1605">
        <f>IF(A1605="","",DATE(YEAR(A1605),12,31)-DATE(YEAR(A1605),1,1)+1)</f>
        <v/>
      </c>
      <c r="D1605">
        <f>IF(A1605="","",Ввод!$B$4-SUMIF(Оплаты!$A$6:$A$505,"&lt;"&amp;A1605,Оплаты!$B$6:$B$505))</f>
        <v/>
      </c>
      <c r="E1605">
        <f>IF(A1605="","",IF(SUMPRODUCT((Ввод!$F$12:$F$31&lt;&gt;"")*(Ввод!$F$12:$F$31&lt;=A1605)*(Ввод!$G$12:$G$31&gt;=A1605))&gt;0,1,0))</f>
        <v/>
      </c>
      <c r="F1605">
        <f>IF(OR(A1605="",B1605=""),"",IF(E1605=1,0,D1605*B1605/100/C1605))</f>
        <v/>
      </c>
      <c r="G1605">
        <f>IF(A1605="","",IF(OR(B1605&lt;&gt;B1604,C1605&lt;&gt;C1604,D1605&lt;&gt;D1604,E1605&lt;&gt;E1604),G1604+1,G1604))</f>
        <v/>
      </c>
    </row>
    <row r="1606">
      <c r="A1606" s="14">
        <f>IF(OR(NOT(ISNUMBER(Ввод!$B$5)),NOT(ISNUMBER(Ввод!$B$6))),"",IF(Ввод!$B$5+1604&gt;Ввод!$B$6,"",Ввод!$B$5+1604))</f>
        <v/>
      </c>
      <c r="B1606">
        <f>IF(A1606="","",IFERROR(INDEX(Ввод!$B$12:$B$71,MATCH(A1606,Ввод!$D$12:$D$71,1)),""))</f>
        <v/>
      </c>
      <c r="C1606">
        <f>IF(A1606="","",DATE(YEAR(A1606),12,31)-DATE(YEAR(A1606),1,1)+1)</f>
        <v/>
      </c>
      <c r="D1606">
        <f>IF(A1606="","",Ввод!$B$4-SUMIF(Оплаты!$A$6:$A$505,"&lt;"&amp;A1606,Оплаты!$B$6:$B$505))</f>
        <v/>
      </c>
      <c r="E1606">
        <f>IF(A1606="","",IF(SUMPRODUCT((Ввод!$F$12:$F$31&lt;&gt;"")*(Ввод!$F$12:$F$31&lt;=A1606)*(Ввод!$G$12:$G$31&gt;=A1606))&gt;0,1,0))</f>
        <v/>
      </c>
      <c r="F1606">
        <f>IF(OR(A1606="",B1606=""),"",IF(E1606=1,0,D1606*B1606/100/C1606))</f>
        <v/>
      </c>
      <c r="G1606">
        <f>IF(A1606="","",IF(OR(B1606&lt;&gt;B1605,C1606&lt;&gt;C1605,D1606&lt;&gt;D1605,E1606&lt;&gt;E1605),G1605+1,G1605))</f>
        <v/>
      </c>
    </row>
    <row r="1607">
      <c r="A1607" s="14">
        <f>IF(OR(NOT(ISNUMBER(Ввод!$B$5)),NOT(ISNUMBER(Ввод!$B$6))),"",IF(Ввод!$B$5+1605&gt;Ввод!$B$6,"",Ввод!$B$5+1605))</f>
        <v/>
      </c>
      <c r="B1607">
        <f>IF(A1607="","",IFERROR(INDEX(Ввод!$B$12:$B$71,MATCH(A1607,Ввод!$D$12:$D$71,1)),""))</f>
        <v/>
      </c>
      <c r="C1607">
        <f>IF(A1607="","",DATE(YEAR(A1607),12,31)-DATE(YEAR(A1607),1,1)+1)</f>
        <v/>
      </c>
      <c r="D1607">
        <f>IF(A1607="","",Ввод!$B$4-SUMIF(Оплаты!$A$6:$A$505,"&lt;"&amp;A1607,Оплаты!$B$6:$B$505))</f>
        <v/>
      </c>
      <c r="E1607">
        <f>IF(A1607="","",IF(SUMPRODUCT((Ввод!$F$12:$F$31&lt;&gt;"")*(Ввод!$F$12:$F$31&lt;=A1607)*(Ввод!$G$12:$G$31&gt;=A1607))&gt;0,1,0))</f>
        <v/>
      </c>
      <c r="F1607">
        <f>IF(OR(A1607="",B1607=""),"",IF(E1607=1,0,D1607*B1607/100/C1607))</f>
        <v/>
      </c>
      <c r="G1607">
        <f>IF(A1607="","",IF(OR(B1607&lt;&gt;B1606,C1607&lt;&gt;C1606,D1607&lt;&gt;D1606,E1607&lt;&gt;E1606),G1606+1,G1606))</f>
        <v/>
      </c>
    </row>
    <row r="1608">
      <c r="A1608" s="14">
        <f>IF(OR(NOT(ISNUMBER(Ввод!$B$5)),NOT(ISNUMBER(Ввод!$B$6))),"",IF(Ввод!$B$5+1606&gt;Ввод!$B$6,"",Ввод!$B$5+1606))</f>
        <v/>
      </c>
      <c r="B1608">
        <f>IF(A1608="","",IFERROR(INDEX(Ввод!$B$12:$B$71,MATCH(A1608,Ввод!$D$12:$D$71,1)),""))</f>
        <v/>
      </c>
      <c r="C1608">
        <f>IF(A1608="","",DATE(YEAR(A1608),12,31)-DATE(YEAR(A1608),1,1)+1)</f>
        <v/>
      </c>
      <c r="D1608">
        <f>IF(A1608="","",Ввод!$B$4-SUMIF(Оплаты!$A$6:$A$505,"&lt;"&amp;A1608,Оплаты!$B$6:$B$505))</f>
        <v/>
      </c>
      <c r="E1608">
        <f>IF(A1608="","",IF(SUMPRODUCT((Ввод!$F$12:$F$31&lt;&gt;"")*(Ввод!$F$12:$F$31&lt;=A1608)*(Ввод!$G$12:$G$31&gt;=A1608))&gt;0,1,0))</f>
        <v/>
      </c>
      <c r="F1608">
        <f>IF(OR(A1608="",B1608=""),"",IF(E1608=1,0,D1608*B1608/100/C1608))</f>
        <v/>
      </c>
      <c r="G1608">
        <f>IF(A1608="","",IF(OR(B1608&lt;&gt;B1607,C1608&lt;&gt;C1607,D1608&lt;&gt;D1607,E1608&lt;&gt;E1607),G1607+1,G1607))</f>
        <v/>
      </c>
    </row>
    <row r="1609">
      <c r="A1609" s="14">
        <f>IF(OR(NOT(ISNUMBER(Ввод!$B$5)),NOT(ISNUMBER(Ввод!$B$6))),"",IF(Ввод!$B$5+1607&gt;Ввод!$B$6,"",Ввод!$B$5+1607))</f>
        <v/>
      </c>
      <c r="B1609">
        <f>IF(A1609="","",IFERROR(INDEX(Ввод!$B$12:$B$71,MATCH(A1609,Ввод!$D$12:$D$71,1)),""))</f>
        <v/>
      </c>
      <c r="C1609">
        <f>IF(A1609="","",DATE(YEAR(A1609),12,31)-DATE(YEAR(A1609),1,1)+1)</f>
        <v/>
      </c>
      <c r="D1609">
        <f>IF(A1609="","",Ввод!$B$4-SUMIF(Оплаты!$A$6:$A$505,"&lt;"&amp;A1609,Оплаты!$B$6:$B$505))</f>
        <v/>
      </c>
      <c r="E1609">
        <f>IF(A1609="","",IF(SUMPRODUCT((Ввод!$F$12:$F$31&lt;&gt;"")*(Ввод!$F$12:$F$31&lt;=A1609)*(Ввод!$G$12:$G$31&gt;=A1609))&gt;0,1,0))</f>
        <v/>
      </c>
      <c r="F1609">
        <f>IF(OR(A1609="",B1609=""),"",IF(E1609=1,0,D1609*B1609/100/C1609))</f>
        <v/>
      </c>
      <c r="G1609">
        <f>IF(A1609="","",IF(OR(B1609&lt;&gt;B1608,C1609&lt;&gt;C1608,D1609&lt;&gt;D1608,E1609&lt;&gt;E1608),G1608+1,G1608))</f>
        <v/>
      </c>
    </row>
    <row r="1610">
      <c r="A1610" s="14">
        <f>IF(OR(NOT(ISNUMBER(Ввод!$B$5)),NOT(ISNUMBER(Ввод!$B$6))),"",IF(Ввод!$B$5+1608&gt;Ввод!$B$6,"",Ввод!$B$5+1608))</f>
        <v/>
      </c>
      <c r="B1610">
        <f>IF(A1610="","",IFERROR(INDEX(Ввод!$B$12:$B$71,MATCH(A1610,Ввод!$D$12:$D$71,1)),""))</f>
        <v/>
      </c>
      <c r="C1610">
        <f>IF(A1610="","",DATE(YEAR(A1610),12,31)-DATE(YEAR(A1610),1,1)+1)</f>
        <v/>
      </c>
      <c r="D1610">
        <f>IF(A1610="","",Ввод!$B$4-SUMIF(Оплаты!$A$6:$A$505,"&lt;"&amp;A1610,Оплаты!$B$6:$B$505))</f>
        <v/>
      </c>
      <c r="E1610">
        <f>IF(A1610="","",IF(SUMPRODUCT((Ввод!$F$12:$F$31&lt;&gt;"")*(Ввод!$F$12:$F$31&lt;=A1610)*(Ввод!$G$12:$G$31&gt;=A1610))&gt;0,1,0))</f>
        <v/>
      </c>
      <c r="F1610">
        <f>IF(OR(A1610="",B1610=""),"",IF(E1610=1,0,D1610*B1610/100/C1610))</f>
        <v/>
      </c>
      <c r="G1610">
        <f>IF(A1610="","",IF(OR(B1610&lt;&gt;B1609,C1610&lt;&gt;C1609,D1610&lt;&gt;D1609,E1610&lt;&gt;E1609),G1609+1,G1609))</f>
        <v/>
      </c>
    </row>
    <row r="1611">
      <c r="A1611" s="14">
        <f>IF(OR(NOT(ISNUMBER(Ввод!$B$5)),NOT(ISNUMBER(Ввод!$B$6))),"",IF(Ввод!$B$5+1609&gt;Ввод!$B$6,"",Ввод!$B$5+1609))</f>
        <v/>
      </c>
      <c r="B1611">
        <f>IF(A1611="","",IFERROR(INDEX(Ввод!$B$12:$B$71,MATCH(A1611,Ввод!$D$12:$D$71,1)),""))</f>
        <v/>
      </c>
      <c r="C1611">
        <f>IF(A1611="","",DATE(YEAR(A1611),12,31)-DATE(YEAR(A1611),1,1)+1)</f>
        <v/>
      </c>
      <c r="D1611">
        <f>IF(A1611="","",Ввод!$B$4-SUMIF(Оплаты!$A$6:$A$505,"&lt;"&amp;A1611,Оплаты!$B$6:$B$505))</f>
        <v/>
      </c>
      <c r="E1611">
        <f>IF(A1611="","",IF(SUMPRODUCT((Ввод!$F$12:$F$31&lt;&gt;"")*(Ввод!$F$12:$F$31&lt;=A1611)*(Ввод!$G$12:$G$31&gt;=A1611))&gt;0,1,0))</f>
        <v/>
      </c>
      <c r="F1611">
        <f>IF(OR(A1611="",B1611=""),"",IF(E1611=1,0,D1611*B1611/100/C1611))</f>
        <v/>
      </c>
      <c r="G1611">
        <f>IF(A1611="","",IF(OR(B1611&lt;&gt;B1610,C1611&lt;&gt;C1610,D1611&lt;&gt;D1610,E1611&lt;&gt;E1610),G1610+1,G1610))</f>
        <v/>
      </c>
    </row>
    <row r="1612">
      <c r="A1612" s="14">
        <f>IF(OR(NOT(ISNUMBER(Ввод!$B$5)),NOT(ISNUMBER(Ввод!$B$6))),"",IF(Ввод!$B$5+1610&gt;Ввод!$B$6,"",Ввод!$B$5+1610))</f>
        <v/>
      </c>
      <c r="B1612">
        <f>IF(A1612="","",IFERROR(INDEX(Ввод!$B$12:$B$71,MATCH(A1612,Ввод!$D$12:$D$71,1)),""))</f>
        <v/>
      </c>
      <c r="C1612">
        <f>IF(A1612="","",DATE(YEAR(A1612),12,31)-DATE(YEAR(A1612),1,1)+1)</f>
        <v/>
      </c>
      <c r="D1612">
        <f>IF(A1612="","",Ввод!$B$4-SUMIF(Оплаты!$A$6:$A$505,"&lt;"&amp;A1612,Оплаты!$B$6:$B$505))</f>
        <v/>
      </c>
      <c r="E1612">
        <f>IF(A1612="","",IF(SUMPRODUCT((Ввод!$F$12:$F$31&lt;&gt;"")*(Ввод!$F$12:$F$31&lt;=A1612)*(Ввод!$G$12:$G$31&gt;=A1612))&gt;0,1,0))</f>
        <v/>
      </c>
      <c r="F1612">
        <f>IF(OR(A1612="",B1612=""),"",IF(E1612=1,0,D1612*B1612/100/C1612))</f>
        <v/>
      </c>
      <c r="G1612">
        <f>IF(A1612="","",IF(OR(B1612&lt;&gt;B1611,C1612&lt;&gt;C1611,D1612&lt;&gt;D1611,E1612&lt;&gt;E1611),G1611+1,G1611))</f>
        <v/>
      </c>
    </row>
    <row r="1613">
      <c r="A1613" s="14">
        <f>IF(OR(NOT(ISNUMBER(Ввод!$B$5)),NOT(ISNUMBER(Ввод!$B$6))),"",IF(Ввод!$B$5+1611&gt;Ввод!$B$6,"",Ввод!$B$5+1611))</f>
        <v/>
      </c>
      <c r="B1613">
        <f>IF(A1613="","",IFERROR(INDEX(Ввод!$B$12:$B$71,MATCH(A1613,Ввод!$D$12:$D$71,1)),""))</f>
        <v/>
      </c>
      <c r="C1613">
        <f>IF(A1613="","",DATE(YEAR(A1613),12,31)-DATE(YEAR(A1613),1,1)+1)</f>
        <v/>
      </c>
      <c r="D1613">
        <f>IF(A1613="","",Ввод!$B$4-SUMIF(Оплаты!$A$6:$A$505,"&lt;"&amp;A1613,Оплаты!$B$6:$B$505))</f>
        <v/>
      </c>
      <c r="E1613">
        <f>IF(A1613="","",IF(SUMPRODUCT((Ввод!$F$12:$F$31&lt;&gt;"")*(Ввод!$F$12:$F$31&lt;=A1613)*(Ввод!$G$12:$G$31&gt;=A1613))&gt;0,1,0))</f>
        <v/>
      </c>
      <c r="F1613">
        <f>IF(OR(A1613="",B1613=""),"",IF(E1613=1,0,D1613*B1613/100/C1613))</f>
        <v/>
      </c>
      <c r="G1613">
        <f>IF(A1613="","",IF(OR(B1613&lt;&gt;B1612,C1613&lt;&gt;C1612,D1613&lt;&gt;D1612,E1613&lt;&gt;E1612),G1612+1,G1612))</f>
        <v/>
      </c>
    </row>
    <row r="1614">
      <c r="A1614" s="14">
        <f>IF(OR(NOT(ISNUMBER(Ввод!$B$5)),NOT(ISNUMBER(Ввод!$B$6))),"",IF(Ввод!$B$5+1612&gt;Ввод!$B$6,"",Ввод!$B$5+1612))</f>
        <v/>
      </c>
      <c r="B1614">
        <f>IF(A1614="","",IFERROR(INDEX(Ввод!$B$12:$B$71,MATCH(A1614,Ввод!$D$12:$D$71,1)),""))</f>
        <v/>
      </c>
      <c r="C1614">
        <f>IF(A1614="","",DATE(YEAR(A1614),12,31)-DATE(YEAR(A1614),1,1)+1)</f>
        <v/>
      </c>
      <c r="D1614">
        <f>IF(A1614="","",Ввод!$B$4-SUMIF(Оплаты!$A$6:$A$505,"&lt;"&amp;A1614,Оплаты!$B$6:$B$505))</f>
        <v/>
      </c>
      <c r="E1614">
        <f>IF(A1614="","",IF(SUMPRODUCT((Ввод!$F$12:$F$31&lt;&gt;"")*(Ввод!$F$12:$F$31&lt;=A1614)*(Ввод!$G$12:$G$31&gt;=A1614))&gt;0,1,0))</f>
        <v/>
      </c>
      <c r="F1614">
        <f>IF(OR(A1614="",B1614=""),"",IF(E1614=1,0,D1614*B1614/100/C1614))</f>
        <v/>
      </c>
      <c r="G1614">
        <f>IF(A1614="","",IF(OR(B1614&lt;&gt;B1613,C1614&lt;&gt;C1613,D1614&lt;&gt;D1613,E1614&lt;&gt;E1613),G1613+1,G1613))</f>
        <v/>
      </c>
    </row>
    <row r="1615">
      <c r="A1615" s="14">
        <f>IF(OR(NOT(ISNUMBER(Ввод!$B$5)),NOT(ISNUMBER(Ввод!$B$6))),"",IF(Ввод!$B$5+1613&gt;Ввод!$B$6,"",Ввод!$B$5+1613))</f>
        <v/>
      </c>
      <c r="B1615">
        <f>IF(A1615="","",IFERROR(INDEX(Ввод!$B$12:$B$71,MATCH(A1615,Ввод!$D$12:$D$71,1)),""))</f>
        <v/>
      </c>
      <c r="C1615">
        <f>IF(A1615="","",DATE(YEAR(A1615),12,31)-DATE(YEAR(A1615),1,1)+1)</f>
        <v/>
      </c>
      <c r="D1615">
        <f>IF(A1615="","",Ввод!$B$4-SUMIF(Оплаты!$A$6:$A$505,"&lt;"&amp;A1615,Оплаты!$B$6:$B$505))</f>
        <v/>
      </c>
      <c r="E1615">
        <f>IF(A1615="","",IF(SUMPRODUCT((Ввод!$F$12:$F$31&lt;&gt;"")*(Ввод!$F$12:$F$31&lt;=A1615)*(Ввод!$G$12:$G$31&gt;=A1615))&gt;0,1,0))</f>
        <v/>
      </c>
      <c r="F1615">
        <f>IF(OR(A1615="",B1615=""),"",IF(E1615=1,0,D1615*B1615/100/C1615))</f>
        <v/>
      </c>
      <c r="G1615">
        <f>IF(A1615="","",IF(OR(B1615&lt;&gt;B1614,C1615&lt;&gt;C1614,D1615&lt;&gt;D1614,E1615&lt;&gt;E1614),G1614+1,G1614))</f>
        <v/>
      </c>
    </row>
    <row r="1616">
      <c r="A1616" s="14">
        <f>IF(OR(NOT(ISNUMBER(Ввод!$B$5)),NOT(ISNUMBER(Ввод!$B$6))),"",IF(Ввод!$B$5+1614&gt;Ввод!$B$6,"",Ввод!$B$5+1614))</f>
        <v/>
      </c>
      <c r="B1616">
        <f>IF(A1616="","",IFERROR(INDEX(Ввод!$B$12:$B$71,MATCH(A1616,Ввод!$D$12:$D$71,1)),""))</f>
        <v/>
      </c>
      <c r="C1616">
        <f>IF(A1616="","",DATE(YEAR(A1616),12,31)-DATE(YEAR(A1616),1,1)+1)</f>
        <v/>
      </c>
      <c r="D1616">
        <f>IF(A1616="","",Ввод!$B$4-SUMIF(Оплаты!$A$6:$A$505,"&lt;"&amp;A1616,Оплаты!$B$6:$B$505))</f>
        <v/>
      </c>
      <c r="E1616">
        <f>IF(A1616="","",IF(SUMPRODUCT((Ввод!$F$12:$F$31&lt;&gt;"")*(Ввод!$F$12:$F$31&lt;=A1616)*(Ввод!$G$12:$G$31&gt;=A1616))&gt;0,1,0))</f>
        <v/>
      </c>
      <c r="F1616">
        <f>IF(OR(A1616="",B1616=""),"",IF(E1616=1,0,D1616*B1616/100/C1616))</f>
        <v/>
      </c>
      <c r="G1616">
        <f>IF(A1616="","",IF(OR(B1616&lt;&gt;B1615,C1616&lt;&gt;C1615,D1616&lt;&gt;D1615,E1616&lt;&gt;E1615),G1615+1,G1615))</f>
        <v/>
      </c>
    </row>
    <row r="1617">
      <c r="A1617" s="14">
        <f>IF(OR(NOT(ISNUMBER(Ввод!$B$5)),NOT(ISNUMBER(Ввод!$B$6))),"",IF(Ввод!$B$5+1615&gt;Ввод!$B$6,"",Ввод!$B$5+1615))</f>
        <v/>
      </c>
      <c r="B1617">
        <f>IF(A1617="","",IFERROR(INDEX(Ввод!$B$12:$B$71,MATCH(A1617,Ввод!$D$12:$D$71,1)),""))</f>
        <v/>
      </c>
      <c r="C1617">
        <f>IF(A1617="","",DATE(YEAR(A1617),12,31)-DATE(YEAR(A1617),1,1)+1)</f>
        <v/>
      </c>
      <c r="D1617">
        <f>IF(A1617="","",Ввод!$B$4-SUMIF(Оплаты!$A$6:$A$505,"&lt;"&amp;A1617,Оплаты!$B$6:$B$505))</f>
        <v/>
      </c>
      <c r="E1617">
        <f>IF(A1617="","",IF(SUMPRODUCT((Ввод!$F$12:$F$31&lt;&gt;"")*(Ввод!$F$12:$F$31&lt;=A1617)*(Ввод!$G$12:$G$31&gt;=A1617))&gt;0,1,0))</f>
        <v/>
      </c>
      <c r="F1617">
        <f>IF(OR(A1617="",B1617=""),"",IF(E1617=1,0,D1617*B1617/100/C1617))</f>
        <v/>
      </c>
      <c r="G1617">
        <f>IF(A1617="","",IF(OR(B1617&lt;&gt;B1616,C1617&lt;&gt;C1616,D1617&lt;&gt;D1616,E1617&lt;&gt;E1616),G1616+1,G1616))</f>
        <v/>
      </c>
    </row>
    <row r="1618">
      <c r="A1618" s="14">
        <f>IF(OR(NOT(ISNUMBER(Ввод!$B$5)),NOT(ISNUMBER(Ввод!$B$6))),"",IF(Ввод!$B$5+1616&gt;Ввод!$B$6,"",Ввод!$B$5+1616))</f>
        <v/>
      </c>
      <c r="B1618">
        <f>IF(A1618="","",IFERROR(INDEX(Ввод!$B$12:$B$71,MATCH(A1618,Ввод!$D$12:$D$71,1)),""))</f>
        <v/>
      </c>
      <c r="C1618">
        <f>IF(A1618="","",DATE(YEAR(A1618),12,31)-DATE(YEAR(A1618),1,1)+1)</f>
        <v/>
      </c>
      <c r="D1618">
        <f>IF(A1618="","",Ввод!$B$4-SUMIF(Оплаты!$A$6:$A$505,"&lt;"&amp;A1618,Оплаты!$B$6:$B$505))</f>
        <v/>
      </c>
      <c r="E1618">
        <f>IF(A1618="","",IF(SUMPRODUCT((Ввод!$F$12:$F$31&lt;&gt;"")*(Ввод!$F$12:$F$31&lt;=A1618)*(Ввод!$G$12:$G$31&gt;=A1618))&gt;0,1,0))</f>
        <v/>
      </c>
      <c r="F1618">
        <f>IF(OR(A1618="",B1618=""),"",IF(E1618=1,0,D1618*B1618/100/C1618))</f>
        <v/>
      </c>
      <c r="G1618">
        <f>IF(A1618="","",IF(OR(B1618&lt;&gt;B1617,C1618&lt;&gt;C1617,D1618&lt;&gt;D1617,E1618&lt;&gt;E1617),G1617+1,G1617))</f>
        <v/>
      </c>
    </row>
    <row r="1619">
      <c r="A1619" s="14">
        <f>IF(OR(NOT(ISNUMBER(Ввод!$B$5)),NOT(ISNUMBER(Ввод!$B$6))),"",IF(Ввод!$B$5+1617&gt;Ввод!$B$6,"",Ввод!$B$5+1617))</f>
        <v/>
      </c>
      <c r="B1619">
        <f>IF(A1619="","",IFERROR(INDEX(Ввод!$B$12:$B$71,MATCH(A1619,Ввод!$D$12:$D$71,1)),""))</f>
        <v/>
      </c>
      <c r="C1619">
        <f>IF(A1619="","",DATE(YEAR(A1619),12,31)-DATE(YEAR(A1619),1,1)+1)</f>
        <v/>
      </c>
      <c r="D1619">
        <f>IF(A1619="","",Ввод!$B$4-SUMIF(Оплаты!$A$6:$A$505,"&lt;"&amp;A1619,Оплаты!$B$6:$B$505))</f>
        <v/>
      </c>
      <c r="E1619">
        <f>IF(A1619="","",IF(SUMPRODUCT((Ввод!$F$12:$F$31&lt;&gt;"")*(Ввод!$F$12:$F$31&lt;=A1619)*(Ввод!$G$12:$G$31&gt;=A1619))&gt;0,1,0))</f>
        <v/>
      </c>
      <c r="F1619">
        <f>IF(OR(A1619="",B1619=""),"",IF(E1619=1,0,D1619*B1619/100/C1619))</f>
        <v/>
      </c>
      <c r="G1619">
        <f>IF(A1619="","",IF(OR(B1619&lt;&gt;B1618,C1619&lt;&gt;C1618,D1619&lt;&gt;D1618,E1619&lt;&gt;E1618),G1618+1,G1618))</f>
        <v/>
      </c>
    </row>
    <row r="1620">
      <c r="A1620" s="14">
        <f>IF(OR(NOT(ISNUMBER(Ввод!$B$5)),NOT(ISNUMBER(Ввод!$B$6))),"",IF(Ввод!$B$5+1618&gt;Ввод!$B$6,"",Ввод!$B$5+1618))</f>
        <v/>
      </c>
      <c r="B1620">
        <f>IF(A1620="","",IFERROR(INDEX(Ввод!$B$12:$B$71,MATCH(A1620,Ввод!$D$12:$D$71,1)),""))</f>
        <v/>
      </c>
      <c r="C1620">
        <f>IF(A1620="","",DATE(YEAR(A1620),12,31)-DATE(YEAR(A1620),1,1)+1)</f>
        <v/>
      </c>
      <c r="D1620">
        <f>IF(A1620="","",Ввод!$B$4-SUMIF(Оплаты!$A$6:$A$505,"&lt;"&amp;A1620,Оплаты!$B$6:$B$505))</f>
        <v/>
      </c>
      <c r="E1620">
        <f>IF(A1620="","",IF(SUMPRODUCT((Ввод!$F$12:$F$31&lt;&gt;"")*(Ввод!$F$12:$F$31&lt;=A1620)*(Ввод!$G$12:$G$31&gt;=A1620))&gt;0,1,0))</f>
        <v/>
      </c>
      <c r="F1620">
        <f>IF(OR(A1620="",B1620=""),"",IF(E1620=1,0,D1620*B1620/100/C1620))</f>
        <v/>
      </c>
      <c r="G1620">
        <f>IF(A1620="","",IF(OR(B1620&lt;&gt;B1619,C1620&lt;&gt;C1619,D1620&lt;&gt;D1619,E1620&lt;&gt;E1619),G1619+1,G1619))</f>
        <v/>
      </c>
    </row>
    <row r="1621">
      <c r="A1621" s="14">
        <f>IF(OR(NOT(ISNUMBER(Ввод!$B$5)),NOT(ISNUMBER(Ввод!$B$6))),"",IF(Ввод!$B$5+1619&gt;Ввод!$B$6,"",Ввод!$B$5+1619))</f>
        <v/>
      </c>
      <c r="B1621">
        <f>IF(A1621="","",IFERROR(INDEX(Ввод!$B$12:$B$71,MATCH(A1621,Ввод!$D$12:$D$71,1)),""))</f>
        <v/>
      </c>
      <c r="C1621">
        <f>IF(A1621="","",DATE(YEAR(A1621),12,31)-DATE(YEAR(A1621),1,1)+1)</f>
        <v/>
      </c>
      <c r="D1621">
        <f>IF(A1621="","",Ввод!$B$4-SUMIF(Оплаты!$A$6:$A$505,"&lt;"&amp;A1621,Оплаты!$B$6:$B$505))</f>
        <v/>
      </c>
      <c r="E1621">
        <f>IF(A1621="","",IF(SUMPRODUCT((Ввод!$F$12:$F$31&lt;&gt;"")*(Ввод!$F$12:$F$31&lt;=A1621)*(Ввод!$G$12:$G$31&gt;=A1621))&gt;0,1,0))</f>
        <v/>
      </c>
      <c r="F1621">
        <f>IF(OR(A1621="",B1621=""),"",IF(E1621=1,0,D1621*B1621/100/C1621))</f>
        <v/>
      </c>
      <c r="G1621">
        <f>IF(A1621="","",IF(OR(B1621&lt;&gt;B1620,C1621&lt;&gt;C1620,D1621&lt;&gt;D1620,E1621&lt;&gt;E1620),G1620+1,G1620))</f>
        <v/>
      </c>
    </row>
    <row r="1622">
      <c r="A1622" s="14">
        <f>IF(OR(NOT(ISNUMBER(Ввод!$B$5)),NOT(ISNUMBER(Ввод!$B$6))),"",IF(Ввод!$B$5+1620&gt;Ввод!$B$6,"",Ввод!$B$5+1620))</f>
        <v/>
      </c>
      <c r="B1622">
        <f>IF(A1622="","",IFERROR(INDEX(Ввод!$B$12:$B$71,MATCH(A1622,Ввод!$D$12:$D$71,1)),""))</f>
        <v/>
      </c>
      <c r="C1622">
        <f>IF(A1622="","",DATE(YEAR(A1622),12,31)-DATE(YEAR(A1622),1,1)+1)</f>
        <v/>
      </c>
      <c r="D1622">
        <f>IF(A1622="","",Ввод!$B$4-SUMIF(Оплаты!$A$6:$A$505,"&lt;"&amp;A1622,Оплаты!$B$6:$B$505))</f>
        <v/>
      </c>
      <c r="E1622">
        <f>IF(A1622="","",IF(SUMPRODUCT((Ввод!$F$12:$F$31&lt;&gt;"")*(Ввод!$F$12:$F$31&lt;=A1622)*(Ввод!$G$12:$G$31&gt;=A1622))&gt;0,1,0))</f>
        <v/>
      </c>
      <c r="F1622">
        <f>IF(OR(A1622="",B1622=""),"",IF(E1622=1,0,D1622*B1622/100/C1622))</f>
        <v/>
      </c>
      <c r="G1622">
        <f>IF(A1622="","",IF(OR(B1622&lt;&gt;B1621,C1622&lt;&gt;C1621,D1622&lt;&gt;D1621,E1622&lt;&gt;E1621),G1621+1,G1621))</f>
        <v/>
      </c>
    </row>
    <row r="1623">
      <c r="A1623" s="14">
        <f>IF(OR(NOT(ISNUMBER(Ввод!$B$5)),NOT(ISNUMBER(Ввод!$B$6))),"",IF(Ввод!$B$5+1621&gt;Ввод!$B$6,"",Ввод!$B$5+1621))</f>
        <v/>
      </c>
      <c r="B1623">
        <f>IF(A1623="","",IFERROR(INDEX(Ввод!$B$12:$B$71,MATCH(A1623,Ввод!$D$12:$D$71,1)),""))</f>
        <v/>
      </c>
      <c r="C1623">
        <f>IF(A1623="","",DATE(YEAR(A1623),12,31)-DATE(YEAR(A1623),1,1)+1)</f>
        <v/>
      </c>
      <c r="D1623">
        <f>IF(A1623="","",Ввод!$B$4-SUMIF(Оплаты!$A$6:$A$505,"&lt;"&amp;A1623,Оплаты!$B$6:$B$505))</f>
        <v/>
      </c>
      <c r="E1623">
        <f>IF(A1623="","",IF(SUMPRODUCT((Ввод!$F$12:$F$31&lt;&gt;"")*(Ввод!$F$12:$F$31&lt;=A1623)*(Ввод!$G$12:$G$31&gt;=A1623))&gt;0,1,0))</f>
        <v/>
      </c>
      <c r="F1623">
        <f>IF(OR(A1623="",B1623=""),"",IF(E1623=1,0,D1623*B1623/100/C1623))</f>
        <v/>
      </c>
      <c r="G1623">
        <f>IF(A1623="","",IF(OR(B1623&lt;&gt;B1622,C1623&lt;&gt;C1622,D1623&lt;&gt;D1622,E1623&lt;&gt;E1622),G1622+1,G1622))</f>
        <v/>
      </c>
    </row>
    <row r="1624">
      <c r="A1624" s="14">
        <f>IF(OR(NOT(ISNUMBER(Ввод!$B$5)),NOT(ISNUMBER(Ввод!$B$6))),"",IF(Ввод!$B$5+1622&gt;Ввод!$B$6,"",Ввод!$B$5+1622))</f>
        <v/>
      </c>
      <c r="B1624">
        <f>IF(A1624="","",IFERROR(INDEX(Ввод!$B$12:$B$71,MATCH(A1624,Ввод!$D$12:$D$71,1)),""))</f>
        <v/>
      </c>
      <c r="C1624">
        <f>IF(A1624="","",DATE(YEAR(A1624),12,31)-DATE(YEAR(A1624),1,1)+1)</f>
        <v/>
      </c>
      <c r="D1624">
        <f>IF(A1624="","",Ввод!$B$4-SUMIF(Оплаты!$A$6:$A$505,"&lt;"&amp;A1624,Оплаты!$B$6:$B$505))</f>
        <v/>
      </c>
      <c r="E1624">
        <f>IF(A1624="","",IF(SUMPRODUCT((Ввод!$F$12:$F$31&lt;&gt;"")*(Ввод!$F$12:$F$31&lt;=A1624)*(Ввод!$G$12:$G$31&gt;=A1624))&gt;0,1,0))</f>
        <v/>
      </c>
      <c r="F1624">
        <f>IF(OR(A1624="",B1624=""),"",IF(E1624=1,0,D1624*B1624/100/C1624))</f>
        <v/>
      </c>
      <c r="G1624">
        <f>IF(A1624="","",IF(OR(B1624&lt;&gt;B1623,C1624&lt;&gt;C1623,D1624&lt;&gt;D1623,E1624&lt;&gt;E1623),G1623+1,G1623))</f>
        <v/>
      </c>
    </row>
    <row r="1625">
      <c r="A1625" s="14">
        <f>IF(OR(NOT(ISNUMBER(Ввод!$B$5)),NOT(ISNUMBER(Ввод!$B$6))),"",IF(Ввод!$B$5+1623&gt;Ввод!$B$6,"",Ввод!$B$5+1623))</f>
        <v/>
      </c>
      <c r="B1625">
        <f>IF(A1625="","",IFERROR(INDEX(Ввод!$B$12:$B$71,MATCH(A1625,Ввод!$D$12:$D$71,1)),""))</f>
        <v/>
      </c>
      <c r="C1625">
        <f>IF(A1625="","",DATE(YEAR(A1625),12,31)-DATE(YEAR(A1625),1,1)+1)</f>
        <v/>
      </c>
      <c r="D1625">
        <f>IF(A1625="","",Ввод!$B$4-SUMIF(Оплаты!$A$6:$A$505,"&lt;"&amp;A1625,Оплаты!$B$6:$B$505))</f>
        <v/>
      </c>
      <c r="E1625">
        <f>IF(A1625="","",IF(SUMPRODUCT((Ввод!$F$12:$F$31&lt;&gt;"")*(Ввод!$F$12:$F$31&lt;=A1625)*(Ввод!$G$12:$G$31&gt;=A1625))&gt;0,1,0))</f>
        <v/>
      </c>
      <c r="F1625">
        <f>IF(OR(A1625="",B1625=""),"",IF(E1625=1,0,D1625*B1625/100/C1625))</f>
        <v/>
      </c>
      <c r="G1625">
        <f>IF(A1625="","",IF(OR(B1625&lt;&gt;B1624,C1625&lt;&gt;C1624,D1625&lt;&gt;D1624,E1625&lt;&gt;E1624),G1624+1,G1624))</f>
        <v/>
      </c>
    </row>
    <row r="1626">
      <c r="A1626" s="14">
        <f>IF(OR(NOT(ISNUMBER(Ввод!$B$5)),NOT(ISNUMBER(Ввод!$B$6))),"",IF(Ввод!$B$5+1624&gt;Ввод!$B$6,"",Ввод!$B$5+1624))</f>
        <v/>
      </c>
      <c r="B1626">
        <f>IF(A1626="","",IFERROR(INDEX(Ввод!$B$12:$B$71,MATCH(A1626,Ввод!$D$12:$D$71,1)),""))</f>
        <v/>
      </c>
      <c r="C1626">
        <f>IF(A1626="","",DATE(YEAR(A1626),12,31)-DATE(YEAR(A1626),1,1)+1)</f>
        <v/>
      </c>
      <c r="D1626">
        <f>IF(A1626="","",Ввод!$B$4-SUMIF(Оплаты!$A$6:$A$505,"&lt;"&amp;A1626,Оплаты!$B$6:$B$505))</f>
        <v/>
      </c>
      <c r="E1626">
        <f>IF(A1626="","",IF(SUMPRODUCT((Ввод!$F$12:$F$31&lt;&gt;"")*(Ввод!$F$12:$F$31&lt;=A1626)*(Ввод!$G$12:$G$31&gt;=A1626))&gt;0,1,0))</f>
        <v/>
      </c>
      <c r="F1626">
        <f>IF(OR(A1626="",B1626=""),"",IF(E1626=1,0,D1626*B1626/100/C1626))</f>
        <v/>
      </c>
      <c r="G1626">
        <f>IF(A1626="","",IF(OR(B1626&lt;&gt;B1625,C1626&lt;&gt;C1625,D1626&lt;&gt;D1625,E1626&lt;&gt;E1625),G1625+1,G1625))</f>
        <v/>
      </c>
    </row>
    <row r="1627">
      <c r="A1627" s="14">
        <f>IF(OR(NOT(ISNUMBER(Ввод!$B$5)),NOT(ISNUMBER(Ввод!$B$6))),"",IF(Ввод!$B$5+1625&gt;Ввод!$B$6,"",Ввод!$B$5+1625))</f>
        <v/>
      </c>
      <c r="B1627">
        <f>IF(A1627="","",IFERROR(INDEX(Ввод!$B$12:$B$71,MATCH(A1627,Ввод!$D$12:$D$71,1)),""))</f>
        <v/>
      </c>
      <c r="C1627">
        <f>IF(A1627="","",DATE(YEAR(A1627),12,31)-DATE(YEAR(A1627),1,1)+1)</f>
        <v/>
      </c>
      <c r="D1627">
        <f>IF(A1627="","",Ввод!$B$4-SUMIF(Оплаты!$A$6:$A$505,"&lt;"&amp;A1627,Оплаты!$B$6:$B$505))</f>
        <v/>
      </c>
      <c r="E1627">
        <f>IF(A1627="","",IF(SUMPRODUCT((Ввод!$F$12:$F$31&lt;&gt;"")*(Ввод!$F$12:$F$31&lt;=A1627)*(Ввод!$G$12:$G$31&gt;=A1627))&gt;0,1,0))</f>
        <v/>
      </c>
      <c r="F1627">
        <f>IF(OR(A1627="",B1627=""),"",IF(E1627=1,0,D1627*B1627/100/C1627))</f>
        <v/>
      </c>
      <c r="G1627">
        <f>IF(A1627="","",IF(OR(B1627&lt;&gt;B1626,C1627&lt;&gt;C1626,D1627&lt;&gt;D1626,E1627&lt;&gt;E1626),G1626+1,G1626))</f>
        <v/>
      </c>
    </row>
    <row r="1628">
      <c r="A1628" s="14">
        <f>IF(OR(NOT(ISNUMBER(Ввод!$B$5)),NOT(ISNUMBER(Ввод!$B$6))),"",IF(Ввод!$B$5+1626&gt;Ввод!$B$6,"",Ввод!$B$5+1626))</f>
        <v/>
      </c>
      <c r="B1628">
        <f>IF(A1628="","",IFERROR(INDEX(Ввод!$B$12:$B$71,MATCH(A1628,Ввод!$D$12:$D$71,1)),""))</f>
        <v/>
      </c>
      <c r="C1628">
        <f>IF(A1628="","",DATE(YEAR(A1628),12,31)-DATE(YEAR(A1628),1,1)+1)</f>
        <v/>
      </c>
      <c r="D1628">
        <f>IF(A1628="","",Ввод!$B$4-SUMIF(Оплаты!$A$6:$A$505,"&lt;"&amp;A1628,Оплаты!$B$6:$B$505))</f>
        <v/>
      </c>
      <c r="E1628">
        <f>IF(A1628="","",IF(SUMPRODUCT((Ввод!$F$12:$F$31&lt;&gt;"")*(Ввод!$F$12:$F$31&lt;=A1628)*(Ввод!$G$12:$G$31&gt;=A1628))&gt;0,1,0))</f>
        <v/>
      </c>
      <c r="F1628">
        <f>IF(OR(A1628="",B1628=""),"",IF(E1628=1,0,D1628*B1628/100/C1628))</f>
        <v/>
      </c>
      <c r="G1628">
        <f>IF(A1628="","",IF(OR(B1628&lt;&gt;B1627,C1628&lt;&gt;C1627,D1628&lt;&gt;D1627,E1628&lt;&gt;E1627),G1627+1,G1627))</f>
        <v/>
      </c>
    </row>
    <row r="1629">
      <c r="A1629" s="14">
        <f>IF(OR(NOT(ISNUMBER(Ввод!$B$5)),NOT(ISNUMBER(Ввод!$B$6))),"",IF(Ввод!$B$5+1627&gt;Ввод!$B$6,"",Ввод!$B$5+1627))</f>
        <v/>
      </c>
      <c r="B1629">
        <f>IF(A1629="","",IFERROR(INDEX(Ввод!$B$12:$B$71,MATCH(A1629,Ввод!$D$12:$D$71,1)),""))</f>
        <v/>
      </c>
      <c r="C1629">
        <f>IF(A1629="","",DATE(YEAR(A1629),12,31)-DATE(YEAR(A1629),1,1)+1)</f>
        <v/>
      </c>
      <c r="D1629">
        <f>IF(A1629="","",Ввод!$B$4-SUMIF(Оплаты!$A$6:$A$505,"&lt;"&amp;A1629,Оплаты!$B$6:$B$505))</f>
        <v/>
      </c>
      <c r="E1629">
        <f>IF(A1629="","",IF(SUMPRODUCT((Ввод!$F$12:$F$31&lt;&gt;"")*(Ввод!$F$12:$F$31&lt;=A1629)*(Ввод!$G$12:$G$31&gt;=A1629))&gt;0,1,0))</f>
        <v/>
      </c>
      <c r="F1629">
        <f>IF(OR(A1629="",B1629=""),"",IF(E1629=1,0,D1629*B1629/100/C1629))</f>
        <v/>
      </c>
      <c r="G1629">
        <f>IF(A1629="","",IF(OR(B1629&lt;&gt;B1628,C1629&lt;&gt;C1628,D1629&lt;&gt;D1628,E1629&lt;&gt;E1628),G1628+1,G1628))</f>
        <v/>
      </c>
    </row>
    <row r="1630">
      <c r="A1630" s="14">
        <f>IF(OR(NOT(ISNUMBER(Ввод!$B$5)),NOT(ISNUMBER(Ввод!$B$6))),"",IF(Ввод!$B$5+1628&gt;Ввод!$B$6,"",Ввод!$B$5+1628))</f>
        <v/>
      </c>
      <c r="B1630">
        <f>IF(A1630="","",IFERROR(INDEX(Ввод!$B$12:$B$71,MATCH(A1630,Ввод!$D$12:$D$71,1)),""))</f>
        <v/>
      </c>
      <c r="C1630">
        <f>IF(A1630="","",DATE(YEAR(A1630),12,31)-DATE(YEAR(A1630),1,1)+1)</f>
        <v/>
      </c>
      <c r="D1630">
        <f>IF(A1630="","",Ввод!$B$4-SUMIF(Оплаты!$A$6:$A$505,"&lt;"&amp;A1630,Оплаты!$B$6:$B$505))</f>
        <v/>
      </c>
      <c r="E1630">
        <f>IF(A1630="","",IF(SUMPRODUCT((Ввод!$F$12:$F$31&lt;&gt;"")*(Ввод!$F$12:$F$31&lt;=A1630)*(Ввод!$G$12:$G$31&gt;=A1630))&gt;0,1,0))</f>
        <v/>
      </c>
      <c r="F1630">
        <f>IF(OR(A1630="",B1630=""),"",IF(E1630=1,0,D1630*B1630/100/C1630))</f>
        <v/>
      </c>
      <c r="G1630">
        <f>IF(A1630="","",IF(OR(B1630&lt;&gt;B1629,C1630&lt;&gt;C1629,D1630&lt;&gt;D1629,E1630&lt;&gt;E1629),G1629+1,G1629))</f>
        <v/>
      </c>
    </row>
    <row r="1631">
      <c r="A1631" s="14">
        <f>IF(OR(NOT(ISNUMBER(Ввод!$B$5)),NOT(ISNUMBER(Ввод!$B$6))),"",IF(Ввод!$B$5+1629&gt;Ввод!$B$6,"",Ввод!$B$5+1629))</f>
        <v/>
      </c>
      <c r="B1631">
        <f>IF(A1631="","",IFERROR(INDEX(Ввод!$B$12:$B$71,MATCH(A1631,Ввод!$D$12:$D$71,1)),""))</f>
        <v/>
      </c>
      <c r="C1631">
        <f>IF(A1631="","",DATE(YEAR(A1631),12,31)-DATE(YEAR(A1631),1,1)+1)</f>
        <v/>
      </c>
      <c r="D1631">
        <f>IF(A1631="","",Ввод!$B$4-SUMIF(Оплаты!$A$6:$A$505,"&lt;"&amp;A1631,Оплаты!$B$6:$B$505))</f>
        <v/>
      </c>
      <c r="E1631">
        <f>IF(A1631="","",IF(SUMPRODUCT((Ввод!$F$12:$F$31&lt;&gt;"")*(Ввод!$F$12:$F$31&lt;=A1631)*(Ввод!$G$12:$G$31&gt;=A1631))&gt;0,1,0))</f>
        <v/>
      </c>
      <c r="F1631">
        <f>IF(OR(A1631="",B1631=""),"",IF(E1631=1,0,D1631*B1631/100/C1631))</f>
        <v/>
      </c>
      <c r="G1631">
        <f>IF(A1631="","",IF(OR(B1631&lt;&gt;B1630,C1631&lt;&gt;C1630,D1631&lt;&gt;D1630,E1631&lt;&gt;E1630),G1630+1,G1630))</f>
        <v/>
      </c>
    </row>
    <row r="1632">
      <c r="A1632" s="14">
        <f>IF(OR(NOT(ISNUMBER(Ввод!$B$5)),NOT(ISNUMBER(Ввод!$B$6))),"",IF(Ввод!$B$5+1630&gt;Ввод!$B$6,"",Ввод!$B$5+1630))</f>
        <v/>
      </c>
      <c r="B1632">
        <f>IF(A1632="","",IFERROR(INDEX(Ввод!$B$12:$B$71,MATCH(A1632,Ввод!$D$12:$D$71,1)),""))</f>
        <v/>
      </c>
      <c r="C1632">
        <f>IF(A1632="","",DATE(YEAR(A1632),12,31)-DATE(YEAR(A1632),1,1)+1)</f>
        <v/>
      </c>
      <c r="D1632">
        <f>IF(A1632="","",Ввод!$B$4-SUMIF(Оплаты!$A$6:$A$505,"&lt;"&amp;A1632,Оплаты!$B$6:$B$505))</f>
        <v/>
      </c>
      <c r="E1632">
        <f>IF(A1632="","",IF(SUMPRODUCT((Ввод!$F$12:$F$31&lt;&gt;"")*(Ввод!$F$12:$F$31&lt;=A1632)*(Ввод!$G$12:$G$31&gt;=A1632))&gt;0,1,0))</f>
        <v/>
      </c>
      <c r="F1632">
        <f>IF(OR(A1632="",B1632=""),"",IF(E1632=1,0,D1632*B1632/100/C1632))</f>
        <v/>
      </c>
      <c r="G1632">
        <f>IF(A1632="","",IF(OR(B1632&lt;&gt;B1631,C1632&lt;&gt;C1631,D1632&lt;&gt;D1631,E1632&lt;&gt;E1631),G1631+1,G1631))</f>
        <v/>
      </c>
    </row>
    <row r="1633">
      <c r="A1633" s="14">
        <f>IF(OR(NOT(ISNUMBER(Ввод!$B$5)),NOT(ISNUMBER(Ввод!$B$6))),"",IF(Ввод!$B$5+1631&gt;Ввод!$B$6,"",Ввод!$B$5+1631))</f>
        <v/>
      </c>
      <c r="B1633">
        <f>IF(A1633="","",IFERROR(INDEX(Ввод!$B$12:$B$71,MATCH(A1633,Ввод!$D$12:$D$71,1)),""))</f>
        <v/>
      </c>
      <c r="C1633">
        <f>IF(A1633="","",DATE(YEAR(A1633),12,31)-DATE(YEAR(A1633),1,1)+1)</f>
        <v/>
      </c>
      <c r="D1633">
        <f>IF(A1633="","",Ввод!$B$4-SUMIF(Оплаты!$A$6:$A$505,"&lt;"&amp;A1633,Оплаты!$B$6:$B$505))</f>
        <v/>
      </c>
      <c r="E1633">
        <f>IF(A1633="","",IF(SUMPRODUCT((Ввод!$F$12:$F$31&lt;&gt;"")*(Ввод!$F$12:$F$31&lt;=A1633)*(Ввод!$G$12:$G$31&gt;=A1633))&gt;0,1,0))</f>
        <v/>
      </c>
      <c r="F1633">
        <f>IF(OR(A1633="",B1633=""),"",IF(E1633=1,0,D1633*B1633/100/C1633))</f>
        <v/>
      </c>
      <c r="G1633">
        <f>IF(A1633="","",IF(OR(B1633&lt;&gt;B1632,C1633&lt;&gt;C1632,D1633&lt;&gt;D1632,E1633&lt;&gt;E1632),G1632+1,G1632))</f>
        <v/>
      </c>
    </row>
    <row r="1634">
      <c r="A1634" s="14">
        <f>IF(OR(NOT(ISNUMBER(Ввод!$B$5)),NOT(ISNUMBER(Ввод!$B$6))),"",IF(Ввод!$B$5+1632&gt;Ввод!$B$6,"",Ввод!$B$5+1632))</f>
        <v/>
      </c>
      <c r="B1634">
        <f>IF(A1634="","",IFERROR(INDEX(Ввод!$B$12:$B$71,MATCH(A1634,Ввод!$D$12:$D$71,1)),""))</f>
        <v/>
      </c>
      <c r="C1634">
        <f>IF(A1634="","",DATE(YEAR(A1634),12,31)-DATE(YEAR(A1634),1,1)+1)</f>
        <v/>
      </c>
      <c r="D1634">
        <f>IF(A1634="","",Ввод!$B$4-SUMIF(Оплаты!$A$6:$A$505,"&lt;"&amp;A1634,Оплаты!$B$6:$B$505))</f>
        <v/>
      </c>
      <c r="E1634">
        <f>IF(A1634="","",IF(SUMPRODUCT((Ввод!$F$12:$F$31&lt;&gt;"")*(Ввод!$F$12:$F$31&lt;=A1634)*(Ввод!$G$12:$G$31&gt;=A1634))&gt;0,1,0))</f>
        <v/>
      </c>
      <c r="F1634">
        <f>IF(OR(A1634="",B1634=""),"",IF(E1634=1,0,D1634*B1634/100/C1634))</f>
        <v/>
      </c>
      <c r="G1634">
        <f>IF(A1634="","",IF(OR(B1634&lt;&gt;B1633,C1634&lt;&gt;C1633,D1634&lt;&gt;D1633,E1634&lt;&gt;E1633),G1633+1,G1633))</f>
        <v/>
      </c>
    </row>
    <row r="1635">
      <c r="A1635" s="14">
        <f>IF(OR(NOT(ISNUMBER(Ввод!$B$5)),NOT(ISNUMBER(Ввод!$B$6))),"",IF(Ввод!$B$5+1633&gt;Ввод!$B$6,"",Ввод!$B$5+1633))</f>
        <v/>
      </c>
      <c r="B1635">
        <f>IF(A1635="","",IFERROR(INDEX(Ввод!$B$12:$B$71,MATCH(A1635,Ввод!$D$12:$D$71,1)),""))</f>
        <v/>
      </c>
      <c r="C1635">
        <f>IF(A1635="","",DATE(YEAR(A1635),12,31)-DATE(YEAR(A1635),1,1)+1)</f>
        <v/>
      </c>
      <c r="D1635">
        <f>IF(A1635="","",Ввод!$B$4-SUMIF(Оплаты!$A$6:$A$505,"&lt;"&amp;A1635,Оплаты!$B$6:$B$505))</f>
        <v/>
      </c>
      <c r="E1635">
        <f>IF(A1635="","",IF(SUMPRODUCT((Ввод!$F$12:$F$31&lt;&gt;"")*(Ввод!$F$12:$F$31&lt;=A1635)*(Ввод!$G$12:$G$31&gt;=A1635))&gt;0,1,0))</f>
        <v/>
      </c>
      <c r="F1635">
        <f>IF(OR(A1635="",B1635=""),"",IF(E1635=1,0,D1635*B1635/100/C1635))</f>
        <v/>
      </c>
      <c r="G1635">
        <f>IF(A1635="","",IF(OR(B1635&lt;&gt;B1634,C1635&lt;&gt;C1634,D1635&lt;&gt;D1634,E1635&lt;&gt;E1634),G1634+1,G1634))</f>
        <v/>
      </c>
    </row>
    <row r="1636">
      <c r="A1636" s="14">
        <f>IF(OR(NOT(ISNUMBER(Ввод!$B$5)),NOT(ISNUMBER(Ввод!$B$6))),"",IF(Ввод!$B$5+1634&gt;Ввод!$B$6,"",Ввод!$B$5+1634))</f>
        <v/>
      </c>
      <c r="B1636">
        <f>IF(A1636="","",IFERROR(INDEX(Ввод!$B$12:$B$71,MATCH(A1636,Ввод!$D$12:$D$71,1)),""))</f>
        <v/>
      </c>
      <c r="C1636">
        <f>IF(A1636="","",DATE(YEAR(A1636),12,31)-DATE(YEAR(A1636),1,1)+1)</f>
        <v/>
      </c>
      <c r="D1636">
        <f>IF(A1636="","",Ввод!$B$4-SUMIF(Оплаты!$A$6:$A$505,"&lt;"&amp;A1636,Оплаты!$B$6:$B$505))</f>
        <v/>
      </c>
      <c r="E1636">
        <f>IF(A1636="","",IF(SUMPRODUCT((Ввод!$F$12:$F$31&lt;&gt;"")*(Ввод!$F$12:$F$31&lt;=A1636)*(Ввод!$G$12:$G$31&gt;=A1636))&gt;0,1,0))</f>
        <v/>
      </c>
      <c r="F1636">
        <f>IF(OR(A1636="",B1636=""),"",IF(E1636=1,0,D1636*B1636/100/C1636))</f>
        <v/>
      </c>
      <c r="G1636">
        <f>IF(A1636="","",IF(OR(B1636&lt;&gt;B1635,C1636&lt;&gt;C1635,D1636&lt;&gt;D1635,E1636&lt;&gt;E1635),G1635+1,G1635))</f>
        <v/>
      </c>
    </row>
    <row r="1637">
      <c r="A1637" s="14">
        <f>IF(OR(NOT(ISNUMBER(Ввод!$B$5)),NOT(ISNUMBER(Ввод!$B$6))),"",IF(Ввод!$B$5+1635&gt;Ввод!$B$6,"",Ввод!$B$5+1635))</f>
        <v/>
      </c>
      <c r="B1637">
        <f>IF(A1637="","",IFERROR(INDEX(Ввод!$B$12:$B$71,MATCH(A1637,Ввод!$D$12:$D$71,1)),""))</f>
        <v/>
      </c>
      <c r="C1637">
        <f>IF(A1637="","",DATE(YEAR(A1637),12,31)-DATE(YEAR(A1637),1,1)+1)</f>
        <v/>
      </c>
      <c r="D1637">
        <f>IF(A1637="","",Ввод!$B$4-SUMIF(Оплаты!$A$6:$A$505,"&lt;"&amp;A1637,Оплаты!$B$6:$B$505))</f>
        <v/>
      </c>
      <c r="E1637">
        <f>IF(A1637="","",IF(SUMPRODUCT((Ввод!$F$12:$F$31&lt;&gt;"")*(Ввод!$F$12:$F$31&lt;=A1637)*(Ввод!$G$12:$G$31&gt;=A1637))&gt;0,1,0))</f>
        <v/>
      </c>
      <c r="F1637">
        <f>IF(OR(A1637="",B1637=""),"",IF(E1637=1,0,D1637*B1637/100/C1637))</f>
        <v/>
      </c>
      <c r="G1637">
        <f>IF(A1637="","",IF(OR(B1637&lt;&gt;B1636,C1637&lt;&gt;C1636,D1637&lt;&gt;D1636,E1637&lt;&gt;E1636),G1636+1,G1636))</f>
        <v/>
      </c>
    </row>
    <row r="1638">
      <c r="A1638" s="14">
        <f>IF(OR(NOT(ISNUMBER(Ввод!$B$5)),NOT(ISNUMBER(Ввод!$B$6))),"",IF(Ввод!$B$5+1636&gt;Ввод!$B$6,"",Ввод!$B$5+1636))</f>
        <v/>
      </c>
      <c r="B1638">
        <f>IF(A1638="","",IFERROR(INDEX(Ввод!$B$12:$B$71,MATCH(A1638,Ввод!$D$12:$D$71,1)),""))</f>
        <v/>
      </c>
      <c r="C1638">
        <f>IF(A1638="","",DATE(YEAR(A1638),12,31)-DATE(YEAR(A1638),1,1)+1)</f>
        <v/>
      </c>
      <c r="D1638">
        <f>IF(A1638="","",Ввод!$B$4-SUMIF(Оплаты!$A$6:$A$505,"&lt;"&amp;A1638,Оплаты!$B$6:$B$505))</f>
        <v/>
      </c>
      <c r="E1638">
        <f>IF(A1638="","",IF(SUMPRODUCT((Ввод!$F$12:$F$31&lt;&gt;"")*(Ввод!$F$12:$F$31&lt;=A1638)*(Ввод!$G$12:$G$31&gt;=A1638))&gt;0,1,0))</f>
        <v/>
      </c>
      <c r="F1638">
        <f>IF(OR(A1638="",B1638=""),"",IF(E1638=1,0,D1638*B1638/100/C1638))</f>
        <v/>
      </c>
      <c r="G1638">
        <f>IF(A1638="","",IF(OR(B1638&lt;&gt;B1637,C1638&lt;&gt;C1637,D1638&lt;&gt;D1637,E1638&lt;&gt;E1637),G1637+1,G1637))</f>
        <v/>
      </c>
    </row>
    <row r="1639">
      <c r="A1639" s="14">
        <f>IF(OR(NOT(ISNUMBER(Ввод!$B$5)),NOT(ISNUMBER(Ввод!$B$6))),"",IF(Ввод!$B$5+1637&gt;Ввод!$B$6,"",Ввод!$B$5+1637))</f>
        <v/>
      </c>
      <c r="B1639">
        <f>IF(A1639="","",IFERROR(INDEX(Ввод!$B$12:$B$71,MATCH(A1639,Ввод!$D$12:$D$71,1)),""))</f>
        <v/>
      </c>
      <c r="C1639">
        <f>IF(A1639="","",DATE(YEAR(A1639),12,31)-DATE(YEAR(A1639),1,1)+1)</f>
        <v/>
      </c>
      <c r="D1639">
        <f>IF(A1639="","",Ввод!$B$4-SUMIF(Оплаты!$A$6:$A$505,"&lt;"&amp;A1639,Оплаты!$B$6:$B$505))</f>
        <v/>
      </c>
      <c r="E1639">
        <f>IF(A1639="","",IF(SUMPRODUCT((Ввод!$F$12:$F$31&lt;&gt;"")*(Ввод!$F$12:$F$31&lt;=A1639)*(Ввод!$G$12:$G$31&gt;=A1639))&gt;0,1,0))</f>
        <v/>
      </c>
      <c r="F1639">
        <f>IF(OR(A1639="",B1639=""),"",IF(E1639=1,0,D1639*B1639/100/C1639))</f>
        <v/>
      </c>
      <c r="G1639">
        <f>IF(A1639="","",IF(OR(B1639&lt;&gt;B1638,C1639&lt;&gt;C1638,D1639&lt;&gt;D1638,E1639&lt;&gt;E1638),G1638+1,G1638))</f>
        <v/>
      </c>
    </row>
    <row r="1640">
      <c r="A1640" s="14">
        <f>IF(OR(NOT(ISNUMBER(Ввод!$B$5)),NOT(ISNUMBER(Ввод!$B$6))),"",IF(Ввод!$B$5+1638&gt;Ввод!$B$6,"",Ввод!$B$5+1638))</f>
        <v/>
      </c>
      <c r="B1640">
        <f>IF(A1640="","",IFERROR(INDEX(Ввод!$B$12:$B$71,MATCH(A1640,Ввод!$D$12:$D$71,1)),""))</f>
        <v/>
      </c>
      <c r="C1640">
        <f>IF(A1640="","",DATE(YEAR(A1640),12,31)-DATE(YEAR(A1640),1,1)+1)</f>
        <v/>
      </c>
      <c r="D1640">
        <f>IF(A1640="","",Ввод!$B$4-SUMIF(Оплаты!$A$6:$A$505,"&lt;"&amp;A1640,Оплаты!$B$6:$B$505))</f>
        <v/>
      </c>
      <c r="E1640">
        <f>IF(A1640="","",IF(SUMPRODUCT((Ввод!$F$12:$F$31&lt;&gt;"")*(Ввод!$F$12:$F$31&lt;=A1640)*(Ввод!$G$12:$G$31&gt;=A1640))&gt;0,1,0))</f>
        <v/>
      </c>
      <c r="F1640">
        <f>IF(OR(A1640="",B1640=""),"",IF(E1640=1,0,D1640*B1640/100/C1640))</f>
        <v/>
      </c>
      <c r="G1640">
        <f>IF(A1640="","",IF(OR(B1640&lt;&gt;B1639,C1640&lt;&gt;C1639,D1640&lt;&gt;D1639,E1640&lt;&gt;E1639),G1639+1,G1639))</f>
        <v/>
      </c>
    </row>
    <row r="1641">
      <c r="A1641" s="14">
        <f>IF(OR(NOT(ISNUMBER(Ввод!$B$5)),NOT(ISNUMBER(Ввод!$B$6))),"",IF(Ввод!$B$5+1639&gt;Ввод!$B$6,"",Ввод!$B$5+1639))</f>
        <v/>
      </c>
      <c r="B1641">
        <f>IF(A1641="","",IFERROR(INDEX(Ввод!$B$12:$B$71,MATCH(A1641,Ввод!$D$12:$D$71,1)),""))</f>
        <v/>
      </c>
      <c r="C1641">
        <f>IF(A1641="","",DATE(YEAR(A1641),12,31)-DATE(YEAR(A1641),1,1)+1)</f>
        <v/>
      </c>
      <c r="D1641">
        <f>IF(A1641="","",Ввод!$B$4-SUMIF(Оплаты!$A$6:$A$505,"&lt;"&amp;A1641,Оплаты!$B$6:$B$505))</f>
        <v/>
      </c>
      <c r="E1641">
        <f>IF(A1641="","",IF(SUMPRODUCT((Ввод!$F$12:$F$31&lt;&gt;"")*(Ввод!$F$12:$F$31&lt;=A1641)*(Ввод!$G$12:$G$31&gt;=A1641))&gt;0,1,0))</f>
        <v/>
      </c>
      <c r="F1641">
        <f>IF(OR(A1641="",B1641=""),"",IF(E1641=1,0,D1641*B1641/100/C1641))</f>
        <v/>
      </c>
      <c r="G1641">
        <f>IF(A1641="","",IF(OR(B1641&lt;&gt;B1640,C1641&lt;&gt;C1640,D1641&lt;&gt;D1640,E1641&lt;&gt;E1640),G1640+1,G1640))</f>
        <v/>
      </c>
    </row>
    <row r="1642">
      <c r="A1642" s="14">
        <f>IF(OR(NOT(ISNUMBER(Ввод!$B$5)),NOT(ISNUMBER(Ввод!$B$6))),"",IF(Ввод!$B$5+1640&gt;Ввод!$B$6,"",Ввод!$B$5+1640))</f>
        <v/>
      </c>
      <c r="B1642">
        <f>IF(A1642="","",IFERROR(INDEX(Ввод!$B$12:$B$71,MATCH(A1642,Ввод!$D$12:$D$71,1)),""))</f>
        <v/>
      </c>
      <c r="C1642">
        <f>IF(A1642="","",DATE(YEAR(A1642),12,31)-DATE(YEAR(A1642),1,1)+1)</f>
        <v/>
      </c>
      <c r="D1642">
        <f>IF(A1642="","",Ввод!$B$4-SUMIF(Оплаты!$A$6:$A$505,"&lt;"&amp;A1642,Оплаты!$B$6:$B$505))</f>
        <v/>
      </c>
      <c r="E1642">
        <f>IF(A1642="","",IF(SUMPRODUCT((Ввод!$F$12:$F$31&lt;&gt;"")*(Ввод!$F$12:$F$31&lt;=A1642)*(Ввод!$G$12:$G$31&gt;=A1642))&gt;0,1,0))</f>
        <v/>
      </c>
      <c r="F1642">
        <f>IF(OR(A1642="",B1642=""),"",IF(E1642=1,0,D1642*B1642/100/C1642))</f>
        <v/>
      </c>
      <c r="G1642">
        <f>IF(A1642="","",IF(OR(B1642&lt;&gt;B1641,C1642&lt;&gt;C1641,D1642&lt;&gt;D1641,E1642&lt;&gt;E1641),G1641+1,G1641))</f>
        <v/>
      </c>
    </row>
    <row r="1643">
      <c r="A1643" s="14">
        <f>IF(OR(NOT(ISNUMBER(Ввод!$B$5)),NOT(ISNUMBER(Ввод!$B$6))),"",IF(Ввод!$B$5+1641&gt;Ввод!$B$6,"",Ввод!$B$5+1641))</f>
        <v/>
      </c>
      <c r="B1643">
        <f>IF(A1643="","",IFERROR(INDEX(Ввод!$B$12:$B$71,MATCH(A1643,Ввод!$D$12:$D$71,1)),""))</f>
        <v/>
      </c>
      <c r="C1643">
        <f>IF(A1643="","",DATE(YEAR(A1643),12,31)-DATE(YEAR(A1643),1,1)+1)</f>
        <v/>
      </c>
      <c r="D1643">
        <f>IF(A1643="","",Ввод!$B$4-SUMIF(Оплаты!$A$6:$A$505,"&lt;"&amp;A1643,Оплаты!$B$6:$B$505))</f>
        <v/>
      </c>
      <c r="E1643">
        <f>IF(A1643="","",IF(SUMPRODUCT((Ввод!$F$12:$F$31&lt;&gt;"")*(Ввод!$F$12:$F$31&lt;=A1643)*(Ввод!$G$12:$G$31&gt;=A1643))&gt;0,1,0))</f>
        <v/>
      </c>
      <c r="F1643">
        <f>IF(OR(A1643="",B1643=""),"",IF(E1643=1,0,D1643*B1643/100/C1643))</f>
        <v/>
      </c>
      <c r="G1643">
        <f>IF(A1643="","",IF(OR(B1643&lt;&gt;B1642,C1643&lt;&gt;C1642,D1643&lt;&gt;D1642,E1643&lt;&gt;E1642),G1642+1,G1642))</f>
        <v/>
      </c>
    </row>
    <row r="1644">
      <c r="A1644" s="14">
        <f>IF(OR(NOT(ISNUMBER(Ввод!$B$5)),NOT(ISNUMBER(Ввод!$B$6))),"",IF(Ввод!$B$5+1642&gt;Ввод!$B$6,"",Ввод!$B$5+1642))</f>
        <v/>
      </c>
      <c r="B1644">
        <f>IF(A1644="","",IFERROR(INDEX(Ввод!$B$12:$B$71,MATCH(A1644,Ввод!$D$12:$D$71,1)),""))</f>
        <v/>
      </c>
      <c r="C1644">
        <f>IF(A1644="","",DATE(YEAR(A1644),12,31)-DATE(YEAR(A1644),1,1)+1)</f>
        <v/>
      </c>
      <c r="D1644">
        <f>IF(A1644="","",Ввод!$B$4-SUMIF(Оплаты!$A$6:$A$505,"&lt;"&amp;A1644,Оплаты!$B$6:$B$505))</f>
        <v/>
      </c>
      <c r="E1644">
        <f>IF(A1644="","",IF(SUMPRODUCT((Ввод!$F$12:$F$31&lt;&gt;"")*(Ввод!$F$12:$F$31&lt;=A1644)*(Ввод!$G$12:$G$31&gt;=A1644))&gt;0,1,0))</f>
        <v/>
      </c>
      <c r="F1644">
        <f>IF(OR(A1644="",B1644=""),"",IF(E1644=1,0,D1644*B1644/100/C1644))</f>
        <v/>
      </c>
      <c r="G1644">
        <f>IF(A1644="","",IF(OR(B1644&lt;&gt;B1643,C1644&lt;&gt;C1643,D1644&lt;&gt;D1643,E1644&lt;&gt;E1643),G1643+1,G1643))</f>
        <v/>
      </c>
    </row>
    <row r="1645">
      <c r="A1645" s="14">
        <f>IF(OR(NOT(ISNUMBER(Ввод!$B$5)),NOT(ISNUMBER(Ввод!$B$6))),"",IF(Ввод!$B$5+1643&gt;Ввод!$B$6,"",Ввод!$B$5+1643))</f>
        <v/>
      </c>
      <c r="B1645">
        <f>IF(A1645="","",IFERROR(INDEX(Ввод!$B$12:$B$71,MATCH(A1645,Ввод!$D$12:$D$71,1)),""))</f>
        <v/>
      </c>
      <c r="C1645">
        <f>IF(A1645="","",DATE(YEAR(A1645),12,31)-DATE(YEAR(A1645),1,1)+1)</f>
        <v/>
      </c>
      <c r="D1645">
        <f>IF(A1645="","",Ввод!$B$4-SUMIF(Оплаты!$A$6:$A$505,"&lt;"&amp;A1645,Оплаты!$B$6:$B$505))</f>
        <v/>
      </c>
      <c r="E1645">
        <f>IF(A1645="","",IF(SUMPRODUCT((Ввод!$F$12:$F$31&lt;&gt;"")*(Ввод!$F$12:$F$31&lt;=A1645)*(Ввод!$G$12:$G$31&gt;=A1645))&gt;0,1,0))</f>
        <v/>
      </c>
      <c r="F1645">
        <f>IF(OR(A1645="",B1645=""),"",IF(E1645=1,0,D1645*B1645/100/C1645))</f>
        <v/>
      </c>
      <c r="G1645">
        <f>IF(A1645="","",IF(OR(B1645&lt;&gt;B1644,C1645&lt;&gt;C1644,D1645&lt;&gt;D1644,E1645&lt;&gt;E1644),G1644+1,G1644))</f>
        <v/>
      </c>
    </row>
    <row r="1646">
      <c r="A1646" s="14">
        <f>IF(OR(NOT(ISNUMBER(Ввод!$B$5)),NOT(ISNUMBER(Ввод!$B$6))),"",IF(Ввод!$B$5+1644&gt;Ввод!$B$6,"",Ввод!$B$5+1644))</f>
        <v/>
      </c>
      <c r="B1646">
        <f>IF(A1646="","",IFERROR(INDEX(Ввод!$B$12:$B$71,MATCH(A1646,Ввод!$D$12:$D$71,1)),""))</f>
        <v/>
      </c>
      <c r="C1646">
        <f>IF(A1646="","",DATE(YEAR(A1646),12,31)-DATE(YEAR(A1646),1,1)+1)</f>
        <v/>
      </c>
      <c r="D1646">
        <f>IF(A1646="","",Ввод!$B$4-SUMIF(Оплаты!$A$6:$A$505,"&lt;"&amp;A1646,Оплаты!$B$6:$B$505))</f>
        <v/>
      </c>
      <c r="E1646">
        <f>IF(A1646="","",IF(SUMPRODUCT((Ввод!$F$12:$F$31&lt;&gt;"")*(Ввод!$F$12:$F$31&lt;=A1646)*(Ввод!$G$12:$G$31&gt;=A1646))&gt;0,1,0))</f>
        <v/>
      </c>
      <c r="F1646">
        <f>IF(OR(A1646="",B1646=""),"",IF(E1646=1,0,D1646*B1646/100/C1646))</f>
        <v/>
      </c>
      <c r="G1646">
        <f>IF(A1646="","",IF(OR(B1646&lt;&gt;B1645,C1646&lt;&gt;C1645,D1646&lt;&gt;D1645,E1646&lt;&gt;E1645),G1645+1,G1645))</f>
        <v/>
      </c>
    </row>
    <row r="1647">
      <c r="A1647" s="14">
        <f>IF(OR(NOT(ISNUMBER(Ввод!$B$5)),NOT(ISNUMBER(Ввод!$B$6))),"",IF(Ввод!$B$5+1645&gt;Ввод!$B$6,"",Ввод!$B$5+1645))</f>
        <v/>
      </c>
      <c r="B1647">
        <f>IF(A1647="","",IFERROR(INDEX(Ввод!$B$12:$B$71,MATCH(A1647,Ввод!$D$12:$D$71,1)),""))</f>
        <v/>
      </c>
      <c r="C1647">
        <f>IF(A1647="","",DATE(YEAR(A1647),12,31)-DATE(YEAR(A1647),1,1)+1)</f>
        <v/>
      </c>
      <c r="D1647">
        <f>IF(A1647="","",Ввод!$B$4-SUMIF(Оплаты!$A$6:$A$505,"&lt;"&amp;A1647,Оплаты!$B$6:$B$505))</f>
        <v/>
      </c>
      <c r="E1647">
        <f>IF(A1647="","",IF(SUMPRODUCT((Ввод!$F$12:$F$31&lt;&gt;"")*(Ввод!$F$12:$F$31&lt;=A1647)*(Ввод!$G$12:$G$31&gt;=A1647))&gt;0,1,0))</f>
        <v/>
      </c>
      <c r="F1647">
        <f>IF(OR(A1647="",B1647=""),"",IF(E1647=1,0,D1647*B1647/100/C1647))</f>
        <v/>
      </c>
      <c r="G1647">
        <f>IF(A1647="","",IF(OR(B1647&lt;&gt;B1646,C1647&lt;&gt;C1646,D1647&lt;&gt;D1646,E1647&lt;&gt;E1646),G1646+1,G1646))</f>
        <v/>
      </c>
    </row>
    <row r="1648">
      <c r="A1648" s="14">
        <f>IF(OR(NOT(ISNUMBER(Ввод!$B$5)),NOT(ISNUMBER(Ввод!$B$6))),"",IF(Ввод!$B$5+1646&gt;Ввод!$B$6,"",Ввод!$B$5+1646))</f>
        <v/>
      </c>
      <c r="B1648">
        <f>IF(A1648="","",IFERROR(INDEX(Ввод!$B$12:$B$71,MATCH(A1648,Ввод!$D$12:$D$71,1)),""))</f>
        <v/>
      </c>
      <c r="C1648">
        <f>IF(A1648="","",DATE(YEAR(A1648),12,31)-DATE(YEAR(A1648),1,1)+1)</f>
        <v/>
      </c>
      <c r="D1648">
        <f>IF(A1648="","",Ввод!$B$4-SUMIF(Оплаты!$A$6:$A$505,"&lt;"&amp;A1648,Оплаты!$B$6:$B$505))</f>
        <v/>
      </c>
      <c r="E1648">
        <f>IF(A1648="","",IF(SUMPRODUCT((Ввод!$F$12:$F$31&lt;&gt;"")*(Ввод!$F$12:$F$31&lt;=A1648)*(Ввод!$G$12:$G$31&gt;=A1648))&gt;0,1,0))</f>
        <v/>
      </c>
      <c r="F1648">
        <f>IF(OR(A1648="",B1648=""),"",IF(E1648=1,0,D1648*B1648/100/C1648))</f>
        <v/>
      </c>
      <c r="G1648">
        <f>IF(A1648="","",IF(OR(B1648&lt;&gt;B1647,C1648&lt;&gt;C1647,D1648&lt;&gt;D1647,E1648&lt;&gt;E1647),G1647+1,G1647))</f>
        <v/>
      </c>
    </row>
    <row r="1649">
      <c r="A1649" s="14">
        <f>IF(OR(NOT(ISNUMBER(Ввод!$B$5)),NOT(ISNUMBER(Ввод!$B$6))),"",IF(Ввод!$B$5+1647&gt;Ввод!$B$6,"",Ввод!$B$5+1647))</f>
        <v/>
      </c>
      <c r="B1649">
        <f>IF(A1649="","",IFERROR(INDEX(Ввод!$B$12:$B$71,MATCH(A1649,Ввод!$D$12:$D$71,1)),""))</f>
        <v/>
      </c>
      <c r="C1649">
        <f>IF(A1649="","",DATE(YEAR(A1649),12,31)-DATE(YEAR(A1649),1,1)+1)</f>
        <v/>
      </c>
      <c r="D1649">
        <f>IF(A1649="","",Ввод!$B$4-SUMIF(Оплаты!$A$6:$A$505,"&lt;"&amp;A1649,Оплаты!$B$6:$B$505))</f>
        <v/>
      </c>
      <c r="E1649">
        <f>IF(A1649="","",IF(SUMPRODUCT((Ввод!$F$12:$F$31&lt;&gt;"")*(Ввод!$F$12:$F$31&lt;=A1649)*(Ввод!$G$12:$G$31&gt;=A1649))&gt;0,1,0))</f>
        <v/>
      </c>
      <c r="F1649">
        <f>IF(OR(A1649="",B1649=""),"",IF(E1649=1,0,D1649*B1649/100/C1649))</f>
        <v/>
      </c>
      <c r="G1649">
        <f>IF(A1649="","",IF(OR(B1649&lt;&gt;B1648,C1649&lt;&gt;C1648,D1649&lt;&gt;D1648,E1649&lt;&gt;E1648),G1648+1,G1648))</f>
        <v/>
      </c>
    </row>
    <row r="1650">
      <c r="A1650" s="14">
        <f>IF(OR(NOT(ISNUMBER(Ввод!$B$5)),NOT(ISNUMBER(Ввод!$B$6))),"",IF(Ввод!$B$5+1648&gt;Ввод!$B$6,"",Ввод!$B$5+1648))</f>
        <v/>
      </c>
      <c r="B1650">
        <f>IF(A1650="","",IFERROR(INDEX(Ввод!$B$12:$B$71,MATCH(A1650,Ввод!$D$12:$D$71,1)),""))</f>
        <v/>
      </c>
      <c r="C1650">
        <f>IF(A1650="","",DATE(YEAR(A1650),12,31)-DATE(YEAR(A1650),1,1)+1)</f>
        <v/>
      </c>
      <c r="D1650">
        <f>IF(A1650="","",Ввод!$B$4-SUMIF(Оплаты!$A$6:$A$505,"&lt;"&amp;A1650,Оплаты!$B$6:$B$505))</f>
        <v/>
      </c>
      <c r="E1650">
        <f>IF(A1650="","",IF(SUMPRODUCT((Ввод!$F$12:$F$31&lt;&gt;"")*(Ввод!$F$12:$F$31&lt;=A1650)*(Ввод!$G$12:$G$31&gt;=A1650))&gt;0,1,0))</f>
        <v/>
      </c>
      <c r="F1650">
        <f>IF(OR(A1650="",B1650=""),"",IF(E1650=1,0,D1650*B1650/100/C1650))</f>
        <v/>
      </c>
      <c r="G1650">
        <f>IF(A1650="","",IF(OR(B1650&lt;&gt;B1649,C1650&lt;&gt;C1649,D1650&lt;&gt;D1649,E1650&lt;&gt;E1649),G1649+1,G1649))</f>
        <v/>
      </c>
    </row>
    <row r="1651">
      <c r="A1651" s="14">
        <f>IF(OR(NOT(ISNUMBER(Ввод!$B$5)),NOT(ISNUMBER(Ввод!$B$6))),"",IF(Ввод!$B$5+1649&gt;Ввод!$B$6,"",Ввод!$B$5+1649))</f>
        <v/>
      </c>
      <c r="B1651">
        <f>IF(A1651="","",IFERROR(INDEX(Ввод!$B$12:$B$71,MATCH(A1651,Ввод!$D$12:$D$71,1)),""))</f>
        <v/>
      </c>
      <c r="C1651">
        <f>IF(A1651="","",DATE(YEAR(A1651),12,31)-DATE(YEAR(A1651),1,1)+1)</f>
        <v/>
      </c>
      <c r="D1651">
        <f>IF(A1651="","",Ввод!$B$4-SUMIF(Оплаты!$A$6:$A$505,"&lt;"&amp;A1651,Оплаты!$B$6:$B$505))</f>
        <v/>
      </c>
      <c r="E1651">
        <f>IF(A1651="","",IF(SUMPRODUCT((Ввод!$F$12:$F$31&lt;&gt;"")*(Ввод!$F$12:$F$31&lt;=A1651)*(Ввод!$G$12:$G$31&gt;=A1651))&gt;0,1,0))</f>
        <v/>
      </c>
      <c r="F1651">
        <f>IF(OR(A1651="",B1651=""),"",IF(E1651=1,0,D1651*B1651/100/C1651))</f>
        <v/>
      </c>
      <c r="G1651">
        <f>IF(A1651="","",IF(OR(B1651&lt;&gt;B1650,C1651&lt;&gt;C1650,D1651&lt;&gt;D1650,E1651&lt;&gt;E1650),G1650+1,G1650))</f>
        <v/>
      </c>
    </row>
    <row r="1652">
      <c r="A1652" s="14">
        <f>IF(OR(NOT(ISNUMBER(Ввод!$B$5)),NOT(ISNUMBER(Ввод!$B$6))),"",IF(Ввод!$B$5+1650&gt;Ввод!$B$6,"",Ввод!$B$5+1650))</f>
        <v/>
      </c>
      <c r="B1652">
        <f>IF(A1652="","",IFERROR(INDEX(Ввод!$B$12:$B$71,MATCH(A1652,Ввод!$D$12:$D$71,1)),""))</f>
        <v/>
      </c>
      <c r="C1652">
        <f>IF(A1652="","",DATE(YEAR(A1652),12,31)-DATE(YEAR(A1652),1,1)+1)</f>
        <v/>
      </c>
      <c r="D1652">
        <f>IF(A1652="","",Ввод!$B$4-SUMIF(Оплаты!$A$6:$A$505,"&lt;"&amp;A1652,Оплаты!$B$6:$B$505))</f>
        <v/>
      </c>
      <c r="E1652">
        <f>IF(A1652="","",IF(SUMPRODUCT((Ввод!$F$12:$F$31&lt;&gt;"")*(Ввод!$F$12:$F$31&lt;=A1652)*(Ввод!$G$12:$G$31&gt;=A1652))&gt;0,1,0))</f>
        <v/>
      </c>
      <c r="F1652">
        <f>IF(OR(A1652="",B1652=""),"",IF(E1652=1,0,D1652*B1652/100/C1652))</f>
        <v/>
      </c>
      <c r="G1652">
        <f>IF(A1652="","",IF(OR(B1652&lt;&gt;B1651,C1652&lt;&gt;C1651,D1652&lt;&gt;D1651,E1652&lt;&gt;E1651),G1651+1,G1651))</f>
        <v/>
      </c>
    </row>
    <row r="1653">
      <c r="A1653" s="14">
        <f>IF(OR(NOT(ISNUMBER(Ввод!$B$5)),NOT(ISNUMBER(Ввод!$B$6))),"",IF(Ввод!$B$5+1651&gt;Ввод!$B$6,"",Ввод!$B$5+1651))</f>
        <v/>
      </c>
      <c r="B1653">
        <f>IF(A1653="","",IFERROR(INDEX(Ввод!$B$12:$B$71,MATCH(A1653,Ввод!$D$12:$D$71,1)),""))</f>
        <v/>
      </c>
      <c r="C1653">
        <f>IF(A1653="","",DATE(YEAR(A1653),12,31)-DATE(YEAR(A1653),1,1)+1)</f>
        <v/>
      </c>
      <c r="D1653">
        <f>IF(A1653="","",Ввод!$B$4-SUMIF(Оплаты!$A$6:$A$505,"&lt;"&amp;A1653,Оплаты!$B$6:$B$505))</f>
        <v/>
      </c>
      <c r="E1653">
        <f>IF(A1653="","",IF(SUMPRODUCT((Ввод!$F$12:$F$31&lt;&gt;"")*(Ввод!$F$12:$F$31&lt;=A1653)*(Ввод!$G$12:$G$31&gt;=A1653))&gt;0,1,0))</f>
        <v/>
      </c>
      <c r="F1653">
        <f>IF(OR(A1653="",B1653=""),"",IF(E1653=1,0,D1653*B1653/100/C1653))</f>
        <v/>
      </c>
      <c r="G1653">
        <f>IF(A1653="","",IF(OR(B1653&lt;&gt;B1652,C1653&lt;&gt;C1652,D1653&lt;&gt;D1652,E1653&lt;&gt;E1652),G1652+1,G1652))</f>
        <v/>
      </c>
    </row>
    <row r="1654">
      <c r="A1654" s="14">
        <f>IF(OR(NOT(ISNUMBER(Ввод!$B$5)),NOT(ISNUMBER(Ввод!$B$6))),"",IF(Ввод!$B$5+1652&gt;Ввод!$B$6,"",Ввод!$B$5+1652))</f>
        <v/>
      </c>
      <c r="B1654">
        <f>IF(A1654="","",IFERROR(INDEX(Ввод!$B$12:$B$71,MATCH(A1654,Ввод!$D$12:$D$71,1)),""))</f>
        <v/>
      </c>
      <c r="C1654">
        <f>IF(A1654="","",DATE(YEAR(A1654),12,31)-DATE(YEAR(A1654),1,1)+1)</f>
        <v/>
      </c>
      <c r="D1654">
        <f>IF(A1654="","",Ввод!$B$4-SUMIF(Оплаты!$A$6:$A$505,"&lt;"&amp;A1654,Оплаты!$B$6:$B$505))</f>
        <v/>
      </c>
      <c r="E1654">
        <f>IF(A1654="","",IF(SUMPRODUCT((Ввод!$F$12:$F$31&lt;&gt;"")*(Ввод!$F$12:$F$31&lt;=A1654)*(Ввод!$G$12:$G$31&gt;=A1654))&gt;0,1,0))</f>
        <v/>
      </c>
      <c r="F1654">
        <f>IF(OR(A1654="",B1654=""),"",IF(E1654=1,0,D1654*B1654/100/C1654))</f>
        <v/>
      </c>
      <c r="G1654">
        <f>IF(A1654="","",IF(OR(B1654&lt;&gt;B1653,C1654&lt;&gt;C1653,D1654&lt;&gt;D1653,E1654&lt;&gt;E1653),G1653+1,G1653))</f>
        <v/>
      </c>
    </row>
    <row r="1655">
      <c r="A1655" s="14">
        <f>IF(OR(NOT(ISNUMBER(Ввод!$B$5)),NOT(ISNUMBER(Ввод!$B$6))),"",IF(Ввод!$B$5+1653&gt;Ввод!$B$6,"",Ввод!$B$5+1653))</f>
        <v/>
      </c>
      <c r="B1655">
        <f>IF(A1655="","",IFERROR(INDEX(Ввод!$B$12:$B$71,MATCH(A1655,Ввод!$D$12:$D$71,1)),""))</f>
        <v/>
      </c>
      <c r="C1655">
        <f>IF(A1655="","",DATE(YEAR(A1655),12,31)-DATE(YEAR(A1655),1,1)+1)</f>
        <v/>
      </c>
      <c r="D1655">
        <f>IF(A1655="","",Ввод!$B$4-SUMIF(Оплаты!$A$6:$A$505,"&lt;"&amp;A1655,Оплаты!$B$6:$B$505))</f>
        <v/>
      </c>
      <c r="E1655">
        <f>IF(A1655="","",IF(SUMPRODUCT((Ввод!$F$12:$F$31&lt;&gt;"")*(Ввод!$F$12:$F$31&lt;=A1655)*(Ввод!$G$12:$G$31&gt;=A1655))&gt;0,1,0))</f>
        <v/>
      </c>
      <c r="F1655">
        <f>IF(OR(A1655="",B1655=""),"",IF(E1655=1,0,D1655*B1655/100/C1655))</f>
        <v/>
      </c>
      <c r="G1655">
        <f>IF(A1655="","",IF(OR(B1655&lt;&gt;B1654,C1655&lt;&gt;C1654,D1655&lt;&gt;D1654,E1655&lt;&gt;E1654),G1654+1,G1654))</f>
        <v/>
      </c>
    </row>
    <row r="1656">
      <c r="A1656" s="14">
        <f>IF(OR(NOT(ISNUMBER(Ввод!$B$5)),NOT(ISNUMBER(Ввод!$B$6))),"",IF(Ввод!$B$5+1654&gt;Ввод!$B$6,"",Ввод!$B$5+1654))</f>
        <v/>
      </c>
      <c r="B1656">
        <f>IF(A1656="","",IFERROR(INDEX(Ввод!$B$12:$B$71,MATCH(A1656,Ввод!$D$12:$D$71,1)),""))</f>
        <v/>
      </c>
      <c r="C1656">
        <f>IF(A1656="","",DATE(YEAR(A1656),12,31)-DATE(YEAR(A1656),1,1)+1)</f>
        <v/>
      </c>
      <c r="D1656">
        <f>IF(A1656="","",Ввод!$B$4-SUMIF(Оплаты!$A$6:$A$505,"&lt;"&amp;A1656,Оплаты!$B$6:$B$505))</f>
        <v/>
      </c>
      <c r="E1656">
        <f>IF(A1656="","",IF(SUMPRODUCT((Ввод!$F$12:$F$31&lt;&gt;"")*(Ввод!$F$12:$F$31&lt;=A1656)*(Ввод!$G$12:$G$31&gt;=A1656))&gt;0,1,0))</f>
        <v/>
      </c>
      <c r="F1656">
        <f>IF(OR(A1656="",B1656=""),"",IF(E1656=1,0,D1656*B1656/100/C1656))</f>
        <v/>
      </c>
      <c r="G1656">
        <f>IF(A1656="","",IF(OR(B1656&lt;&gt;B1655,C1656&lt;&gt;C1655,D1656&lt;&gt;D1655,E1656&lt;&gt;E1655),G1655+1,G1655))</f>
        <v/>
      </c>
    </row>
    <row r="1657">
      <c r="A1657" s="14">
        <f>IF(OR(NOT(ISNUMBER(Ввод!$B$5)),NOT(ISNUMBER(Ввод!$B$6))),"",IF(Ввод!$B$5+1655&gt;Ввод!$B$6,"",Ввод!$B$5+1655))</f>
        <v/>
      </c>
      <c r="B1657">
        <f>IF(A1657="","",IFERROR(INDEX(Ввод!$B$12:$B$71,MATCH(A1657,Ввод!$D$12:$D$71,1)),""))</f>
        <v/>
      </c>
      <c r="C1657">
        <f>IF(A1657="","",DATE(YEAR(A1657),12,31)-DATE(YEAR(A1657),1,1)+1)</f>
        <v/>
      </c>
      <c r="D1657">
        <f>IF(A1657="","",Ввод!$B$4-SUMIF(Оплаты!$A$6:$A$505,"&lt;"&amp;A1657,Оплаты!$B$6:$B$505))</f>
        <v/>
      </c>
      <c r="E1657">
        <f>IF(A1657="","",IF(SUMPRODUCT((Ввод!$F$12:$F$31&lt;&gt;"")*(Ввод!$F$12:$F$31&lt;=A1657)*(Ввод!$G$12:$G$31&gt;=A1657))&gt;0,1,0))</f>
        <v/>
      </c>
      <c r="F1657">
        <f>IF(OR(A1657="",B1657=""),"",IF(E1657=1,0,D1657*B1657/100/C1657))</f>
        <v/>
      </c>
      <c r="G1657">
        <f>IF(A1657="","",IF(OR(B1657&lt;&gt;B1656,C1657&lt;&gt;C1656,D1657&lt;&gt;D1656,E1657&lt;&gt;E1656),G1656+1,G1656))</f>
        <v/>
      </c>
    </row>
    <row r="1658">
      <c r="A1658" s="14">
        <f>IF(OR(NOT(ISNUMBER(Ввод!$B$5)),NOT(ISNUMBER(Ввод!$B$6))),"",IF(Ввод!$B$5+1656&gt;Ввод!$B$6,"",Ввод!$B$5+1656))</f>
        <v/>
      </c>
      <c r="B1658">
        <f>IF(A1658="","",IFERROR(INDEX(Ввод!$B$12:$B$71,MATCH(A1658,Ввод!$D$12:$D$71,1)),""))</f>
        <v/>
      </c>
      <c r="C1658">
        <f>IF(A1658="","",DATE(YEAR(A1658),12,31)-DATE(YEAR(A1658),1,1)+1)</f>
        <v/>
      </c>
      <c r="D1658">
        <f>IF(A1658="","",Ввод!$B$4-SUMIF(Оплаты!$A$6:$A$505,"&lt;"&amp;A1658,Оплаты!$B$6:$B$505))</f>
        <v/>
      </c>
      <c r="E1658">
        <f>IF(A1658="","",IF(SUMPRODUCT((Ввод!$F$12:$F$31&lt;&gt;"")*(Ввод!$F$12:$F$31&lt;=A1658)*(Ввод!$G$12:$G$31&gt;=A1658))&gt;0,1,0))</f>
        <v/>
      </c>
      <c r="F1658">
        <f>IF(OR(A1658="",B1658=""),"",IF(E1658=1,0,D1658*B1658/100/C1658))</f>
        <v/>
      </c>
      <c r="G1658">
        <f>IF(A1658="","",IF(OR(B1658&lt;&gt;B1657,C1658&lt;&gt;C1657,D1658&lt;&gt;D1657,E1658&lt;&gt;E1657),G1657+1,G1657))</f>
        <v/>
      </c>
    </row>
    <row r="1659">
      <c r="A1659" s="14">
        <f>IF(OR(NOT(ISNUMBER(Ввод!$B$5)),NOT(ISNUMBER(Ввод!$B$6))),"",IF(Ввод!$B$5+1657&gt;Ввод!$B$6,"",Ввод!$B$5+1657))</f>
        <v/>
      </c>
      <c r="B1659">
        <f>IF(A1659="","",IFERROR(INDEX(Ввод!$B$12:$B$71,MATCH(A1659,Ввод!$D$12:$D$71,1)),""))</f>
        <v/>
      </c>
      <c r="C1659">
        <f>IF(A1659="","",DATE(YEAR(A1659),12,31)-DATE(YEAR(A1659),1,1)+1)</f>
        <v/>
      </c>
      <c r="D1659">
        <f>IF(A1659="","",Ввод!$B$4-SUMIF(Оплаты!$A$6:$A$505,"&lt;"&amp;A1659,Оплаты!$B$6:$B$505))</f>
        <v/>
      </c>
      <c r="E1659">
        <f>IF(A1659="","",IF(SUMPRODUCT((Ввод!$F$12:$F$31&lt;&gt;"")*(Ввод!$F$12:$F$31&lt;=A1659)*(Ввод!$G$12:$G$31&gt;=A1659))&gt;0,1,0))</f>
        <v/>
      </c>
      <c r="F1659">
        <f>IF(OR(A1659="",B1659=""),"",IF(E1659=1,0,D1659*B1659/100/C1659))</f>
        <v/>
      </c>
      <c r="G1659">
        <f>IF(A1659="","",IF(OR(B1659&lt;&gt;B1658,C1659&lt;&gt;C1658,D1659&lt;&gt;D1658,E1659&lt;&gt;E1658),G1658+1,G1658))</f>
        <v/>
      </c>
    </row>
    <row r="1660">
      <c r="A1660" s="14">
        <f>IF(OR(NOT(ISNUMBER(Ввод!$B$5)),NOT(ISNUMBER(Ввод!$B$6))),"",IF(Ввод!$B$5+1658&gt;Ввод!$B$6,"",Ввод!$B$5+1658))</f>
        <v/>
      </c>
      <c r="B1660">
        <f>IF(A1660="","",IFERROR(INDEX(Ввод!$B$12:$B$71,MATCH(A1660,Ввод!$D$12:$D$71,1)),""))</f>
        <v/>
      </c>
      <c r="C1660">
        <f>IF(A1660="","",DATE(YEAR(A1660),12,31)-DATE(YEAR(A1660),1,1)+1)</f>
        <v/>
      </c>
      <c r="D1660">
        <f>IF(A1660="","",Ввод!$B$4-SUMIF(Оплаты!$A$6:$A$505,"&lt;"&amp;A1660,Оплаты!$B$6:$B$505))</f>
        <v/>
      </c>
      <c r="E1660">
        <f>IF(A1660="","",IF(SUMPRODUCT((Ввод!$F$12:$F$31&lt;&gt;"")*(Ввод!$F$12:$F$31&lt;=A1660)*(Ввод!$G$12:$G$31&gt;=A1660))&gt;0,1,0))</f>
        <v/>
      </c>
      <c r="F1660">
        <f>IF(OR(A1660="",B1660=""),"",IF(E1660=1,0,D1660*B1660/100/C1660))</f>
        <v/>
      </c>
      <c r="G1660">
        <f>IF(A1660="","",IF(OR(B1660&lt;&gt;B1659,C1660&lt;&gt;C1659,D1660&lt;&gt;D1659,E1660&lt;&gt;E1659),G1659+1,G1659))</f>
        <v/>
      </c>
    </row>
    <row r="1661">
      <c r="A1661" s="14">
        <f>IF(OR(NOT(ISNUMBER(Ввод!$B$5)),NOT(ISNUMBER(Ввод!$B$6))),"",IF(Ввод!$B$5+1659&gt;Ввод!$B$6,"",Ввод!$B$5+1659))</f>
        <v/>
      </c>
      <c r="B1661">
        <f>IF(A1661="","",IFERROR(INDEX(Ввод!$B$12:$B$71,MATCH(A1661,Ввод!$D$12:$D$71,1)),""))</f>
        <v/>
      </c>
      <c r="C1661">
        <f>IF(A1661="","",DATE(YEAR(A1661),12,31)-DATE(YEAR(A1661),1,1)+1)</f>
        <v/>
      </c>
      <c r="D1661">
        <f>IF(A1661="","",Ввод!$B$4-SUMIF(Оплаты!$A$6:$A$505,"&lt;"&amp;A1661,Оплаты!$B$6:$B$505))</f>
        <v/>
      </c>
      <c r="E1661">
        <f>IF(A1661="","",IF(SUMPRODUCT((Ввод!$F$12:$F$31&lt;&gt;"")*(Ввод!$F$12:$F$31&lt;=A1661)*(Ввод!$G$12:$G$31&gt;=A1661))&gt;0,1,0))</f>
        <v/>
      </c>
      <c r="F1661">
        <f>IF(OR(A1661="",B1661=""),"",IF(E1661=1,0,D1661*B1661/100/C1661))</f>
        <v/>
      </c>
      <c r="G1661">
        <f>IF(A1661="","",IF(OR(B1661&lt;&gt;B1660,C1661&lt;&gt;C1660,D1661&lt;&gt;D1660,E1661&lt;&gt;E1660),G1660+1,G1660))</f>
        <v/>
      </c>
    </row>
    <row r="1662">
      <c r="A1662" s="14">
        <f>IF(OR(NOT(ISNUMBER(Ввод!$B$5)),NOT(ISNUMBER(Ввод!$B$6))),"",IF(Ввод!$B$5+1660&gt;Ввод!$B$6,"",Ввод!$B$5+1660))</f>
        <v/>
      </c>
      <c r="B1662">
        <f>IF(A1662="","",IFERROR(INDEX(Ввод!$B$12:$B$71,MATCH(A1662,Ввод!$D$12:$D$71,1)),""))</f>
        <v/>
      </c>
      <c r="C1662">
        <f>IF(A1662="","",DATE(YEAR(A1662),12,31)-DATE(YEAR(A1662),1,1)+1)</f>
        <v/>
      </c>
      <c r="D1662">
        <f>IF(A1662="","",Ввод!$B$4-SUMIF(Оплаты!$A$6:$A$505,"&lt;"&amp;A1662,Оплаты!$B$6:$B$505))</f>
        <v/>
      </c>
      <c r="E1662">
        <f>IF(A1662="","",IF(SUMPRODUCT((Ввод!$F$12:$F$31&lt;&gt;"")*(Ввод!$F$12:$F$31&lt;=A1662)*(Ввод!$G$12:$G$31&gt;=A1662))&gt;0,1,0))</f>
        <v/>
      </c>
      <c r="F1662">
        <f>IF(OR(A1662="",B1662=""),"",IF(E1662=1,0,D1662*B1662/100/C1662))</f>
        <v/>
      </c>
      <c r="G1662">
        <f>IF(A1662="","",IF(OR(B1662&lt;&gt;B1661,C1662&lt;&gt;C1661,D1662&lt;&gt;D1661,E1662&lt;&gt;E1661),G1661+1,G1661))</f>
        <v/>
      </c>
    </row>
    <row r="1663">
      <c r="A1663" s="14">
        <f>IF(OR(NOT(ISNUMBER(Ввод!$B$5)),NOT(ISNUMBER(Ввод!$B$6))),"",IF(Ввод!$B$5+1661&gt;Ввод!$B$6,"",Ввод!$B$5+1661))</f>
        <v/>
      </c>
      <c r="B1663">
        <f>IF(A1663="","",IFERROR(INDEX(Ввод!$B$12:$B$71,MATCH(A1663,Ввод!$D$12:$D$71,1)),""))</f>
        <v/>
      </c>
      <c r="C1663">
        <f>IF(A1663="","",DATE(YEAR(A1663),12,31)-DATE(YEAR(A1663),1,1)+1)</f>
        <v/>
      </c>
      <c r="D1663">
        <f>IF(A1663="","",Ввод!$B$4-SUMIF(Оплаты!$A$6:$A$505,"&lt;"&amp;A1663,Оплаты!$B$6:$B$505))</f>
        <v/>
      </c>
      <c r="E1663">
        <f>IF(A1663="","",IF(SUMPRODUCT((Ввод!$F$12:$F$31&lt;&gt;"")*(Ввод!$F$12:$F$31&lt;=A1663)*(Ввод!$G$12:$G$31&gt;=A1663))&gt;0,1,0))</f>
        <v/>
      </c>
      <c r="F1663">
        <f>IF(OR(A1663="",B1663=""),"",IF(E1663=1,0,D1663*B1663/100/C1663))</f>
        <v/>
      </c>
      <c r="G1663">
        <f>IF(A1663="","",IF(OR(B1663&lt;&gt;B1662,C1663&lt;&gt;C1662,D1663&lt;&gt;D1662,E1663&lt;&gt;E1662),G1662+1,G1662))</f>
        <v/>
      </c>
    </row>
    <row r="1664">
      <c r="A1664" s="14">
        <f>IF(OR(NOT(ISNUMBER(Ввод!$B$5)),NOT(ISNUMBER(Ввод!$B$6))),"",IF(Ввод!$B$5+1662&gt;Ввод!$B$6,"",Ввод!$B$5+1662))</f>
        <v/>
      </c>
      <c r="B1664">
        <f>IF(A1664="","",IFERROR(INDEX(Ввод!$B$12:$B$71,MATCH(A1664,Ввод!$D$12:$D$71,1)),""))</f>
        <v/>
      </c>
      <c r="C1664">
        <f>IF(A1664="","",DATE(YEAR(A1664),12,31)-DATE(YEAR(A1664),1,1)+1)</f>
        <v/>
      </c>
      <c r="D1664">
        <f>IF(A1664="","",Ввод!$B$4-SUMIF(Оплаты!$A$6:$A$505,"&lt;"&amp;A1664,Оплаты!$B$6:$B$505))</f>
        <v/>
      </c>
      <c r="E1664">
        <f>IF(A1664="","",IF(SUMPRODUCT((Ввод!$F$12:$F$31&lt;&gt;"")*(Ввод!$F$12:$F$31&lt;=A1664)*(Ввод!$G$12:$G$31&gt;=A1664))&gt;0,1,0))</f>
        <v/>
      </c>
      <c r="F1664">
        <f>IF(OR(A1664="",B1664=""),"",IF(E1664=1,0,D1664*B1664/100/C1664))</f>
        <v/>
      </c>
      <c r="G1664">
        <f>IF(A1664="","",IF(OR(B1664&lt;&gt;B1663,C1664&lt;&gt;C1663,D1664&lt;&gt;D1663,E1664&lt;&gt;E1663),G1663+1,G1663))</f>
        <v/>
      </c>
    </row>
    <row r="1665">
      <c r="A1665" s="14">
        <f>IF(OR(NOT(ISNUMBER(Ввод!$B$5)),NOT(ISNUMBER(Ввод!$B$6))),"",IF(Ввод!$B$5+1663&gt;Ввод!$B$6,"",Ввод!$B$5+1663))</f>
        <v/>
      </c>
      <c r="B1665">
        <f>IF(A1665="","",IFERROR(INDEX(Ввод!$B$12:$B$71,MATCH(A1665,Ввод!$D$12:$D$71,1)),""))</f>
        <v/>
      </c>
      <c r="C1665">
        <f>IF(A1665="","",DATE(YEAR(A1665),12,31)-DATE(YEAR(A1665),1,1)+1)</f>
        <v/>
      </c>
      <c r="D1665">
        <f>IF(A1665="","",Ввод!$B$4-SUMIF(Оплаты!$A$6:$A$505,"&lt;"&amp;A1665,Оплаты!$B$6:$B$505))</f>
        <v/>
      </c>
      <c r="E1665">
        <f>IF(A1665="","",IF(SUMPRODUCT((Ввод!$F$12:$F$31&lt;&gt;"")*(Ввод!$F$12:$F$31&lt;=A1665)*(Ввод!$G$12:$G$31&gt;=A1665))&gt;0,1,0))</f>
        <v/>
      </c>
      <c r="F1665">
        <f>IF(OR(A1665="",B1665=""),"",IF(E1665=1,0,D1665*B1665/100/C1665))</f>
        <v/>
      </c>
      <c r="G1665">
        <f>IF(A1665="","",IF(OR(B1665&lt;&gt;B1664,C1665&lt;&gt;C1664,D1665&lt;&gt;D1664,E1665&lt;&gt;E1664),G1664+1,G1664))</f>
        <v/>
      </c>
    </row>
    <row r="1666">
      <c r="A1666" s="14">
        <f>IF(OR(NOT(ISNUMBER(Ввод!$B$5)),NOT(ISNUMBER(Ввод!$B$6))),"",IF(Ввод!$B$5+1664&gt;Ввод!$B$6,"",Ввод!$B$5+1664))</f>
        <v/>
      </c>
      <c r="B1666">
        <f>IF(A1666="","",IFERROR(INDEX(Ввод!$B$12:$B$71,MATCH(A1666,Ввод!$D$12:$D$71,1)),""))</f>
        <v/>
      </c>
      <c r="C1666">
        <f>IF(A1666="","",DATE(YEAR(A1666),12,31)-DATE(YEAR(A1666),1,1)+1)</f>
        <v/>
      </c>
      <c r="D1666">
        <f>IF(A1666="","",Ввод!$B$4-SUMIF(Оплаты!$A$6:$A$505,"&lt;"&amp;A1666,Оплаты!$B$6:$B$505))</f>
        <v/>
      </c>
      <c r="E1666">
        <f>IF(A1666="","",IF(SUMPRODUCT((Ввод!$F$12:$F$31&lt;&gt;"")*(Ввод!$F$12:$F$31&lt;=A1666)*(Ввод!$G$12:$G$31&gt;=A1666))&gt;0,1,0))</f>
        <v/>
      </c>
      <c r="F1666">
        <f>IF(OR(A1666="",B1666=""),"",IF(E1666=1,0,D1666*B1666/100/C1666))</f>
        <v/>
      </c>
      <c r="G1666">
        <f>IF(A1666="","",IF(OR(B1666&lt;&gt;B1665,C1666&lt;&gt;C1665,D1666&lt;&gt;D1665,E1666&lt;&gt;E1665),G1665+1,G1665))</f>
        <v/>
      </c>
    </row>
    <row r="1667">
      <c r="A1667" s="14">
        <f>IF(OR(NOT(ISNUMBER(Ввод!$B$5)),NOT(ISNUMBER(Ввод!$B$6))),"",IF(Ввод!$B$5+1665&gt;Ввод!$B$6,"",Ввод!$B$5+1665))</f>
        <v/>
      </c>
      <c r="B1667">
        <f>IF(A1667="","",IFERROR(INDEX(Ввод!$B$12:$B$71,MATCH(A1667,Ввод!$D$12:$D$71,1)),""))</f>
        <v/>
      </c>
      <c r="C1667">
        <f>IF(A1667="","",DATE(YEAR(A1667),12,31)-DATE(YEAR(A1667),1,1)+1)</f>
        <v/>
      </c>
      <c r="D1667">
        <f>IF(A1667="","",Ввод!$B$4-SUMIF(Оплаты!$A$6:$A$505,"&lt;"&amp;A1667,Оплаты!$B$6:$B$505))</f>
        <v/>
      </c>
      <c r="E1667">
        <f>IF(A1667="","",IF(SUMPRODUCT((Ввод!$F$12:$F$31&lt;&gt;"")*(Ввод!$F$12:$F$31&lt;=A1667)*(Ввод!$G$12:$G$31&gt;=A1667))&gt;0,1,0))</f>
        <v/>
      </c>
      <c r="F1667">
        <f>IF(OR(A1667="",B1667=""),"",IF(E1667=1,0,D1667*B1667/100/C1667))</f>
        <v/>
      </c>
      <c r="G1667">
        <f>IF(A1667="","",IF(OR(B1667&lt;&gt;B1666,C1667&lt;&gt;C1666,D1667&lt;&gt;D1666,E1667&lt;&gt;E1666),G1666+1,G1666))</f>
        <v/>
      </c>
    </row>
    <row r="1668">
      <c r="A1668" s="14">
        <f>IF(OR(NOT(ISNUMBER(Ввод!$B$5)),NOT(ISNUMBER(Ввод!$B$6))),"",IF(Ввод!$B$5+1666&gt;Ввод!$B$6,"",Ввод!$B$5+1666))</f>
        <v/>
      </c>
      <c r="B1668">
        <f>IF(A1668="","",IFERROR(INDEX(Ввод!$B$12:$B$71,MATCH(A1668,Ввод!$D$12:$D$71,1)),""))</f>
        <v/>
      </c>
      <c r="C1668">
        <f>IF(A1668="","",DATE(YEAR(A1668),12,31)-DATE(YEAR(A1668),1,1)+1)</f>
        <v/>
      </c>
      <c r="D1668">
        <f>IF(A1668="","",Ввод!$B$4-SUMIF(Оплаты!$A$6:$A$505,"&lt;"&amp;A1668,Оплаты!$B$6:$B$505))</f>
        <v/>
      </c>
      <c r="E1668">
        <f>IF(A1668="","",IF(SUMPRODUCT((Ввод!$F$12:$F$31&lt;&gt;"")*(Ввод!$F$12:$F$31&lt;=A1668)*(Ввод!$G$12:$G$31&gt;=A1668))&gt;0,1,0))</f>
        <v/>
      </c>
      <c r="F1668">
        <f>IF(OR(A1668="",B1668=""),"",IF(E1668=1,0,D1668*B1668/100/C1668))</f>
        <v/>
      </c>
      <c r="G1668">
        <f>IF(A1668="","",IF(OR(B1668&lt;&gt;B1667,C1668&lt;&gt;C1667,D1668&lt;&gt;D1667,E1668&lt;&gt;E1667),G1667+1,G1667))</f>
        <v/>
      </c>
    </row>
    <row r="1669">
      <c r="A1669" s="14">
        <f>IF(OR(NOT(ISNUMBER(Ввод!$B$5)),NOT(ISNUMBER(Ввод!$B$6))),"",IF(Ввод!$B$5+1667&gt;Ввод!$B$6,"",Ввод!$B$5+1667))</f>
        <v/>
      </c>
      <c r="B1669">
        <f>IF(A1669="","",IFERROR(INDEX(Ввод!$B$12:$B$71,MATCH(A1669,Ввод!$D$12:$D$71,1)),""))</f>
        <v/>
      </c>
      <c r="C1669">
        <f>IF(A1669="","",DATE(YEAR(A1669),12,31)-DATE(YEAR(A1669),1,1)+1)</f>
        <v/>
      </c>
      <c r="D1669">
        <f>IF(A1669="","",Ввод!$B$4-SUMIF(Оплаты!$A$6:$A$505,"&lt;"&amp;A1669,Оплаты!$B$6:$B$505))</f>
        <v/>
      </c>
      <c r="E1669">
        <f>IF(A1669="","",IF(SUMPRODUCT((Ввод!$F$12:$F$31&lt;&gt;"")*(Ввод!$F$12:$F$31&lt;=A1669)*(Ввод!$G$12:$G$31&gt;=A1669))&gt;0,1,0))</f>
        <v/>
      </c>
      <c r="F1669">
        <f>IF(OR(A1669="",B1669=""),"",IF(E1669=1,0,D1669*B1669/100/C1669))</f>
        <v/>
      </c>
      <c r="G1669">
        <f>IF(A1669="","",IF(OR(B1669&lt;&gt;B1668,C1669&lt;&gt;C1668,D1669&lt;&gt;D1668,E1669&lt;&gt;E1668),G1668+1,G1668))</f>
        <v/>
      </c>
    </row>
    <row r="1670">
      <c r="A1670" s="14">
        <f>IF(OR(NOT(ISNUMBER(Ввод!$B$5)),NOT(ISNUMBER(Ввод!$B$6))),"",IF(Ввод!$B$5+1668&gt;Ввод!$B$6,"",Ввод!$B$5+1668))</f>
        <v/>
      </c>
      <c r="B1670">
        <f>IF(A1670="","",IFERROR(INDEX(Ввод!$B$12:$B$71,MATCH(A1670,Ввод!$D$12:$D$71,1)),""))</f>
        <v/>
      </c>
      <c r="C1670">
        <f>IF(A1670="","",DATE(YEAR(A1670),12,31)-DATE(YEAR(A1670),1,1)+1)</f>
        <v/>
      </c>
      <c r="D1670">
        <f>IF(A1670="","",Ввод!$B$4-SUMIF(Оплаты!$A$6:$A$505,"&lt;"&amp;A1670,Оплаты!$B$6:$B$505))</f>
        <v/>
      </c>
      <c r="E1670">
        <f>IF(A1670="","",IF(SUMPRODUCT((Ввод!$F$12:$F$31&lt;&gt;"")*(Ввод!$F$12:$F$31&lt;=A1670)*(Ввод!$G$12:$G$31&gt;=A1670))&gt;0,1,0))</f>
        <v/>
      </c>
      <c r="F1670">
        <f>IF(OR(A1670="",B1670=""),"",IF(E1670=1,0,D1670*B1670/100/C1670))</f>
        <v/>
      </c>
      <c r="G1670">
        <f>IF(A1670="","",IF(OR(B1670&lt;&gt;B1669,C1670&lt;&gt;C1669,D1670&lt;&gt;D1669,E1670&lt;&gt;E1669),G1669+1,G1669))</f>
        <v/>
      </c>
    </row>
    <row r="1671">
      <c r="A1671" s="14">
        <f>IF(OR(NOT(ISNUMBER(Ввод!$B$5)),NOT(ISNUMBER(Ввод!$B$6))),"",IF(Ввод!$B$5+1669&gt;Ввод!$B$6,"",Ввод!$B$5+1669))</f>
        <v/>
      </c>
      <c r="B1671">
        <f>IF(A1671="","",IFERROR(INDEX(Ввод!$B$12:$B$71,MATCH(A1671,Ввод!$D$12:$D$71,1)),""))</f>
        <v/>
      </c>
      <c r="C1671">
        <f>IF(A1671="","",DATE(YEAR(A1671),12,31)-DATE(YEAR(A1671),1,1)+1)</f>
        <v/>
      </c>
      <c r="D1671">
        <f>IF(A1671="","",Ввод!$B$4-SUMIF(Оплаты!$A$6:$A$505,"&lt;"&amp;A1671,Оплаты!$B$6:$B$505))</f>
        <v/>
      </c>
      <c r="E1671">
        <f>IF(A1671="","",IF(SUMPRODUCT((Ввод!$F$12:$F$31&lt;&gt;"")*(Ввод!$F$12:$F$31&lt;=A1671)*(Ввод!$G$12:$G$31&gt;=A1671))&gt;0,1,0))</f>
        <v/>
      </c>
      <c r="F1671">
        <f>IF(OR(A1671="",B1671=""),"",IF(E1671=1,0,D1671*B1671/100/C1671))</f>
        <v/>
      </c>
      <c r="G1671">
        <f>IF(A1671="","",IF(OR(B1671&lt;&gt;B1670,C1671&lt;&gt;C1670,D1671&lt;&gt;D1670,E1671&lt;&gt;E1670),G1670+1,G1670))</f>
        <v/>
      </c>
    </row>
    <row r="1672">
      <c r="A1672" s="14">
        <f>IF(OR(NOT(ISNUMBER(Ввод!$B$5)),NOT(ISNUMBER(Ввод!$B$6))),"",IF(Ввод!$B$5+1670&gt;Ввод!$B$6,"",Ввод!$B$5+1670))</f>
        <v/>
      </c>
      <c r="B1672">
        <f>IF(A1672="","",IFERROR(INDEX(Ввод!$B$12:$B$71,MATCH(A1672,Ввод!$D$12:$D$71,1)),""))</f>
        <v/>
      </c>
      <c r="C1672">
        <f>IF(A1672="","",DATE(YEAR(A1672),12,31)-DATE(YEAR(A1672),1,1)+1)</f>
        <v/>
      </c>
      <c r="D1672">
        <f>IF(A1672="","",Ввод!$B$4-SUMIF(Оплаты!$A$6:$A$505,"&lt;"&amp;A1672,Оплаты!$B$6:$B$505))</f>
        <v/>
      </c>
      <c r="E1672">
        <f>IF(A1672="","",IF(SUMPRODUCT((Ввод!$F$12:$F$31&lt;&gt;"")*(Ввод!$F$12:$F$31&lt;=A1672)*(Ввод!$G$12:$G$31&gt;=A1672))&gt;0,1,0))</f>
        <v/>
      </c>
      <c r="F1672">
        <f>IF(OR(A1672="",B1672=""),"",IF(E1672=1,0,D1672*B1672/100/C1672))</f>
        <v/>
      </c>
      <c r="G1672">
        <f>IF(A1672="","",IF(OR(B1672&lt;&gt;B1671,C1672&lt;&gt;C1671,D1672&lt;&gt;D1671,E1672&lt;&gt;E1671),G1671+1,G1671))</f>
        <v/>
      </c>
    </row>
    <row r="1673">
      <c r="A1673" s="14">
        <f>IF(OR(NOT(ISNUMBER(Ввод!$B$5)),NOT(ISNUMBER(Ввод!$B$6))),"",IF(Ввод!$B$5+1671&gt;Ввод!$B$6,"",Ввод!$B$5+1671))</f>
        <v/>
      </c>
      <c r="B1673">
        <f>IF(A1673="","",IFERROR(INDEX(Ввод!$B$12:$B$71,MATCH(A1673,Ввод!$D$12:$D$71,1)),""))</f>
        <v/>
      </c>
      <c r="C1673">
        <f>IF(A1673="","",DATE(YEAR(A1673),12,31)-DATE(YEAR(A1673),1,1)+1)</f>
        <v/>
      </c>
      <c r="D1673">
        <f>IF(A1673="","",Ввод!$B$4-SUMIF(Оплаты!$A$6:$A$505,"&lt;"&amp;A1673,Оплаты!$B$6:$B$505))</f>
        <v/>
      </c>
      <c r="E1673">
        <f>IF(A1673="","",IF(SUMPRODUCT((Ввод!$F$12:$F$31&lt;&gt;"")*(Ввод!$F$12:$F$31&lt;=A1673)*(Ввод!$G$12:$G$31&gt;=A1673))&gt;0,1,0))</f>
        <v/>
      </c>
      <c r="F1673">
        <f>IF(OR(A1673="",B1673=""),"",IF(E1673=1,0,D1673*B1673/100/C1673))</f>
        <v/>
      </c>
      <c r="G1673">
        <f>IF(A1673="","",IF(OR(B1673&lt;&gt;B1672,C1673&lt;&gt;C1672,D1673&lt;&gt;D1672,E1673&lt;&gt;E1672),G1672+1,G1672))</f>
        <v/>
      </c>
    </row>
    <row r="1674">
      <c r="A1674" s="14">
        <f>IF(OR(NOT(ISNUMBER(Ввод!$B$5)),NOT(ISNUMBER(Ввод!$B$6))),"",IF(Ввод!$B$5+1672&gt;Ввод!$B$6,"",Ввод!$B$5+1672))</f>
        <v/>
      </c>
      <c r="B1674">
        <f>IF(A1674="","",IFERROR(INDEX(Ввод!$B$12:$B$71,MATCH(A1674,Ввод!$D$12:$D$71,1)),""))</f>
        <v/>
      </c>
      <c r="C1674">
        <f>IF(A1674="","",DATE(YEAR(A1674),12,31)-DATE(YEAR(A1674),1,1)+1)</f>
        <v/>
      </c>
      <c r="D1674">
        <f>IF(A1674="","",Ввод!$B$4-SUMIF(Оплаты!$A$6:$A$505,"&lt;"&amp;A1674,Оплаты!$B$6:$B$505))</f>
        <v/>
      </c>
      <c r="E1674">
        <f>IF(A1674="","",IF(SUMPRODUCT((Ввод!$F$12:$F$31&lt;&gt;"")*(Ввод!$F$12:$F$31&lt;=A1674)*(Ввод!$G$12:$G$31&gt;=A1674))&gt;0,1,0))</f>
        <v/>
      </c>
      <c r="F1674">
        <f>IF(OR(A1674="",B1674=""),"",IF(E1674=1,0,D1674*B1674/100/C1674))</f>
        <v/>
      </c>
      <c r="G1674">
        <f>IF(A1674="","",IF(OR(B1674&lt;&gt;B1673,C1674&lt;&gt;C1673,D1674&lt;&gt;D1673,E1674&lt;&gt;E1673),G1673+1,G1673))</f>
        <v/>
      </c>
    </row>
    <row r="1675">
      <c r="A1675" s="14">
        <f>IF(OR(NOT(ISNUMBER(Ввод!$B$5)),NOT(ISNUMBER(Ввод!$B$6))),"",IF(Ввод!$B$5+1673&gt;Ввод!$B$6,"",Ввод!$B$5+1673))</f>
        <v/>
      </c>
      <c r="B1675">
        <f>IF(A1675="","",IFERROR(INDEX(Ввод!$B$12:$B$71,MATCH(A1675,Ввод!$D$12:$D$71,1)),""))</f>
        <v/>
      </c>
      <c r="C1675">
        <f>IF(A1675="","",DATE(YEAR(A1675),12,31)-DATE(YEAR(A1675),1,1)+1)</f>
        <v/>
      </c>
      <c r="D1675">
        <f>IF(A1675="","",Ввод!$B$4-SUMIF(Оплаты!$A$6:$A$505,"&lt;"&amp;A1675,Оплаты!$B$6:$B$505))</f>
        <v/>
      </c>
      <c r="E1675">
        <f>IF(A1675="","",IF(SUMPRODUCT((Ввод!$F$12:$F$31&lt;&gt;"")*(Ввод!$F$12:$F$31&lt;=A1675)*(Ввод!$G$12:$G$31&gt;=A1675))&gt;0,1,0))</f>
        <v/>
      </c>
      <c r="F1675">
        <f>IF(OR(A1675="",B1675=""),"",IF(E1675=1,0,D1675*B1675/100/C1675))</f>
        <v/>
      </c>
      <c r="G1675">
        <f>IF(A1675="","",IF(OR(B1675&lt;&gt;B1674,C1675&lt;&gt;C1674,D1675&lt;&gt;D1674,E1675&lt;&gt;E1674),G1674+1,G1674))</f>
        <v/>
      </c>
    </row>
    <row r="1676">
      <c r="A1676" s="14">
        <f>IF(OR(NOT(ISNUMBER(Ввод!$B$5)),NOT(ISNUMBER(Ввод!$B$6))),"",IF(Ввод!$B$5+1674&gt;Ввод!$B$6,"",Ввод!$B$5+1674))</f>
        <v/>
      </c>
      <c r="B1676">
        <f>IF(A1676="","",IFERROR(INDEX(Ввод!$B$12:$B$71,MATCH(A1676,Ввод!$D$12:$D$71,1)),""))</f>
        <v/>
      </c>
      <c r="C1676">
        <f>IF(A1676="","",DATE(YEAR(A1676),12,31)-DATE(YEAR(A1676),1,1)+1)</f>
        <v/>
      </c>
      <c r="D1676">
        <f>IF(A1676="","",Ввод!$B$4-SUMIF(Оплаты!$A$6:$A$505,"&lt;"&amp;A1676,Оплаты!$B$6:$B$505))</f>
        <v/>
      </c>
      <c r="E1676">
        <f>IF(A1676="","",IF(SUMPRODUCT((Ввод!$F$12:$F$31&lt;&gt;"")*(Ввод!$F$12:$F$31&lt;=A1676)*(Ввод!$G$12:$G$31&gt;=A1676))&gt;0,1,0))</f>
        <v/>
      </c>
      <c r="F1676">
        <f>IF(OR(A1676="",B1676=""),"",IF(E1676=1,0,D1676*B1676/100/C1676))</f>
        <v/>
      </c>
      <c r="G1676">
        <f>IF(A1676="","",IF(OR(B1676&lt;&gt;B1675,C1676&lt;&gt;C1675,D1676&lt;&gt;D1675,E1676&lt;&gt;E1675),G1675+1,G1675))</f>
        <v/>
      </c>
    </row>
    <row r="1677">
      <c r="A1677" s="14">
        <f>IF(OR(NOT(ISNUMBER(Ввод!$B$5)),NOT(ISNUMBER(Ввод!$B$6))),"",IF(Ввод!$B$5+1675&gt;Ввод!$B$6,"",Ввод!$B$5+1675))</f>
        <v/>
      </c>
      <c r="B1677">
        <f>IF(A1677="","",IFERROR(INDEX(Ввод!$B$12:$B$71,MATCH(A1677,Ввод!$D$12:$D$71,1)),""))</f>
        <v/>
      </c>
      <c r="C1677">
        <f>IF(A1677="","",DATE(YEAR(A1677),12,31)-DATE(YEAR(A1677),1,1)+1)</f>
        <v/>
      </c>
      <c r="D1677">
        <f>IF(A1677="","",Ввод!$B$4-SUMIF(Оплаты!$A$6:$A$505,"&lt;"&amp;A1677,Оплаты!$B$6:$B$505))</f>
        <v/>
      </c>
      <c r="E1677">
        <f>IF(A1677="","",IF(SUMPRODUCT((Ввод!$F$12:$F$31&lt;&gt;"")*(Ввод!$F$12:$F$31&lt;=A1677)*(Ввод!$G$12:$G$31&gt;=A1677))&gt;0,1,0))</f>
        <v/>
      </c>
      <c r="F1677">
        <f>IF(OR(A1677="",B1677=""),"",IF(E1677=1,0,D1677*B1677/100/C1677))</f>
        <v/>
      </c>
      <c r="G1677">
        <f>IF(A1677="","",IF(OR(B1677&lt;&gt;B1676,C1677&lt;&gt;C1676,D1677&lt;&gt;D1676,E1677&lt;&gt;E1676),G1676+1,G1676))</f>
        <v/>
      </c>
    </row>
    <row r="1678">
      <c r="A1678" s="14">
        <f>IF(OR(NOT(ISNUMBER(Ввод!$B$5)),NOT(ISNUMBER(Ввод!$B$6))),"",IF(Ввод!$B$5+1676&gt;Ввод!$B$6,"",Ввод!$B$5+1676))</f>
        <v/>
      </c>
      <c r="B1678">
        <f>IF(A1678="","",IFERROR(INDEX(Ввод!$B$12:$B$71,MATCH(A1678,Ввод!$D$12:$D$71,1)),""))</f>
        <v/>
      </c>
      <c r="C1678">
        <f>IF(A1678="","",DATE(YEAR(A1678),12,31)-DATE(YEAR(A1678),1,1)+1)</f>
        <v/>
      </c>
      <c r="D1678">
        <f>IF(A1678="","",Ввод!$B$4-SUMIF(Оплаты!$A$6:$A$505,"&lt;"&amp;A1678,Оплаты!$B$6:$B$505))</f>
        <v/>
      </c>
      <c r="E1678">
        <f>IF(A1678="","",IF(SUMPRODUCT((Ввод!$F$12:$F$31&lt;&gt;"")*(Ввод!$F$12:$F$31&lt;=A1678)*(Ввод!$G$12:$G$31&gt;=A1678))&gt;0,1,0))</f>
        <v/>
      </c>
      <c r="F1678">
        <f>IF(OR(A1678="",B1678=""),"",IF(E1678=1,0,D1678*B1678/100/C1678))</f>
        <v/>
      </c>
      <c r="G1678">
        <f>IF(A1678="","",IF(OR(B1678&lt;&gt;B1677,C1678&lt;&gt;C1677,D1678&lt;&gt;D1677,E1678&lt;&gt;E1677),G1677+1,G1677))</f>
        <v/>
      </c>
    </row>
    <row r="1679">
      <c r="A1679" s="14">
        <f>IF(OR(NOT(ISNUMBER(Ввод!$B$5)),NOT(ISNUMBER(Ввод!$B$6))),"",IF(Ввод!$B$5+1677&gt;Ввод!$B$6,"",Ввод!$B$5+1677))</f>
        <v/>
      </c>
      <c r="B1679">
        <f>IF(A1679="","",IFERROR(INDEX(Ввод!$B$12:$B$71,MATCH(A1679,Ввод!$D$12:$D$71,1)),""))</f>
        <v/>
      </c>
      <c r="C1679">
        <f>IF(A1679="","",DATE(YEAR(A1679),12,31)-DATE(YEAR(A1679),1,1)+1)</f>
        <v/>
      </c>
      <c r="D1679">
        <f>IF(A1679="","",Ввод!$B$4-SUMIF(Оплаты!$A$6:$A$505,"&lt;"&amp;A1679,Оплаты!$B$6:$B$505))</f>
        <v/>
      </c>
      <c r="E1679">
        <f>IF(A1679="","",IF(SUMPRODUCT((Ввод!$F$12:$F$31&lt;&gt;"")*(Ввод!$F$12:$F$31&lt;=A1679)*(Ввод!$G$12:$G$31&gt;=A1679))&gt;0,1,0))</f>
        <v/>
      </c>
      <c r="F1679">
        <f>IF(OR(A1679="",B1679=""),"",IF(E1679=1,0,D1679*B1679/100/C1679))</f>
        <v/>
      </c>
      <c r="G1679">
        <f>IF(A1679="","",IF(OR(B1679&lt;&gt;B1678,C1679&lt;&gt;C1678,D1679&lt;&gt;D1678,E1679&lt;&gt;E1678),G1678+1,G1678))</f>
        <v/>
      </c>
    </row>
    <row r="1680">
      <c r="A1680" s="14">
        <f>IF(OR(NOT(ISNUMBER(Ввод!$B$5)),NOT(ISNUMBER(Ввод!$B$6))),"",IF(Ввод!$B$5+1678&gt;Ввод!$B$6,"",Ввод!$B$5+1678))</f>
        <v/>
      </c>
      <c r="B1680">
        <f>IF(A1680="","",IFERROR(INDEX(Ввод!$B$12:$B$71,MATCH(A1680,Ввод!$D$12:$D$71,1)),""))</f>
        <v/>
      </c>
      <c r="C1680">
        <f>IF(A1680="","",DATE(YEAR(A1680),12,31)-DATE(YEAR(A1680),1,1)+1)</f>
        <v/>
      </c>
      <c r="D1680">
        <f>IF(A1680="","",Ввод!$B$4-SUMIF(Оплаты!$A$6:$A$505,"&lt;"&amp;A1680,Оплаты!$B$6:$B$505))</f>
        <v/>
      </c>
      <c r="E1680">
        <f>IF(A1680="","",IF(SUMPRODUCT((Ввод!$F$12:$F$31&lt;&gt;"")*(Ввод!$F$12:$F$31&lt;=A1680)*(Ввод!$G$12:$G$31&gt;=A1680))&gt;0,1,0))</f>
        <v/>
      </c>
      <c r="F1680">
        <f>IF(OR(A1680="",B1680=""),"",IF(E1680=1,0,D1680*B1680/100/C1680))</f>
        <v/>
      </c>
      <c r="G1680">
        <f>IF(A1680="","",IF(OR(B1680&lt;&gt;B1679,C1680&lt;&gt;C1679,D1680&lt;&gt;D1679,E1680&lt;&gt;E1679),G1679+1,G1679))</f>
        <v/>
      </c>
    </row>
    <row r="1681">
      <c r="A1681" s="14">
        <f>IF(OR(NOT(ISNUMBER(Ввод!$B$5)),NOT(ISNUMBER(Ввод!$B$6))),"",IF(Ввод!$B$5+1679&gt;Ввод!$B$6,"",Ввод!$B$5+1679))</f>
        <v/>
      </c>
      <c r="B1681">
        <f>IF(A1681="","",IFERROR(INDEX(Ввод!$B$12:$B$71,MATCH(A1681,Ввод!$D$12:$D$71,1)),""))</f>
        <v/>
      </c>
      <c r="C1681">
        <f>IF(A1681="","",DATE(YEAR(A1681),12,31)-DATE(YEAR(A1681),1,1)+1)</f>
        <v/>
      </c>
      <c r="D1681">
        <f>IF(A1681="","",Ввод!$B$4-SUMIF(Оплаты!$A$6:$A$505,"&lt;"&amp;A1681,Оплаты!$B$6:$B$505))</f>
        <v/>
      </c>
      <c r="E1681">
        <f>IF(A1681="","",IF(SUMPRODUCT((Ввод!$F$12:$F$31&lt;&gt;"")*(Ввод!$F$12:$F$31&lt;=A1681)*(Ввод!$G$12:$G$31&gt;=A1681))&gt;0,1,0))</f>
        <v/>
      </c>
      <c r="F1681">
        <f>IF(OR(A1681="",B1681=""),"",IF(E1681=1,0,D1681*B1681/100/C1681))</f>
        <v/>
      </c>
      <c r="G1681">
        <f>IF(A1681="","",IF(OR(B1681&lt;&gt;B1680,C1681&lt;&gt;C1680,D1681&lt;&gt;D1680,E1681&lt;&gt;E1680),G1680+1,G1680))</f>
        <v/>
      </c>
    </row>
    <row r="1682">
      <c r="A1682" s="14">
        <f>IF(OR(NOT(ISNUMBER(Ввод!$B$5)),NOT(ISNUMBER(Ввод!$B$6))),"",IF(Ввод!$B$5+1680&gt;Ввод!$B$6,"",Ввод!$B$5+1680))</f>
        <v/>
      </c>
      <c r="B1682">
        <f>IF(A1682="","",IFERROR(INDEX(Ввод!$B$12:$B$71,MATCH(A1682,Ввод!$D$12:$D$71,1)),""))</f>
        <v/>
      </c>
      <c r="C1682">
        <f>IF(A1682="","",DATE(YEAR(A1682),12,31)-DATE(YEAR(A1682),1,1)+1)</f>
        <v/>
      </c>
      <c r="D1682">
        <f>IF(A1682="","",Ввод!$B$4-SUMIF(Оплаты!$A$6:$A$505,"&lt;"&amp;A1682,Оплаты!$B$6:$B$505))</f>
        <v/>
      </c>
      <c r="E1682">
        <f>IF(A1682="","",IF(SUMPRODUCT((Ввод!$F$12:$F$31&lt;&gt;"")*(Ввод!$F$12:$F$31&lt;=A1682)*(Ввод!$G$12:$G$31&gt;=A1682))&gt;0,1,0))</f>
        <v/>
      </c>
      <c r="F1682">
        <f>IF(OR(A1682="",B1682=""),"",IF(E1682=1,0,D1682*B1682/100/C1682))</f>
        <v/>
      </c>
      <c r="G1682">
        <f>IF(A1682="","",IF(OR(B1682&lt;&gt;B1681,C1682&lt;&gt;C1681,D1682&lt;&gt;D1681,E1682&lt;&gt;E1681),G1681+1,G1681))</f>
        <v/>
      </c>
    </row>
    <row r="1683">
      <c r="A1683" s="14">
        <f>IF(OR(NOT(ISNUMBER(Ввод!$B$5)),NOT(ISNUMBER(Ввод!$B$6))),"",IF(Ввод!$B$5+1681&gt;Ввод!$B$6,"",Ввод!$B$5+1681))</f>
        <v/>
      </c>
      <c r="B1683">
        <f>IF(A1683="","",IFERROR(INDEX(Ввод!$B$12:$B$71,MATCH(A1683,Ввод!$D$12:$D$71,1)),""))</f>
        <v/>
      </c>
      <c r="C1683">
        <f>IF(A1683="","",DATE(YEAR(A1683),12,31)-DATE(YEAR(A1683),1,1)+1)</f>
        <v/>
      </c>
      <c r="D1683">
        <f>IF(A1683="","",Ввод!$B$4-SUMIF(Оплаты!$A$6:$A$505,"&lt;"&amp;A1683,Оплаты!$B$6:$B$505))</f>
        <v/>
      </c>
      <c r="E1683">
        <f>IF(A1683="","",IF(SUMPRODUCT((Ввод!$F$12:$F$31&lt;&gt;"")*(Ввод!$F$12:$F$31&lt;=A1683)*(Ввод!$G$12:$G$31&gt;=A1683))&gt;0,1,0))</f>
        <v/>
      </c>
      <c r="F1683">
        <f>IF(OR(A1683="",B1683=""),"",IF(E1683=1,0,D1683*B1683/100/C1683))</f>
        <v/>
      </c>
      <c r="G1683">
        <f>IF(A1683="","",IF(OR(B1683&lt;&gt;B1682,C1683&lt;&gt;C1682,D1683&lt;&gt;D1682,E1683&lt;&gt;E1682),G1682+1,G1682))</f>
        <v/>
      </c>
    </row>
    <row r="1684">
      <c r="A1684" s="14">
        <f>IF(OR(NOT(ISNUMBER(Ввод!$B$5)),NOT(ISNUMBER(Ввод!$B$6))),"",IF(Ввод!$B$5+1682&gt;Ввод!$B$6,"",Ввод!$B$5+1682))</f>
        <v/>
      </c>
      <c r="B1684">
        <f>IF(A1684="","",IFERROR(INDEX(Ввод!$B$12:$B$71,MATCH(A1684,Ввод!$D$12:$D$71,1)),""))</f>
        <v/>
      </c>
      <c r="C1684">
        <f>IF(A1684="","",DATE(YEAR(A1684),12,31)-DATE(YEAR(A1684),1,1)+1)</f>
        <v/>
      </c>
      <c r="D1684">
        <f>IF(A1684="","",Ввод!$B$4-SUMIF(Оплаты!$A$6:$A$505,"&lt;"&amp;A1684,Оплаты!$B$6:$B$505))</f>
        <v/>
      </c>
      <c r="E1684">
        <f>IF(A1684="","",IF(SUMPRODUCT((Ввод!$F$12:$F$31&lt;&gt;"")*(Ввод!$F$12:$F$31&lt;=A1684)*(Ввод!$G$12:$G$31&gt;=A1684))&gt;0,1,0))</f>
        <v/>
      </c>
      <c r="F1684">
        <f>IF(OR(A1684="",B1684=""),"",IF(E1684=1,0,D1684*B1684/100/C1684))</f>
        <v/>
      </c>
      <c r="G1684">
        <f>IF(A1684="","",IF(OR(B1684&lt;&gt;B1683,C1684&lt;&gt;C1683,D1684&lt;&gt;D1683,E1684&lt;&gt;E1683),G1683+1,G1683))</f>
        <v/>
      </c>
    </row>
    <row r="1685">
      <c r="A1685" s="14">
        <f>IF(OR(NOT(ISNUMBER(Ввод!$B$5)),NOT(ISNUMBER(Ввод!$B$6))),"",IF(Ввод!$B$5+1683&gt;Ввод!$B$6,"",Ввод!$B$5+1683))</f>
        <v/>
      </c>
      <c r="B1685">
        <f>IF(A1685="","",IFERROR(INDEX(Ввод!$B$12:$B$71,MATCH(A1685,Ввод!$D$12:$D$71,1)),""))</f>
        <v/>
      </c>
      <c r="C1685">
        <f>IF(A1685="","",DATE(YEAR(A1685),12,31)-DATE(YEAR(A1685),1,1)+1)</f>
        <v/>
      </c>
      <c r="D1685">
        <f>IF(A1685="","",Ввод!$B$4-SUMIF(Оплаты!$A$6:$A$505,"&lt;"&amp;A1685,Оплаты!$B$6:$B$505))</f>
        <v/>
      </c>
      <c r="E1685">
        <f>IF(A1685="","",IF(SUMPRODUCT((Ввод!$F$12:$F$31&lt;&gt;"")*(Ввод!$F$12:$F$31&lt;=A1685)*(Ввод!$G$12:$G$31&gt;=A1685))&gt;0,1,0))</f>
        <v/>
      </c>
      <c r="F1685">
        <f>IF(OR(A1685="",B1685=""),"",IF(E1685=1,0,D1685*B1685/100/C1685))</f>
        <v/>
      </c>
      <c r="G1685">
        <f>IF(A1685="","",IF(OR(B1685&lt;&gt;B1684,C1685&lt;&gt;C1684,D1685&lt;&gt;D1684,E1685&lt;&gt;E1684),G1684+1,G1684))</f>
        <v/>
      </c>
    </row>
    <row r="1686">
      <c r="A1686" s="14">
        <f>IF(OR(NOT(ISNUMBER(Ввод!$B$5)),NOT(ISNUMBER(Ввод!$B$6))),"",IF(Ввод!$B$5+1684&gt;Ввод!$B$6,"",Ввод!$B$5+1684))</f>
        <v/>
      </c>
      <c r="B1686">
        <f>IF(A1686="","",IFERROR(INDEX(Ввод!$B$12:$B$71,MATCH(A1686,Ввод!$D$12:$D$71,1)),""))</f>
        <v/>
      </c>
      <c r="C1686">
        <f>IF(A1686="","",DATE(YEAR(A1686),12,31)-DATE(YEAR(A1686),1,1)+1)</f>
        <v/>
      </c>
      <c r="D1686">
        <f>IF(A1686="","",Ввод!$B$4-SUMIF(Оплаты!$A$6:$A$505,"&lt;"&amp;A1686,Оплаты!$B$6:$B$505))</f>
        <v/>
      </c>
      <c r="E1686">
        <f>IF(A1686="","",IF(SUMPRODUCT((Ввод!$F$12:$F$31&lt;&gt;"")*(Ввод!$F$12:$F$31&lt;=A1686)*(Ввод!$G$12:$G$31&gt;=A1686))&gt;0,1,0))</f>
        <v/>
      </c>
      <c r="F1686">
        <f>IF(OR(A1686="",B1686=""),"",IF(E1686=1,0,D1686*B1686/100/C1686))</f>
        <v/>
      </c>
      <c r="G1686">
        <f>IF(A1686="","",IF(OR(B1686&lt;&gt;B1685,C1686&lt;&gt;C1685,D1686&lt;&gt;D1685,E1686&lt;&gt;E1685),G1685+1,G1685))</f>
        <v/>
      </c>
    </row>
    <row r="1687">
      <c r="A1687" s="14">
        <f>IF(OR(NOT(ISNUMBER(Ввод!$B$5)),NOT(ISNUMBER(Ввод!$B$6))),"",IF(Ввод!$B$5+1685&gt;Ввод!$B$6,"",Ввод!$B$5+1685))</f>
        <v/>
      </c>
      <c r="B1687">
        <f>IF(A1687="","",IFERROR(INDEX(Ввод!$B$12:$B$71,MATCH(A1687,Ввод!$D$12:$D$71,1)),""))</f>
        <v/>
      </c>
      <c r="C1687">
        <f>IF(A1687="","",DATE(YEAR(A1687),12,31)-DATE(YEAR(A1687),1,1)+1)</f>
        <v/>
      </c>
      <c r="D1687">
        <f>IF(A1687="","",Ввод!$B$4-SUMIF(Оплаты!$A$6:$A$505,"&lt;"&amp;A1687,Оплаты!$B$6:$B$505))</f>
        <v/>
      </c>
      <c r="E1687">
        <f>IF(A1687="","",IF(SUMPRODUCT((Ввод!$F$12:$F$31&lt;&gt;"")*(Ввод!$F$12:$F$31&lt;=A1687)*(Ввод!$G$12:$G$31&gt;=A1687))&gt;0,1,0))</f>
        <v/>
      </c>
      <c r="F1687">
        <f>IF(OR(A1687="",B1687=""),"",IF(E1687=1,0,D1687*B1687/100/C1687))</f>
        <v/>
      </c>
      <c r="G1687">
        <f>IF(A1687="","",IF(OR(B1687&lt;&gt;B1686,C1687&lt;&gt;C1686,D1687&lt;&gt;D1686,E1687&lt;&gt;E1686),G1686+1,G1686))</f>
        <v/>
      </c>
    </row>
    <row r="1688">
      <c r="A1688" s="14">
        <f>IF(OR(NOT(ISNUMBER(Ввод!$B$5)),NOT(ISNUMBER(Ввод!$B$6))),"",IF(Ввод!$B$5+1686&gt;Ввод!$B$6,"",Ввод!$B$5+1686))</f>
        <v/>
      </c>
      <c r="B1688">
        <f>IF(A1688="","",IFERROR(INDEX(Ввод!$B$12:$B$71,MATCH(A1688,Ввод!$D$12:$D$71,1)),""))</f>
        <v/>
      </c>
      <c r="C1688">
        <f>IF(A1688="","",DATE(YEAR(A1688),12,31)-DATE(YEAR(A1688),1,1)+1)</f>
        <v/>
      </c>
      <c r="D1688">
        <f>IF(A1688="","",Ввод!$B$4-SUMIF(Оплаты!$A$6:$A$505,"&lt;"&amp;A1688,Оплаты!$B$6:$B$505))</f>
        <v/>
      </c>
      <c r="E1688">
        <f>IF(A1688="","",IF(SUMPRODUCT((Ввод!$F$12:$F$31&lt;&gt;"")*(Ввод!$F$12:$F$31&lt;=A1688)*(Ввод!$G$12:$G$31&gt;=A1688))&gt;0,1,0))</f>
        <v/>
      </c>
      <c r="F1688">
        <f>IF(OR(A1688="",B1688=""),"",IF(E1688=1,0,D1688*B1688/100/C1688))</f>
        <v/>
      </c>
      <c r="G1688">
        <f>IF(A1688="","",IF(OR(B1688&lt;&gt;B1687,C1688&lt;&gt;C1687,D1688&lt;&gt;D1687,E1688&lt;&gt;E1687),G1687+1,G1687))</f>
        <v/>
      </c>
    </row>
    <row r="1689">
      <c r="A1689" s="14">
        <f>IF(OR(NOT(ISNUMBER(Ввод!$B$5)),NOT(ISNUMBER(Ввод!$B$6))),"",IF(Ввод!$B$5+1687&gt;Ввод!$B$6,"",Ввод!$B$5+1687))</f>
        <v/>
      </c>
      <c r="B1689">
        <f>IF(A1689="","",IFERROR(INDEX(Ввод!$B$12:$B$71,MATCH(A1689,Ввод!$D$12:$D$71,1)),""))</f>
        <v/>
      </c>
      <c r="C1689">
        <f>IF(A1689="","",DATE(YEAR(A1689),12,31)-DATE(YEAR(A1689),1,1)+1)</f>
        <v/>
      </c>
      <c r="D1689">
        <f>IF(A1689="","",Ввод!$B$4-SUMIF(Оплаты!$A$6:$A$505,"&lt;"&amp;A1689,Оплаты!$B$6:$B$505))</f>
        <v/>
      </c>
      <c r="E1689">
        <f>IF(A1689="","",IF(SUMPRODUCT((Ввод!$F$12:$F$31&lt;&gt;"")*(Ввод!$F$12:$F$31&lt;=A1689)*(Ввод!$G$12:$G$31&gt;=A1689))&gt;0,1,0))</f>
        <v/>
      </c>
      <c r="F1689">
        <f>IF(OR(A1689="",B1689=""),"",IF(E1689=1,0,D1689*B1689/100/C1689))</f>
        <v/>
      </c>
      <c r="G1689">
        <f>IF(A1689="","",IF(OR(B1689&lt;&gt;B1688,C1689&lt;&gt;C1688,D1689&lt;&gt;D1688,E1689&lt;&gt;E1688),G1688+1,G1688))</f>
        <v/>
      </c>
    </row>
    <row r="1690">
      <c r="A1690" s="14">
        <f>IF(OR(NOT(ISNUMBER(Ввод!$B$5)),NOT(ISNUMBER(Ввод!$B$6))),"",IF(Ввод!$B$5+1688&gt;Ввод!$B$6,"",Ввод!$B$5+1688))</f>
        <v/>
      </c>
      <c r="B1690">
        <f>IF(A1690="","",IFERROR(INDEX(Ввод!$B$12:$B$71,MATCH(A1690,Ввод!$D$12:$D$71,1)),""))</f>
        <v/>
      </c>
      <c r="C1690">
        <f>IF(A1690="","",DATE(YEAR(A1690),12,31)-DATE(YEAR(A1690),1,1)+1)</f>
        <v/>
      </c>
      <c r="D1690">
        <f>IF(A1690="","",Ввод!$B$4-SUMIF(Оплаты!$A$6:$A$505,"&lt;"&amp;A1690,Оплаты!$B$6:$B$505))</f>
        <v/>
      </c>
      <c r="E1690">
        <f>IF(A1690="","",IF(SUMPRODUCT((Ввод!$F$12:$F$31&lt;&gt;"")*(Ввод!$F$12:$F$31&lt;=A1690)*(Ввод!$G$12:$G$31&gt;=A1690))&gt;0,1,0))</f>
        <v/>
      </c>
      <c r="F1690">
        <f>IF(OR(A1690="",B1690=""),"",IF(E1690=1,0,D1690*B1690/100/C1690))</f>
        <v/>
      </c>
      <c r="G1690">
        <f>IF(A1690="","",IF(OR(B1690&lt;&gt;B1689,C1690&lt;&gt;C1689,D1690&lt;&gt;D1689,E1690&lt;&gt;E1689),G1689+1,G1689))</f>
        <v/>
      </c>
    </row>
    <row r="1691">
      <c r="A1691" s="14">
        <f>IF(OR(NOT(ISNUMBER(Ввод!$B$5)),NOT(ISNUMBER(Ввод!$B$6))),"",IF(Ввод!$B$5+1689&gt;Ввод!$B$6,"",Ввод!$B$5+1689))</f>
        <v/>
      </c>
      <c r="B1691">
        <f>IF(A1691="","",IFERROR(INDEX(Ввод!$B$12:$B$71,MATCH(A1691,Ввод!$D$12:$D$71,1)),""))</f>
        <v/>
      </c>
      <c r="C1691">
        <f>IF(A1691="","",DATE(YEAR(A1691),12,31)-DATE(YEAR(A1691),1,1)+1)</f>
        <v/>
      </c>
      <c r="D1691">
        <f>IF(A1691="","",Ввод!$B$4-SUMIF(Оплаты!$A$6:$A$505,"&lt;"&amp;A1691,Оплаты!$B$6:$B$505))</f>
        <v/>
      </c>
      <c r="E1691">
        <f>IF(A1691="","",IF(SUMPRODUCT((Ввод!$F$12:$F$31&lt;&gt;"")*(Ввод!$F$12:$F$31&lt;=A1691)*(Ввод!$G$12:$G$31&gt;=A1691))&gt;0,1,0))</f>
        <v/>
      </c>
      <c r="F1691">
        <f>IF(OR(A1691="",B1691=""),"",IF(E1691=1,0,D1691*B1691/100/C1691))</f>
        <v/>
      </c>
      <c r="G1691">
        <f>IF(A1691="","",IF(OR(B1691&lt;&gt;B1690,C1691&lt;&gt;C1690,D1691&lt;&gt;D1690,E1691&lt;&gt;E1690),G1690+1,G1690))</f>
        <v/>
      </c>
    </row>
    <row r="1692">
      <c r="A1692" s="14">
        <f>IF(OR(NOT(ISNUMBER(Ввод!$B$5)),NOT(ISNUMBER(Ввод!$B$6))),"",IF(Ввод!$B$5+1690&gt;Ввод!$B$6,"",Ввод!$B$5+1690))</f>
        <v/>
      </c>
      <c r="B1692">
        <f>IF(A1692="","",IFERROR(INDEX(Ввод!$B$12:$B$71,MATCH(A1692,Ввод!$D$12:$D$71,1)),""))</f>
        <v/>
      </c>
      <c r="C1692">
        <f>IF(A1692="","",DATE(YEAR(A1692),12,31)-DATE(YEAR(A1692),1,1)+1)</f>
        <v/>
      </c>
      <c r="D1692">
        <f>IF(A1692="","",Ввод!$B$4-SUMIF(Оплаты!$A$6:$A$505,"&lt;"&amp;A1692,Оплаты!$B$6:$B$505))</f>
        <v/>
      </c>
      <c r="E1692">
        <f>IF(A1692="","",IF(SUMPRODUCT((Ввод!$F$12:$F$31&lt;&gt;"")*(Ввод!$F$12:$F$31&lt;=A1692)*(Ввод!$G$12:$G$31&gt;=A1692))&gt;0,1,0))</f>
        <v/>
      </c>
      <c r="F1692">
        <f>IF(OR(A1692="",B1692=""),"",IF(E1692=1,0,D1692*B1692/100/C1692))</f>
        <v/>
      </c>
      <c r="G1692">
        <f>IF(A1692="","",IF(OR(B1692&lt;&gt;B1691,C1692&lt;&gt;C1691,D1692&lt;&gt;D1691,E1692&lt;&gt;E1691),G1691+1,G1691))</f>
        <v/>
      </c>
    </row>
    <row r="1693">
      <c r="A1693" s="14">
        <f>IF(OR(NOT(ISNUMBER(Ввод!$B$5)),NOT(ISNUMBER(Ввод!$B$6))),"",IF(Ввод!$B$5+1691&gt;Ввод!$B$6,"",Ввод!$B$5+1691))</f>
        <v/>
      </c>
      <c r="B1693">
        <f>IF(A1693="","",IFERROR(INDEX(Ввод!$B$12:$B$71,MATCH(A1693,Ввод!$D$12:$D$71,1)),""))</f>
        <v/>
      </c>
      <c r="C1693">
        <f>IF(A1693="","",DATE(YEAR(A1693),12,31)-DATE(YEAR(A1693),1,1)+1)</f>
        <v/>
      </c>
      <c r="D1693">
        <f>IF(A1693="","",Ввод!$B$4-SUMIF(Оплаты!$A$6:$A$505,"&lt;"&amp;A1693,Оплаты!$B$6:$B$505))</f>
        <v/>
      </c>
      <c r="E1693">
        <f>IF(A1693="","",IF(SUMPRODUCT((Ввод!$F$12:$F$31&lt;&gt;"")*(Ввод!$F$12:$F$31&lt;=A1693)*(Ввод!$G$12:$G$31&gt;=A1693))&gt;0,1,0))</f>
        <v/>
      </c>
      <c r="F1693">
        <f>IF(OR(A1693="",B1693=""),"",IF(E1693=1,0,D1693*B1693/100/C1693))</f>
        <v/>
      </c>
      <c r="G1693">
        <f>IF(A1693="","",IF(OR(B1693&lt;&gt;B1692,C1693&lt;&gt;C1692,D1693&lt;&gt;D1692,E1693&lt;&gt;E1692),G1692+1,G1692))</f>
        <v/>
      </c>
    </row>
    <row r="1694">
      <c r="A1694" s="14">
        <f>IF(OR(NOT(ISNUMBER(Ввод!$B$5)),NOT(ISNUMBER(Ввод!$B$6))),"",IF(Ввод!$B$5+1692&gt;Ввод!$B$6,"",Ввод!$B$5+1692))</f>
        <v/>
      </c>
      <c r="B1694">
        <f>IF(A1694="","",IFERROR(INDEX(Ввод!$B$12:$B$71,MATCH(A1694,Ввод!$D$12:$D$71,1)),""))</f>
        <v/>
      </c>
      <c r="C1694">
        <f>IF(A1694="","",DATE(YEAR(A1694),12,31)-DATE(YEAR(A1694),1,1)+1)</f>
        <v/>
      </c>
      <c r="D1694">
        <f>IF(A1694="","",Ввод!$B$4-SUMIF(Оплаты!$A$6:$A$505,"&lt;"&amp;A1694,Оплаты!$B$6:$B$505))</f>
        <v/>
      </c>
      <c r="E1694">
        <f>IF(A1694="","",IF(SUMPRODUCT((Ввод!$F$12:$F$31&lt;&gt;"")*(Ввод!$F$12:$F$31&lt;=A1694)*(Ввод!$G$12:$G$31&gt;=A1694))&gt;0,1,0))</f>
        <v/>
      </c>
      <c r="F1694">
        <f>IF(OR(A1694="",B1694=""),"",IF(E1694=1,0,D1694*B1694/100/C1694))</f>
        <v/>
      </c>
      <c r="G1694">
        <f>IF(A1694="","",IF(OR(B1694&lt;&gt;B1693,C1694&lt;&gt;C1693,D1694&lt;&gt;D1693,E1694&lt;&gt;E1693),G1693+1,G1693))</f>
        <v/>
      </c>
    </row>
    <row r="1695">
      <c r="A1695" s="14">
        <f>IF(OR(NOT(ISNUMBER(Ввод!$B$5)),NOT(ISNUMBER(Ввод!$B$6))),"",IF(Ввод!$B$5+1693&gt;Ввод!$B$6,"",Ввод!$B$5+1693))</f>
        <v/>
      </c>
      <c r="B1695">
        <f>IF(A1695="","",IFERROR(INDEX(Ввод!$B$12:$B$71,MATCH(A1695,Ввод!$D$12:$D$71,1)),""))</f>
        <v/>
      </c>
      <c r="C1695">
        <f>IF(A1695="","",DATE(YEAR(A1695),12,31)-DATE(YEAR(A1695),1,1)+1)</f>
        <v/>
      </c>
      <c r="D1695">
        <f>IF(A1695="","",Ввод!$B$4-SUMIF(Оплаты!$A$6:$A$505,"&lt;"&amp;A1695,Оплаты!$B$6:$B$505))</f>
        <v/>
      </c>
      <c r="E1695">
        <f>IF(A1695="","",IF(SUMPRODUCT((Ввод!$F$12:$F$31&lt;&gt;"")*(Ввод!$F$12:$F$31&lt;=A1695)*(Ввод!$G$12:$G$31&gt;=A1695))&gt;0,1,0))</f>
        <v/>
      </c>
      <c r="F1695">
        <f>IF(OR(A1695="",B1695=""),"",IF(E1695=1,0,D1695*B1695/100/C1695))</f>
        <v/>
      </c>
      <c r="G1695">
        <f>IF(A1695="","",IF(OR(B1695&lt;&gt;B1694,C1695&lt;&gt;C1694,D1695&lt;&gt;D1694,E1695&lt;&gt;E1694),G1694+1,G1694))</f>
        <v/>
      </c>
    </row>
    <row r="1696">
      <c r="A1696" s="14">
        <f>IF(OR(NOT(ISNUMBER(Ввод!$B$5)),NOT(ISNUMBER(Ввод!$B$6))),"",IF(Ввод!$B$5+1694&gt;Ввод!$B$6,"",Ввод!$B$5+1694))</f>
        <v/>
      </c>
      <c r="B1696">
        <f>IF(A1696="","",IFERROR(INDEX(Ввод!$B$12:$B$71,MATCH(A1696,Ввод!$D$12:$D$71,1)),""))</f>
        <v/>
      </c>
      <c r="C1696">
        <f>IF(A1696="","",DATE(YEAR(A1696),12,31)-DATE(YEAR(A1696),1,1)+1)</f>
        <v/>
      </c>
      <c r="D1696">
        <f>IF(A1696="","",Ввод!$B$4-SUMIF(Оплаты!$A$6:$A$505,"&lt;"&amp;A1696,Оплаты!$B$6:$B$505))</f>
        <v/>
      </c>
      <c r="E1696">
        <f>IF(A1696="","",IF(SUMPRODUCT((Ввод!$F$12:$F$31&lt;&gt;"")*(Ввод!$F$12:$F$31&lt;=A1696)*(Ввод!$G$12:$G$31&gt;=A1696))&gt;0,1,0))</f>
        <v/>
      </c>
      <c r="F1696">
        <f>IF(OR(A1696="",B1696=""),"",IF(E1696=1,0,D1696*B1696/100/C1696))</f>
        <v/>
      </c>
      <c r="G1696">
        <f>IF(A1696="","",IF(OR(B1696&lt;&gt;B1695,C1696&lt;&gt;C1695,D1696&lt;&gt;D1695,E1696&lt;&gt;E1695),G1695+1,G1695))</f>
        <v/>
      </c>
    </row>
    <row r="1697">
      <c r="A1697" s="14">
        <f>IF(OR(NOT(ISNUMBER(Ввод!$B$5)),NOT(ISNUMBER(Ввод!$B$6))),"",IF(Ввод!$B$5+1695&gt;Ввод!$B$6,"",Ввод!$B$5+1695))</f>
        <v/>
      </c>
      <c r="B1697">
        <f>IF(A1697="","",IFERROR(INDEX(Ввод!$B$12:$B$71,MATCH(A1697,Ввод!$D$12:$D$71,1)),""))</f>
        <v/>
      </c>
      <c r="C1697">
        <f>IF(A1697="","",DATE(YEAR(A1697),12,31)-DATE(YEAR(A1697),1,1)+1)</f>
        <v/>
      </c>
      <c r="D1697">
        <f>IF(A1697="","",Ввод!$B$4-SUMIF(Оплаты!$A$6:$A$505,"&lt;"&amp;A1697,Оплаты!$B$6:$B$505))</f>
        <v/>
      </c>
      <c r="E1697">
        <f>IF(A1697="","",IF(SUMPRODUCT((Ввод!$F$12:$F$31&lt;&gt;"")*(Ввод!$F$12:$F$31&lt;=A1697)*(Ввод!$G$12:$G$31&gt;=A1697))&gt;0,1,0))</f>
        <v/>
      </c>
      <c r="F1697">
        <f>IF(OR(A1697="",B1697=""),"",IF(E1697=1,0,D1697*B1697/100/C1697))</f>
        <v/>
      </c>
      <c r="G1697">
        <f>IF(A1697="","",IF(OR(B1697&lt;&gt;B1696,C1697&lt;&gt;C1696,D1697&lt;&gt;D1696,E1697&lt;&gt;E1696),G1696+1,G1696))</f>
        <v/>
      </c>
    </row>
    <row r="1698">
      <c r="A1698" s="14">
        <f>IF(OR(NOT(ISNUMBER(Ввод!$B$5)),NOT(ISNUMBER(Ввод!$B$6))),"",IF(Ввод!$B$5+1696&gt;Ввод!$B$6,"",Ввод!$B$5+1696))</f>
        <v/>
      </c>
      <c r="B1698">
        <f>IF(A1698="","",IFERROR(INDEX(Ввод!$B$12:$B$71,MATCH(A1698,Ввод!$D$12:$D$71,1)),""))</f>
        <v/>
      </c>
      <c r="C1698">
        <f>IF(A1698="","",DATE(YEAR(A1698),12,31)-DATE(YEAR(A1698),1,1)+1)</f>
        <v/>
      </c>
      <c r="D1698">
        <f>IF(A1698="","",Ввод!$B$4-SUMIF(Оплаты!$A$6:$A$505,"&lt;"&amp;A1698,Оплаты!$B$6:$B$505))</f>
        <v/>
      </c>
      <c r="E1698">
        <f>IF(A1698="","",IF(SUMPRODUCT((Ввод!$F$12:$F$31&lt;&gt;"")*(Ввод!$F$12:$F$31&lt;=A1698)*(Ввод!$G$12:$G$31&gt;=A1698))&gt;0,1,0))</f>
        <v/>
      </c>
      <c r="F1698">
        <f>IF(OR(A1698="",B1698=""),"",IF(E1698=1,0,D1698*B1698/100/C1698))</f>
        <v/>
      </c>
      <c r="G1698">
        <f>IF(A1698="","",IF(OR(B1698&lt;&gt;B1697,C1698&lt;&gt;C1697,D1698&lt;&gt;D1697,E1698&lt;&gt;E1697),G1697+1,G1697))</f>
        <v/>
      </c>
    </row>
    <row r="1699">
      <c r="A1699" s="14">
        <f>IF(OR(NOT(ISNUMBER(Ввод!$B$5)),NOT(ISNUMBER(Ввод!$B$6))),"",IF(Ввод!$B$5+1697&gt;Ввод!$B$6,"",Ввод!$B$5+1697))</f>
        <v/>
      </c>
      <c r="B1699">
        <f>IF(A1699="","",IFERROR(INDEX(Ввод!$B$12:$B$71,MATCH(A1699,Ввод!$D$12:$D$71,1)),""))</f>
        <v/>
      </c>
      <c r="C1699">
        <f>IF(A1699="","",DATE(YEAR(A1699),12,31)-DATE(YEAR(A1699),1,1)+1)</f>
        <v/>
      </c>
      <c r="D1699">
        <f>IF(A1699="","",Ввод!$B$4-SUMIF(Оплаты!$A$6:$A$505,"&lt;"&amp;A1699,Оплаты!$B$6:$B$505))</f>
        <v/>
      </c>
      <c r="E1699">
        <f>IF(A1699="","",IF(SUMPRODUCT((Ввод!$F$12:$F$31&lt;&gt;"")*(Ввод!$F$12:$F$31&lt;=A1699)*(Ввод!$G$12:$G$31&gt;=A1699))&gt;0,1,0))</f>
        <v/>
      </c>
      <c r="F1699">
        <f>IF(OR(A1699="",B1699=""),"",IF(E1699=1,0,D1699*B1699/100/C1699))</f>
        <v/>
      </c>
      <c r="G1699">
        <f>IF(A1699="","",IF(OR(B1699&lt;&gt;B1698,C1699&lt;&gt;C1698,D1699&lt;&gt;D1698,E1699&lt;&gt;E1698),G1698+1,G1698))</f>
        <v/>
      </c>
    </row>
    <row r="1700">
      <c r="A1700" s="14">
        <f>IF(OR(NOT(ISNUMBER(Ввод!$B$5)),NOT(ISNUMBER(Ввод!$B$6))),"",IF(Ввод!$B$5+1698&gt;Ввод!$B$6,"",Ввод!$B$5+1698))</f>
        <v/>
      </c>
      <c r="B1700">
        <f>IF(A1700="","",IFERROR(INDEX(Ввод!$B$12:$B$71,MATCH(A1700,Ввод!$D$12:$D$71,1)),""))</f>
        <v/>
      </c>
      <c r="C1700">
        <f>IF(A1700="","",DATE(YEAR(A1700),12,31)-DATE(YEAR(A1700),1,1)+1)</f>
        <v/>
      </c>
      <c r="D1700">
        <f>IF(A1700="","",Ввод!$B$4-SUMIF(Оплаты!$A$6:$A$505,"&lt;"&amp;A1700,Оплаты!$B$6:$B$505))</f>
        <v/>
      </c>
      <c r="E1700">
        <f>IF(A1700="","",IF(SUMPRODUCT((Ввод!$F$12:$F$31&lt;&gt;"")*(Ввод!$F$12:$F$31&lt;=A1700)*(Ввод!$G$12:$G$31&gt;=A1700))&gt;0,1,0))</f>
        <v/>
      </c>
      <c r="F1700">
        <f>IF(OR(A1700="",B1700=""),"",IF(E1700=1,0,D1700*B1700/100/C1700))</f>
        <v/>
      </c>
      <c r="G1700">
        <f>IF(A1700="","",IF(OR(B1700&lt;&gt;B1699,C1700&lt;&gt;C1699,D1700&lt;&gt;D1699,E1700&lt;&gt;E1699),G1699+1,G1699))</f>
        <v/>
      </c>
    </row>
    <row r="1701">
      <c r="A1701" s="14">
        <f>IF(OR(NOT(ISNUMBER(Ввод!$B$5)),NOT(ISNUMBER(Ввод!$B$6))),"",IF(Ввод!$B$5+1699&gt;Ввод!$B$6,"",Ввод!$B$5+1699))</f>
        <v/>
      </c>
      <c r="B1701">
        <f>IF(A1701="","",IFERROR(INDEX(Ввод!$B$12:$B$71,MATCH(A1701,Ввод!$D$12:$D$71,1)),""))</f>
        <v/>
      </c>
      <c r="C1701">
        <f>IF(A1701="","",DATE(YEAR(A1701),12,31)-DATE(YEAR(A1701),1,1)+1)</f>
        <v/>
      </c>
      <c r="D1701">
        <f>IF(A1701="","",Ввод!$B$4-SUMIF(Оплаты!$A$6:$A$505,"&lt;"&amp;A1701,Оплаты!$B$6:$B$505))</f>
        <v/>
      </c>
      <c r="E1701">
        <f>IF(A1701="","",IF(SUMPRODUCT((Ввод!$F$12:$F$31&lt;&gt;"")*(Ввод!$F$12:$F$31&lt;=A1701)*(Ввод!$G$12:$G$31&gt;=A1701))&gt;0,1,0))</f>
        <v/>
      </c>
      <c r="F1701">
        <f>IF(OR(A1701="",B1701=""),"",IF(E1701=1,0,D1701*B1701/100/C1701))</f>
        <v/>
      </c>
      <c r="G1701">
        <f>IF(A1701="","",IF(OR(B1701&lt;&gt;B1700,C1701&lt;&gt;C1700,D1701&lt;&gt;D1700,E1701&lt;&gt;E1700),G1700+1,G1700))</f>
        <v/>
      </c>
    </row>
    <row r="1702">
      <c r="A1702" s="14">
        <f>IF(OR(NOT(ISNUMBER(Ввод!$B$5)),NOT(ISNUMBER(Ввод!$B$6))),"",IF(Ввод!$B$5+1700&gt;Ввод!$B$6,"",Ввод!$B$5+1700))</f>
        <v/>
      </c>
      <c r="B1702">
        <f>IF(A1702="","",IFERROR(INDEX(Ввод!$B$12:$B$71,MATCH(A1702,Ввод!$D$12:$D$71,1)),""))</f>
        <v/>
      </c>
      <c r="C1702">
        <f>IF(A1702="","",DATE(YEAR(A1702),12,31)-DATE(YEAR(A1702),1,1)+1)</f>
        <v/>
      </c>
      <c r="D1702">
        <f>IF(A1702="","",Ввод!$B$4-SUMIF(Оплаты!$A$6:$A$505,"&lt;"&amp;A1702,Оплаты!$B$6:$B$505))</f>
        <v/>
      </c>
      <c r="E1702">
        <f>IF(A1702="","",IF(SUMPRODUCT((Ввод!$F$12:$F$31&lt;&gt;"")*(Ввод!$F$12:$F$31&lt;=A1702)*(Ввод!$G$12:$G$31&gt;=A1702))&gt;0,1,0))</f>
        <v/>
      </c>
      <c r="F1702">
        <f>IF(OR(A1702="",B1702=""),"",IF(E1702=1,0,D1702*B1702/100/C1702))</f>
        <v/>
      </c>
      <c r="G1702">
        <f>IF(A1702="","",IF(OR(B1702&lt;&gt;B1701,C1702&lt;&gt;C1701,D1702&lt;&gt;D1701,E1702&lt;&gt;E1701),G1701+1,G1701))</f>
        <v/>
      </c>
    </row>
    <row r="1703">
      <c r="A1703" s="14">
        <f>IF(OR(NOT(ISNUMBER(Ввод!$B$5)),NOT(ISNUMBER(Ввод!$B$6))),"",IF(Ввод!$B$5+1701&gt;Ввод!$B$6,"",Ввод!$B$5+1701))</f>
        <v/>
      </c>
      <c r="B1703">
        <f>IF(A1703="","",IFERROR(INDEX(Ввод!$B$12:$B$71,MATCH(A1703,Ввод!$D$12:$D$71,1)),""))</f>
        <v/>
      </c>
      <c r="C1703">
        <f>IF(A1703="","",DATE(YEAR(A1703),12,31)-DATE(YEAR(A1703),1,1)+1)</f>
        <v/>
      </c>
      <c r="D1703">
        <f>IF(A1703="","",Ввод!$B$4-SUMIF(Оплаты!$A$6:$A$505,"&lt;"&amp;A1703,Оплаты!$B$6:$B$505))</f>
        <v/>
      </c>
      <c r="E1703">
        <f>IF(A1703="","",IF(SUMPRODUCT((Ввод!$F$12:$F$31&lt;&gt;"")*(Ввод!$F$12:$F$31&lt;=A1703)*(Ввод!$G$12:$G$31&gt;=A1703))&gt;0,1,0))</f>
        <v/>
      </c>
      <c r="F1703">
        <f>IF(OR(A1703="",B1703=""),"",IF(E1703=1,0,D1703*B1703/100/C1703))</f>
        <v/>
      </c>
      <c r="G1703">
        <f>IF(A1703="","",IF(OR(B1703&lt;&gt;B1702,C1703&lt;&gt;C1702,D1703&lt;&gt;D1702,E1703&lt;&gt;E1702),G1702+1,G1702))</f>
        <v/>
      </c>
    </row>
    <row r="1704">
      <c r="A1704" s="14">
        <f>IF(OR(NOT(ISNUMBER(Ввод!$B$5)),NOT(ISNUMBER(Ввод!$B$6))),"",IF(Ввод!$B$5+1702&gt;Ввод!$B$6,"",Ввод!$B$5+1702))</f>
        <v/>
      </c>
      <c r="B1704">
        <f>IF(A1704="","",IFERROR(INDEX(Ввод!$B$12:$B$71,MATCH(A1704,Ввод!$D$12:$D$71,1)),""))</f>
        <v/>
      </c>
      <c r="C1704">
        <f>IF(A1704="","",DATE(YEAR(A1704),12,31)-DATE(YEAR(A1704),1,1)+1)</f>
        <v/>
      </c>
      <c r="D1704">
        <f>IF(A1704="","",Ввод!$B$4-SUMIF(Оплаты!$A$6:$A$505,"&lt;"&amp;A1704,Оплаты!$B$6:$B$505))</f>
        <v/>
      </c>
      <c r="E1704">
        <f>IF(A1704="","",IF(SUMPRODUCT((Ввод!$F$12:$F$31&lt;&gt;"")*(Ввод!$F$12:$F$31&lt;=A1704)*(Ввод!$G$12:$G$31&gt;=A1704))&gt;0,1,0))</f>
        <v/>
      </c>
      <c r="F1704">
        <f>IF(OR(A1704="",B1704=""),"",IF(E1704=1,0,D1704*B1704/100/C1704))</f>
        <v/>
      </c>
      <c r="G1704">
        <f>IF(A1704="","",IF(OR(B1704&lt;&gt;B1703,C1704&lt;&gt;C1703,D1704&lt;&gt;D1703,E1704&lt;&gt;E1703),G1703+1,G1703))</f>
        <v/>
      </c>
    </row>
    <row r="1705">
      <c r="A1705" s="14">
        <f>IF(OR(NOT(ISNUMBER(Ввод!$B$5)),NOT(ISNUMBER(Ввод!$B$6))),"",IF(Ввод!$B$5+1703&gt;Ввод!$B$6,"",Ввод!$B$5+1703))</f>
        <v/>
      </c>
      <c r="B1705">
        <f>IF(A1705="","",IFERROR(INDEX(Ввод!$B$12:$B$71,MATCH(A1705,Ввод!$D$12:$D$71,1)),""))</f>
        <v/>
      </c>
      <c r="C1705">
        <f>IF(A1705="","",DATE(YEAR(A1705),12,31)-DATE(YEAR(A1705),1,1)+1)</f>
        <v/>
      </c>
      <c r="D1705">
        <f>IF(A1705="","",Ввод!$B$4-SUMIF(Оплаты!$A$6:$A$505,"&lt;"&amp;A1705,Оплаты!$B$6:$B$505))</f>
        <v/>
      </c>
      <c r="E1705">
        <f>IF(A1705="","",IF(SUMPRODUCT((Ввод!$F$12:$F$31&lt;&gt;"")*(Ввод!$F$12:$F$31&lt;=A1705)*(Ввод!$G$12:$G$31&gt;=A1705))&gt;0,1,0))</f>
        <v/>
      </c>
      <c r="F1705">
        <f>IF(OR(A1705="",B1705=""),"",IF(E1705=1,0,D1705*B1705/100/C1705))</f>
        <v/>
      </c>
      <c r="G1705">
        <f>IF(A1705="","",IF(OR(B1705&lt;&gt;B1704,C1705&lt;&gt;C1704,D1705&lt;&gt;D1704,E1705&lt;&gt;E1704),G1704+1,G1704))</f>
        <v/>
      </c>
    </row>
    <row r="1706">
      <c r="A1706" s="14">
        <f>IF(OR(NOT(ISNUMBER(Ввод!$B$5)),NOT(ISNUMBER(Ввод!$B$6))),"",IF(Ввод!$B$5+1704&gt;Ввод!$B$6,"",Ввод!$B$5+1704))</f>
        <v/>
      </c>
      <c r="B1706">
        <f>IF(A1706="","",IFERROR(INDEX(Ввод!$B$12:$B$71,MATCH(A1706,Ввод!$D$12:$D$71,1)),""))</f>
        <v/>
      </c>
      <c r="C1706">
        <f>IF(A1706="","",DATE(YEAR(A1706),12,31)-DATE(YEAR(A1706),1,1)+1)</f>
        <v/>
      </c>
      <c r="D1706">
        <f>IF(A1706="","",Ввод!$B$4-SUMIF(Оплаты!$A$6:$A$505,"&lt;"&amp;A1706,Оплаты!$B$6:$B$505))</f>
        <v/>
      </c>
      <c r="E1706">
        <f>IF(A1706="","",IF(SUMPRODUCT((Ввод!$F$12:$F$31&lt;&gt;"")*(Ввод!$F$12:$F$31&lt;=A1706)*(Ввод!$G$12:$G$31&gt;=A1706))&gt;0,1,0))</f>
        <v/>
      </c>
      <c r="F1706">
        <f>IF(OR(A1706="",B1706=""),"",IF(E1706=1,0,D1706*B1706/100/C1706))</f>
        <v/>
      </c>
      <c r="G1706">
        <f>IF(A1706="","",IF(OR(B1706&lt;&gt;B1705,C1706&lt;&gt;C1705,D1706&lt;&gt;D1705,E1706&lt;&gt;E1705),G1705+1,G1705))</f>
        <v/>
      </c>
    </row>
    <row r="1707">
      <c r="A1707" s="14">
        <f>IF(OR(NOT(ISNUMBER(Ввод!$B$5)),NOT(ISNUMBER(Ввод!$B$6))),"",IF(Ввод!$B$5+1705&gt;Ввод!$B$6,"",Ввод!$B$5+1705))</f>
        <v/>
      </c>
      <c r="B1707">
        <f>IF(A1707="","",IFERROR(INDEX(Ввод!$B$12:$B$71,MATCH(A1707,Ввод!$D$12:$D$71,1)),""))</f>
        <v/>
      </c>
      <c r="C1707">
        <f>IF(A1707="","",DATE(YEAR(A1707),12,31)-DATE(YEAR(A1707),1,1)+1)</f>
        <v/>
      </c>
      <c r="D1707">
        <f>IF(A1707="","",Ввод!$B$4-SUMIF(Оплаты!$A$6:$A$505,"&lt;"&amp;A1707,Оплаты!$B$6:$B$505))</f>
        <v/>
      </c>
      <c r="E1707">
        <f>IF(A1707="","",IF(SUMPRODUCT((Ввод!$F$12:$F$31&lt;&gt;"")*(Ввод!$F$12:$F$31&lt;=A1707)*(Ввод!$G$12:$G$31&gt;=A1707))&gt;0,1,0))</f>
        <v/>
      </c>
      <c r="F1707">
        <f>IF(OR(A1707="",B1707=""),"",IF(E1707=1,0,D1707*B1707/100/C1707))</f>
        <v/>
      </c>
      <c r="G1707">
        <f>IF(A1707="","",IF(OR(B1707&lt;&gt;B1706,C1707&lt;&gt;C1706,D1707&lt;&gt;D1706,E1707&lt;&gt;E1706),G1706+1,G1706))</f>
        <v/>
      </c>
    </row>
    <row r="1708">
      <c r="A1708" s="14">
        <f>IF(OR(NOT(ISNUMBER(Ввод!$B$5)),NOT(ISNUMBER(Ввод!$B$6))),"",IF(Ввод!$B$5+1706&gt;Ввод!$B$6,"",Ввод!$B$5+1706))</f>
        <v/>
      </c>
      <c r="B1708">
        <f>IF(A1708="","",IFERROR(INDEX(Ввод!$B$12:$B$71,MATCH(A1708,Ввод!$D$12:$D$71,1)),""))</f>
        <v/>
      </c>
      <c r="C1708">
        <f>IF(A1708="","",DATE(YEAR(A1708),12,31)-DATE(YEAR(A1708),1,1)+1)</f>
        <v/>
      </c>
      <c r="D1708">
        <f>IF(A1708="","",Ввод!$B$4-SUMIF(Оплаты!$A$6:$A$505,"&lt;"&amp;A1708,Оплаты!$B$6:$B$505))</f>
        <v/>
      </c>
      <c r="E1708">
        <f>IF(A1708="","",IF(SUMPRODUCT((Ввод!$F$12:$F$31&lt;&gt;"")*(Ввод!$F$12:$F$31&lt;=A1708)*(Ввод!$G$12:$G$31&gt;=A1708))&gt;0,1,0))</f>
        <v/>
      </c>
      <c r="F1708">
        <f>IF(OR(A1708="",B1708=""),"",IF(E1708=1,0,D1708*B1708/100/C1708))</f>
        <v/>
      </c>
      <c r="G1708">
        <f>IF(A1708="","",IF(OR(B1708&lt;&gt;B1707,C1708&lt;&gt;C1707,D1708&lt;&gt;D1707,E1708&lt;&gt;E1707),G1707+1,G1707))</f>
        <v/>
      </c>
    </row>
    <row r="1709">
      <c r="A1709" s="14">
        <f>IF(OR(NOT(ISNUMBER(Ввод!$B$5)),NOT(ISNUMBER(Ввод!$B$6))),"",IF(Ввод!$B$5+1707&gt;Ввод!$B$6,"",Ввод!$B$5+1707))</f>
        <v/>
      </c>
      <c r="B1709">
        <f>IF(A1709="","",IFERROR(INDEX(Ввод!$B$12:$B$71,MATCH(A1709,Ввод!$D$12:$D$71,1)),""))</f>
        <v/>
      </c>
      <c r="C1709">
        <f>IF(A1709="","",DATE(YEAR(A1709),12,31)-DATE(YEAR(A1709),1,1)+1)</f>
        <v/>
      </c>
      <c r="D1709">
        <f>IF(A1709="","",Ввод!$B$4-SUMIF(Оплаты!$A$6:$A$505,"&lt;"&amp;A1709,Оплаты!$B$6:$B$505))</f>
        <v/>
      </c>
      <c r="E1709">
        <f>IF(A1709="","",IF(SUMPRODUCT((Ввод!$F$12:$F$31&lt;&gt;"")*(Ввод!$F$12:$F$31&lt;=A1709)*(Ввод!$G$12:$G$31&gt;=A1709))&gt;0,1,0))</f>
        <v/>
      </c>
      <c r="F1709">
        <f>IF(OR(A1709="",B1709=""),"",IF(E1709=1,0,D1709*B1709/100/C1709))</f>
        <v/>
      </c>
      <c r="G1709">
        <f>IF(A1709="","",IF(OR(B1709&lt;&gt;B1708,C1709&lt;&gt;C1708,D1709&lt;&gt;D1708,E1709&lt;&gt;E1708),G1708+1,G1708))</f>
        <v/>
      </c>
    </row>
    <row r="1710">
      <c r="A1710" s="14">
        <f>IF(OR(NOT(ISNUMBER(Ввод!$B$5)),NOT(ISNUMBER(Ввод!$B$6))),"",IF(Ввод!$B$5+1708&gt;Ввод!$B$6,"",Ввод!$B$5+1708))</f>
        <v/>
      </c>
      <c r="B1710">
        <f>IF(A1710="","",IFERROR(INDEX(Ввод!$B$12:$B$71,MATCH(A1710,Ввод!$D$12:$D$71,1)),""))</f>
        <v/>
      </c>
      <c r="C1710">
        <f>IF(A1710="","",DATE(YEAR(A1710),12,31)-DATE(YEAR(A1710),1,1)+1)</f>
        <v/>
      </c>
      <c r="D1710">
        <f>IF(A1710="","",Ввод!$B$4-SUMIF(Оплаты!$A$6:$A$505,"&lt;"&amp;A1710,Оплаты!$B$6:$B$505))</f>
        <v/>
      </c>
      <c r="E1710">
        <f>IF(A1710="","",IF(SUMPRODUCT((Ввод!$F$12:$F$31&lt;&gt;"")*(Ввод!$F$12:$F$31&lt;=A1710)*(Ввод!$G$12:$G$31&gt;=A1710))&gt;0,1,0))</f>
        <v/>
      </c>
      <c r="F1710">
        <f>IF(OR(A1710="",B1710=""),"",IF(E1710=1,0,D1710*B1710/100/C1710))</f>
        <v/>
      </c>
      <c r="G1710">
        <f>IF(A1710="","",IF(OR(B1710&lt;&gt;B1709,C1710&lt;&gt;C1709,D1710&lt;&gt;D1709,E1710&lt;&gt;E1709),G1709+1,G1709))</f>
        <v/>
      </c>
    </row>
    <row r="1711">
      <c r="A1711" s="14">
        <f>IF(OR(NOT(ISNUMBER(Ввод!$B$5)),NOT(ISNUMBER(Ввод!$B$6))),"",IF(Ввод!$B$5+1709&gt;Ввод!$B$6,"",Ввод!$B$5+1709))</f>
        <v/>
      </c>
      <c r="B1711">
        <f>IF(A1711="","",IFERROR(INDEX(Ввод!$B$12:$B$71,MATCH(A1711,Ввод!$D$12:$D$71,1)),""))</f>
        <v/>
      </c>
      <c r="C1711">
        <f>IF(A1711="","",DATE(YEAR(A1711),12,31)-DATE(YEAR(A1711),1,1)+1)</f>
        <v/>
      </c>
      <c r="D1711">
        <f>IF(A1711="","",Ввод!$B$4-SUMIF(Оплаты!$A$6:$A$505,"&lt;"&amp;A1711,Оплаты!$B$6:$B$505))</f>
        <v/>
      </c>
      <c r="E1711">
        <f>IF(A1711="","",IF(SUMPRODUCT((Ввод!$F$12:$F$31&lt;&gt;"")*(Ввод!$F$12:$F$31&lt;=A1711)*(Ввод!$G$12:$G$31&gt;=A1711))&gt;0,1,0))</f>
        <v/>
      </c>
      <c r="F1711">
        <f>IF(OR(A1711="",B1711=""),"",IF(E1711=1,0,D1711*B1711/100/C1711))</f>
        <v/>
      </c>
      <c r="G1711">
        <f>IF(A1711="","",IF(OR(B1711&lt;&gt;B1710,C1711&lt;&gt;C1710,D1711&lt;&gt;D1710,E1711&lt;&gt;E1710),G1710+1,G1710))</f>
        <v/>
      </c>
    </row>
    <row r="1712">
      <c r="A1712" s="14">
        <f>IF(OR(NOT(ISNUMBER(Ввод!$B$5)),NOT(ISNUMBER(Ввод!$B$6))),"",IF(Ввод!$B$5+1710&gt;Ввод!$B$6,"",Ввод!$B$5+1710))</f>
        <v/>
      </c>
      <c r="B1712">
        <f>IF(A1712="","",IFERROR(INDEX(Ввод!$B$12:$B$71,MATCH(A1712,Ввод!$D$12:$D$71,1)),""))</f>
        <v/>
      </c>
      <c r="C1712">
        <f>IF(A1712="","",DATE(YEAR(A1712),12,31)-DATE(YEAR(A1712),1,1)+1)</f>
        <v/>
      </c>
      <c r="D1712">
        <f>IF(A1712="","",Ввод!$B$4-SUMIF(Оплаты!$A$6:$A$505,"&lt;"&amp;A1712,Оплаты!$B$6:$B$505))</f>
        <v/>
      </c>
      <c r="E1712">
        <f>IF(A1712="","",IF(SUMPRODUCT((Ввод!$F$12:$F$31&lt;&gt;"")*(Ввод!$F$12:$F$31&lt;=A1712)*(Ввод!$G$12:$G$31&gt;=A1712))&gt;0,1,0))</f>
        <v/>
      </c>
      <c r="F1712">
        <f>IF(OR(A1712="",B1712=""),"",IF(E1712=1,0,D1712*B1712/100/C1712))</f>
        <v/>
      </c>
      <c r="G1712">
        <f>IF(A1712="","",IF(OR(B1712&lt;&gt;B1711,C1712&lt;&gt;C1711,D1712&lt;&gt;D1711,E1712&lt;&gt;E1711),G1711+1,G1711))</f>
        <v/>
      </c>
    </row>
    <row r="1713">
      <c r="A1713" s="14">
        <f>IF(OR(NOT(ISNUMBER(Ввод!$B$5)),NOT(ISNUMBER(Ввод!$B$6))),"",IF(Ввод!$B$5+1711&gt;Ввод!$B$6,"",Ввод!$B$5+1711))</f>
        <v/>
      </c>
      <c r="B1713">
        <f>IF(A1713="","",IFERROR(INDEX(Ввод!$B$12:$B$71,MATCH(A1713,Ввод!$D$12:$D$71,1)),""))</f>
        <v/>
      </c>
      <c r="C1713">
        <f>IF(A1713="","",DATE(YEAR(A1713),12,31)-DATE(YEAR(A1713),1,1)+1)</f>
        <v/>
      </c>
      <c r="D1713">
        <f>IF(A1713="","",Ввод!$B$4-SUMIF(Оплаты!$A$6:$A$505,"&lt;"&amp;A1713,Оплаты!$B$6:$B$505))</f>
        <v/>
      </c>
      <c r="E1713">
        <f>IF(A1713="","",IF(SUMPRODUCT((Ввод!$F$12:$F$31&lt;&gt;"")*(Ввод!$F$12:$F$31&lt;=A1713)*(Ввод!$G$12:$G$31&gt;=A1713))&gt;0,1,0))</f>
        <v/>
      </c>
      <c r="F1713">
        <f>IF(OR(A1713="",B1713=""),"",IF(E1713=1,0,D1713*B1713/100/C1713))</f>
        <v/>
      </c>
      <c r="G1713">
        <f>IF(A1713="","",IF(OR(B1713&lt;&gt;B1712,C1713&lt;&gt;C1712,D1713&lt;&gt;D1712,E1713&lt;&gt;E1712),G1712+1,G1712))</f>
        <v/>
      </c>
    </row>
    <row r="1714">
      <c r="A1714" s="14">
        <f>IF(OR(NOT(ISNUMBER(Ввод!$B$5)),NOT(ISNUMBER(Ввод!$B$6))),"",IF(Ввод!$B$5+1712&gt;Ввод!$B$6,"",Ввод!$B$5+1712))</f>
        <v/>
      </c>
      <c r="B1714">
        <f>IF(A1714="","",IFERROR(INDEX(Ввод!$B$12:$B$71,MATCH(A1714,Ввод!$D$12:$D$71,1)),""))</f>
        <v/>
      </c>
      <c r="C1714">
        <f>IF(A1714="","",DATE(YEAR(A1714),12,31)-DATE(YEAR(A1714),1,1)+1)</f>
        <v/>
      </c>
      <c r="D1714">
        <f>IF(A1714="","",Ввод!$B$4-SUMIF(Оплаты!$A$6:$A$505,"&lt;"&amp;A1714,Оплаты!$B$6:$B$505))</f>
        <v/>
      </c>
      <c r="E1714">
        <f>IF(A1714="","",IF(SUMPRODUCT((Ввод!$F$12:$F$31&lt;&gt;"")*(Ввод!$F$12:$F$31&lt;=A1714)*(Ввод!$G$12:$G$31&gt;=A1714))&gt;0,1,0))</f>
        <v/>
      </c>
      <c r="F1714">
        <f>IF(OR(A1714="",B1714=""),"",IF(E1714=1,0,D1714*B1714/100/C1714))</f>
        <v/>
      </c>
      <c r="G1714">
        <f>IF(A1714="","",IF(OR(B1714&lt;&gt;B1713,C1714&lt;&gt;C1713,D1714&lt;&gt;D1713,E1714&lt;&gt;E1713),G1713+1,G1713))</f>
        <v/>
      </c>
    </row>
    <row r="1715">
      <c r="A1715" s="14">
        <f>IF(OR(NOT(ISNUMBER(Ввод!$B$5)),NOT(ISNUMBER(Ввод!$B$6))),"",IF(Ввод!$B$5+1713&gt;Ввод!$B$6,"",Ввод!$B$5+1713))</f>
        <v/>
      </c>
      <c r="B1715">
        <f>IF(A1715="","",IFERROR(INDEX(Ввод!$B$12:$B$71,MATCH(A1715,Ввод!$D$12:$D$71,1)),""))</f>
        <v/>
      </c>
      <c r="C1715">
        <f>IF(A1715="","",DATE(YEAR(A1715),12,31)-DATE(YEAR(A1715),1,1)+1)</f>
        <v/>
      </c>
      <c r="D1715">
        <f>IF(A1715="","",Ввод!$B$4-SUMIF(Оплаты!$A$6:$A$505,"&lt;"&amp;A1715,Оплаты!$B$6:$B$505))</f>
        <v/>
      </c>
      <c r="E1715">
        <f>IF(A1715="","",IF(SUMPRODUCT((Ввод!$F$12:$F$31&lt;&gt;"")*(Ввод!$F$12:$F$31&lt;=A1715)*(Ввод!$G$12:$G$31&gt;=A1715))&gt;0,1,0))</f>
        <v/>
      </c>
      <c r="F1715">
        <f>IF(OR(A1715="",B1715=""),"",IF(E1715=1,0,D1715*B1715/100/C1715))</f>
        <v/>
      </c>
      <c r="G1715">
        <f>IF(A1715="","",IF(OR(B1715&lt;&gt;B1714,C1715&lt;&gt;C1714,D1715&lt;&gt;D1714,E1715&lt;&gt;E1714),G1714+1,G1714))</f>
        <v/>
      </c>
    </row>
    <row r="1716">
      <c r="A1716" s="14">
        <f>IF(OR(NOT(ISNUMBER(Ввод!$B$5)),NOT(ISNUMBER(Ввод!$B$6))),"",IF(Ввод!$B$5+1714&gt;Ввод!$B$6,"",Ввод!$B$5+1714))</f>
        <v/>
      </c>
      <c r="B1716">
        <f>IF(A1716="","",IFERROR(INDEX(Ввод!$B$12:$B$71,MATCH(A1716,Ввод!$D$12:$D$71,1)),""))</f>
        <v/>
      </c>
      <c r="C1716">
        <f>IF(A1716="","",DATE(YEAR(A1716),12,31)-DATE(YEAR(A1716),1,1)+1)</f>
        <v/>
      </c>
      <c r="D1716">
        <f>IF(A1716="","",Ввод!$B$4-SUMIF(Оплаты!$A$6:$A$505,"&lt;"&amp;A1716,Оплаты!$B$6:$B$505))</f>
        <v/>
      </c>
      <c r="E1716">
        <f>IF(A1716="","",IF(SUMPRODUCT((Ввод!$F$12:$F$31&lt;&gt;"")*(Ввод!$F$12:$F$31&lt;=A1716)*(Ввод!$G$12:$G$31&gt;=A1716))&gt;0,1,0))</f>
        <v/>
      </c>
      <c r="F1716">
        <f>IF(OR(A1716="",B1716=""),"",IF(E1716=1,0,D1716*B1716/100/C1716))</f>
        <v/>
      </c>
      <c r="G1716">
        <f>IF(A1716="","",IF(OR(B1716&lt;&gt;B1715,C1716&lt;&gt;C1715,D1716&lt;&gt;D1715,E1716&lt;&gt;E1715),G1715+1,G1715))</f>
        <v/>
      </c>
    </row>
    <row r="1717">
      <c r="A1717" s="14">
        <f>IF(OR(NOT(ISNUMBER(Ввод!$B$5)),NOT(ISNUMBER(Ввод!$B$6))),"",IF(Ввод!$B$5+1715&gt;Ввод!$B$6,"",Ввод!$B$5+1715))</f>
        <v/>
      </c>
      <c r="B1717">
        <f>IF(A1717="","",IFERROR(INDEX(Ввод!$B$12:$B$71,MATCH(A1717,Ввод!$D$12:$D$71,1)),""))</f>
        <v/>
      </c>
      <c r="C1717">
        <f>IF(A1717="","",DATE(YEAR(A1717),12,31)-DATE(YEAR(A1717),1,1)+1)</f>
        <v/>
      </c>
      <c r="D1717">
        <f>IF(A1717="","",Ввод!$B$4-SUMIF(Оплаты!$A$6:$A$505,"&lt;"&amp;A1717,Оплаты!$B$6:$B$505))</f>
        <v/>
      </c>
      <c r="E1717">
        <f>IF(A1717="","",IF(SUMPRODUCT((Ввод!$F$12:$F$31&lt;&gt;"")*(Ввод!$F$12:$F$31&lt;=A1717)*(Ввод!$G$12:$G$31&gt;=A1717))&gt;0,1,0))</f>
        <v/>
      </c>
      <c r="F1717">
        <f>IF(OR(A1717="",B1717=""),"",IF(E1717=1,0,D1717*B1717/100/C1717))</f>
        <v/>
      </c>
      <c r="G1717">
        <f>IF(A1717="","",IF(OR(B1717&lt;&gt;B1716,C1717&lt;&gt;C1716,D1717&lt;&gt;D1716,E1717&lt;&gt;E1716),G1716+1,G1716))</f>
        <v/>
      </c>
    </row>
    <row r="1718">
      <c r="A1718" s="14">
        <f>IF(OR(NOT(ISNUMBER(Ввод!$B$5)),NOT(ISNUMBER(Ввод!$B$6))),"",IF(Ввод!$B$5+1716&gt;Ввод!$B$6,"",Ввод!$B$5+1716))</f>
        <v/>
      </c>
      <c r="B1718">
        <f>IF(A1718="","",IFERROR(INDEX(Ввод!$B$12:$B$71,MATCH(A1718,Ввод!$D$12:$D$71,1)),""))</f>
        <v/>
      </c>
      <c r="C1718">
        <f>IF(A1718="","",DATE(YEAR(A1718),12,31)-DATE(YEAR(A1718),1,1)+1)</f>
        <v/>
      </c>
      <c r="D1718">
        <f>IF(A1718="","",Ввод!$B$4-SUMIF(Оплаты!$A$6:$A$505,"&lt;"&amp;A1718,Оплаты!$B$6:$B$505))</f>
        <v/>
      </c>
      <c r="E1718">
        <f>IF(A1718="","",IF(SUMPRODUCT((Ввод!$F$12:$F$31&lt;&gt;"")*(Ввод!$F$12:$F$31&lt;=A1718)*(Ввод!$G$12:$G$31&gt;=A1718))&gt;0,1,0))</f>
        <v/>
      </c>
      <c r="F1718">
        <f>IF(OR(A1718="",B1718=""),"",IF(E1718=1,0,D1718*B1718/100/C1718))</f>
        <v/>
      </c>
      <c r="G1718">
        <f>IF(A1718="","",IF(OR(B1718&lt;&gt;B1717,C1718&lt;&gt;C1717,D1718&lt;&gt;D1717,E1718&lt;&gt;E1717),G1717+1,G1717))</f>
        <v/>
      </c>
    </row>
    <row r="1719">
      <c r="A1719" s="14">
        <f>IF(OR(NOT(ISNUMBER(Ввод!$B$5)),NOT(ISNUMBER(Ввод!$B$6))),"",IF(Ввод!$B$5+1717&gt;Ввод!$B$6,"",Ввод!$B$5+1717))</f>
        <v/>
      </c>
      <c r="B1719">
        <f>IF(A1719="","",IFERROR(INDEX(Ввод!$B$12:$B$71,MATCH(A1719,Ввод!$D$12:$D$71,1)),""))</f>
        <v/>
      </c>
      <c r="C1719">
        <f>IF(A1719="","",DATE(YEAR(A1719),12,31)-DATE(YEAR(A1719),1,1)+1)</f>
        <v/>
      </c>
      <c r="D1719">
        <f>IF(A1719="","",Ввод!$B$4-SUMIF(Оплаты!$A$6:$A$505,"&lt;"&amp;A1719,Оплаты!$B$6:$B$505))</f>
        <v/>
      </c>
      <c r="E1719">
        <f>IF(A1719="","",IF(SUMPRODUCT((Ввод!$F$12:$F$31&lt;&gt;"")*(Ввод!$F$12:$F$31&lt;=A1719)*(Ввод!$G$12:$G$31&gt;=A1719))&gt;0,1,0))</f>
        <v/>
      </c>
      <c r="F1719">
        <f>IF(OR(A1719="",B1719=""),"",IF(E1719=1,0,D1719*B1719/100/C1719))</f>
        <v/>
      </c>
      <c r="G1719">
        <f>IF(A1719="","",IF(OR(B1719&lt;&gt;B1718,C1719&lt;&gt;C1718,D1719&lt;&gt;D1718,E1719&lt;&gt;E1718),G1718+1,G1718))</f>
        <v/>
      </c>
    </row>
    <row r="1720">
      <c r="A1720" s="14">
        <f>IF(OR(NOT(ISNUMBER(Ввод!$B$5)),NOT(ISNUMBER(Ввод!$B$6))),"",IF(Ввод!$B$5+1718&gt;Ввод!$B$6,"",Ввод!$B$5+1718))</f>
        <v/>
      </c>
      <c r="B1720">
        <f>IF(A1720="","",IFERROR(INDEX(Ввод!$B$12:$B$71,MATCH(A1720,Ввод!$D$12:$D$71,1)),""))</f>
        <v/>
      </c>
      <c r="C1720">
        <f>IF(A1720="","",DATE(YEAR(A1720),12,31)-DATE(YEAR(A1720),1,1)+1)</f>
        <v/>
      </c>
      <c r="D1720">
        <f>IF(A1720="","",Ввод!$B$4-SUMIF(Оплаты!$A$6:$A$505,"&lt;"&amp;A1720,Оплаты!$B$6:$B$505))</f>
        <v/>
      </c>
      <c r="E1720">
        <f>IF(A1720="","",IF(SUMPRODUCT((Ввод!$F$12:$F$31&lt;&gt;"")*(Ввод!$F$12:$F$31&lt;=A1720)*(Ввод!$G$12:$G$31&gt;=A1720))&gt;0,1,0))</f>
        <v/>
      </c>
      <c r="F1720">
        <f>IF(OR(A1720="",B1720=""),"",IF(E1720=1,0,D1720*B1720/100/C1720))</f>
        <v/>
      </c>
      <c r="G1720">
        <f>IF(A1720="","",IF(OR(B1720&lt;&gt;B1719,C1720&lt;&gt;C1719,D1720&lt;&gt;D1719,E1720&lt;&gt;E1719),G1719+1,G1719))</f>
        <v/>
      </c>
    </row>
    <row r="1721">
      <c r="A1721" s="14">
        <f>IF(OR(NOT(ISNUMBER(Ввод!$B$5)),NOT(ISNUMBER(Ввод!$B$6))),"",IF(Ввод!$B$5+1719&gt;Ввод!$B$6,"",Ввод!$B$5+1719))</f>
        <v/>
      </c>
      <c r="B1721">
        <f>IF(A1721="","",IFERROR(INDEX(Ввод!$B$12:$B$71,MATCH(A1721,Ввод!$D$12:$D$71,1)),""))</f>
        <v/>
      </c>
      <c r="C1721">
        <f>IF(A1721="","",DATE(YEAR(A1721),12,31)-DATE(YEAR(A1721),1,1)+1)</f>
        <v/>
      </c>
      <c r="D1721">
        <f>IF(A1721="","",Ввод!$B$4-SUMIF(Оплаты!$A$6:$A$505,"&lt;"&amp;A1721,Оплаты!$B$6:$B$505))</f>
        <v/>
      </c>
      <c r="E1721">
        <f>IF(A1721="","",IF(SUMPRODUCT((Ввод!$F$12:$F$31&lt;&gt;"")*(Ввод!$F$12:$F$31&lt;=A1721)*(Ввод!$G$12:$G$31&gt;=A1721))&gt;0,1,0))</f>
        <v/>
      </c>
      <c r="F1721">
        <f>IF(OR(A1721="",B1721=""),"",IF(E1721=1,0,D1721*B1721/100/C1721))</f>
        <v/>
      </c>
      <c r="G1721">
        <f>IF(A1721="","",IF(OR(B1721&lt;&gt;B1720,C1721&lt;&gt;C1720,D1721&lt;&gt;D1720,E1721&lt;&gt;E1720),G1720+1,G1720))</f>
        <v/>
      </c>
    </row>
    <row r="1722">
      <c r="A1722" s="14">
        <f>IF(OR(NOT(ISNUMBER(Ввод!$B$5)),NOT(ISNUMBER(Ввод!$B$6))),"",IF(Ввод!$B$5+1720&gt;Ввод!$B$6,"",Ввод!$B$5+1720))</f>
        <v/>
      </c>
      <c r="B1722">
        <f>IF(A1722="","",IFERROR(INDEX(Ввод!$B$12:$B$71,MATCH(A1722,Ввод!$D$12:$D$71,1)),""))</f>
        <v/>
      </c>
      <c r="C1722">
        <f>IF(A1722="","",DATE(YEAR(A1722),12,31)-DATE(YEAR(A1722),1,1)+1)</f>
        <v/>
      </c>
      <c r="D1722">
        <f>IF(A1722="","",Ввод!$B$4-SUMIF(Оплаты!$A$6:$A$505,"&lt;"&amp;A1722,Оплаты!$B$6:$B$505))</f>
        <v/>
      </c>
      <c r="E1722">
        <f>IF(A1722="","",IF(SUMPRODUCT((Ввод!$F$12:$F$31&lt;&gt;"")*(Ввод!$F$12:$F$31&lt;=A1722)*(Ввод!$G$12:$G$31&gt;=A1722))&gt;0,1,0))</f>
        <v/>
      </c>
      <c r="F1722">
        <f>IF(OR(A1722="",B1722=""),"",IF(E1722=1,0,D1722*B1722/100/C1722))</f>
        <v/>
      </c>
      <c r="G1722">
        <f>IF(A1722="","",IF(OR(B1722&lt;&gt;B1721,C1722&lt;&gt;C1721,D1722&lt;&gt;D1721,E1722&lt;&gt;E1721),G1721+1,G1721))</f>
        <v/>
      </c>
    </row>
    <row r="1723">
      <c r="A1723" s="14">
        <f>IF(OR(NOT(ISNUMBER(Ввод!$B$5)),NOT(ISNUMBER(Ввод!$B$6))),"",IF(Ввод!$B$5+1721&gt;Ввод!$B$6,"",Ввод!$B$5+1721))</f>
        <v/>
      </c>
      <c r="B1723">
        <f>IF(A1723="","",IFERROR(INDEX(Ввод!$B$12:$B$71,MATCH(A1723,Ввод!$D$12:$D$71,1)),""))</f>
        <v/>
      </c>
      <c r="C1723">
        <f>IF(A1723="","",DATE(YEAR(A1723),12,31)-DATE(YEAR(A1723),1,1)+1)</f>
        <v/>
      </c>
      <c r="D1723">
        <f>IF(A1723="","",Ввод!$B$4-SUMIF(Оплаты!$A$6:$A$505,"&lt;"&amp;A1723,Оплаты!$B$6:$B$505))</f>
        <v/>
      </c>
      <c r="E1723">
        <f>IF(A1723="","",IF(SUMPRODUCT((Ввод!$F$12:$F$31&lt;&gt;"")*(Ввод!$F$12:$F$31&lt;=A1723)*(Ввод!$G$12:$G$31&gt;=A1723))&gt;0,1,0))</f>
        <v/>
      </c>
      <c r="F1723">
        <f>IF(OR(A1723="",B1723=""),"",IF(E1723=1,0,D1723*B1723/100/C1723))</f>
        <v/>
      </c>
      <c r="G1723">
        <f>IF(A1723="","",IF(OR(B1723&lt;&gt;B1722,C1723&lt;&gt;C1722,D1723&lt;&gt;D1722,E1723&lt;&gt;E1722),G1722+1,G1722))</f>
        <v/>
      </c>
    </row>
    <row r="1724">
      <c r="A1724" s="14">
        <f>IF(OR(NOT(ISNUMBER(Ввод!$B$5)),NOT(ISNUMBER(Ввод!$B$6))),"",IF(Ввод!$B$5+1722&gt;Ввод!$B$6,"",Ввод!$B$5+1722))</f>
        <v/>
      </c>
      <c r="B1724">
        <f>IF(A1724="","",IFERROR(INDEX(Ввод!$B$12:$B$71,MATCH(A1724,Ввод!$D$12:$D$71,1)),""))</f>
        <v/>
      </c>
      <c r="C1724">
        <f>IF(A1724="","",DATE(YEAR(A1724),12,31)-DATE(YEAR(A1724),1,1)+1)</f>
        <v/>
      </c>
      <c r="D1724">
        <f>IF(A1724="","",Ввод!$B$4-SUMIF(Оплаты!$A$6:$A$505,"&lt;"&amp;A1724,Оплаты!$B$6:$B$505))</f>
        <v/>
      </c>
      <c r="E1724">
        <f>IF(A1724="","",IF(SUMPRODUCT((Ввод!$F$12:$F$31&lt;&gt;"")*(Ввод!$F$12:$F$31&lt;=A1724)*(Ввод!$G$12:$G$31&gt;=A1724))&gt;0,1,0))</f>
        <v/>
      </c>
      <c r="F1724">
        <f>IF(OR(A1724="",B1724=""),"",IF(E1724=1,0,D1724*B1724/100/C1724))</f>
        <v/>
      </c>
      <c r="G1724">
        <f>IF(A1724="","",IF(OR(B1724&lt;&gt;B1723,C1724&lt;&gt;C1723,D1724&lt;&gt;D1723,E1724&lt;&gt;E1723),G1723+1,G1723))</f>
        <v/>
      </c>
    </row>
    <row r="1725">
      <c r="A1725" s="14">
        <f>IF(OR(NOT(ISNUMBER(Ввод!$B$5)),NOT(ISNUMBER(Ввод!$B$6))),"",IF(Ввод!$B$5+1723&gt;Ввод!$B$6,"",Ввод!$B$5+1723))</f>
        <v/>
      </c>
      <c r="B1725">
        <f>IF(A1725="","",IFERROR(INDEX(Ввод!$B$12:$B$71,MATCH(A1725,Ввод!$D$12:$D$71,1)),""))</f>
        <v/>
      </c>
      <c r="C1725">
        <f>IF(A1725="","",DATE(YEAR(A1725),12,31)-DATE(YEAR(A1725),1,1)+1)</f>
        <v/>
      </c>
      <c r="D1725">
        <f>IF(A1725="","",Ввод!$B$4-SUMIF(Оплаты!$A$6:$A$505,"&lt;"&amp;A1725,Оплаты!$B$6:$B$505))</f>
        <v/>
      </c>
      <c r="E1725">
        <f>IF(A1725="","",IF(SUMPRODUCT((Ввод!$F$12:$F$31&lt;&gt;"")*(Ввод!$F$12:$F$31&lt;=A1725)*(Ввод!$G$12:$G$31&gt;=A1725))&gt;0,1,0))</f>
        <v/>
      </c>
      <c r="F1725">
        <f>IF(OR(A1725="",B1725=""),"",IF(E1725=1,0,D1725*B1725/100/C1725))</f>
        <v/>
      </c>
      <c r="G1725">
        <f>IF(A1725="","",IF(OR(B1725&lt;&gt;B1724,C1725&lt;&gt;C1724,D1725&lt;&gt;D1724,E1725&lt;&gt;E1724),G1724+1,G1724))</f>
        <v/>
      </c>
    </row>
    <row r="1726">
      <c r="A1726" s="14">
        <f>IF(OR(NOT(ISNUMBER(Ввод!$B$5)),NOT(ISNUMBER(Ввод!$B$6))),"",IF(Ввод!$B$5+1724&gt;Ввод!$B$6,"",Ввод!$B$5+1724))</f>
        <v/>
      </c>
      <c r="B1726">
        <f>IF(A1726="","",IFERROR(INDEX(Ввод!$B$12:$B$71,MATCH(A1726,Ввод!$D$12:$D$71,1)),""))</f>
        <v/>
      </c>
      <c r="C1726">
        <f>IF(A1726="","",DATE(YEAR(A1726),12,31)-DATE(YEAR(A1726),1,1)+1)</f>
        <v/>
      </c>
      <c r="D1726">
        <f>IF(A1726="","",Ввод!$B$4-SUMIF(Оплаты!$A$6:$A$505,"&lt;"&amp;A1726,Оплаты!$B$6:$B$505))</f>
        <v/>
      </c>
      <c r="E1726">
        <f>IF(A1726="","",IF(SUMPRODUCT((Ввод!$F$12:$F$31&lt;&gt;"")*(Ввод!$F$12:$F$31&lt;=A1726)*(Ввод!$G$12:$G$31&gt;=A1726))&gt;0,1,0))</f>
        <v/>
      </c>
      <c r="F1726">
        <f>IF(OR(A1726="",B1726=""),"",IF(E1726=1,0,D1726*B1726/100/C1726))</f>
        <v/>
      </c>
      <c r="G1726">
        <f>IF(A1726="","",IF(OR(B1726&lt;&gt;B1725,C1726&lt;&gt;C1725,D1726&lt;&gt;D1725,E1726&lt;&gt;E1725),G1725+1,G1725))</f>
        <v/>
      </c>
    </row>
    <row r="1727">
      <c r="A1727" s="14">
        <f>IF(OR(NOT(ISNUMBER(Ввод!$B$5)),NOT(ISNUMBER(Ввод!$B$6))),"",IF(Ввод!$B$5+1725&gt;Ввод!$B$6,"",Ввод!$B$5+1725))</f>
        <v/>
      </c>
      <c r="B1727">
        <f>IF(A1727="","",IFERROR(INDEX(Ввод!$B$12:$B$71,MATCH(A1727,Ввод!$D$12:$D$71,1)),""))</f>
        <v/>
      </c>
      <c r="C1727">
        <f>IF(A1727="","",DATE(YEAR(A1727),12,31)-DATE(YEAR(A1727),1,1)+1)</f>
        <v/>
      </c>
      <c r="D1727">
        <f>IF(A1727="","",Ввод!$B$4-SUMIF(Оплаты!$A$6:$A$505,"&lt;"&amp;A1727,Оплаты!$B$6:$B$505))</f>
        <v/>
      </c>
      <c r="E1727">
        <f>IF(A1727="","",IF(SUMPRODUCT((Ввод!$F$12:$F$31&lt;&gt;"")*(Ввод!$F$12:$F$31&lt;=A1727)*(Ввод!$G$12:$G$31&gt;=A1727))&gt;0,1,0))</f>
        <v/>
      </c>
      <c r="F1727">
        <f>IF(OR(A1727="",B1727=""),"",IF(E1727=1,0,D1727*B1727/100/C1727))</f>
        <v/>
      </c>
      <c r="G1727">
        <f>IF(A1727="","",IF(OR(B1727&lt;&gt;B1726,C1727&lt;&gt;C1726,D1727&lt;&gt;D1726,E1727&lt;&gt;E1726),G1726+1,G1726))</f>
        <v/>
      </c>
    </row>
    <row r="1728">
      <c r="A1728" s="14">
        <f>IF(OR(NOT(ISNUMBER(Ввод!$B$5)),NOT(ISNUMBER(Ввод!$B$6))),"",IF(Ввод!$B$5+1726&gt;Ввод!$B$6,"",Ввод!$B$5+1726))</f>
        <v/>
      </c>
      <c r="B1728">
        <f>IF(A1728="","",IFERROR(INDEX(Ввод!$B$12:$B$71,MATCH(A1728,Ввод!$D$12:$D$71,1)),""))</f>
        <v/>
      </c>
      <c r="C1728">
        <f>IF(A1728="","",DATE(YEAR(A1728),12,31)-DATE(YEAR(A1728),1,1)+1)</f>
        <v/>
      </c>
      <c r="D1728">
        <f>IF(A1728="","",Ввод!$B$4-SUMIF(Оплаты!$A$6:$A$505,"&lt;"&amp;A1728,Оплаты!$B$6:$B$505))</f>
        <v/>
      </c>
      <c r="E1728">
        <f>IF(A1728="","",IF(SUMPRODUCT((Ввод!$F$12:$F$31&lt;&gt;"")*(Ввод!$F$12:$F$31&lt;=A1728)*(Ввод!$G$12:$G$31&gt;=A1728))&gt;0,1,0))</f>
        <v/>
      </c>
      <c r="F1728">
        <f>IF(OR(A1728="",B1728=""),"",IF(E1728=1,0,D1728*B1728/100/C1728))</f>
        <v/>
      </c>
      <c r="G1728">
        <f>IF(A1728="","",IF(OR(B1728&lt;&gt;B1727,C1728&lt;&gt;C1727,D1728&lt;&gt;D1727,E1728&lt;&gt;E1727),G1727+1,G1727))</f>
        <v/>
      </c>
    </row>
    <row r="1729">
      <c r="A1729" s="14">
        <f>IF(OR(NOT(ISNUMBER(Ввод!$B$5)),NOT(ISNUMBER(Ввод!$B$6))),"",IF(Ввод!$B$5+1727&gt;Ввод!$B$6,"",Ввод!$B$5+1727))</f>
        <v/>
      </c>
      <c r="B1729">
        <f>IF(A1729="","",IFERROR(INDEX(Ввод!$B$12:$B$71,MATCH(A1729,Ввод!$D$12:$D$71,1)),""))</f>
        <v/>
      </c>
      <c r="C1729">
        <f>IF(A1729="","",DATE(YEAR(A1729),12,31)-DATE(YEAR(A1729),1,1)+1)</f>
        <v/>
      </c>
      <c r="D1729">
        <f>IF(A1729="","",Ввод!$B$4-SUMIF(Оплаты!$A$6:$A$505,"&lt;"&amp;A1729,Оплаты!$B$6:$B$505))</f>
        <v/>
      </c>
      <c r="E1729">
        <f>IF(A1729="","",IF(SUMPRODUCT((Ввод!$F$12:$F$31&lt;&gt;"")*(Ввод!$F$12:$F$31&lt;=A1729)*(Ввод!$G$12:$G$31&gt;=A1729))&gt;0,1,0))</f>
        <v/>
      </c>
      <c r="F1729">
        <f>IF(OR(A1729="",B1729=""),"",IF(E1729=1,0,D1729*B1729/100/C1729))</f>
        <v/>
      </c>
      <c r="G1729">
        <f>IF(A1729="","",IF(OR(B1729&lt;&gt;B1728,C1729&lt;&gt;C1728,D1729&lt;&gt;D1728,E1729&lt;&gt;E1728),G1728+1,G1728))</f>
        <v/>
      </c>
    </row>
    <row r="1730">
      <c r="A1730" s="14">
        <f>IF(OR(NOT(ISNUMBER(Ввод!$B$5)),NOT(ISNUMBER(Ввод!$B$6))),"",IF(Ввод!$B$5+1728&gt;Ввод!$B$6,"",Ввод!$B$5+1728))</f>
        <v/>
      </c>
      <c r="B1730">
        <f>IF(A1730="","",IFERROR(INDEX(Ввод!$B$12:$B$71,MATCH(A1730,Ввод!$D$12:$D$71,1)),""))</f>
        <v/>
      </c>
      <c r="C1730">
        <f>IF(A1730="","",DATE(YEAR(A1730),12,31)-DATE(YEAR(A1730),1,1)+1)</f>
        <v/>
      </c>
      <c r="D1730">
        <f>IF(A1730="","",Ввод!$B$4-SUMIF(Оплаты!$A$6:$A$505,"&lt;"&amp;A1730,Оплаты!$B$6:$B$505))</f>
        <v/>
      </c>
      <c r="E1730">
        <f>IF(A1730="","",IF(SUMPRODUCT((Ввод!$F$12:$F$31&lt;&gt;"")*(Ввод!$F$12:$F$31&lt;=A1730)*(Ввод!$G$12:$G$31&gt;=A1730))&gt;0,1,0))</f>
        <v/>
      </c>
      <c r="F1730">
        <f>IF(OR(A1730="",B1730=""),"",IF(E1730=1,0,D1730*B1730/100/C1730))</f>
        <v/>
      </c>
      <c r="G1730">
        <f>IF(A1730="","",IF(OR(B1730&lt;&gt;B1729,C1730&lt;&gt;C1729,D1730&lt;&gt;D1729,E1730&lt;&gt;E1729),G1729+1,G1729))</f>
        <v/>
      </c>
    </row>
    <row r="1731">
      <c r="A1731" s="14">
        <f>IF(OR(NOT(ISNUMBER(Ввод!$B$5)),NOT(ISNUMBER(Ввод!$B$6))),"",IF(Ввод!$B$5+1729&gt;Ввод!$B$6,"",Ввод!$B$5+1729))</f>
        <v/>
      </c>
      <c r="B1731">
        <f>IF(A1731="","",IFERROR(INDEX(Ввод!$B$12:$B$71,MATCH(A1731,Ввод!$D$12:$D$71,1)),""))</f>
        <v/>
      </c>
      <c r="C1731">
        <f>IF(A1731="","",DATE(YEAR(A1731),12,31)-DATE(YEAR(A1731),1,1)+1)</f>
        <v/>
      </c>
      <c r="D1731">
        <f>IF(A1731="","",Ввод!$B$4-SUMIF(Оплаты!$A$6:$A$505,"&lt;"&amp;A1731,Оплаты!$B$6:$B$505))</f>
        <v/>
      </c>
      <c r="E1731">
        <f>IF(A1731="","",IF(SUMPRODUCT((Ввод!$F$12:$F$31&lt;&gt;"")*(Ввод!$F$12:$F$31&lt;=A1731)*(Ввод!$G$12:$G$31&gt;=A1731))&gt;0,1,0))</f>
        <v/>
      </c>
      <c r="F1731">
        <f>IF(OR(A1731="",B1731=""),"",IF(E1731=1,0,D1731*B1731/100/C1731))</f>
        <v/>
      </c>
      <c r="G1731">
        <f>IF(A1731="","",IF(OR(B1731&lt;&gt;B1730,C1731&lt;&gt;C1730,D1731&lt;&gt;D1730,E1731&lt;&gt;E1730),G1730+1,G1730))</f>
        <v/>
      </c>
    </row>
    <row r="1732">
      <c r="A1732" s="14">
        <f>IF(OR(NOT(ISNUMBER(Ввод!$B$5)),NOT(ISNUMBER(Ввод!$B$6))),"",IF(Ввод!$B$5+1730&gt;Ввод!$B$6,"",Ввод!$B$5+1730))</f>
        <v/>
      </c>
      <c r="B1732">
        <f>IF(A1732="","",IFERROR(INDEX(Ввод!$B$12:$B$71,MATCH(A1732,Ввод!$D$12:$D$71,1)),""))</f>
        <v/>
      </c>
      <c r="C1732">
        <f>IF(A1732="","",DATE(YEAR(A1732),12,31)-DATE(YEAR(A1732),1,1)+1)</f>
        <v/>
      </c>
      <c r="D1732">
        <f>IF(A1732="","",Ввод!$B$4-SUMIF(Оплаты!$A$6:$A$505,"&lt;"&amp;A1732,Оплаты!$B$6:$B$505))</f>
        <v/>
      </c>
      <c r="E1732">
        <f>IF(A1732="","",IF(SUMPRODUCT((Ввод!$F$12:$F$31&lt;&gt;"")*(Ввод!$F$12:$F$31&lt;=A1732)*(Ввод!$G$12:$G$31&gt;=A1732))&gt;0,1,0))</f>
        <v/>
      </c>
      <c r="F1732">
        <f>IF(OR(A1732="",B1732=""),"",IF(E1732=1,0,D1732*B1732/100/C1732))</f>
        <v/>
      </c>
      <c r="G1732">
        <f>IF(A1732="","",IF(OR(B1732&lt;&gt;B1731,C1732&lt;&gt;C1731,D1732&lt;&gt;D1731,E1732&lt;&gt;E1731),G1731+1,G1731))</f>
        <v/>
      </c>
    </row>
    <row r="1733">
      <c r="A1733" s="14">
        <f>IF(OR(NOT(ISNUMBER(Ввод!$B$5)),NOT(ISNUMBER(Ввод!$B$6))),"",IF(Ввод!$B$5+1731&gt;Ввод!$B$6,"",Ввод!$B$5+1731))</f>
        <v/>
      </c>
      <c r="B1733">
        <f>IF(A1733="","",IFERROR(INDEX(Ввод!$B$12:$B$71,MATCH(A1733,Ввод!$D$12:$D$71,1)),""))</f>
        <v/>
      </c>
      <c r="C1733">
        <f>IF(A1733="","",DATE(YEAR(A1733),12,31)-DATE(YEAR(A1733),1,1)+1)</f>
        <v/>
      </c>
      <c r="D1733">
        <f>IF(A1733="","",Ввод!$B$4-SUMIF(Оплаты!$A$6:$A$505,"&lt;"&amp;A1733,Оплаты!$B$6:$B$505))</f>
        <v/>
      </c>
      <c r="E1733">
        <f>IF(A1733="","",IF(SUMPRODUCT((Ввод!$F$12:$F$31&lt;&gt;"")*(Ввод!$F$12:$F$31&lt;=A1733)*(Ввод!$G$12:$G$31&gt;=A1733))&gt;0,1,0))</f>
        <v/>
      </c>
      <c r="F1733">
        <f>IF(OR(A1733="",B1733=""),"",IF(E1733=1,0,D1733*B1733/100/C1733))</f>
        <v/>
      </c>
      <c r="G1733">
        <f>IF(A1733="","",IF(OR(B1733&lt;&gt;B1732,C1733&lt;&gt;C1732,D1733&lt;&gt;D1732,E1733&lt;&gt;E1732),G1732+1,G1732))</f>
        <v/>
      </c>
    </row>
    <row r="1734">
      <c r="A1734" s="14">
        <f>IF(OR(NOT(ISNUMBER(Ввод!$B$5)),NOT(ISNUMBER(Ввод!$B$6))),"",IF(Ввод!$B$5+1732&gt;Ввод!$B$6,"",Ввод!$B$5+1732))</f>
        <v/>
      </c>
      <c r="B1734">
        <f>IF(A1734="","",IFERROR(INDEX(Ввод!$B$12:$B$71,MATCH(A1734,Ввод!$D$12:$D$71,1)),""))</f>
        <v/>
      </c>
      <c r="C1734">
        <f>IF(A1734="","",DATE(YEAR(A1734),12,31)-DATE(YEAR(A1734),1,1)+1)</f>
        <v/>
      </c>
      <c r="D1734">
        <f>IF(A1734="","",Ввод!$B$4-SUMIF(Оплаты!$A$6:$A$505,"&lt;"&amp;A1734,Оплаты!$B$6:$B$505))</f>
        <v/>
      </c>
      <c r="E1734">
        <f>IF(A1734="","",IF(SUMPRODUCT((Ввод!$F$12:$F$31&lt;&gt;"")*(Ввод!$F$12:$F$31&lt;=A1734)*(Ввод!$G$12:$G$31&gt;=A1734))&gt;0,1,0))</f>
        <v/>
      </c>
      <c r="F1734">
        <f>IF(OR(A1734="",B1734=""),"",IF(E1734=1,0,D1734*B1734/100/C1734))</f>
        <v/>
      </c>
      <c r="G1734">
        <f>IF(A1734="","",IF(OR(B1734&lt;&gt;B1733,C1734&lt;&gt;C1733,D1734&lt;&gt;D1733,E1734&lt;&gt;E1733),G1733+1,G1733))</f>
        <v/>
      </c>
    </row>
    <row r="1735">
      <c r="A1735" s="14">
        <f>IF(OR(NOT(ISNUMBER(Ввод!$B$5)),NOT(ISNUMBER(Ввод!$B$6))),"",IF(Ввод!$B$5+1733&gt;Ввод!$B$6,"",Ввод!$B$5+1733))</f>
        <v/>
      </c>
      <c r="B1735">
        <f>IF(A1735="","",IFERROR(INDEX(Ввод!$B$12:$B$71,MATCH(A1735,Ввод!$D$12:$D$71,1)),""))</f>
        <v/>
      </c>
      <c r="C1735">
        <f>IF(A1735="","",DATE(YEAR(A1735),12,31)-DATE(YEAR(A1735),1,1)+1)</f>
        <v/>
      </c>
      <c r="D1735">
        <f>IF(A1735="","",Ввод!$B$4-SUMIF(Оплаты!$A$6:$A$505,"&lt;"&amp;A1735,Оплаты!$B$6:$B$505))</f>
        <v/>
      </c>
      <c r="E1735">
        <f>IF(A1735="","",IF(SUMPRODUCT((Ввод!$F$12:$F$31&lt;&gt;"")*(Ввод!$F$12:$F$31&lt;=A1735)*(Ввод!$G$12:$G$31&gt;=A1735))&gt;0,1,0))</f>
        <v/>
      </c>
      <c r="F1735">
        <f>IF(OR(A1735="",B1735=""),"",IF(E1735=1,0,D1735*B1735/100/C1735))</f>
        <v/>
      </c>
      <c r="G1735">
        <f>IF(A1735="","",IF(OR(B1735&lt;&gt;B1734,C1735&lt;&gt;C1734,D1735&lt;&gt;D1734,E1735&lt;&gt;E1734),G1734+1,G1734))</f>
        <v/>
      </c>
    </row>
    <row r="1736">
      <c r="A1736" s="14">
        <f>IF(OR(NOT(ISNUMBER(Ввод!$B$5)),NOT(ISNUMBER(Ввод!$B$6))),"",IF(Ввод!$B$5+1734&gt;Ввод!$B$6,"",Ввод!$B$5+1734))</f>
        <v/>
      </c>
      <c r="B1736">
        <f>IF(A1736="","",IFERROR(INDEX(Ввод!$B$12:$B$71,MATCH(A1736,Ввод!$D$12:$D$71,1)),""))</f>
        <v/>
      </c>
      <c r="C1736">
        <f>IF(A1736="","",DATE(YEAR(A1736),12,31)-DATE(YEAR(A1736),1,1)+1)</f>
        <v/>
      </c>
      <c r="D1736">
        <f>IF(A1736="","",Ввод!$B$4-SUMIF(Оплаты!$A$6:$A$505,"&lt;"&amp;A1736,Оплаты!$B$6:$B$505))</f>
        <v/>
      </c>
      <c r="E1736">
        <f>IF(A1736="","",IF(SUMPRODUCT((Ввод!$F$12:$F$31&lt;&gt;"")*(Ввод!$F$12:$F$31&lt;=A1736)*(Ввод!$G$12:$G$31&gt;=A1736))&gt;0,1,0))</f>
        <v/>
      </c>
      <c r="F1736">
        <f>IF(OR(A1736="",B1736=""),"",IF(E1736=1,0,D1736*B1736/100/C1736))</f>
        <v/>
      </c>
      <c r="G1736">
        <f>IF(A1736="","",IF(OR(B1736&lt;&gt;B1735,C1736&lt;&gt;C1735,D1736&lt;&gt;D1735,E1736&lt;&gt;E1735),G1735+1,G1735))</f>
        <v/>
      </c>
    </row>
    <row r="1737">
      <c r="A1737" s="14">
        <f>IF(OR(NOT(ISNUMBER(Ввод!$B$5)),NOT(ISNUMBER(Ввод!$B$6))),"",IF(Ввод!$B$5+1735&gt;Ввод!$B$6,"",Ввод!$B$5+1735))</f>
        <v/>
      </c>
      <c r="B1737">
        <f>IF(A1737="","",IFERROR(INDEX(Ввод!$B$12:$B$71,MATCH(A1737,Ввод!$D$12:$D$71,1)),""))</f>
        <v/>
      </c>
      <c r="C1737">
        <f>IF(A1737="","",DATE(YEAR(A1737),12,31)-DATE(YEAR(A1737),1,1)+1)</f>
        <v/>
      </c>
      <c r="D1737">
        <f>IF(A1737="","",Ввод!$B$4-SUMIF(Оплаты!$A$6:$A$505,"&lt;"&amp;A1737,Оплаты!$B$6:$B$505))</f>
        <v/>
      </c>
      <c r="E1737">
        <f>IF(A1737="","",IF(SUMPRODUCT((Ввод!$F$12:$F$31&lt;&gt;"")*(Ввод!$F$12:$F$31&lt;=A1737)*(Ввод!$G$12:$G$31&gt;=A1737))&gt;0,1,0))</f>
        <v/>
      </c>
      <c r="F1737">
        <f>IF(OR(A1737="",B1737=""),"",IF(E1737=1,0,D1737*B1737/100/C1737))</f>
        <v/>
      </c>
      <c r="G1737">
        <f>IF(A1737="","",IF(OR(B1737&lt;&gt;B1736,C1737&lt;&gt;C1736,D1737&lt;&gt;D1736,E1737&lt;&gt;E1736),G1736+1,G1736))</f>
        <v/>
      </c>
    </row>
    <row r="1738">
      <c r="A1738" s="14">
        <f>IF(OR(NOT(ISNUMBER(Ввод!$B$5)),NOT(ISNUMBER(Ввод!$B$6))),"",IF(Ввод!$B$5+1736&gt;Ввод!$B$6,"",Ввод!$B$5+1736))</f>
        <v/>
      </c>
      <c r="B1738">
        <f>IF(A1738="","",IFERROR(INDEX(Ввод!$B$12:$B$71,MATCH(A1738,Ввод!$D$12:$D$71,1)),""))</f>
        <v/>
      </c>
      <c r="C1738">
        <f>IF(A1738="","",DATE(YEAR(A1738),12,31)-DATE(YEAR(A1738),1,1)+1)</f>
        <v/>
      </c>
      <c r="D1738">
        <f>IF(A1738="","",Ввод!$B$4-SUMIF(Оплаты!$A$6:$A$505,"&lt;"&amp;A1738,Оплаты!$B$6:$B$505))</f>
        <v/>
      </c>
      <c r="E1738">
        <f>IF(A1738="","",IF(SUMPRODUCT((Ввод!$F$12:$F$31&lt;&gt;"")*(Ввод!$F$12:$F$31&lt;=A1738)*(Ввод!$G$12:$G$31&gt;=A1738))&gt;0,1,0))</f>
        <v/>
      </c>
      <c r="F1738">
        <f>IF(OR(A1738="",B1738=""),"",IF(E1738=1,0,D1738*B1738/100/C1738))</f>
        <v/>
      </c>
      <c r="G1738">
        <f>IF(A1738="","",IF(OR(B1738&lt;&gt;B1737,C1738&lt;&gt;C1737,D1738&lt;&gt;D1737,E1738&lt;&gt;E1737),G1737+1,G1737))</f>
        <v/>
      </c>
    </row>
    <row r="1739">
      <c r="A1739" s="14">
        <f>IF(OR(NOT(ISNUMBER(Ввод!$B$5)),NOT(ISNUMBER(Ввод!$B$6))),"",IF(Ввод!$B$5+1737&gt;Ввод!$B$6,"",Ввод!$B$5+1737))</f>
        <v/>
      </c>
      <c r="B1739">
        <f>IF(A1739="","",IFERROR(INDEX(Ввод!$B$12:$B$71,MATCH(A1739,Ввод!$D$12:$D$71,1)),""))</f>
        <v/>
      </c>
      <c r="C1739">
        <f>IF(A1739="","",DATE(YEAR(A1739),12,31)-DATE(YEAR(A1739),1,1)+1)</f>
        <v/>
      </c>
      <c r="D1739">
        <f>IF(A1739="","",Ввод!$B$4-SUMIF(Оплаты!$A$6:$A$505,"&lt;"&amp;A1739,Оплаты!$B$6:$B$505))</f>
        <v/>
      </c>
      <c r="E1739">
        <f>IF(A1739="","",IF(SUMPRODUCT((Ввод!$F$12:$F$31&lt;&gt;"")*(Ввод!$F$12:$F$31&lt;=A1739)*(Ввод!$G$12:$G$31&gt;=A1739))&gt;0,1,0))</f>
        <v/>
      </c>
      <c r="F1739">
        <f>IF(OR(A1739="",B1739=""),"",IF(E1739=1,0,D1739*B1739/100/C1739))</f>
        <v/>
      </c>
      <c r="G1739">
        <f>IF(A1739="","",IF(OR(B1739&lt;&gt;B1738,C1739&lt;&gt;C1738,D1739&lt;&gt;D1738,E1739&lt;&gt;E1738),G1738+1,G1738))</f>
        <v/>
      </c>
    </row>
    <row r="1740">
      <c r="A1740" s="14">
        <f>IF(OR(NOT(ISNUMBER(Ввод!$B$5)),NOT(ISNUMBER(Ввод!$B$6))),"",IF(Ввод!$B$5+1738&gt;Ввод!$B$6,"",Ввод!$B$5+1738))</f>
        <v/>
      </c>
      <c r="B1740">
        <f>IF(A1740="","",IFERROR(INDEX(Ввод!$B$12:$B$71,MATCH(A1740,Ввод!$D$12:$D$71,1)),""))</f>
        <v/>
      </c>
      <c r="C1740">
        <f>IF(A1740="","",DATE(YEAR(A1740),12,31)-DATE(YEAR(A1740),1,1)+1)</f>
        <v/>
      </c>
      <c r="D1740">
        <f>IF(A1740="","",Ввод!$B$4-SUMIF(Оплаты!$A$6:$A$505,"&lt;"&amp;A1740,Оплаты!$B$6:$B$505))</f>
        <v/>
      </c>
      <c r="E1740">
        <f>IF(A1740="","",IF(SUMPRODUCT((Ввод!$F$12:$F$31&lt;&gt;"")*(Ввод!$F$12:$F$31&lt;=A1740)*(Ввод!$G$12:$G$31&gt;=A1740))&gt;0,1,0))</f>
        <v/>
      </c>
      <c r="F1740">
        <f>IF(OR(A1740="",B1740=""),"",IF(E1740=1,0,D1740*B1740/100/C1740))</f>
        <v/>
      </c>
      <c r="G1740">
        <f>IF(A1740="","",IF(OR(B1740&lt;&gt;B1739,C1740&lt;&gt;C1739,D1740&lt;&gt;D1739,E1740&lt;&gt;E1739),G1739+1,G1739))</f>
        <v/>
      </c>
    </row>
    <row r="1741">
      <c r="A1741" s="14">
        <f>IF(OR(NOT(ISNUMBER(Ввод!$B$5)),NOT(ISNUMBER(Ввод!$B$6))),"",IF(Ввод!$B$5+1739&gt;Ввод!$B$6,"",Ввод!$B$5+1739))</f>
        <v/>
      </c>
      <c r="B1741">
        <f>IF(A1741="","",IFERROR(INDEX(Ввод!$B$12:$B$71,MATCH(A1741,Ввод!$D$12:$D$71,1)),""))</f>
        <v/>
      </c>
      <c r="C1741">
        <f>IF(A1741="","",DATE(YEAR(A1741),12,31)-DATE(YEAR(A1741),1,1)+1)</f>
        <v/>
      </c>
      <c r="D1741">
        <f>IF(A1741="","",Ввод!$B$4-SUMIF(Оплаты!$A$6:$A$505,"&lt;"&amp;A1741,Оплаты!$B$6:$B$505))</f>
        <v/>
      </c>
      <c r="E1741">
        <f>IF(A1741="","",IF(SUMPRODUCT((Ввод!$F$12:$F$31&lt;&gt;"")*(Ввод!$F$12:$F$31&lt;=A1741)*(Ввод!$G$12:$G$31&gt;=A1741))&gt;0,1,0))</f>
        <v/>
      </c>
      <c r="F1741">
        <f>IF(OR(A1741="",B1741=""),"",IF(E1741=1,0,D1741*B1741/100/C1741))</f>
        <v/>
      </c>
      <c r="G1741">
        <f>IF(A1741="","",IF(OR(B1741&lt;&gt;B1740,C1741&lt;&gt;C1740,D1741&lt;&gt;D1740,E1741&lt;&gt;E1740),G1740+1,G1740))</f>
        <v/>
      </c>
    </row>
    <row r="1742">
      <c r="A1742" s="14">
        <f>IF(OR(NOT(ISNUMBER(Ввод!$B$5)),NOT(ISNUMBER(Ввод!$B$6))),"",IF(Ввод!$B$5+1740&gt;Ввод!$B$6,"",Ввод!$B$5+1740))</f>
        <v/>
      </c>
      <c r="B1742">
        <f>IF(A1742="","",IFERROR(INDEX(Ввод!$B$12:$B$71,MATCH(A1742,Ввод!$D$12:$D$71,1)),""))</f>
        <v/>
      </c>
      <c r="C1742">
        <f>IF(A1742="","",DATE(YEAR(A1742),12,31)-DATE(YEAR(A1742),1,1)+1)</f>
        <v/>
      </c>
      <c r="D1742">
        <f>IF(A1742="","",Ввод!$B$4-SUMIF(Оплаты!$A$6:$A$505,"&lt;"&amp;A1742,Оплаты!$B$6:$B$505))</f>
        <v/>
      </c>
      <c r="E1742">
        <f>IF(A1742="","",IF(SUMPRODUCT((Ввод!$F$12:$F$31&lt;&gt;"")*(Ввод!$F$12:$F$31&lt;=A1742)*(Ввод!$G$12:$G$31&gt;=A1742))&gt;0,1,0))</f>
        <v/>
      </c>
      <c r="F1742">
        <f>IF(OR(A1742="",B1742=""),"",IF(E1742=1,0,D1742*B1742/100/C1742))</f>
        <v/>
      </c>
      <c r="G1742">
        <f>IF(A1742="","",IF(OR(B1742&lt;&gt;B1741,C1742&lt;&gt;C1741,D1742&lt;&gt;D1741,E1742&lt;&gt;E1741),G1741+1,G1741))</f>
        <v/>
      </c>
    </row>
    <row r="1743">
      <c r="A1743" s="14">
        <f>IF(OR(NOT(ISNUMBER(Ввод!$B$5)),NOT(ISNUMBER(Ввод!$B$6))),"",IF(Ввод!$B$5+1741&gt;Ввод!$B$6,"",Ввод!$B$5+1741))</f>
        <v/>
      </c>
      <c r="B1743">
        <f>IF(A1743="","",IFERROR(INDEX(Ввод!$B$12:$B$71,MATCH(A1743,Ввод!$D$12:$D$71,1)),""))</f>
        <v/>
      </c>
      <c r="C1743">
        <f>IF(A1743="","",DATE(YEAR(A1743),12,31)-DATE(YEAR(A1743),1,1)+1)</f>
        <v/>
      </c>
      <c r="D1743">
        <f>IF(A1743="","",Ввод!$B$4-SUMIF(Оплаты!$A$6:$A$505,"&lt;"&amp;A1743,Оплаты!$B$6:$B$505))</f>
        <v/>
      </c>
      <c r="E1743">
        <f>IF(A1743="","",IF(SUMPRODUCT((Ввод!$F$12:$F$31&lt;&gt;"")*(Ввод!$F$12:$F$31&lt;=A1743)*(Ввод!$G$12:$G$31&gt;=A1743))&gt;0,1,0))</f>
        <v/>
      </c>
      <c r="F1743">
        <f>IF(OR(A1743="",B1743=""),"",IF(E1743=1,0,D1743*B1743/100/C1743))</f>
        <v/>
      </c>
      <c r="G1743">
        <f>IF(A1743="","",IF(OR(B1743&lt;&gt;B1742,C1743&lt;&gt;C1742,D1743&lt;&gt;D1742,E1743&lt;&gt;E1742),G1742+1,G1742))</f>
        <v/>
      </c>
    </row>
    <row r="1744">
      <c r="A1744" s="14">
        <f>IF(OR(NOT(ISNUMBER(Ввод!$B$5)),NOT(ISNUMBER(Ввод!$B$6))),"",IF(Ввод!$B$5+1742&gt;Ввод!$B$6,"",Ввод!$B$5+1742))</f>
        <v/>
      </c>
      <c r="B1744">
        <f>IF(A1744="","",IFERROR(INDEX(Ввод!$B$12:$B$71,MATCH(A1744,Ввод!$D$12:$D$71,1)),""))</f>
        <v/>
      </c>
      <c r="C1744">
        <f>IF(A1744="","",DATE(YEAR(A1744),12,31)-DATE(YEAR(A1744),1,1)+1)</f>
        <v/>
      </c>
      <c r="D1744">
        <f>IF(A1744="","",Ввод!$B$4-SUMIF(Оплаты!$A$6:$A$505,"&lt;"&amp;A1744,Оплаты!$B$6:$B$505))</f>
        <v/>
      </c>
      <c r="E1744">
        <f>IF(A1744="","",IF(SUMPRODUCT((Ввод!$F$12:$F$31&lt;&gt;"")*(Ввод!$F$12:$F$31&lt;=A1744)*(Ввод!$G$12:$G$31&gt;=A1744))&gt;0,1,0))</f>
        <v/>
      </c>
      <c r="F1744">
        <f>IF(OR(A1744="",B1744=""),"",IF(E1744=1,0,D1744*B1744/100/C1744))</f>
        <v/>
      </c>
      <c r="G1744">
        <f>IF(A1744="","",IF(OR(B1744&lt;&gt;B1743,C1744&lt;&gt;C1743,D1744&lt;&gt;D1743,E1744&lt;&gt;E1743),G1743+1,G1743))</f>
        <v/>
      </c>
    </row>
    <row r="1745">
      <c r="A1745" s="14">
        <f>IF(OR(NOT(ISNUMBER(Ввод!$B$5)),NOT(ISNUMBER(Ввод!$B$6))),"",IF(Ввод!$B$5+1743&gt;Ввод!$B$6,"",Ввод!$B$5+1743))</f>
        <v/>
      </c>
      <c r="B1745">
        <f>IF(A1745="","",IFERROR(INDEX(Ввод!$B$12:$B$71,MATCH(A1745,Ввод!$D$12:$D$71,1)),""))</f>
        <v/>
      </c>
      <c r="C1745">
        <f>IF(A1745="","",DATE(YEAR(A1745),12,31)-DATE(YEAR(A1745),1,1)+1)</f>
        <v/>
      </c>
      <c r="D1745">
        <f>IF(A1745="","",Ввод!$B$4-SUMIF(Оплаты!$A$6:$A$505,"&lt;"&amp;A1745,Оплаты!$B$6:$B$505))</f>
        <v/>
      </c>
      <c r="E1745">
        <f>IF(A1745="","",IF(SUMPRODUCT((Ввод!$F$12:$F$31&lt;&gt;"")*(Ввод!$F$12:$F$31&lt;=A1745)*(Ввод!$G$12:$G$31&gt;=A1745))&gt;0,1,0))</f>
        <v/>
      </c>
      <c r="F1745">
        <f>IF(OR(A1745="",B1745=""),"",IF(E1745=1,0,D1745*B1745/100/C1745))</f>
        <v/>
      </c>
      <c r="G1745">
        <f>IF(A1745="","",IF(OR(B1745&lt;&gt;B1744,C1745&lt;&gt;C1744,D1745&lt;&gt;D1744,E1745&lt;&gt;E1744),G1744+1,G1744))</f>
        <v/>
      </c>
    </row>
    <row r="1746">
      <c r="A1746" s="14">
        <f>IF(OR(NOT(ISNUMBER(Ввод!$B$5)),NOT(ISNUMBER(Ввод!$B$6))),"",IF(Ввод!$B$5+1744&gt;Ввод!$B$6,"",Ввод!$B$5+1744))</f>
        <v/>
      </c>
      <c r="B1746">
        <f>IF(A1746="","",IFERROR(INDEX(Ввод!$B$12:$B$71,MATCH(A1746,Ввод!$D$12:$D$71,1)),""))</f>
        <v/>
      </c>
      <c r="C1746">
        <f>IF(A1746="","",DATE(YEAR(A1746),12,31)-DATE(YEAR(A1746),1,1)+1)</f>
        <v/>
      </c>
      <c r="D1746">
        <f>IF(A1746="","",Ввод!$B$4-SUMIF(Оплаты!$A$6:$A$505,"&lt;"&amp;A1746,Оплаты!$B$6:$B$505))</f>
        <v/>
      </c>
      <c r="E1746">
        <f>IF(A1746="","",IF(SUMPRODUCT((Ввод!$F$12:$F$31&lt;&gt;"")*(Ввод!$F$12:$F$31&lt;=A1746)*(Ввод!$G$12:$G$31&gt;=A1746))&gt;0,1,0))</f>
        <v/>
      </c>
      <c r="F1746">
        <f>IF(OR(A1746="",B1746=""),"",IF(E1746=1,0,D1746*B1746/100/C1746))</f>
        <v/>
      </c>
      <c r="G1746">
        <f>IF(A1746="","",IF(OR(B1746&lt;&gt;B1745,C1746&lt;&gt;C1745,D1746&lt;&gt;D1745,E1746&lt;&gt;E1745),G1745+1,G1745))</f>
        <v/>
      </c>
    </row>
    <row r="1747">
      <c r="A1747" s="14">
        <f>IF(OR(NOT(ISNUMBER(Ввод!$B$5)),NOT(ISNUMBER(Ввод!$B$6))),"",IF(Ввод!$B$5+1745&gt;Ввод!$B$6,"",Ввод!$B$5+1745))</f>
        <v/>
      </c>
      <c r="B1747">
        <f>IF(A1747="","",IFERROR(INDEX(Ввод!$B$12:$B$71,MATCH(A1747,Ввод!$D$12:$D$71,1)),""))</f>
        <v/>
      </c>
      <c r="C1747">
        <f>IF(A1747="","",DATE(YEAR(A1747),12,31)-DATE(YEAR(A1747),1,1)+1)</f>
        <v/>
      </c>
      <c r="D1747">
        <f>IF(A1747="","",Ввод!$B$4-SUMIF(Оплаты!$A$6:$A$505,"&lt;"&amp;A1747,Оплаты!$B$6:$B$505))</f>
        <v/>
      </c>
      <c r="E1747">
        <f>IF(A1747="","",IF(SUMPRODUCT((Ввод!$F$12:$F$31&lt;&gt;"")*(Ввод!$F$12:$F$31&lt;=A1747)*(Ввод!$G$12:$G$31&gt;=A1747))&gt;0,1,0))</f>
        <v/>
      </c>
      <c r="F1747">
        <f>IF(OR(A1747="",B1747=""),"",IF(E1747=1,0,D1747*B1747/100/C1747))</f>
        <v/>
      </c>
      <c r="G1747">
        <f>IF(A1747="","",IF(OR(B1747&lt;&gt;B1746,C1747&lt;&gt;C1746,D1747&lt;&gt;D1746,E1747&lt;&gt;E1746),G1746+1,G1746))</f>
        <v/>
      </c>
    </row>
    <row r="1748">
      <c r="A1748" s="14">
        <f>IF(OR(NOT(ISNUMBER(Ввод!$B$5)),NOT(ISNUMBER(Ввод!$B$6))),"",IF(Ввод!$B$5+1746&gt;Ввод!$B$6,"",Ввод!$B$5+1746))</f>
        <v/>
      </c>
      <c r="B1748">
        <f>IF(A1748="","",IFERROR(INDEX(Ввод!$B$12:$B$71,MATCH(A1748,Ввод!$D$12:$D$71,1)),""))</f>
        <v/>
      </c>
      <c r="C1748">
        <f>IF(A1748="","",DATE(YEAR(A1748),12,31)-DATE(YEAR(A1748),1,1)+1)</f>
        <v/>
      </c>
      <c r="D1748">
        <f>IF(A1748="","",Ввод!$B$4-SUMIF(Оплаты!$A$6:$A$505,"&lt;"&amp;A1748,Оплаты!$B$6:$B$505))</f>
        <v/>
      </c>
      <c r="E1748">
        <f>IF(A1748="","",IF(SUMPRODUCT((Ввод!$F$12:$F$31&lt;&gt;"")*(Ввод!$F$12:$F$31&lt;=A1748)*(Ввод!$G$12:$G$31&gt;=A1748))&gt;0,1,0))</f>
        <v/>
      </c>
      <c r="F1748">
        <f>IF(OR(A1748="",B1748=""),"",IF(E1748=1,0,D1748*B1748/100/C1748))</f>
        <v/>
      </c>
      <c r="G1748">
        <f>IF(A1748="","",IF(OR(B1748&lt;&gt;B1747,C1748&lt;&gt;C1747,D1748&lt;&gt;D1747,E1748&lt;&gt;E1747),G1747+1,G1747))</f>
        <v/>
      </c>
    </row>
    <row r="1749">
      <c r="A1749" s="14">
        <f>IF(OR(NOT(ISNUMBER(Ввод!$B$5)),NOT(ISNUMBER(Ввод!$B$6))),"",IF(Ввод!$B$5+1747&gt;Ввод!$B$6,"",Ввод!$B$5+1747))</f>
        <v/>
      </c>
      <c r="B1749">
        <f>IF(A1749="","",IFERROR(INDEX(Ввод!$B$12:$B$71,MATCH(A1749,Ввод!$D$12:$D$71,1)),""))</f>
        <v/>
      </c>
      <c r="C1749">
        <f>IF(A1749="","",DATE(YEAR(A1749),12,31)-DATE(YEAR(A1749),1,1)+1)</f>
        <v/>
      </c>
      <c r="D1749">
        <f>IF(A1749="","",Ввод!$B$4-SUMIF(Оплаты!$A$6:$A$505,"&lt;"&amp;A1749,Оплаты!$B$6:$B$505))</f>
        <v/>
      </c>
      <c r="E1749">
        <f>IF(A1749="","",IF(SUMPRODUCT((Ввод!$F$12:$F$31&lt;&gt;"")*(Ввод!$F$12:$F$31&lt;=A1749)*(Ввод!$G$12:$G$31&gt;=A1749))&gt;0,1,0))</f>
        <v/>
      </c>
      <c r="F1749">
        <f>IF(OR(A1749="",B1749=""),"",IF(E1749=1,0,D1749*B1749/100/C1749))</f>
        <v/>
      </c>
      <c r="G1749">
        <f>IF(A1749="","",IF(OR(B1749&lt;&gt;B1748,C1749&lt;&gt;C1748,D1749&lt;&gt;D1748,E1749&lt;&gt;E1748),G1748+1,G1748))</f>
        <v/>
      </c>
    </row>
    <row r="1750">
      <c r="A1750" s="14">
        <f>IF(OR(NOT(ISNUMBER(Ввод!$B$5)),NOT(ISNUMBER(Ввод!$B$6))),"",IF(Ввод!$B$5+1748&gt;Ввод!$B$6,"",Ввод!$B$5+1748))</f>
        <v/>
      </c>
      <c r="B1750">
        <f>IF(A1750="","",IFERROR(INDEX(Ввод!$B$12:$B$71,MATCH(A1750,Ввод!$D$12:$D$71,1)),""))</f>
        <v/>
      </c>
      <c r="C1750">
        <f>IF(A1750="","",DATE(YEAR(A1750),12,31)-DATE(YEAR(A1750),1,1)+1)</f>
        <v/>
      </c>
      <c r="D1750">
        <f>IF(A1750="","",Ввод!$B$4-SUMIF(Оплаты!$A$6:$A$505,"&lt;"&amp;A1750,Оплаты!$B$6:$B$505))</f>
        <v/>
      </c>
      <c r="E1750">
        <f>IF(A1750="","",IF(SUMPRODUCT((Ввод!$F$12:$F$31&lt;&gt;"")*(Ввод!$F$12:$F$31&lt;=A1750)*(Ввод!$G$12:$G$31&gt;=A1750))&gt;0,1,0))</f>
        <v/>
      </c>
      <c r="F1750">
        <f>IF(OR(A1750="",B1750=""),"",IF(E1750=1,0,D1750*B1750/100/C1750))</f>
        <v/>
      </c>
      <c r="G1750">
        <f>IF(A1750="","",IF(OR(B1750&lt;&gt;B1749,C1750&lt;&gt;C1749,D1750&lt;&gt;D1749,E1750&lt;&gt;E1749),G1749+1,G1749))</f>
        <v/>
      </c>
    </row>
    <row r="1751">
      <c r="A1751" s="14">
        <f>IF(OR(NOT(ISNUMBER(Ввод!$B$5)),NOT(ISNUMBER(Ввод!$B$6))),"",IF(Ввод!$B$5+1749&gt;Ввод!$B$6,"",Ввод!$B$5+1749))</f>
        <v/>
      </c>
      <c r="B1751">
        <f>IF(A1751="","",IFERROR(INDEX(Ввод!$B$12:$B$71,MATCH(A1751,Ввод!$D$12:$D$71,1)),""))</f>
        <v/>
      </c>
      <c r="C1751">
        <f>IF(A1751="","",DATE(YEAR(A1751),12,31)-DATE(YEAR(A1751),1,1)+1)</f>
        <v/>
      </c>
      <c r="D1751">
        <f>IF(A1751="","",Ввод!$B$4-SUMIF(Оплаты!$A$6:$A$505,"&lt;"&amp;A1751,Оплаты!$B$6:$B$505))</f>
        <v/>
      </c>
      <c r="E1751">
        <f>IF(A1751="","",IF(SUMPRODUCT((Ввод!$F$12:$F$31&lt;&gt;"")*(Ввод!$F$12:$F$31&lt;=A1751)*(Ввод!$G$12:$G$31&gt;=A1751))&gt;0,1,0))</f>
        <v/>
      </c>
      <c r="F1751">
        <f>IF(OR(A1751="",B1751=""),"",IF(E1751=1,0,D1751*B1751/100/C1751))</f>
        <v/>
      </c>
      <c r="G1751">
        <f>IF(A1751="","",IF(OR(B1751&lt;&gt;B1750,C1751&lt;&gt;C1750,D1751&lt;&gt;D1750,E1751&lt;&gt;E1750),G1750+1,G1750))</f>
        <v/>
      </c>
    </row>
    <row r="1752">
      <c r="A1752" s="14">
        <f>IF(OR(NOT(ISNUMBER(Ввод!$B$5)),NOT(ISNUMBER(Ввод!$B$6))),"",IF(Ввод!$B$5+1750&gt;Ввод!$B$6,"",Ввод!$B$5+1750))</f>
        <v/>
      </c>
      <c r="B1752">
        <f>IF(A1752="","",IFERROR(INDEX(Ввод!$B$12:$B$71,MATCH(A1752,Ввод!$D$12:$D$71,1)),""))</f>
        <v/>
      </c>
      <c r="C1752">
        <f>IF(A1752="","",DATE(YEAR(A1752),12,31)-DATE(YEAR(A1752),1,1)+1)</f>
        <v/>
      </c>
      <c r="D1752">
        <f>IF(A1752="","",Ввод!$B$4-SUMIF(Оплаты!$A$6:$A$505,"&lt;"&amp;A1752,Оплаты!$B$6:$B$505))</f>
        <v/>
      </c>
      <c r="E1752">
        <f>IF(A1752="","",IF(SUMPRODUCT((Ввод!$F$12:$F$31&lt;&gt;"")*(Ввод!$F$12:$F$31&lt;=A1752)*(Ввод!$G$12:$G$31&gt;=A1752))&gt;0,1,0))</f>
        <v/>
      </c>
      <c r="F1752">
        <f>IF(OR(A1752="",B1752=""),"",IF(E1752=1,0,D1752*B1752/100/C1752))</f>
        <v/>
      </c>
      <c r="G1752">
        <f>IF(A1752="","",IF(OR(B1752&lt;&gt;B1751,C1752&lt;&gt;C1751,D1752&lt;&gt;D1751,E1752&lt;&gt;E1751),G1751+1,G1751))</f>
        <v/>
      </c>
    </row>
    <row r="1753">
      <c r="A1753" s="14">
        <f>IF(OR(NOT(ISNUMBER(Ввод!$B$5)),NOT(ISNUMBER(Ввод!$B$6))),"",IF(Ввод!$B$5+1751&gt;Ввод!$B$6,"",Ввод!$B$5+1751))</f>
        <v/>
      </c>
      <c r="B1753">
        <f>IF(A1753="","",IFERROR(INDEX(Ввод!$B$12:$B$71,MATCH(A1753,Ввод!$D$12:$D$71,1)),""))</f>
        <v/>
      </c>
      <c r="C1753">
        <f>IF(A1753="","",DATE(YEAR(A1753),12,31)-DATE(YEAR(A1753),1,1)+1)</f>
        <v/>
      </c>
      <c r="D1753">
        <f>IF(A1753="","",Ввод!$B$4-SUMIF(Оплаты!$A$6:$A$505,"&lt;"&amp;A1753,Оплаты!$B$6:$B$505))</f>
        <v/>
      </c>
      <c r="E1753">
        <f>IF(A1753="","",IF(SUMPRODUCT((Ввод!$F$12:$F$31&lt;&gt;"")*(Ввод!$F$12:$F$31&lt;=A1753)*(Ввод!$G$12:$G$31&gt;=A1753))&gt;0,1,0))</f>
        <v/>
      </c>
      <c r="F1753">
        <f>IF(OR(A1753="",B1753=""),"",IF(E1753=1,0,D1753*B1753/100/C1753))</f>
        <v/>
      </c>
      <c r="G1753">
        <f>IF(A1753="","",IF(OR(B1753&lt;&gt;B1752,C1753&lt;&gt;C1752,D1753&lt;&gt;D1752,E1753&lt;&gt;E1752),G1752+1,G1752))</f>
        <v/>
      </c>
    </row>
    <row r="1754">
      <c r="A1754" s="14">
        <f>IF(OR(NOT(ISNUMBER(Ввод!$B$5)),NOT(ISNUMBER(Ввод!$B$6))),"",IF(Ввод!$B$5+1752&gt;Ввод!$B$6,"",Ввод!$B$5+1752))</f>
        <v/>
      </c>
      <c r="B1754">
        <f>IF(A1754="","",IFERROR(INDEX(Ввод!$B$12:$B$71,MATCH(A1754,Ввод!$D$12:$D$71,1)),""))</f>
        <v/>
      </c>
      <c r="C1754">
        <f>IF(A1754="","",DATE(YEAR(A1754),12,31)-DATE(YEAR(A1754),1,1)+1)</f>
        <v/>
      </c>
      <c r="D1754">
        <f>IF(A1754="","",Ввод!$B$4-SUMIF(Оплаты!$A$6:$A$505,"&lt;"&amp;A1754,Оплаты!$B$6:$B$505))</f>
        <v/>
      </c>
      <c r="E1754">
        <f>IF(A1754="","",IF(SUMPRODUCT((Ввод!$F$12:$F$31&lt;&gt;"")*(Ввод!$F$12:$F$31&lt;=A1754)*(Ввод!$G$12:$G$31&gt;=A1754))&gt;0,1,0))</f>
        <v/>
      </c>
      <c r="F1754">
        <f>IF(OR(A1754="",B1754=""),"",IF(E1754=1,0,D1754*B1754/100/C1754))</f>
        <v/>
      </c>
      <c r="G1754">
        <f>IF(A1754="","",IF(OR(B1754&lt;&gt;B1753,C1754&lt;&gt;C1753,D1754&lt;&gt;D1753,E1754&lt;&gt;E1753),G1753+1,G1753))</f>
        <v/>
      </c>
    </row>
    <row r="1755">
      <c r="A1755" s="14">
        <f>IF(OR(NOT(ISNUMBER(Ввод!$B$5)),NOT(ISNUMBER(Ввод!$B$6))),"",IF(Ввод!$B$5+1753&gt;Ввод!$B$6,"",Ввод!$B$5+1753))</f>
        <v/>
      </c>
      <c r="B1755">
        <f>IF(A1755="","",IFERROR(INDEX(Ввод!$B$12:$B$71,MATCH(A1755,Ввод!$D$12:$D$71,1)),""))</f>
        <v/>
      </c>
      <c r="C1755">
        <f>IF(A1755="","",DATE(YEAR(A1755),12,31)-DATE(YEAR(A1755),1,1)+1)</f>
        <v/>
      </c>
      <c r="D1755">
        <f>IF(A1755="","",Ввод!$B$4-SUMIF(Оплаты!$A$6:$A$505,"&lt;"&amp;A1755,Оплаты!$B$6:$B$505))</f>
        <v/>
      </c>
      <c r="E1755">
        <f>IF(A1755="","",IF(SUMPRODUCT((Ввод!$F$12:$F$31&lt;&gt;"")*(Ввод!$F$12:$F$31&lt;=A1755)*(Ввод!$G$12:$G$31&gt;=A1755))&gt;0,1,0))</f>
        <v/>
      </c>
      <c r="F1755">
        <f>IF(OR(A1755="",B1755=""),"",IF(E1755=1,0,D1755*B1755/100/C1755))</f>
        <v/>
      </c>
      <c r="G1755">
        <f>IF(A1755="","",IF(OR(B1755&lt;&gt;B1754,C1755&lt;&gt;C1754,D1755&lt;&gt;D1754,E1755&lt;&gt;E1754),G1754+1,G1754))</f>
        <v/>
      </c>
    </row>
    <row r="1756">
      <c r="A1756" s="14">
        <f>IF(OR(NOT(ISNUMBER(Ввод!$B$5)),NOT(ISNUMBER(Ввод!$B$6))),"",IF(Ввод!$B$5+1754&gt;Ввод!$B$6,"",Ввод!$B$5+1754))</f>
        <v/>
      </c>
      <c r="B1756">
        <f>IF(A1756="","",IFERROR(INDEX(Ввод!$B$12:$B$71,MATCH(A1756,Ввод!$D$12:$D$71,1)),""))</f>
        <v/>
      </c>
      <c r="C1756">
        <f>IF(A1756="","",DATE(YEAR(A1756),12,31)-DATE(YEAR(A1756),1,1)+1)</f>
        <v/>
      </c>
      <c r="D1756">
        <f>IF(A1756="","",Ввод!$B$4-SUMIF(Оплаты!$A$6:$A$505,"&lt;"&amp;A1756,Оплаты!$B$6:$B$505))</f>
        <v/>
      </c>
      <c r="E1756">
        <f>IF(A1756="","",IF(SUMPRODUCT((Ввод!$F$12:$F$31&lt;&gt;"")*(Ввод!$F$12:$F$31&lt;=A1756)*(Ввод!$G$12:$G$31&gt;=A1756))&gt;0,1,0))</f>
        <v/>
      </c>
      <c r="F1756">
        <f>IF(OR(A1756="",B1756=""),"",IF(E1756=1,0,D1756*B1756/100/C1756))</f>
        <v/>
      </c>
      <c r="G1756">
        <f>IF(A1756="","",IF(OR(B1756&lt;&gt;B1755,C1756&lt;&gt;C1755,D1756&lt;&gt;D1755,E1756&lt;&gt;E1755),G1755+1,G1755))</f>
        <v/>
      </c>
    </row>
    <row r="1757">
      <c r="A1757" s="14">
        <f>IF(OR(NOT(ISNUMBER(Ввод!$B$5)),NOT(ISNUMBER(Ввод!$B$6))),"",IF(Ввод!$B$5+1755&gt;Ввод!$B$6,"",Ввод!$B$5+1755))</f>
        <v/>
      </c>
      <c r="B1757">
        <f>IF(A1757="","",IFERROR(INDEX(Ввод!$B$12:$B$71,MATCH(A1757,Ввод!$D$12:$D$71,1)),""))</f>
        <v/>
      </c>
      <c r="C1757">
        <f>IF(A1757="","",DATE(YEAR(A1757),12,31)-DATE(YEAR(A1757),1,1)+1)</f>
        <v/>
      </c>
      <c r="D1757">
        <f>IF(A1757="","",Ввод!$B$4-SUMIF(Оплаты!$A$6:$A$505,"&lt;"&amp;A1757,Оплаты!$B$6:$B$505))</f>
        <v/>
      </c>
      <c r="E1757">
        <f>IF(A1757="","",IF(SUMPRODUCT((Ввод!$F$12:$F$31&lt;&gt;"")*(Ввод!$F$12:$F$31&lt;=A1757)*(Ввод!$G$12:$G$31&gt;=A1757))&gt;0,1,0))</f>
        <v/>
      </c>
      <c r="F1757">
        <f>IF(OR(A1757="",B1757=""),"",IF(E1757=1,0,D1757*B1757/100/C1757))</f>
        <v/>
      </c>
      <c r="G1757">
        <f>IF(A1757="","",IF(OR(B1757&lt;&gt;B1756,C1757&lt;&gt;C1756,D1757&lt;&gt;D1756,E1757&lt;&gt;E1756),G1756+1,G1756))</f>
        <v/>
      </c>
    </row>
    <row r="1758">
      <c r="A1758" s="14">
        <f>IF(OR(NOT(ISNUMBER(Ввод!$B$5)),NOT(ISNUMBER(Ввод!$B$6))),"",IF(Ввод!$B$5+1756&gt;Ввод!$B$6,"",Ввод!$B$5+1756))</f>
        <v/>
      </c>
      <c r="B1758">
        <f>IF(A1758="","",IFERROR(INDEX(Ввод!$B$12:$B$71,MATCH(A1758,Ввод!$D$12:$D$71,1)),""))</f>
        <v/>
      </c>
      <c r="C1758">
        <f>IF(A1758="","",DATE(YEAR(A1758),12,31)-DATE(YEAR(A1758),1,1)+1)</f>
        <v/>
      </c>
      <c r="D1758">
        <f>IF(A1758="","",Ввод!$B$4-SUMIF(Оплаты!$A$6:$A$505,"&lt;"&amp;A1758,Оплаты!$B$6:$B$505))</f>
        <v/>
      </c>
      <c r="E1758">
        <f>IF(A1758="","",IF(SUMPRODUCT((Ввод!$F$12:$F$31&lt;&gt;"")*(Ввод!$F$12:$F$31&lt;=A1758)*(Ввод!$G$12:$G$31&gt;=A1758))&gt;0,1,0))</f>
        <v/>
      </c>
      <c r="F1758">
        <f>IF(OR(A1758="",B1758=""),"",IF(E1758=1,0,D1758*B1758/100/C1758))</f>
        <v/>
      </c>
      <c r="G1758">
        <f>IF(A1758="","",IF(OR(B1758&lt;&gt;B1757,C1758&lt;&gt;C1757,D1758&lt;&gt;D1757,E1758&lt;&gt;E1757),G1757+1,G1757))</f>
        <v/>
      </c>
    </row>
    <row r="1759">
      <c r="A1759" s="14">
        <f>IF(OR(NOT(ISNUMBER(Ввод!$B$5)),NOT(ISNUMBER(Ввод!$B$6))),"",IF(Ввод!$B$5+1757&gt;Ввод!$B$6,"",Ввод!$B$5+1757))</f>
        <v/>
      </c>
      <c r="B1759">
        <f>IF(A1759="","",IFERROR(INDEX(Ввод!$B$12:$B$71,MATCH(A1759,Ввод!$D$12:$D$71,1)),""))</f>
        <v/>
      </c>
      <c r="C1759">
        <f>IF(A1759="","",DATE(YEAR(A1759),12,31)-DATE(YEAR(A1759),1,1)+1)</f>
        <v/>
      </c>
      <c r="D1759">
        <f>IF(A1759="","",Ввод!$B$4-SUMIF(Оплаты!$A$6:$A$505,"&lt;"&amp;A1759,Оплаты!$B$6:$B$505))</f>
        <v/>
      </c>
      <c r="E1759">
        <f>IF(A1759="","",IF(SUMPRODUCT((Ввод!$F$12:$F$31&lt;&gt;"")*(Ввод!$F$12:$F$31&lt;=A1759)*(Ввод!$G$12:$G$31&gt;=A1759))&gt;0,1,0))</f>
        <v/>
      </c>
      <c r="F1759">
        <f>IF(OR(A1759="",B1759=""),"",IF(E1759=1,0,D1759*B1759/100/C1759))</f>
        <v/>
      </c>
      <c r="G1759">
        <f>IF(A1759="","",IF(OR(B1759&lt;&gt;B1758,C1759&lt;&gt;C1758,D1759&lt;&gt;D1758,E1759&lt;&gt;E1758),G1758+1,G1758))</f>
        <v/>
      </c>
    </row>
    <row r="1760">
      <c r="A1760" s="14">
        <f>IF(OR(NOT(ISNUMBER(Ввод!$B$5)),NOT(ISNUMBER(Ввод!$B$6))),"",IF(Ввод!$B$5+1758&gt;Ввод!$B$6,"",Ввод!$B$5+1758))</f>
        <v/>
      </c>
      <c r="B1760">
        <f>IF(A1760="","",IFERROR(INDEX(Ввод!$B$12:$B$71,MATCH(A1760,Ввод!$D$12:$D$71,1)),""))</f>
        <v/>
      </c>
      <c r="C1760">
        <f>IF(A1760="","",DATE(YEAR(A1760),12,31)-DATE(YEAR(A1760),1,1)+1)</f>
        <v/>
      </c>
      <c r="D1760">
        <f>IF(A1760="","",Ввод!$B$4-SUMIF(Оплаты!$A$6:$A$505,"&lt;"&amp;A1760,Оплаты!$B$6:$B$505))</f>
        <v/>
      </c>
      <c r="E1760">
        <f>IF(A1760="","",IF(SUMPRODUCT((Ввод!$F$12:$F$31&lt;&gt;"")*(Ввод!$F$12:$F$31&lt;=A1760)*(Ввод!$G$12:$G$31&gt;=A1760))&gt;0,1,0))</f>
        <v/>
      </c>
      <c r="F1760">
        <f>IF(OR(A1760="",B1760=""),"",IF(E1760=1,0,D1760*B1760/100/C1760))</f>
        <v/>
      </c>
      <c r="G1760">
        <f>IF(A1760="","",IF(OR(B1760&lt;&gt;B1759,C1760&lt;&gt;C1759,D1760&lt;&gt;D1759,E1760&lt;&gt;E1759),G1759+1,G1759))</f>
        <v/>
      </c>
    </row>
    <row r="1761">
      <c r="A1761" s="14">
        <f>IF(OR(NOT(ISNUMBER(Ввод!$B$5)),NOT(ISNUMBER(Ввод!$B$6))),"",IF(Ввод!$B$5+1759&gt;Ввод!$B$6,"",Ввод!$B$5+1759))</f>
        <v/>
      </c>
      <c r="B1761">
        <f>IF(A1761="","",IFERROR(INDEX(Ввод!$B$12:$B$71,MATCH(A1761,Ввод!$D$12:$D$71,1)),""))</f>
        <v/>
      </c>
      <c r="C1761">
        <f>IF(A1761="","",DATE(YEAR(A1761),12,31)-DATE(YEAR(A1761),1,1)+1)</f>
        <v/>
      </c>
      <c r="D1761">
        <f>IF(A1761="","",Ввод!$B$4-SUMIF(Оплаты!$A$6:$A$505,"&lt;"&amp;A1761,Оплаты!$B$6:$B$505))</f>
        <v/>
      </c>
      <c r="E1761">
        <f>IF(A1761="","",IF(SUMPRODUCT((Ввод!$F$12:$F$31&lt;&gt;"")*(Ввод!$F$12:$F$31&lt;=A1761)*(Ввод!$G$12:$G$31&gt;=A1761))&gt;0,1,0))</f>
        <v/>
      </c>
      <c r="F1761">
        <f>IF(OR(A1761="",B1761=""),"",IF(E1761=1,0,D1761*B1761/100/C1761))</f>
        <v/>
      </c>
      <c r="G1761">
        <f>IF(A1761="","",IF(OR(B1761&lt;&gt;B1760,C1761&lt;&gt;C1760,D1761&lt;&gt;D1760,E1761&lt;&gt;E1760),G1760+1,G1760))</f>
        <v/>
      </c>
    </row>
    <row r="1762">
      <c r="A1762" s="14">
        <f>IF(OR(NOT(ISNUMBER(Ввод!$B$5)),NOT(ISNUMBER(Ввод!$B$6))),"",IF(Ввод!$B$5+1760&gt;Ввод!$B$6,"",Ввод!$B$5+1760))</f>
        <v/>
      </c>
      <c r="B1762">
        <f>IF(A1762="","",IFERROR(INDEX(Ввод!$B$12:$B$71,MATCH(A1762,Ввод!$D$12:$D$71,1)),""))</f>
        <v/>
      </c>
      <c r="C1762">
        <f>IF(A1762="","",DATE(YEAR(A1762),12,31)-DATE(YEAR(A1762),1,1)+1)</f>
        <v/>
      </c>
      <c r="D1762">
        <f>IF(A1762="","",Ввод!$B$4-SUMIF(Оплаты!$A$6:$A$505,"&lt;"&amp;A1762,Оплаты!$B$6:$B$505))</f>
        <v/>
      </c>
      <c r="E1762">
        <f>IF(A1762="","",IF(SUMPRODUCT((Ввод!$F$12:$F$31&lt;&gt;"")*(Ввод!$F$12:$F$31&lt;=A1762)*(Ввод!$G$12:$G$31&gt;=A1762))&gt;0,1,0))</f>
        <v/>
      </c>
      <c r="F1762">
        <f>IF(OR(A1762="",B1762=""),"",IF(E1762=1,0,D1762*B1762/100/C1762))</f>
        <v/>
      </c>
      <c r="G1762">
        <f>IF(A1762="","",IF(OR(B1762&lt;&gt;B1761,C1762&lt;&gt;C1761,D1762&lt;&gt;D1761,E1762&lt;&gt;E1761),G1761+1,G1761))</f>
        <v/>
      </c>
    </row>
    <row r="1763">
      <c r="A1763" s="14">
        <f>IF(OR(NOT(ISNUMBER(Ввод!$B$5)),NOT(ISNUMBER(Ввод!$B$6))),"",IF(Ввод!$B$5+1761&gt;Ввод!$B$6,"",Ввод!$B$5+1761))</f>
        <v/>
      </c>
      <c r="B1763">
        <f>IF(A1763="","",IFERROR(INDEX(Ввод!$B$12:$B$71,MATCH(A1763,Ввод!$D$12:$D$71,1)),""))</f>
        <v/>
      </c>
      <c r="C1763">
        <f>IF(A1763="","",DATE(YEAR(A1763),12,31)-DATE(YEAR(A1763),1,1)+1)</f>
        <v/>
      </c>
      <c r="D1763">
        <f>IF(A1763="","",Ввод!$B$4-SUMIF(Оплаты!$A$6:$A$505,"&lt;"&amp;A1763,Оплаты!$B$6:$B$505))</f>
        <v/>
      </c>
      <c r="E1763">
        <f>IF(A1763="","",IF(SUMPRODUCT((Ввод!$F$12:$F$31&lt;&gt;"")*(Ввод!$F$12:$F$31&lt;=A1763)*(Ввод!$G$12:$G$31&gt;=A1763))&gt;0,1,0))</f>
        <v/>
      </c>
      <c r="F1763">
        <f>IF(OR(A1763="",B1763=""),"",IF(E1763=1,0,D1763*B1763/100/C1763))</f>
        <v/>
      </c>
      <c r="G1763">
        <f>IF(A1763="","",IF(OR(B1763&lt;&gt;B1762,C1763&lt;&gt;C1762,D1763&lt;&gt;D1762,E1763&lt;&gt;E1762),G1762+1,G1762))</f>
        <v/>
      </c>
    </row>
    <row r="1764">
      <c r="A1764" s="14">
        <f>IF(OR(NOT(ISNUMBER(Ввод!$B$5)),NOT(ISNUMBER(Ввод!$B$6))),"",IF(Ввод!$B$5+1762&gt;Ввод!$B$6,"",Ввод!$B$5+1762))</f>
        <v/>
      </c>
      <c r="B1764">
        <f>IF(A1764="","",IFERROR(INDEX(Ввод!$B$12:$B$71,MATCH(A1764,Ввод!$D$12:$D$71,1)),""))</f>
        <v/>
      </c>
      <c r="C1764">
        <f>IF(A1764="","",DATE(YEAR(A1764),12,31)-DATE(YEAR(A1764),1,1)+1)</f>
        <v/>
      </c>
      <c r="D1764">
        <f>IF(A1764="","",Ввод!$B$4-SUMIF(Оплаты!$A$6:$A$505,"&lt;"&amp;A1764,Оплаты!$B$6:$B$505))</f>
        <v/>
      </c>
      <c r="E1764">
        <f>IF(A1764="","",IF(SUMPRODUCT((Ввод!$F$12:$F$31&lt;&gt;"")*(Ввод!$F$12:$F$31&lt;=A1764)*(Ввод!$G$12:$G$31&gt;=A1764))&gt;0,1,0))</f>
        <v/>
      </c>
      <c r="F1764">
        <f>IF(OR(A1764="",B1764=""),"",IF(E1764=1,0,D1764*B1764/100/C1764))</f>
        <v/>
      </c>
      <c r="G1764">
        <f>IF(A1764="","",IF(OR(B1764&lt;&gt;B1763,C1764&lt;&gt;C1763,D1764&lt;&gt;D1763,E1764&lt;&gt;E1763),G1763+1,G1763))</f>
        <v/>
      </c>
    </row>
    <row r="1765">
      <c r="A1765" s="14">
        <f>IF(OR(NOT(ISNUMBER(Ввод!$B$5)),NOT(ISNUMBER(Ввод!$B$6))),"",IF(Ввод!$B$5+1763&gt;Ввод!$B$6,"",Ввод!$B$5+1763))</f>
        <v/>
      </c>
      <c r="B1765">
        <f>IF(A1765="","",IFERROR(INDEX(Ввод!$B$12:$B$71,MATCH(A1765,Ввод!$D$12:$D$71,1)),""))</f>
        <v/>
      </c>
      <c r="C1765">
        <f>IF(A1765="","",DATE(YEAR(A1765),12,31)-DATE(YEAR(A1765),1,1)+1)</f>
        <v/>
      </c>
      <c r="D1765">
        <f>IF(A1765="","",Ввод!$B$4-SUMIF(Оплаты!$A$6:$A$505,"&lt;"&amp;A1765,Оплаты!$B$6:$B$505))</f>
        <v/>
      </c>
      <c r="E1765">
        <f>IF(A1765="","",IF(SUMPRODUCT((Ввод!$F$12:$F$31&lt;&gt;"")*(Ввод!$F$12:$F$31&lt;=A1765)*(Ввод!$G$12:$G$31&gt;=A1765))&gt;0,1,0))</f>
        <v/>
      </c>
      <c r="F1765">
        <f>IF(OR(A1765="",B1765=""),"",IF(E1765=1,0,D1765*B1765/100/C1765))</f>
        <v/>
      </c>
      <c r="G1765">
        <f>IF(A1765="","",IF(OR(B1765&lt;&gt;B1764,C1765&lt;&gt;C1764,D1765&lt;&gt;D1764,E1765&lt;&gt;E1764),G1764+1,G1764))</f>
        <v/>
      </c>
    </row>
    <row r="1766">
      <c r="A1766" s="14">
        <f>IF(OR(NOT(ISNUMBER(Ввод!$B$5)),NOT(ISNUMBER(Ввод!$B$6))),"",IF(Ввод!$B$5+1764&gt;Ввод!$B$6,"",Ввод!$B$5+1764))</f>
        <v/>
      </c>
      <c r="B1766">
        <f>IF(A1766="","",IFERROR(INDEX(Ввод!$B$12:$B$71,MATCH(A1766,Ввод!$D$12:$D$71,1)),""))</f>
        <v/>
      </c>
      <c r="C1766">
        <f>IF(A1766="","",DATE(YEAR(A1766),12,31)-DATE(YEAR(A1766),1,1)+1)</f>
        <v/>
      </c>
      <c r="D1766">
        <f>IF(A1766="","",Ввод!$B$4-SUMIF(Оплаты!$A$6:$A$505,"&lt;"&amp;A1766,Оплаты!$B$6:$B$505))</f>
        <v/>
      </c>
      <c r="E1766">
        <f>IF(A1766="","",IF(SUMPRODUCT((Ввод!$F$12:$F$31&lt;&gt;"")*(Ввод!$F$12:$F$31&lt;=A1766)*(Ввод!$G$12:$G$31&gt;=A1766))&gt;0,1,0))</f>
        <v/>
      </c>
      <c r="F1766">
        <f>IF(OR(A1766="",B1766=""),"",IF(E1766=1,0,D1766*B1766/100/C1766))</f>
        <v/>
      </c>
      <c r="G1766">
        <f>IF(A1766="","",IF(OR(B1766&lt;&gt;B1765,C1766&lt;&gt;C1765,D1766&lt;&gt;D1765,E1766&lt;&gt;E1765),G1765+1,G1765))</f>
        <v/>
      </c>
    </row>
    <row r="1767">
      <c r="A1767" s="14">
        <f>IF(OR(NOT(ISNUMBER(Ввод!$B$5)),NOT(ISNUMBER(Ввод!$B$6))),"",IF(Ввод!$B$5+1765&gt;Ввод!$B$6,"",Ввод!$B$5+1765))</f>
        <v/>
      </c>
      <c r="B1767">
        <f>IF(A1767="","",IFERROR(INDEX(Ввод!$B$12:$B$71,MATCH(A1767,Ввод!$D$12:$D$71,1)),""))</f>
        <v/>
      </c>
      <c r="C1767">
        <f>IF(A1767="","",DATE(YEAR(A1767),12,31)-DATE(YEAR(A1767),1,1)+1)</f>
        <v/>
      </c>
      <c r="D1767">
        <f>IF(A1767="","",Ввод!$B$4-SUMIF(Оплаты!$A$6:$A$505,"&lt;"&amp;A1767,Оплаты!$B$6:$B$505))</f>
        <v/>
      </c>
      <c r="E1767">
        <f>IF(A1767="","",IF(SUMPRODUCT((Ввод!$F$12:$F$31&lt;&gt;"")*(Ввод!$F$12:$F$31&lt;=A1767)*(Ввод!$G$12:$G$31&gt;=A1767))&gt;0,1,0))</f>
        <v/>
      </c>
      <c r="F1767">
        <f>IF(OR(A1767="",B1767=""),"",IF(E1767=1,0,D1767*B1767/100/C1767))</f>
        <v/>
      </c>
      <c r="G1767">
        <f>IF(A1767="","",IF(OR(B1767&lt;&gt;B1766,C1767&lt;&gt;C1766,D1767&lt;&gt;D1766,E1767&lt;&gt;E1766),G1766+1,G1766))</f>
        <v/>
      </c>
    </row>
    <row r="1768">
      <c r="A1768" s="14">
        <f>IF(OR(NOT(ISNUMBER(Ввод!$B$5)),NOT(ISNUMBER(Ввод!$B$6))),"",IF(Ввод!$B$5+1766&gt;Ввод!$B$6,"",Ввод!$B$5+1766))</f>
        <v/>
      </c>
      <c r="B1768">
        <f>IF(A1768="","",IFERROR(INDEX(Ввод!$B$12:$B$71,MATCH(A1768,Ввод!$D$12:$D$71,1)),""))</f>
        <v/>
      </c>
      <c r="C1768">
        <f>IF(A1768="","",DATE(YEAR(A1768),12,31)-DATE(YEAR(A1768),1,1)+1)</f>
        <v/>
      </c>
      <c r="D1768">
        <f>IF(A1768="","",Ввод!$B$4-SUMIF(Оплаты!$A$6:$A$505,"&lt;"&amp;A1768,Оплаты!$B$6:$B$505))</f>
        <v/>
      </c>
      <c r="E1768">
        <f>IF(A1768="","",IF(SUMPRODUCT((Ввод!$F$12:$F$31&lt;&gt;"")*(Ввод!$F$12:$F$31&lt;=A1768)*(Ввод!$G$12:$G$31&gt;=A1768))&gt;0,1,0))</f>
        <v/>
      </c>
      <c r="F1768">
        <f>IF(OR(A1768="",B1768=""),"",IF(E1768=1,0,D1768*B1768/100/C1768))</f>
        <v/>
      </c>
      <c r="G1768">
        <f>IF(A1768="","",IF(OR(B1768&lt;&gt;B1767,C1768&lt;&gt;C1767,D1768&lt;&gt;D1767,E1768&lt;&gt;E1767),G1767+1,G1767))</f>
        <v/>
      </c>
    </row>
    <row r="1769">
      <c r="A1769" s="14">
        <f>IF(OR(NOT(ISNUMBER(Ввод!$B$5)),NOT(ISNUMBER(Ввод!$B$6))),"",IF(Ввод!$B$5+1767&gt;Ввод!$B$6,"",Ввод!$B$5+1767))</f>
        <v/>
      </c>
      <c r="B1769">
        <f>IF(A1769="","",IFERROR(INDEX(Ввод!$B$12:$B$71,MATCH(A1769,Ввод!$D$12:$D$71,1)),""))</f>
        <v/>
      </c>
      <c r="C1769">
        <f>IF(A1769="","",DATE(YEAR(A1769),12,31)-DATE(YEAR(A1769),1,1)+1)</f>
        <v/>
      </c>
      <c r="D1769">
        <f>IF(A1769="","",Ввод!$B$4-SUMIF(Оплаты!$A$6:$A$505,"&lt;"&amp;A1769,Оплаты!$B$6:$B$505))</f>
        <v/>
      </c>
      <c r="E1769">
        <f>IF(A1769="","",IF(SUMPRODUCT((Ввод!$F$12:$F$31&lt;&gt;"")*(Ввод!$F$12:$F$31&lt;=A1769)*(Ввод!$G$12:$G$31&gt;=A1769))&gt;0,1,0))</f>
        <v/>
      </c>
      <c r="F1769">
        <f>IF(OR(A1769="",B1769=""),"",IF(E1769=1,0,D1769*B1769/100/C1769))</f>
        <v/>
      </c>
      <c r="G1769">
        <f>IF(A1769="","",IF(OR(B1769&lt;&gt;B1768,C1769&lt;&gt;C1768,D1769&lt;&gt;D1768,E1769&lt;&gt;E1768),G1768+1,G1768))</f>
        <v/>
      </c>
    </row>
    <row r="1770">
      <c r="A1770" s="14">
        <f>IF(OR(NOT(ISNUMBER(Ввод!$B$5)),NOT(ISNUMBER(Ввод!$B$6))),"",IF(Ввод!$B$5+1768&gt;Ввод!$B$6,"",Ввод!$B$5+1768))</f>
        <v/>
      </c>
      <c r="B1770">
        <f>IF(A1770="","",IFERROR(INDEX(Ввод!$B$12:$B$71,MATCH(A1770,Ввод!$D$12:$D$71,1)),""))</f>
        <v/>
      </c>
      <c r="C1770">
        <f>IF(A1770="","",DATE(YEAR(A1770),12,31)-DATE(YEAR(A1770),1,1)+1)</f>
        <v/>
      </c>
      <c r="D1770">
        <f>IF(A1770="","",Ввод!$B$4-SUMIF(Оплаты!$A$6:$A$505,"&lt;"&amp;A1770,Оплаты!$B$6:$B$505))</f>
        <v/>
      </c>
      <c r="E1770">
        <f>IF(A1770="","",IF(SUMPRODUCT((Ввод!$F$12:$F$31&lt;&gt;"")*(Ввод!$F$12:$F$31&lt;=A1770)*(Ввод!$G$12:$G$31&gt;=A1770))&gt;0,1,0))</f>
        <v/>
      </c>
      <c r="F1770">
        <f>IF(OR(A1770="",B1770=""),"",IF(E1770=1,0,D1770*B1770/100/C1770))</f>
        <v/>
      </c>
      <c r="G1770">
        <f>IF(A1770="","",IF(OR(B1770&lt;&gt;B1769,C1770&lt;&gt;C1769,D1770&lt;&gt;D1769,E1770&lt;&gt;E1769),G1769+1,G1769))</f>
        <v/>
      </c>
    </row>
    <row r="1771">
      <c r="A1771" s="14">
        <f>IF(OR(NOT(ISNUMBER(Ввод!$B$5)),NOT(ISNUMBER(Ввод!$B$6))),"",IF(Ввод!$B$5+1769&gt;Ввод!$B$6,"",Ввод!$B$5+1769))</f>
        <v/>
      </c>
      <c r="B1771">
        <f>IF(A1771="","",IFERROR(INDEX(Ввод!$B$12:$B$71,MATCH(A1771,Ввод!$D$12:$D$71,1)),""))</f>
        <v/>
      </c>
      <c r="C1771">
        <f>IF(A1771="","",DATE(YEAR(A1771),12,31)-DATE(YEAR(A1771),1,1)+1)</f>
        <v/>
      </c>
      <c r="D1771">
        <f>IF(A1771="","",Ввод!$B$4-SUMIF(Оплаты!$A$6:$A$505,"&lt;"&amp;A1771,Оплаты!$B$6:$B$505))</f>
        <v/>
      </c>
      <c r="E1771">
        <f>IF(A1771="","",IF(SUMPRODUCT((Ввод!$F$12:$F$31&lt;&gt;"")*(Ввод!$F$12:$F$31&lt;=A1771)*(Ввод!$G$12:$G$31&gt;=A1771))&gt;0,1,0))</f>
        <v/>
      </c>
      <c r="F1771">
        <f>IF(OR(A1771="",B1771=""),"",IF(E1771=1,0,D1771*B1771/100/C1771))</f>
        <v/>
      </c>
      <c r="G1771">
        <f>IF(A1771="","",IF(OR(B1771&lt;&gt;B1770,C1771&lt;&gt;C1770,D1771&lt;&gt;D1770,E1771&lt;&gt;E1770),G1770+1,G1770))</f>
        <v/>
      </c>
    </row>
    <row r="1772">
      <c r="A1772" s="14">
        <f>IF(OR(NOT(ISNUMBER(Ввод!$B$5)),NOT(ISNUMBER(Ввод!$B$6))),"",IF(Ввод!$B$5+1770&gt;Ввод!$B$6,"",Ввод!$B$5+1770))</f>
        <v/>
      </c>
      <c r="B1772">
        <f>IF(A1772="","",IFERROR(INDEX(Ввод!$B$12:$B$71,MATCH(A1772,Ввод!$D$12:$D$71,1)),""))</f>
        <v/>
      </c>
      <c r="C1772">
        <f>IF(A1772="","",DATE(YEAR(A1772),12,31)-DATE(YEAR(A1772),1,1)+1)</f>
        <v/>
      </c>
      <c r="D1772">
        <f>IF(A1772="","",Ввод!$B$4-SUMIF(Оплаты!$A$6:$A$505,"&lt;"&amp;A1772,Оплаты!$B$6:$B$505))</f>
        <v/>
      </c>
      <c r="E1772">
        <f>IF(A1772="","",IF(SUMPRODUCT((Ввод!$F$12:$F$31&lt;&gt;"")*(Ввод!$F$12:$F$31&lt;=A1772)*(Ввод!$G$12:$G$31&gt;=A1772))&gt;0,1,0))</f>
        <v/>
      </c>
      <c r="F1772">
        <f>IF(OR(A1772="",B1772=""),"",IF(E1772=1,0,D1772*B1772/100/C1772))</f>
        <v/>
      </c>
      <c r="G1772">
        <f>IF(A1772="","",IF(OR(B1772&lt;&gt;B1771,C1772&lt;&gt;C1771,D1772&lt;&gt;D1771,E1772&lt;&gt;E1771),G1771+1,G1771))</f>
        <v/>
      </c>
    </row>
    <row r="1773">
      <c r="A1773" s="14">
        <f>IF(OR(NOT(ISNUMBER(Ввод!$B$5)),NOT(ISNUMBER(Ввод!$B$6))),"",IF(Ввод!$B$5+1771&gt;Ввод!$B$6,"",Ввод!$B$5+1771))</f>
        <v/>
      </c>
      <c r="B1773">
        <f>IF(A1773="","",IFERROR(INDEX(Ввод!$B$12:$B$71,MATCH(A1773,Ввод!$D$12:$D$71,1)),""))</f>
        <v/>
      </c>
      <c r="C1773">
        <f>IF(A1773="","",DATE(YEAR(A1773),12,31)-DATE(YEAR(A1773),1,1)+1)</f>
        <v/>
      </c>
      <c r="D1773">
        <f>IF(A1773="","",Ввод!$B$4-SUMIF(Оплаты!$A$6:$A$505,"&lt;"&amp;A1773,Оплаты!$B$6:$B$505))</f>
        <v/>
      </c>
      <c r="E1773">
        <f>IF(A1773="","",IF(SUMPRODUCT((Ввод!$F$12:$F$31&lt;&gt;"")*(Ввод!$F$12:$F$31&lt;=A1773)*(Ввод!$G$12:$G$31&gt;=A1773))&gt;0,1,0))</f>
        <v/>
      </c>
      <c r="F1773">
        <f>IF(OR(A1773="",B1773=""),"",IF(E1773=1,0,D1773*B1773/100/C1773))</f>
        <v/>
      </c>
      <c r="G1773">
        <f>IF(A1773="","",IF(OR(B1773&lt;&gt;B1772,C1773&lt;&gt;C1772,D1773&lt;&gt;D1772,E1773&lt;&gt;E1772),G1772+1,G1772))</f>
        <v/>
      </c>
    </row>
    <row r="1774">
      <c r="A1774" s="14">
        <f>IF(OR(NOT(ISNUMBER(Ввод!$B$5)),NOT(ISNUMBER(Ввод!$B$6))),"",IF(Ввод!$B$5+1772&gt;Ввод!$B$6,"",Ввод!$B$5+1772))</f>
        <v/>
      </c>
      <c r="B1774">
        <f>IF(A1774="","",IFERROR(INDEX(Ввод!$B$12:$B$71,MATCH(A1774,Ввод!$D$12:$D$71,1)),""))</f>
        <v/>
      </c>
      <c r="C1774">
        <f>IF(A1774="","",DATE(YEAR(A1774),12,31)-DATE(YEAR(A1774),1,1)+1)</f>
        <v/>
      </c>
      <c r="D1774">
        <f>IF(A1774="","",Ввод!$B$4-SUMIF(Оплаты!$A$6:$A$505,"&lt;"&amp;A1774,Оплаты!$B$6:$B$505))</f>
        <v/>
      </c>
      <c r="E1774">
        <f>IF(A1774="","",IF(SUMPRODUCT((Ввод!$F$12:$F$31&lt;&gt;"")*(Ввод!$F$12:$F$31&lt;=A1774)*(Ввод!$G$12:$G$31&gt;=A1774))&gt;0,1,0))</f>
        <v/>
      </c>
      <c r="F1774">
        <f>IF(OR(A1774="",B1774=""),"",IF(E1774=1,0,D1774*B1774/100/C1774))</f>
        <v/>
      </c>
      <c r="G1774">
        <f>IF(A1774="","",IF(OR(B1774&lt;&gt;B1773,C1774&lt;&gt;C1773,D1774&lt;&gt;D1773,E1774&lt;&gt;E1773),G1773+1,G1773))</f>
        <v/>
      </c>
    </row>
    <row r="1775">
      <c r="A1775" s="14">
        <f>IF(OR(NOT(ISNUMBER(Ввод!$B$5)),NOT(ISNUMBER(Ввод!$B$6))),"",IF(Ввод!$B$5+1773&gt;Ввод!$B$6,"",Ввод!$B$5+1773))</f>
        <v/>
      </c>
      <c r="B1775">
        <f>IF(A1775="","",IFERROR(INDEX(Ввод!$B$12:$B$71,MATCH(A1775,Ввод!$D$12:$D$71,1)),""))</f>
        <v/>
      </c>
      <c r="C1775">
        <f>IF(A1775="","",DATE(YEAR(A1775),12,31)-DATE(YEAR(A1775),1,1)+1)</f>
        <v/>
      </c>
      <c r="D1775">
        <f>IF(A1775="","",Ввод!$B$4-SUMIF(Оплаты!$A$6:$A$505,"&lt;"&amp;A1775,Оплаты!$B$6:$B$505))</f>
        <v/>
      </c>
      <c r="E1775">
        <f>IF(A1775="","",IF(SUMPRODUCT((Ввод!$F$12:$F$31&lt;&gt;"")*(Ввод!$F$12:$F$31&lt;=A1775)*(Ввод!$G$12:$G$31&gt;=A1775))&gt;0,1,0))</f>
        <v/>
      </c>
      <c r="F1775">
        <f>IF(OR(A1775="",B1775=""),"",IF(E1775=1,0,D1775*B1775/100/C1775))</f>
        <v/>
      </c>
      <c r="G1775">
        <f>IF(A1775="","",IF(OR(B1775&lt;&gt;B1774,C1775&lt;&gt;C1774,D1775&lt;&gt;D1774,E1775&lt;&gt;E1774),G1774+1,G1774))</f>
        <v/>
      </c>
    </row>
    <row r="1776">
      <c r="A1776" s="14">
        <f>IF(OR(NOT(ISNUMBER(Ввод!$B$5)),NOT(ISNUMBER(Ввод!$B$6))),"",IF(Ввод!$B$5+1774&gt;Ввод!$B$6,"",Ввод!$B$5+1774))</f>
        <v/>
      </c>
      <c r="B1776">
        <f>IF(A1776="","",IFERROR(INDEX(Ввод!$B$12:$B$71,MATCH(A1776,Ввод!$D$12:$D$71,1)),""))</f>
        <v/>
      </c>
      <c r="C1776">
        <f>IF(A1776="","",DATE(YEAR(A1776),12,31)-DATE(YEAR(A1776),1,1)+1)</f>
        <v/>
      </c>
      <c r="D1776">
        <f>IF(A1776="","",Ввод!$B$4-SUMIF(Оплаты!$A$6:$A$505,"&lt;"&amp;A1776,Оплаты!$B$6:$B$505))</f>
        <v/>
      </c>
      <c r="E1776">
        <f>IF(A1776="","",IF(SUMPRODUCT((Ввод!$F$12:$F$31&lt;&gt;"")*(Ввод!$F$12:$F$31&lt;=A1776)*(Ввод!$G$12:$G$31&gt;=A1776))&gt;0,1,0))</f>
        <v/>
      </c>
      <c r="F1776">
        <f>IF(OR(A1776="",B1776=""),"",IF(E1776=1,0,D1776*B1776/100/C1776))</f>
        <v/>
      </c>
      <c r="G1776">
        <f>IF(A1776="","",IF(OR(B1776&lt;&gt;B1775,C1776&lt;&gt;C1775,D1776&lt;&gt;D1775,E1776&lt;&gt;E1775),G1775+1,G1775))</f>
        <v/>
      </c>
    </row>
    <row r="1777">
      <c r="A1777" s="14">
        <f>IF(OR(NOT(ISNUMBER(Ввод!$B$5)),NOT(ISNUMBER(Ввод!$B$6))),"",IF(Ввод!$B$5+1775&gt;Ввод!$B$6,"",Ввод!$B$5+1775))</f>
        <v/>
      </c>
      <c r="B1777">
        <f>IF(A1777="","",IFERROR(INDEX(Ввод!$B$12:$B$71,MATCH(A1777,Ввод!$D$12:$D$71,1)),""))</f>
        <v/>
      </c>
      <c r="C1777">
        <f>IF(A1777="","",DATE(YEAR(A1777),12,31)-DATE(YEAR(A1777),1,1)+1)</f>
        <v/>
      </c>
      <c r="D1777">
        <f>IF(A1777="","",Ввод!$B$4-SUMIF(Оплаты!$A$6:$A$505,"&lt;"&amp;A1777,Оплаты!$B$6:$B$505))</f>
        <v/>
      </c>
      <c r="E1777">
        <f>IF(A1777="","",IF(SUMPRODUCT((Ввод!$F$12:$F$31&lt;&gt;"")*(Ввод!$F$12:$F$31&lt;=A1777)*(Ввод!$G$12:$G$31&gt;=A1777))&gt;0,1,0))</f>
        <v/>
      </c>
      <c r="F1777">
        <f>IF(OR(A1777="",B1777=""),"",IF(E1777=1,0,D1777*B1777/100/C1777))</f>
        <v/>
      </c>
      <c r="G1777">
        <f>IF(A1777="","",IF(OR(B1777&lt;&gt;B1776,C1777&lt;&gt;C1776,D1777&lt;&gt;D1776,E1777&lt;&gt;E1776),G1776+1,G1776))</f>
        <v/>
      </c>
    </row>
    <row r="1778">
      <c r="A1778" s="14">
        <f>IF(OR(NOT(ISNUMBER(Ввод!$B$5)),NOT(ISNUMBER(Ввод!$B$6))),"",IF(Ввод!$B$5+1776&gt;Ввод!$B$6,"",Ввод!$B$5+1776))</f>
        <v/>
      </c>
      <c r="B1778">
        <f>IF(A1778="","",IFERROR(INDEX(Ввод!$B$12:$B$71,MATCH(A1778,Ввод!$D$12:$D$71,1)),""))</f>
        <v/>
      </c>
      <c r="C1778">
        <f>IF(A1778="","",DATE(YEAR(A1778),12,31)-DATE(YEAR(A1778),1,1)+1)</f>
        <v/>
      </c>
      <c r="D1778">
        <f>IF(A1778="","",Ввод!$B$4-SUMIF(Оплаты!$A$6:$A$505,"&lt;"&amp;A1778,Оплаты!$B$6:$B$505))</f>
        <v/>
      </c>
      <c r="E1778">
        <f>IF(A1778="","",IF(SUMPRODUCT((Ввод!$F$12:$F$31&lt;&gt;"")*(Ввод!$F$12:$F$31&lt;=A1778)*(Ввод!$G$12:$G$31&gt;=A1778))&gt;0,1,0))</f>
        <v/>
      </c>
      <c r="F1778">
        <f>IF(OR(A1778="",B1778=""),"",IF(E1778=1,0,D1778*B1778/100/C1778))</f>
        <v/>
      </c>
      <c r="G1778">
        <f>IF(A1778="","",IF(OR(B1778&lt;&gt;B1777,C1778&lt;&gt;C1777,D1778&lt;&gt;D1777,E1778&lt;&gt;E1777),G1777+1,G1777))</f>
        <v/>
      </c>
    </row>
    <row r="1779">
      <c r="A1779" s="14">
        <f>IF(OR(NOT(ISNUMBER(Ввод!$B$5)),NOT(ISNUMBER(Ввод!$B$6))),"",IF(Ввод!$B$5+1777&gt;Ввод!$B$6,"",Ввод!$B$5+1777))</f>
        <v/>
      </c>
      <c r="B1779">
        <f>IF(A1779="","",IFERROR(INDEX(Ввод!$B$12:$B$71,MATCH(A1779,Ввод!$D$12:$D$71,1)),""))</f>
        <v/>
      </c>
      <c r="C1779">
        <f>IF(A1779="","",DATE(YEAR(A1779),12,31)-DATE(YEAR(A1779),1,1)+1)</f>
        <v/>
      </c>
      <c r="D1779">
        <f>IF(A1779="","",Ввод!$B$4-SUMIF(Оплаты!$A$6:$A$505,"&lt;"&amp;A1779,Оплаты!$B$6:$B$505))</f>
        <v/>
      </c>
      <c r="E1779">
        <f>IF(A1779="","",IF(SUMPRODUCT((Ввод!$F$12:$F$31&lt;&gt;"")*(Ввод!$F$12:$F$31&lt;=A1779)*(Ввод!$G$12:$G$31&gt;=A1779))&gt;0,1,0))</f>
        <v/>
      </c>
      <c r="F1779">
        <f>IF(OR(A1779="",B1779=""),"",IF(E1779=1,0,D1779*B1779/100/C1779))</f>
        <v/>
      </c>
      <c r="G1779">
        <f>IF(A1779="","",IF(OR(B1779&lt;&gt;B1778,C1779&lt;&gt;C1778,D1779&lt;&gt;D1778,E1779&lt;&gt;E1778),G1778+1,G1778))</f>
        <v/>
      </c>
    </row>
    <row r="1780">
      <c r="A1780" s="14">
        <f>IF(OR(NOT(ISNUMBER(Ввод!$B$5)),NOT(ISNUMBER(Ввод!$B$6))),"",IF(Ввод!$B$5+1778&gt;Ввод!$B$6,"",Ввод!$B$5+1778))</f>
        <v/>
      </c>
      <c r="B1780">
        <f>IF(A1780="","",IFERROR(INDEX(Ввод!$B$12:$B$71,MATCH(A1780,Ввод!$D$12:$D$71,1)),""))</f>
        <v/>
      </c>
      <c r="C1780">
        <f>IF(A1780="","",DATE(YEAR(A1780),12,31)-DATE(YEAR(A1780),1,1)+1)</f>
        <v/>
      </c>
      <c r="D1780">
        <f>IF(A1780="","",Ввод!$B$4-SUMIF(Оплаты!$A$6:$A$505,"&lt;"&amp;A1780,Оплаты!$B$6:$B$505))</f>
        <v/>
      </c>
      <c r="E1780">
        <f>IF(A1780="","",IF(SUMPRODUCT((Ввод!$F$12:$F$31&lt;&gt;"")*(Ввод!$F$12:$F$31&lt;=A1780)*(Ввод!$G$12:$G$31&gt;=A1780))&gt;0,1,0))</f>
        <v/>
      </c>
      <c r="F1780">
        <f>IF(OR(A1780="",B1780=""),"",IF(E1780=1,0,D1780*B1780/100/C1780))</f>
        <v/>
      </c>
      <c r="G1780">
        <f>IF(A1780="","",IF(OR(B1780&lt;&gt;B1779,C1780&lt;&gt;C1779,D1780&lt;&gt;D1779,E1780&lt;&gt;E1779),G1779+1,G1779))</f>
        <v/>
      </c>
    </row>
    <row r="1781">
      <c r="A1781" s="14">
        <f>IF(OR(NOT(ISNUMBER(Ввод!$B$5)),NOT(ISNUMBER(Ввод!$B$6))),"",IF(Ввод!$B$5+1779&gt;Ввод!$B$6,"",Ввод!$B$5+1779))</f>
        <v/>
      </c>
      <c r="B1781">
        <f>IF(A1781="","",IFERROR(INDEX(Ввод!$B$12:$B$71,MATCH(A1781,Ввод!$D$12:$D$71,1)),""))</f>
        <v/>
      </c>
      <c r="C1781">
        <f>IF(A1781="","",DATE(YEAR(A1781),12,31)-DATE(YEAR(A1781),1,1)+1)</f>
        <v/>
      </c>
      <c r="D1781">
        <f>IF(A1781="","",Ввод!$B$4-SUMIF(Оплаты!$A$6:$A$505,"&lt;"&amp;A1781,Оплаты!$B$6:$B$505))</f>
        <v/>
      </c>
      <c r="E1781">
        <f>IF(A1781="","",IF(SUMPRODUCT((Ввод!$F$12:$F$31&lt;&gt;"")*(Ввод!$F$12:$F$31&lt;=A1781)*(Ввод!$G$12:$G$31&gt;=A1781))&gt;0,1,0))</f>
        <v/>
      </c>
      <c r="F1781">
        <f>IF(OR(A1781="",B1781=""),"",IF(E1781=1,0,D1781*B1781/100/C1781))</f>
        <v/>
      </c>
      <c r="G1781">
        <f>IF(A1781="","",IF(OR(B1781&lt;&gt;B1780,C1781&lt;&gt;C1780,D1781&lt;&gt;D1780,E1781&lt;&gt;E1780),G1780+1,G1780))</f>
        <v/>
      </c>
    </row>
    <row r="1782">
      <c r="A1782" s="14">
        <f>IF(OR(NOT(ISNUMBER(Ввод!$B$5)),NOT(ISNUMBER(Ввод!$B$6))),"",IF(Ввод!$B$5+1780&gt;Ввод!$B$6,"",Ввод!$B$5+1780))</f>
        <v/>
      </c>
      <c r="B1782">
        <f>IF(A1782="","",IFERROR(INDEX(Ввод!$B$12:$B$71,MATCH(A1782,Ввод!$D$12:$D$71,1)),""))</f>
        <v/>
      </c>
      <c r="C1782">
        <f>IF(A1782="","",DATE(YEAR(A1782),12,31)-DATE(YEAR(A1782),1,1)+1)</f>
        <v/>
      </c>
      <c r="D1782">
        <f>IF(A1782="","",Ввод!$B$4-SUMIF(Оплаты!$A$6:$A$505,"&lt;"&amp;A1782,Оплаты!$B$6:$B$505))</f>
        <v/>
      </c>
      <c r="E1782">
        <f>IF(A1782="","",IF(SUMPRODUCT((Ввод!$F$12:$F$31&lt;&gt;"")*(Ввод!$F$12:$F$31&lt;=A1782)*(Ввод!$G$12:$G$31&gt;=A1782))&gt;0,1,0))</f>
        <v/>
      </c>
      <c r="F1782">
        <f>IF(OR(A1782="",B1782=""),"",IF(E1782=1,0,D1782*B1782/100/C1782))</f>
        <v/>
      </c>
      <c r="G1782">
        <f>IF(A1782="","",IF(OR(B1782&lt;&gt;B1781,C1782&lt;&gt;C1781,D1782&lt;&gt;D1781,E1782&lt;&gt;E1781),G1781+1,G1781))</f>
        <v/>
      </c>
    </row>
    <row r="1783">
      <c r="A1783" s="14">
        <f>IF(OR(NOT(ISNUMBER(Ввод!$B$5)),NOT(ISNUMBER(Ввод!$B$6))),"",IF(Ввод!$B$5+1781&gt;Ввод!$B$6,"",Ввод!$B$5+1781))</f>
        <v/>
      </c>
      <c r="B1783">
        <f>IF(A1783="","",IFERROR(INDEX(Ввод!$B$12:$B$71,MATCH(A1783,Ввод!$D$12:$D$71,1)),""))</f>
        <v/>
      </c>
      <c r="C1783">
        <f>IF(A1783="","",DATE(YEAR(A1783),12,31)-DATE(YEAR(A1783),1,1)+1)</f>
        <v/>
      </c>
      <c r="D1783">
        <f>IF(A1783="","",Ввод!$B$4-SUMIF(Оплаты!$A$6:$A$505,"&lt;"&amp;A1783,Оплаты!$B$6:$B$505))</f>
        <v/>
      </c>
      <c r="E1783">
        <f>IF(A1783="","",IF(SUMPRODUCT((Ввод!$F$12:$F$31&lt;&gt;"")*(Ввод!$F$12:$F$31&lt;=A1783)*(Ввод!$G$12:$G$31&gt;=A1783))&gt;0,1,0))</f>
        <v/>
      </c>
      <c r="F1783">
        <f>IF(OR(A1783="",B1783=""),"",IF(E1783=1,0,D1783*B1783/100/C1783))</f>
        <v/>
      </c>
      <c r="G1783">
        <f>IF(A1783="","",IF(OR(B1783&lt;&gt;B1782,C1783&lt;&gt;C1782,D1783&lt;&gt;D1782,E1783&lt;&gt;E1782),G1782+1,G1782))</f>
        <v/>
      </c>
    </row>
    <row r="1784">
      <c r="A1784" s="14">
        <f>IF(OR(NOT(ISNUMBER(Ввод!$B$5)),NOT(ISNUMBER(Ввод!$B$6))),"",IF(Ввод!$B$5+1782&gt;Ввод!$B$6,"",Ввод!$B$5+1782))</f>
        <v/>
      </c>
      <c r="B1784">
        <f>IF(A1784="","",IFERROR(INDEX(Ввод!$B$12:$B$71,MATCH(A1784,Ввод!$D$12:$D$71,1)),""))</f>
        <v/>
      </c>
      <c r="C1784">
        <f>IF(A1784="","",DATE(YEAR(A1784),12,31)-DATE(YEAR(A1784),1,1)+1)</f>
        <v/>
      </c>
      <c r="D1784">
        <f>IF(A1784="","",Ввод!$B$4-SUMIF(Оплаты!$A$6:$A$505,"&lt;"&amp;A1784,Оплаты!$B$6:$B$505))</f>
        <v/>
      </c>
      <c r="E1784">
        <f>IF(A1784="","",IF(SUMPRODUCT((Ввод!$F$12:$F$31&lt;&gt;"")*(Ввод!$F$12:$F$31&lt;=A1784)*(Ввод!$G$12:$G$31&gt;=A1784))&gt;0,1,0))</f>
        <v/>
      </c>
      <c r="F1784">
        <f>IF(OR(A1784="",B1784=""),"",IF(E1784=1,0,D1784*B1784/100/C1784))</f>
        <v/>
      </c>
      <c r="G1784">
        <f>IF(A1784="","",IF(OR(B1784&lt;&gt;B1783,C1784&lt;&gt;C1783,D1784&lt;&gt;D1783,E1784&lt;&gt;E1783),G1783+1,G1783))</f>
        <v/>
      </c>
    </row>
    <row r="1785">
      <c r="A1785" s="14">
        <f>IF(OR(NOT(ISNUMBER(Ввод!$B$5)),NOT(ISNUMBER(Ввод!$B$6))),"",IF(Ввод!$B$5+1783&gt;Ввод!$B$6,"",Ввод!$B$5+1783))</f>
        <v/>
      </c>
      <c r="B1785">
        <f>IF(A1785="","",IFERROR(INDEX(Ввод!$B$12:$B$71,MATCH(A1785,Ввод!$D$12:$D$71,1)),""))</f>
        <v/>
      </c>
      <c r="C1785">
        <f>IF(A1785="","",DATE(YEAR(A1785),12,31)-DATE(YEAR(A1785),1,1)+1)</f>
        <v/>
      </c>
      <c r="D1785">
        <f>IF(A1785="","",Ввод!$B$4-SUMIF(Оплаты!$A$6:$A$505,"&lt;"&amp;A1785,Оплаты!$B$6:$B$505))</f>
        <v/>
      </c>
      <c r="E1785">
        <f>IF(A1785="","",IF(SUMPRODUCT((Ввод!$F$12:$F$31&lt;&gt;"")*(Ввод!$F$12:$F$31&lt;=A1785)*(Ввод!$G$12:$G$31&gt;=A1785))&gt;0,1,0))</f>
        <v/>
      </c>
      <c r="F1785">
        <f>IF(OR(A1785="",B1785=""),"",IF(E1785=1,0,D1785*B1785/100/C1785))</f>
        <v/>
      </c>
      <c r="G1785">
        <f>IF(A1785="","",IF(OR(B1785&lt;&gt;B1784,C1785&lt;&gt;C1784,D1785&lt;&gt;D1784,E1785&lt;&gt;E1784),G1784+1,G1784))</f>
        <v/>
      </c>
    </row>
    <row r="1786">
      <c r="A1786" s="14">
        <f>IF(OR(NOT(ISNUMBER(Ввод!$B$5)),NOT(ISNUMBER(Ввод!$B$6))),"",IF(Ввод!$B$5+1784&gt;Ввод!$B$6,"",Ввод!$B$5+1784))</f>
        <v/>
      </c>
      <c r="B1786">
        <f>IF(A1786="","",IFERROR(INDEX(Ввод!$B$12:$B$71,MATCH(A1786,Ввод!$D$12:$D$71,1)),""))</f>
        <v/>
      </c>
      <c r="C1786">
        <f>IF(A1786="","",DATE(YEAR(A1786),12,31)-DATE(YEAR(A1786),1,1)+1)</f>
        <v/>
      </c>
      <c r="D1786">
        <f>IF(A1786="","",Ввод!$B$4-SUMIF(Оплаты!$A$6:$A$505,"&lt;"&amp;A1786,Оплаты!$B$6:$B$505))</f>
        <v/>
      </c>
      <c r="E1786">
        <f>IF(A1786="","",IF(SUMPRODUCT((Ввод!$F$12:$F$31&lt;&gt;"")*(Ввод!$F$12:$F$31&lt;=A1786)*(Ввод!$G$12:$G$31&gt;=A1786))&gt;0,1,0))</f>
        <v/>
      </c>
      <c r="F1786">
        <f>IF(OR(A1786="",B1786=""),"",IF(E1786=1,0,D1786*B1786/100/C1786))</f>
        <v/>
      </c>
      <c r="G1786">
        <f>IF(A1786="","",IF(OR(B1786&lt;&gt;B1785,C1786&lt;&gt;C1785,D1786&lt;&gt;D1785,E1786&lt;&gt;E1785),G1785+1,G1785))</f>
        <v/>
      </c>
    </row>
    <row r="1787">
      <c r="A1787" s="14">
        <f>IF(OR(NOT(ISNUMBER(Ввод!$B$5)),NOT(ISNUMBER(Ввод!$B$6))),"",IF(Ввод!$B$5+1785&gt;Ввод!$B$6,"",Ввод!$B$5+1785))</f>
        <v/>
      </c>
      <c r="B1787">
        <f>IF(A1787="","",IFERROR(INDEX(Ввод!$B$12:$B$71,MATCH(A1787,Ввод!$D$12:$D$71,1)),""))</f>
        <v/>
      </c>
      <c r="C1787">
        <f>IF(A1787="","",DATE(YEAR(A1787),12,31)-DATE(YEAR(A1787),1,1)+1)</f>
        <v/>
      </c>
      <c r="D1787">
        <f>IF(A1787="","",Ввод!$B$4-SUMIF(Оплаты!$A$6:$A$505,"&lt;"&amp;A1787,Оплаты!$B$6:$B$505))</f>
        <v/>
      </c>
      <c r="E1787">
        <f>IF(A1787="","",IF(SUMPRODUCT((Ввод!$F$12:$F$31&lt;&gt;"")*(Ввод!$F$12:$F$31&lt;=A1787)*(Ввод!$G$12:$G$31&gt;=A1787))&gt;0,1,0))</f>
        <v/>
      </c>
      <c r="F1787">
        <f>IF(OR(A1787="",B1787=""),"",IF(E1787=1,0,D1787*B1787/100/C1787))</f>
        <v/>
      </c>
      <c r="G1787">
        <f>IF(A1787="","",IF(OR(B1787&lt;&gt;B1786,C1787&lt;&gt;C1786,D1787&lt;&gt;D1786,E1787&lt;&gt;E1786),G1786+1,G1786))</f>
        <v/>
      </c>
    </row>
    <row r="1788">
      <c r="A1788" s="14">
        <f>IF(OR(NOT(ISNUMBER(Ввод!$B$5)),NOT(ISNUMBER(Ввод!$B$6))),"",IF(Ввод!$B$5+1786&gt;Ввод!$B$6,"",Ввод!$B$5+1786))</f>
        <v/>
      </c>
      <c r="B1788">
        <f>IF(A1788="","",IFERROR(INDEX(Ввод!$B$12:$B$71,MATCH(A1788,Ввод!$D$12:$D$71,1)),""))</f>
        <v/>
      </c>
      <c r="C1788">
        <f>IF(A1788="","",DATE(YEAR(A1788),12,31)-DATE(YEAR(A1788),1,1)+1)</f>
        <v/>
      </c>
      <c r="D1788">
        <f>IF(A1788="","",Ввод!$B$4-SUMIF(Оплаты!$A$6:$A$505,"&lt;"&amp;A1788,Оплаты!$B$6:$B$505))</f>
        <v/>
      </c>
      <c r="E1788">
        <f>IF(A1788="","",IF(SUMPRODUCT((Ввод!$F$12:$F$31&lt;&gt;"")*(Ввод!$F$12:$F$31&lt;=A1788)*(Ввод!$G$12:$G$31&gt;=A1788))&gt;0,1,0))</f>
        <v/>
      </c>
      <c r="F1788">
        <f>IF(OR(A1788="",B1788=""),"",IF(E1788=1,0,D1788*B1788/100/C1788))</f>
        <v/>
      </c>
      <c r="G1788">
        <f>IF(A1788="","",IF(OR(B1788&lt;&gt;B1787,C1788&lt;&gt;C1787,D1788&lt;&gt;D1787,E1788&lt;&gt;E1787),G1787+1,G1787))</f>
        <v/>
      </c>
    </row>
    <row r="1789">
      <c r="A1789" s="14">
        <f>IF(OR(NOT(ISNUMBER(Ввод!$B$5)),NOT(ISNUMBER(Ввод!$B$6))),"",IF(Ввод!$B$5+1787&gt;Ввод!$B$6,"",Ввод!$B$5+1787))</f>
        <v/>
      </c>
      <c r="B1789">
        <f>IF(A1789="","",IFERROR(INDEX(Ввод!$B$12:$B$71,MATCH(A1789,Ввод!$D$12:$D$71,1)),""))</f>
        <v/>
      </c>
      <c r="C1789">
        <f>IF(A1789="","",DATE(YEAR(A1789),12,31)-DATE(YEAR(A1789),1,1)+1)</f>
        <v/>
      </c>
      <c r="D1789">
        <f>IF(A1789="","",Ввод!$B$4-SUMIF(Оплаты!$A$6:$A$505,"&lt;"&amp;A1789,Оплаты!$B$6:$B$505))</f>
        <v/>
      </c>
      <c r="E1789">
        <f>IF(A1789="","",IF(SUMPRODUCT((Ввод!$F$12:$F$31&lt;&gt;"")*(Ввод!$F$12:$F$31&lt;=A1789)*(Ввод!$G$12:$G$31&gt;=A1789))&gt;0,1,0))</f>
        <v/>
      </c>
      <c r="F1789">
        <f>IF(OR(A1789="",B1789=""),"",IF(E1789=1,0,D1789*B1789/100/C1789))</f>
        <v/>
      </c>
      <c r="G1789">
        <f>IF(A1789="","",IF(OR(B1789&lt;&gt;B1788,C1789&lt;&gt;C1788,D1789&lt;&gt;D1788,E1789&lt;&gt;E1788),G1788+1,G1788))</f>
        <v/>
      </c>
    </row>
    <row r="1790">
      <c r="A1790" s="14">
        <f>IF(OR(NOT(ISNUMBER(Ввод!$B$5)),NOT(ISNUMBER(Ввод!$B$6))),"",IF(Ввод!$B$5+1788&gt;Ввод!$B$6,"",Ввод!$B$5+1788))</f>
        <v/>
      </c>
      <c r="B1790">
        <f>IF(A1790="","",IFERROR(INDEX(Ввод!$B$12:$B$71,MATCH(A1790,Ввод!$D$12:$D$71,1)),""))</f>
        <v/>
      </c>
      <c r="C1790">
        <f>IF(A1790="","",DATE(YEAR(A1790),12,31)-DATE(YEAR(A1790),1,1)+1)</f>
        <v/>
      </c>
      <c r="D1790">
        <f>IF(A1790="","",Ввод!$B$4-SUMIF(Оплаты!$A$6:$A$505,"&lt;"&amp;A1790,Оплаты!$B$6:$B$505))</f>
        <v/>
      </c>
      <c r="E1790">
        <f>IF(A1790="","",IF(SUMPRODUCT((Ввод!$F$12:$F$31&lt;&gt;"")*(Ввод!$F$12:$F$31&lt;=A1790)*(Ввод!$G$12:$G$31&gt;=A1790))&gt;0,1,0))</f>
        <v/>
      </c>
      <c r="F1790">
        <f>IF(OR(A1790="",B1790=""),"",IF(E1790=1,0,D1790*B1790/100/C1790))</f>
        <v/>
      </c>
      <c r="G1790">
        <f>IF(A1790="","",IF(OR(B1790&lt;&gt;B1789,C1790&lt;&gt;C1789,D1790&lt;&gt;D1789,E1790&lt;&gt;E1789),G1789+1,G1789))</f>
        <v/>
      </c>
    </row>
    <row r="1791">
      <c r="A1791" s="14">
        <f>IF(OR(NOT(ISNUMBER(Ввод!$B$5)),NOT(ISNUMBER(Ввод!$B$6))),"",IF(Ввод!$B$5+1789&gt;Ввод!$B$6,"",Ввод!$B$5+1789))</f>
        <v/>
      </c>
      <c r="B1791">
        <f>IF(A1791="","",IFERROR(INDEX(Ввод!$B$12:$B$71,MATCH(A1791,Ввод!$D$12:$D$71,1)),""))</f>
        <v/>
      </c>
      <c r="C1791">
        <f>IF(A1791="","",DATE(YEAR(A1791),12,31)-DATE(YEAR(A1791),1,1)+1)</f>
        <v/>
      </c>
      <c r="D1791">
        <f>IF(A1791="","",Ввод!$B$4-SUMIF(Оплаты!$A$6:$A$505,"&lt;"&amp;A1791,Оплаты!$B$6:$B$505))</f>
        <v/>
      </c>
      <c r="E1791">
        <f>IF(A1791="","",IF(SUMPRODUCT((Ввод!$F$12:$F$31&lt;&gt;"")*(Ввод!$F$12:$F$31&lt;=A1791)*(Ввод!$G$12:$G$31&gt;=A1791))&gt;0,1,0))</f>
        <v/>
      </c>
      <c r="F1791">
        <f>IF(OR(A1791="",B1791=""),"",IF(E1791=1,0,D1791*B1791/100/C1791))</f>
        <v/>
      </c>
      <c r="G1791">
        <f>IF(A1791="","",IF(OR(B1791&lt;&gt;B1790,C1791&lt;&gt;C1790,D1791&lt;&gt;D1790,E1791&lt;&gt;E1790),G1790+1,G1790))</f>
        <v/>
      </c>
    </row>
    <row r="1792">
      <c r="A1792" s="14">
        <f>IF(OR(NOT(ISNUMBER(Ввод!$B$5)),NOT(ISNUMBER(Ввод!$B$6))),"",IF(Ввод!$B$5+1790&gt;Ввод!$B$6,"",Ввод!$B$5+1790))</f>
        <v/>
      </c>
      <c r="B1792">
        <f>IF(A1792="","",IFERROR(INDEX(Ввод!$B$12:$B$71,MATCH(A1792,Ввод!$D$12:$D$71,1)),""))</f>
        <v/>
      </c>
      <c r="C1792">
        <f>IF(A1792="","",DATE(YEAR(A1792),12,31)-DATE(YEAR(A1792),1,1)+1)</f>
        <v/>
      </c>
      <c r="D1792">
        <f>IF(A1792="","",Ввод!$B$4-SUMIF(Оплаты!$A$6:$A$505,"&lt;"&amp;A1792,Оплаты!$B$6:$B$505))</f>
        <v/>
      </c>
      <c r="E1792">
        <f>IF(A1792="","",IF(SUMPRODUCT((Ввод!$F$12:$F$31&lt;&gt;"")*(Ввод!$F$12:$F$31&lt;=A1792)*(Ввод!$G$12:$G$31&gt;=A1792))&gt;0,1,0))</f>
        <v/>
      </c>
      <c r="F1792">
        <f>IF(OR(A1792="",B1792=""),"",IF(E1792=1,0,D1792*B1792/100/C1792))</f>
        <v/>
      </c>
      <c r="G1792">
        <f>IF(A1792="","",IF(OR(B1792&lt;&gt;B1791,C1792&lt;&gt;C1791,D1792&lt;&gt;D1791,E1792&lt;&gt;E1791),G1791+1,G1791))</f>
        <v/>
      </c>
    </row>
    <row r="1793">
      <c r="A1793" s="14">
        <f>IF(OR(NOT(ISNUMBER(Ввод!$B$5)),NOT(ISNUMBER(Ввод!$B$6))),"",IF(Ввод!$B$5+1791&gt;Ввод!$B$6,"",Ввод!$B$5+1791))</f>
        <v/>
      </c>
      <c r="B1793">
        <f>IF(A1793="","",IFERROR(INDEX(Ввод!$B$12:$B$71,MATCH(A1793,Ввод!$D$12:$D$71,1)),""))</f>
        <v/>
      </c>
      <c r="C1793">
        <f>IF(A1793="","",DATE(YEAR(A1793),12,31)-DATE(YEAR(A1793),1,1)+1)</f>
        <v/>
      </c>
      <c r="D1793">
        <f>IF(A1793="","",Ввод!$B$4-SUMIF(Оплаты!$A$6:$A$505,"&lt;"&amp;A1793,Оплаты!$B$6:$B$505))</f>
        <v/>
      </c>
      <c r="E1793">
        <f>IF(A1793="","",IF(SUMPRODUCT((Ввод!$F$12:$F$31&lt;&gt;"")*(Ввод!$F$12:$F$31&lt;=A1793)*(Ввод!$G$12:$G$31&gt;=A1793))&gt;0,1,0))</f>
        <v/>
      </c>
      <c r="F1793">
        <f>IF(OR(A1793="",B1793=""),"",IF(E1793=1,0,D1793*B1793/100/C1793))</f>
        <v/>
      </c>
      <c r="G1793">
        <f>IF(A1793="","",IF(OR(B1793&lt;&gt;B1792,C1793&lt;&gt;C1792,D1793&lt;&gt;D1792,E1793&lt;&gt;E1792),G1792+1,G1792))</f>
        <v/>
      </c>
    </row>
    <row r="1794">
      <c r="A1794" s="14">
        <f>IF(OR(NOT(ISNUMBER(Ввод!$B$5)),NOT(ISNUMBER(Ввод!$B$6))),"",IF(Ввод!$B$5+1792&gt;Ввод!$B$6,"",Ввод!$B$5+1792))</f>
        <v/>
      </c>
      <c r="B1794">
        <f>IF(A1794="","",IFERROR(INDEX(Ввод!$B$12:$B$71,MATCH(A1794,Ввод!$D$12:$D$71,1)),""))</f>
        <v/>
      </c>
      <c r="C1794">
        <f>IF(A1794="","",DATE(YEAR(A1794),12,31)-DATE(YEAR(A1794),1,1)+1)</f>
        <v/>
      </c>
      <c r="D1794">
        <f>IF(A1794="","",Ввод!$B$4-SUMIF(Оплаты!$A$6:$A$505,"&lt;"&amp;A1794,Оплаты!$B$6:$B$505))</f>
        <v/>
      </c>
      <c r="E1794">
        <f>IF(A1794="","",IF(SUMPRODUCT((Ввод!$F$12:$F$31&lt;&gt;"")*(Ввод!$F$12:$F$31&lt;=A1794)*(Ввод!$G$12:$G$31&gt;=A1794))&gt;0,1,0))</f>
        <v/>
      </c>
      <c r="F1794">
        <f>IF(OR(A1794="",B1794=""),"",IF(E1794=1,0,D1794*B1794/100/C1794))</f>
        <v/>
      </c>
      <c r="G1794">
        <f>IF(A1794="","",IF(OR(B1794&lt;&gt;B1793,C1794&lt;&gt;C1793,D1794&lt;&gt;D1793,E1794&lt;&gt;E1793),G1793+1,G1793))</f>
        <v/>
      </c>
    </row>
    <row r="1795">
      <c r="A1795" s="14">
        <f>IF(OR(NOT(ISNUMBER(Ввод!$B$5)),NOT(ISNUMBER(Ввод!$B$6))),"",IF(Ввод!$B$5+1793&gt;Ввод!$B$6,"",Ввод!$B$5+1793))</f>
        <v/>
      </c>
      <c r="B1795">
        <f>IF(A1795="","",IFERROR(INDEX(Ввод!$B$12:$B$71,MATCH(A1795,Ввод!$D$12:$D$71,1)),""))</f>
        <v/>
      </c>
      <c r="C1795">
        <f>IF(A1795="","",DATE(YEAR(A1795),12,31)-DATE(YEAR(A1795),1,1)+1)</f>
        <v/>
      </c>
      <c r="D1795">
        <f>IF(A1795="","",Ввод!$B$4-SUMIF(Оплаты!$A$6:$A$505,"&lt;"&amp;A1795,Оплаты!$B$6:$B$505))</f>
        <v/>
      </c>
      <c r="E1795">
        <f>IF(A1795="","",IF(SUMPRODUCT((Ввод!$F$12:$F$31&lt;&gt;"")*(Ввод!$F$12:$F$31&lt;=A1795)*(Ввод!$G$12:$G$31&gt;=A1795))&gt;0,1,0))</f>
        <v/>
      </c>
      <c r="F1795">
        <f>IF(OR(A1795="",B1795=""),"",IF(E1795=1,0,D1795*B1795/100/C1795))</f>
        <v/>
      </c>
      <c r="G1795">
        <f>IF(A1795="","",IF(OR(B1795&lt;&gt;B1794,C1795&lt;&gt;C1794,D1795&lt;&gt;D1794,E1795&lt;&gt;E1794),G1794+1,G1794))</f>
        <v/>
      </c>
    </row>
    <row r="1796">
      <c r="A1796" s="14">
        <f>IF(OR(NOT(ISNUMBER(Ввод!$B$5)),NOT(ISNUMBER(Ввод!$B$6))),"",IF(Ввод!$B$5+1794&gt;Ввод!$B$6,"",Ввод!$B$5+1794))</f>
        <v/>
      </c>
      <c r="B1796">
        <f>IF(A1796="","",IFERROR(INDEX(Ввод!$B$12:$B$71,MATCH(A1796,Ввод!$D$12:$D$71,1)),""))</f>
        <v/>
      </c>
      <c r="C1796">
        <f>IF(A1796="","",DATE(YEAR(A1796),12,31)-DATE(YEAR(A1796),1,1)+1)</f>
        <v/>
      </c>
      <c r="D1796">
        <f>IF(A1796="","",Ввод!$B$4-SUMIF(Оплаты!$A$6:$A$505,"&lt;"&amp;A1796,Оплаты!$B$6:$B$505))</f>
        <v/>
      </c>
      <c r="E1796">
        <f>IF(A1796="","",IF(SUMPRODUCT((Ввод!$F$12:$F$31&lt;&gt;"")*(Ввод!$F$12:$F$31&lt;=A1796)*(Ввод!$G$12:$G$31&gt;=A1796))&gt;0,1,0))</f>
        <v/>
      </c>
      <c r="F1796">
        <f>IF(OR(A1796="",B1796=""),"",IF(E1796=1,0,D1796*B1796/100/C1796))</f>
        <v/>
      </c>
      <c r="G1796">
        <f>IF(A1796="","",IF(OR(B1796&lt;&gt;B1795,C1796&lt;&gt;C1795,D1796&lt;&gt;D1795,E1796&lt;&gt;E1795),G1795+1,G1795))</f>
        <v/>
      </c>
    </row>
    <row r="1797">
      <c r="A1797" s="14">
        <f>IF(OR(NOT(ISNUMBER(Ввод!$B$5)),NOT(ISNUMBER(Ввод!$B$6))),"",IF(Ввод!$B$5+1795&gt;Ввод!$B$6,"",Ввод!$B$5+1795))</f>
        <v/>
      </c>
      <c r="B1797">
        <f>IF(A1797="","",IFERROR(INDEX(Ввод!$B$12:$B$71,MATCH(A1797,Ввод!$D$12:$D$71,1)),""))</f>
        <v/>
      </c>
      <c r="C1797">
        <f>IF(A1797="","",DATE(YEAR(A1797),12,31)-DATE(YEAR(A1797),1,1)+1)</f>
        <v/>
      </c>
      <c r="D1797">
        <f>IF(A1797="","",Ввод!$B$4-SUMIF(Оплаты!$A$6:$A$505,"&lt;"&amp;A1797,Оплаты!$B$6:$B$505))</f>
        <v/>
      </c>
      <c r="E1797">
        <f>IF(A1797="","",IF(SUMPRODUCT((Ввод!$F$12:$F$31&lt;&gt;"")*(Ввод!$F$12:$F$31&lt;=A1797)*(Ввод!$G$12:$G$31&gt;=A1797))&gt;0,1,0))</f>
        <v/>
      </c>
      <c r="F1797">
        <f>IF(OR(A1797="",B1797=""),"",IF(E1797=1,0,D1797*B1797/100/C1797))</f>
        <v/>
      </c>
      <c r="G1797">
        <f>IF(A1797="","",IF(OR(B1797&lt;&gt;B1796,C1797&lt;&gt;C1796,D1797&lt;&gt;D1796,E1797&lt;&gt;E1796),G1796+1,G1796))</f>
        <v/>
      </c>
    </row>
    <row r="1798">
      <c r="A1798" s="14">
        <f>IF(OR(NOT(ISNUMBER(Ввод!$B$5)),NOT(ISNUMBER(Ввод!$B$6))),"",IF(Ввод!$B$5+1796&gt;Ввод!$B$6,"",Ввод!$B$5+1796))</f>
        <v/>
      </c>
      <c r="B1798">
        <f>IF(A1798="","",IFERROR(INDEX(Ввод!$B$12:$B$71,MATCH(A1798,Ввод!$D$12:$D$71,1)),""))</f>
        <v/>
      </c>
      <c r="C1798">
        <f>IF(A1798="","",DATE(YEAR(A1798),12,31)-DATE(YEAR(A1798),1,1)+1)</f>
        <v/>
      </c>
      <c r="D1798">
        <f>IF(A1798="","",Ввод!$B$4-SUMIF(Оплаты!$A$6:$A$505,"&lt;"&amp;A1798,Оплаты!$B$6:$B$505))</f>
        <v/>
      </c>
      <c r="E1798">
        <f>IF(A1798="","",IF(SUMPRODUCT((Ввод!$F$12:$F$31&lt;&gt;"")*(Ввод!$F$12:$F$31&lt;=A1798)*(Ввод!$G$12:$G$31&gt;=A1798))&gt;0,1,0))</f>
        <v/>
      </c>
      <c r="F1798">
        <f>IF(OR(A1798="",B1798=""),"",IF(E1798=1,0,D1798*B1798/100/C1798))</f>
        <v/>
      </c>
      <c r="G1798">
        <f>IF(A1798="","",IF(OR(B1798&lt;&gt;B1797,C1798&lt;&gt;C1797,D1798&lt;&gt;D1797,E1798&lt;&gt;E1797),G1797+1,G1797))</f>
        <v/>
      </c>
    </row>
    <row r="1799">
      <c r="A1799" s="14">
        <f>IF(OR(NOT(ISNUMBER(Ввод!$B$5)),NOT(ISNUMBER(Ввод!$B$6))),"",IF(Ввод!$B$5+1797&gt;Ввод!$B$6,"",Ввод!$B$5+1797))</f>
        <v/>
      </c>
      <c r="B1799">
        <f>IF(A1799="","",IFERROR(INDEX(Ввод!$B$12:$B$71,MATCH(A1799,Ввод!$D$12:$D$71,1)),""))</f>
        <v/>
      </c>
      <c r="C1799">
        <f>IF(A1799="","",DATE(YEAR(A1799),12,31)-DATE(YEAR(A1799),1,1)+1)</f>
        <v/>
      </c>
      <c r="D1799">
        <f>IF(A1799="","",Ввод!$B$4-SUMIF(Оплаты!$A$6:$A$505,"&lt;"&amp;A1799,Оплаты!$B$6:$B$505))</f>
        <v/>
      </c>
      <c r="E1799">
        <f>IF(A1799="","",IF(SUMPRODUCT((Ввод!$F$12:$F$31&lt;&gt;"")*(Ввод!$F$12:$F$31&lt;=A1799)*(Ввод!$G$12:$G$31&gt;=A1799))&gt;0,1,0))</f>
        <v/>
      </c>
      <c r="F1799">
        <f>IF(OR(A1799="",B1799=""),"",IF(E1799=1,0,D1799*B1799/100/C1799))</f>
        <v/>
      </c>
      <c r="G1799">
        <f>IF(A1799="","",IF(OR(B1799&lt;&gt;B1798,C1799&lt;&gt;C1798,D1799&lt;&gt;D1798,E1799&lt;&gt;E1798),G1798+1,G1798))</f>
        <v/>
      </c>
    </row>
    <row r="1800">
      <c r="A1800" s="14">
        <f>IF(OR(NOT(ISNUMBER(Ввод!$B$5)),NOT(ISNUMBER(Ввод!$B$6))),"",IF(Ввод!$B$5+1798&gt;Ввод!$B$6,"",Ввод!$B$5+1798))</f>
        <v/>
      </c>
      <c r="B1800">
        <f>IF(A1800="","",IFERROR(INDEX(Ввод!$B$12:$B$71,MATCH(A1800,Ввод!$D$12:$D$71,1)),""))</f>
        <v/>
      </c>
      <c r="C1800">
        <f>IF(A1800="","",DATE(YEAR(A1800),12,31)-DATE(YEAR(A1800),1,1)+1)</f>
        <v/>
      </c>
      <c r="D1800">
        <f>IF(A1800="","",Ввод!$B$4-SUMIF(Оплаты!$A$6:$A$505,"&lt;"&amp;A1800,Оплаты!$B$6:$B$505))</f>
        <v/>
      </c>
      <c r="E1800">
        <f>IF(A1800="","",IF(SUMPRODUCT((Ввод!$F$12:$F$31&lt;&gt;"")*(Ввод!$F$12:$F$31&lt;=A1800)*(Ввод!$G$12:$G$31&gt;=A1800))&gt;0,1,0))</f>
        <v/>
      </c>
      <c r="F1800">
        <f>IF(OR(A1800="",B1800=""),"",IF(E1800=1,0,D1800*B1800/100/C1800))</f>
        <v/>
      </c>
      <c r="G1800">
        <f>IF(A1800="","",IF(OR(B1800&lt;&gt;B1799,C1800&lt;&gt;C1799,D1800&lt;&gt;D1799,E1800&lt;&gt;E1799),G1799+1,G1799))</f>
        <v/>
      </c>
    </row>
    <row r="1801">
      <c r="A1801" s="14">
        <f>IF(OR(NOT(ISNUMBER(Ввод!$B$5)),NOT(ISNUMBER(Ввод!$B$6))),"",IF(Ввод!$B$5+1799&gt;Ввод!$B$6,"",Ввод!$B$5+1799))</f>
        <v/>
      </c>
      <c r="B1801">
        <f>IF(A1801="","",IFERROR(INDEX(Ввод!$B$12:$B$71,MATCH(A1801,Ввод!$D$12:$D$71,1)),""))</f>
        <v/>
      </c>
      <c r="C1801">
        <f>IF(A1801="","",DATE(YEAR(A1801),12,31)-DATE(YEAR(A1801),1,1)+1)</f>
        <v/>
      </c>
      <c r="D1801">
        <f>IF(A1801="","",Ввод!$B$4-SUMIF(Оплаты!$A$6:$A$505,"&lt;"&amp;A1801,Оплаты!$B$6:$B$505))</f>
        <v/>
      </c>
      <c r="E1801">
        <f>IF(A1801="","",IF(SUMPRODUCT((Ввод!$F$12:$F$31&lt;&gt;"")*(Ввод!$F$12:$F$31&lt;=A1801)*(Ввод!$G$12:$G$31&gt;=A1801))&gt;0,1,0))</f>
        <v/>
      </c>
      <c r="F1801">
        <f>IF(OR(A1801="",B1801=""),"",IF(E1801=1,0,D1801*B1801/100/C1801))</f>
        <v/>
      </c>
      <c r="G1801">
        <f>IF(A1801="","",IF(OR(B1801&lt;&gt;B1800,C1801&lt;&gt;C1800,D1801&lt;&gt;D1800,E1801&lt;&gt;E1800),G1800+1,G1800))</f>
        <v/>
      </c>
    </row>
    <row r="1802">
      <c r="A1802" s="14">
        <f>IF(OR(NOT(ISNUMBER(Ввод!$B$5)),NOT(ISNUMBER(Ввод!$B$6))),"",IF(Ввод!$B$5+1800&gt;Ввод!$B$6,"",Ввод!$B$5+1800))</f>
        <v/>
      </c>
      <c r="B1802">
        <f>IF(A1802="","",IFERROR(INDEX(Ввод!$B$12:$B$71,MATCH(A1802,Ввод!$D$12:$D$71,1)),""))</f>
        <v/>
      </c>
      <c r="C1802">
        <f>IF(A1802="","",DATE(YEAR(A1802),12,31)-DATE(YEAR(A1802),1,1)+1)</f>
        <v/>
      </c>
      <c r="D1802">
        <f>IF(A1802="","",Ввод!$B$4-SUMIF(Оплаты!$A$6:$A$505,"&lt;"&amp;A1802,Оплаты!$B$6:$B$505))</f>
        <v/>
      </c>
      <c r="E1802">
        <f>IF(A1802="","",IF(SUMPRODUCT((Ввод!$F$12:$F$31&lt;&gt;"")*(Ввод!$F$12:$F$31&lt;=A1802)*(Ввод!$G$12:$G$31&gt;=A1802))&gt;0,1,0))</f>
        <v/>
      </c>
      <c r="F1802">
        <f>IF(OR(A1802="",B1802=""),"",IF(E1802=1,0,D1802*B1802/100/C1802))</f>
        <v/>
      </c>
      <c r="G1802">
        <f>IF(A1802="","",IF(OR(B1802&lt;&gt;B1801,C1802&lt;&gt;C1801,D1802&lt;&gt;D1801,E1802&lt;&gt;E1801),G1801+1,G1801))</f>
        <v/>
      </c>
    </row>
    <row r="1803">
      <c r="A1803" s="14">
        <f>IF(OR(NOT(ISNUMBER(Ввод!$B$5)),NOT(ISNUMBER(Ввод!$B$6))),"",IF(Ввод!$B$5+1801&gt;Ввод!$B$6,"",Ввод!$B$5+1801))</f>
        <v/>
      </c>
      <c r="B1803">
        <f>IF(A1803="","",IFERROR(INDEX(Ввод!$B$12:$B$71,MATCH(A1803,Ввод!$D$12:$D$71,1)),""))</f>
        <v/>
      </c>
      <c r="C1803">
        <f>IF(A1803="","",DATE(YEAR(A1803),12,31)-DATE(YEAR(A1803),1,1)+1)</f>
        <v/>
      </c>
      <c r="D1803">
        <f>IF(A1803="","",Ввод!$B$4-SUMIF(Оплаты!$A$6:$A$505,"&lt;"&amp;A1803,Оплаты!$B$6:$B$505))</f>
        <v/>
      </c>
      <c r="E1803">
        <f>IF(A1803="","",IF(SUMPRODUCT((Ввод!$F$12:$F$31&lt;&gt;"")*(Ввод!$F$12:$F$31&lt;=A1803)*(Ввод!$G$12:$G$31&gt;=A1803))&gt;0,1,0))</f>
        <v/>
      </c>
      <c r="F1803">
        <f>IF(OR(A1803="",B1803=""),"",IF(E1803=1,0,D1803*B1803/100/C1803))</f>
        <v/>
      </c>
      <c r="G1803">
        <f>IF(A1803="","",IF(OR(B1803&lt;&gt;B1802,C1803&lt;&gt;C1802,D1803&lt;&gt;D1802,E1803&lt;&gt;E1802),G1802+1,G1802))</f>
        <v/>
      </c>
    </row>
    <row r="1804">
      <c r="A1804" s="14">
        <f>IF(OR(NOT(ISNUMBER(Ввод!$B$5)),NOT(ISNUMBER(Ввод!$B$6))),"",IF(Ввод!$B$5+1802&gt;Ввод!$B$6,"",Ввод!$B$5+1802))</f>
        <v/>
      </c>
      <c r="B1804">
        <f>IF(A1804="","",IFERROR(INDEX(Ввод!$B$12:$B$71,MATCH(A1804,Ввод!$D$12:$D$71,1)),""))</f>
        <v/>
      </c>
      <c r="C1804">
        <f>IF(A1804="","",DATE(YEAR(A1804),12,31)-DATE(YEAR(A1804),1,1)+1)</f>
        <v/>
      </c>
      <c r="D1804">
        <f>IF(A1804="","",Ввод!$B$4-SUMIF(Оплаты!$A$6:$A$505,"&lt;"&amp;A1804,Оплаты!$B$6:$B$505))</f>
        <v/>
      </c>
      <c r="E1804">
        <f>IF(A1804="","",IF(SUMPRODUCT((Ввод!$F$12:$F$31&lt;&gt;"")*(Ввод!$F$12:$F$31&lt;=A1804)*(Ввод!$G$12:$G$31&gt;=A1804))&gt;0,1,0))</f>
        <v/>
      </c>
      <c r="F1804">
        <f>IF(OR(A1804="",B1804=""),"",IF(E1804=1,0,D1804*B1804/100/C1804))</f>
        <v/>
      </c>
      <c r="G1804">
        <f>IF(A1804="","",IF(OR(B1804&lt;&gt;B1803,C1804&lt;&gt;C1803,D1804&lt;&gt;D1803,E1804&lt;&gt;E1803),G1803+1,G1803))</f>
        <v/>
      </c>
    </row>
    <row r="1805">
      <c r="A1805" s="14">
        <f>IF(OR(NOT(ISNUMBER(Ввод!$B$5)),NOT(ISNUMBER(Ввод!$B$6))),"",IF(Ввод!$B$5+1803&gt;Ввод!$B$6,"",Ввод!$B$5+1803))</f>
        <v/>
      </c>
      <c r="B1805">
        <f>IF(A1805="","",IFERROR(INDEX(Ввод!$B$12:$B$71,MATCH(A1805,Ввод!$D$12:$D$71,1)),""))</f>
        <v/>
      </c>
      <c r="C1805">
        <f>IF(A1805="","",DATE(YEAR(A1805),12,31)-DATE(YEAR(A1805),1,1)+1)</f>
        <v/>
      </c>
      <c r="D1805">
        <f>IF(A1805="","",Ввод!$B$4-SUMIF(Оплаты!$A$6:$A$505,"&lt;"&amp;A1805,Оплаты!$B$6:$B$505))</f>
        <v/>
      </c>
      <c r="E1805">
        <f>IF(A1805="","",IF(SUMPRODUCT((Ввод!$F$12:$F$31&lt;&gt;"")*(Ввод!$F$12:$F$31&lt;=A1805)*(Ввод!$G$12:$G$31&gt;=A1805))&gt;0,1,0))</f>
        <v/>
      </c>
      <c r="F1805">
        <f>IF(OR(A1805="",B1805=""),"",IF(E1805=1,0,D1805*B1805/100/C1805))</f>
        <v/>
      </c>
      <c r="G1805">
        <f>IF(A1805="","",IF(OR(B1805&lt;&gt;B1804,C1805&lt;&gt;C1804,D1805&lt;&gt;D1804,E1805&lt;&gt;E1804),G1804+1,G1804))</f>
        <v/>
      </c>
    </row>
    <row r="1806">
      <c r="A1806" s="14">
        <f>IF(OR(NOT(ISNUMBER(Ввод!$B$5)),NOT(ISNUMBER(Ввод!$B$6))),"",IF(Ввод!$B$5+1804&gt;Ввод!$B$6,"",Ввод!$B$5+1804))</f>
        <v/>
      </c>
      <c r="B1806">
        <f>IF(A1806="","",IFERROR(INDEX(Ввод!$B$12:$B$71,MATCH(A1806,Ввод!$D$12:$D$71,1)),""))</f>
        <v/>
      </c>
      <c r="C1806">
        <f>IF(A1806="","",DATE(YEAR(A1806),12,31)-DATE(YEAR(A1806),1,1)+1)</f>
        <v/>
      </c>
      <c r="D1806">
        <f>IF(A1806="","",Ввод!$B$4-SUMIF(Оплаты!$A$6:$A$505,"&lt;"&amp;A1806,Оплаты!$B$6:$B$505))</f>
        <v/>
      </c>
      <c r="E1806">
        <f>IF(A1806="","",IF(SUMPRODUCT((Ввод!$F$12:$F$31&lt;&gt;"")*(Ввод!$F$12:$F$31&lt;=A1806)*(Ввод!$G$12:$G$31&gt;=A1806))&gt;0,1,0))</f>
        <v/>
      </c>
      <c r="F1806">
        <f>IF(OR(A1806="",B1806=""),"",IF(E1806=1,0,D1806*B1806/100/C1806))</f>
        <v/>
      </c>
      <c r="G1806">
        <f>IF(A1806="","",IF(OR(B1806&lt;&gt;B1805,C1806&lt;&gt;C1805,D1806&lt;&gt;D1805,E1806&lt;&gt;E1805),G1805+1,G1805))</f>
        <v/>
      </c>
    </row>
    <row r="1807">
      <c r="A1807" s="14">
        <f>IF(OR(NOT(ISNUMBER(Ввод!$B$5)),NOT(ISNUMBER(Ввод!$B$6))),"",IF(Ввод!$B$5+1805&gt;Ввод!$B$6,"",Ввод!$B$5+1805))</f>
        <v/>
      </c>
      <c r="B1807">
        <f>IF(A1807="","",IFERROR(INDEX(Ввод!$B$12:$B$71,MATCH(A1807,Ввод!$D$12:$D$71,1)),""))</f>
        <v/>
      </c>
      <c r="C1807">
        <f>IF(A1807="","",DATE(YEAR(A1807),12,31)-DATE(YEAR(A1807),1,1)+1)</f>
        <v/>
      </c>
      <c r="D1807">
        <f>IF(A1807="","",Ввод!$B$4-SUMIF(Оплаты!$A$6:$A$505,"&lt;"&amp;A1807,Оплаты!$B$6:$B$505))</f>
        <v/>
      </c>
      <c r="E1807">
        <f>IF(A1807="","",IF(SUMPRODUCT((Ввод!$F$12:$F$31&lt;&gt;"")*(Ввод!$F$12:$F$31&lt;=A1807)*(Ввод!$G$12:$G$31&gt;=A1807))&gt;0,1,0))</f>
        <v/>
      </c>
      <c r="F1807">
        <f>IF(OR(A1807="",B1807=""),"",IF(E1807=1,0,D1807*B1807/100/C1807))</f>
        <v/>
      </c>
      <c r="G1807">
        <f>IF(A1807="","",IF(OR(B1807&lt;&gt;B1806,C1807&lt;&gt;C1806,D1807&lt;&gt;D1806,E1807&lt;&gt;E1806),G1806+1,G1806))</f>
        <v/>
      </c>
    </row>
    <row r="1808">
      <c r="A1808" s="14">
        <f>IF(OR(NOT(ISNUMBER(Ввод!$B$5)),NOT(ISNUMBER(Ввод!$B$6))),"",IF(Ввод!$B$5+1806&gt;Ввод!$B$6,"",Ввод!$B$5+1806))</f>
        <v/>
      </c>
      <c r="B1808">
        <f>IF(A1808="","",IFERROR(INDEX(Ввод!$B$12:$B$71,MATCH(A1808,Ввод!$D$12:$D$71,1)),""))</f>
        <v/>
      </c>
      <c r="C1808">
        <f>IF(A1808="","",DATE(YEAR(A1808),12,31)-DATE(YEAR(A1808),1,1)+1)</f>
        <v/>
      </c>
      <c r="D1808">
        <f>IF(A1808="","",Ввод!$B$4-SUMIF(Оплаты!$A$6:$A$505,"&lt;"&amp;A1808,Оплаты!$B$6:$B$505))</f>
        <v/>
      </c>
      <c r="E1808">
        <f>IF(A1808="","",IF(SUMPRODUCT((Ввод!$F$12:$F$31&lt;&gt;"")*(Ввод!$F$12:$F$31&lt;=A1808)*(Ввод!$G$12:$G$31&gt;=A1808))&gt;0,1,0))</f>
        <v/>
      </c>
      <c r="F1808">
        <f>IF(OR(A1808="",B1808=""),"",IF(E1808=1,0,D1808*B1808/100/C1808))</f>
        <v/>
      </c>
      <c r="G1808">
        <f>IF(A1808="","",IF(OR(B1808&lt;&gt;B1807,C1808&lt;&gt;C1807,D1808&lt;&gt;D1807,E1808&lt;&gt;E1807),G1807+1,G1807))</f>
        <v/>
      </c>
    </row>
    <row r="1809">
      <c r="A1809" s="14">
        <f>IF(OR(NOT(ISNUMBER(Ввод!$B$5)),NOT(ISNUMBER(Ввод!$B$6))),"",IF(Ввод!$B$5+1807&gt;Ввод!$B$6,"",Ввод!$B$5+1807))</f>
        <v/>
      </c>
      <c r="B1809">
        <f>IF(A1809="","",IFERROR(INDEX(Ввод!$B$12:$B$71,MATCH(A1809,Ввод!$D$12:$D$71,1)),""))</f>
        <v/>
      </c>
      <c r="C1809">
        <f>IF(A1809="","",DATE(YEAR(A1809),12,31)-DATE(YEAR(A1809),1,1)+1)</f>
        <v/>
      </c>
      <c r="D1809">
        <f>IF(A1809="","",Ввод!$B$4-SUMIF(Оплаты!$A$6:$A$505,"&lt;"&amp;A1809,Оплаты!$B$6:$B$505))</f>
        <v/>
      </c>
      <c r="E1809">
        <f>IF(A1809="","",IF(SUMPRODUCT((Ввод!$F$12:$F$31&lt;&gt;"")*(Ввод!$F$12:$F$31&lt;=A1809)*(Ввод!$G$12:$G$31&gt;=A1809))&gt;0,1,0))</f>
        <v/>
      </c>
      <c r="F1809">
        <f>IF(OR(A1809="",B1809=""),"",IF(E1809=1,0,D1809*B1809/100/C1809))</f>
        <v/>
      </c>
      <c r="G1809">
        <f>IF(A1809="","",IF(OR(B1809&lt;&gt;B1808,C1809&lt;&gt;C1808,D1809&lt;&gt;D1808,E1809&lt;&gt;E1808),G1808+1,G1808))</f>
        <v/>
      </c>
    </row>
    <row r="1810">
      <c r="A1810" s="14">
        <f>IF(OR(NOT(ISNUMBER(Ввод!$B$5)),NOT(ISNUMBER(Ввод!$B$6))),"",IF(Ввод!$B$5+1808&gt;Ввод!$B$6,"",Ввод!$B$5+1808))</f>
        <v/>
      </c>
      <c r="B1810">
        <f>IF(A1810="","",IFERROR(INDEX(Ввод!$B$12:$B$71,MATCH(A1810,Ввод!$D$12:$D$71,1)),""))</f>
        <v/>
      </c>
      <c r="C1810">
        <f>IF(A1810="","",DATE(YEAR(A1810),12,31)-DATE(YEAR(A1810),1,1)+1)</f>
        <v/>
      </c>
      <c r="D1810">
        <f>IF(A1810="","",Ввод!$B$4-SUMIF(Оплаты!$A$6:$A$505,"&lt;"&amp;A1810,Оплаты!$B$6:$B$505))</f>
        <v/>
      </c>
      <c r="E1810">
        <f>IF(A1810="","",IF(SUMPRODUCT((Ввод!$F$12:$F$31&lt;&gt;"")*(Ввод!$F$12:$F$31&lt;=A1810)*(Ввод!$G$12:$G$31&gt;=A1810))&gt;0,1,0))</f>
        <v/>
      </c>
      <c r="F1810">
        <f>IF(OR(A1810="",B1810=""),"",IF(E1810=1,0,D1810*B1810/100/C1810))</f>
        <v/>
      </c>
      <c r="G1810">
        <f>IF(A1810="","",IF(OR(B1810&lt;&gt;B1809,C1810&lt;&gt;C1809,D1810&lt;&gt;D1809,E1810&lt;&gt;E1809),G1809+1,G1809))</f>
        <v/>
      </c>
    </row>
    <row r="1811">
      <c r="A1811" s="14">
        <f>IF(OR(NOT(ISNUMBER(Ввод!$B$5)),NOT(ISNUMBER(Ввод!$B$6))),"",IF(Ввод!$B$5+1809&gt;Ввод!$B$6,"",Ввод!$B$5+1809))</f>
        <v/>
      </c>
      <c r="B1811">
        <f>IF(A1811="","",IFERROR(INDEX(Ввод!$B$12:$B$71,MATCH(A1811,Ввод!$D$12:$D$71,1)),""))</f>
        <v/>
      </c>
      <c r="C1811">
        <f>IF(A1811="","",DATE(YEAR(A1811),12,31)-DATE(YEAR(A1811),1,1)+1)</f>
        <v/>
      </c>
      <c r="D1811">
        <f>IF(A1811="","",Ввод!$B$4-SUMIF(Оплаты!$A$6:$A$505,"&lt;"&amp;A1811,Оплаты!$B$6:$B$505))</f>
        <v/>
      </c>
      <c r="E1811">
        <f>IF(A1811="","",IF(SUMPRODUCT((Ввод!$F$12:$F$31&lt;&gt;"")*(Ввод!$F$12:$F$31&lt;=A1811)*(Ввод!$G$12:$G$31&gt;=A1811))&gt;0,1,0))</f>
        <v/>
      </c>
      <c r="F1811">
        <f>IF(OR(A1811="",B1811=""),"",IF(E1811=1,0,D1811*B1811/100/C1811))</f>
        <v/>
      </c>
      <c r="G1811">
        <f>IF(A1811="","",IF(OR(B1811&lt;&gt;B1810,C1811&lt;&gt;C1810,D1811&lt;&gt;D1810,E1811&lt;&gt;E1810),G1810+1,G1810))</f>
        <v/>
      </c>
    </row>
    <row r="1812">
      <c r="A1812" s="14">
        <f>IF(OR(NOT(ISNUMBER(Ввод!$B$5)),NOT(ISNUMBER(Ввод!$B$6))),"",IF(Ввод!$B$5+1810&gt;Ввод!$B$6,"",Ввод!$B$5+1810))</f>
        <v/>
      </c>
      <c r="B1812">
        <f>IF(A1812="","",IFERROR(INDEX(Ввод!$B$12:$B$71,MATCH(A1812,Ввод!$D$12:$D$71,1)),""))</f>
        <v/>
      </c>
      <c r="C1812">
        <f>IF(A1812="","",DATE(YEAR(A1812),12,31)-DATE(YEAR(A1812),1,1)+1)</f>
        <v/>
      </c>
      <c r="D1812">
        <f>IF(A1812="","",Ввод!$B$4-SUMIF(Оплаты!$A$6:$A$505,"&lt;"&amp;A1812,Оплаты!$B$6:$B$505))</f>
        <v/>
      </c>
      <c r="E1812">
        <f>IF(A1812="","",IF(SUMPRODUCT((Ввод!$F$12:$F$31&lt;&gt;"")*(Ввод!$F$12:$F$31&lt;=A1812)*(Ввод!$G$12:$G$31&gt;=A1812))&gt;0,1,0))</f>
        <v/>
      </c>
      <c r="F1812">
        <f>IF(OR(A1812="",B1812=""),"",IF(E1812=1,0,D1812*B1812/100/C1812))</f>
        <v/>
      </c>
      <c r="G1812">
        <f>IF(A1812="","",IF(OR(B1812&lt;&gt;B1811,C1812&lt;&gt;C1811,D1812&lt;&gt;D1811,E1812&lt;&gt;E1811),G1811+1,G1811))</f>
        <v/>
      </c>
    </row>
    <row r="1813">
      <c r="A1813" s="14">
        <f>IF(OR(NOT(ISNUMBER(Ввод!$B$5)),NOT(ISNUMBER(Ввод!$B$6))),"",IF(Ввод!$B$5+1811&gt;Ввод!$B$6,"",Ввод!$B$5+1811))</f>
        <v/>
      </c>
      <c r="B1813">
        <f>IF(A1813="","",IFERROR(INDEX(Ввод!$B$12:$B$71,MATCH(A1813,Ввод!$D$12:$D$71,1)),""))</f>
        <v/>
      </c>
      <c r="C1813">
        <f>IF(A1813="","",DATE(YEAR(A1813),12,31)-DATE(YEAR(A1813),1,1)+1)</f>
        <v/>
      </c>
      <c r="D1813">
        <f>IF(A1813="","",Ввод!$B$4-SUMIF(Оплаты!$A$6:$A$505,"&lt;"&amp;A1813,Оплаты!$B$6:$B$505))</f>
        <v/>
      </c>
      <c r="E1813">
        <f>IF(A1813="","",IF(SUMPRODUCT((Ввод!$F$12:$F$31&lt;&gt;"")*(Ввод!$F$12:$F$31&lt;=A1813)*(Ввод!$G$12:$G$31&gt;=A1813))&gt;0,1,0))</f>
        <v/>
      </c>
      <c r="F1813">
        <f>IF(OR(A1813="",B1813=""),"",IF(E1813=1,0,D1813*B1813/100/C1813))</f>
        <v/>
      </c>
      <c r="G1813">
        <f>IF(A1813="","",IF(OR(B1813&lt;&gt;B1812,C1813&lt;&gt;C1812,D1813&lt;&gt;D1812,E1813&lt;&gt;E1812),G1812+1,G1812))</f>
        <v/>
      </c>
    </row>
    <row r="1814">
      <c r="A1814" s="14">
        <f>IF(OR(NOT(ISNUMBER(Ввод!$B$5)),NOT(ISNUMBER(Ввод!$B$6))),"",IF(Ввод!$B$5+1812&gt;Ввод!$B$6,"",Ввод!$B$5+1812))</f>
        <v/>
      </c>
      <c r="B1814">
        <f>IF(A1814="","",IFERROR(INDEX(Ввод!$B$12:$B$71,MATCH(A1814,Ввод!$D$12:$D$71,1)),""))</f>
        <v/>
      </c>
      <c r="C1814">
        <f>IF(A1814="","",DATE(YEAR(A1814),12,31)-DATE(YEAR(A1814),1,1)+1)</f>
        <v/>
      </c>
      <c r="D1814">
        <f>IF(A1814="","",Ввод!$B$4-SUMIF(Оплаты!$A$6:$A$505,"&lt;"&amp;A1814,Оплаты!$B$6:$B$505))</f>
        <v/>
      </c>
      <c r="E1814">
        <f>IF(A1814="","",IF(SUMPRODUCT((Ввод!$F$12:$F$31&lt;&gt;"")*(Ввод!$F$12:$F$31&lt;=A1814)*(Ввод!$G$12:$G$31&gt;=A1814))&gt;0,1,0))</f>
        <v/>
      </c>
      <c r="F1814">
        <f>IF(OR(A1814="",B1814=""),"",IF(E1814=1,0,D1814*B1814/100/C1814))</f>
        <v/>
      </c>
      <c r="G1814">
        <f>IF(A1814="","",IF(OR(B1814&lt;&gt;B1813,C1814&lt;&gt;C1813,D1814&lt;&gt;D1813,E1814&lt;&gt;E1813),G1813+1,G1813))</f>
        <v/>
      </c>
    </row>
    <row r="1815">
      <c r="A1815" s="14">
        <f>IF(OR(NOT(ISNUMBER(Ввод!$B$5)),NOT(ISNUMBER(Ввод!$B$6))),"",IF(Ввод!$B$5+1813&gt;Ввод!$B$6,"",Ввод!$B$5+1813))</f>
        <v/>
      </c>
      <c r="B1815">
        <f>IF(A1815="","",IFERROR(INDEX(Ввод!$B$12:$B$71,MATCH(A1815,Ввод!$D$12:$D$71,1)),""))</f>
        <v/>
      </c>
      <c r="C1815">
        <f>IF(A1815="","",DATE(YEAR(A1815),12,31)-DATE(YEAR(A1815),1,1)+1)</f>
        <v/>
      </c>
      <c r="D1815">
        <f>IF(A1815="","",Ввод!$B$4-SUMIF(Оплаты!$A$6:$A$505,"&lt;"&amp;A1815,Оплаты!$B$6:$B$505))</f>
        <v/>
      </c>
      <c r="E1815">
        <f>IF(A1815="","",IF(SUMPRODUCT((Ввод!$F$12:$F$31&lt;&gt;"")*(Ввод!$F$12:$F$31&lt;=A1815)*(Ввод!$G$12:$G$31&gt;=A1815))&gt;0,1,0))</f>
        <v/>
      </c>
      <c r="F1815">
        <f>IF(OR(A1815="",B1815=""),"",IF(E1815=1,0,D1815*B1815/100/C1815))</f>
        <v/>
      </c>
      <c r="G1815">
        <f>IF(A1815="","",IF(OR(B1815&lt;&gt;B1814,C1815&lt;&gt;C1814,D1815&lt;&gt;D1814,E1815&lt;&gt;E1814),G1814+1,G1814))</f>
        <v/>
      </c>
    </row>
    <row r="1816">
      <c r="A1816" s="14">
        <f>IF(OR(NOT(ISNUMBER(Ввод!$B$5)),NOT(ISNUMBER(Ввод!$B$6))),"",IF(Ввод!$B$5+1814&gt;Ввод!$B$6,"",Ввод!$B$5+1814))</f>
        <v/>
      </c>
      <c r="B1816">
        <f>IF(A1816="","",IFERROR(INDEX(Ввод!$B$12:$B$71,MATCH(A1816,Ввод!$D$12:$D$71,1)),""))</f>
        <v/>
      </c>
      <c r="C1816">
        <f>IF(A1816="","",DATE(YEAR(A1816),12,31)-DATE(YEAR(A1816),1,1)+1)</f>
        <v/>
      </c>
      <c r="D1816">
        <f>IF(A1816="","",Ввод!$B$4-SUMIF(Оплаты!$A$6:$A$505,"&lt;"&amp;A1816,Оплаты!$B$6:$B$505))</f>
        <v/>
      </c>
      <c r="E1816">
        <f>IF(A1816="","",IF(SUMPRODUCT((Ввод!$F$12:$F$31&lt;&gt;"")*(Ввод!$F$12:$F$31&lt;=A1816)*(Ввод!$G$12:$G$31&gt;=A1816))&gt;0,1,0))</f>
        <v/>
      </c>
      <c r="F1816">
        <f>IF(OR(A1816="",B1816=""),"",IF(E1816=1,0,D1816*B1816/100/C1816))</f>
        <v/>
      </c>
      <c r="G1816">
        <f>IF(A1816="","",IF(OR(B1816&lt;&gt;B1815,C1816&lt;&gt;C1815,D1816&lt;&gt;D1815,E1816&lt;&gt;E1815),G1815+1,G1815))</f>
        <v/>
      </c>
    </row>
    <row r="1817">
      <c r="A1817" s="14">
        <f>IF(OR(NOT(ISNUMBER(Ввод!$B$5)),NOT(ISNUMBER(Ввод!$B$6))),"",IF(Ввод!$B$5+1815&gt;Ввод!$B$6,"",Ввод!$B$5+1815))</f>
        <v/>
      </c>
      <c r="B1817">
        <f>IF(A1817="","",IFERROR(INDEX(Ввод!$B$12:$B$71,MATCH(A1817,Ввод!$D$12:$D$71,1)),""))</f>
        <v/>
      </c>
      <c r="C1817">
        <f>IF(A1817="","",DATE(YEAR(A1817),12,31)-DATE(YEAR(A1817),1,1)+1)</f>
        <v/>
      </c>
      <c r="D1817">
        <f>IF(A1817="","",Ввод!$B$4-SUMIF(Оплаты!$A$6:$A$505,"&lt;"&amp;A1817,Оплаты!$B$6:$B$505))</f>
        <v/>
      </c>
      <c r="E1817">
        <f>IF(A1817="","",IF(SUMPRODUCT((Ввод!$F$12:$F$31&lt;&gt;"")*(Ввод!$F$12:$F$31&lt;=A1817)*(Ввод!$G$12:$G$31&gt;=A1817))&gt;0,1,0))</f>
        <v/>
      </c>
      <c r="F1817">
        <f>IF(OR(A1817="",B1817=""),"",IF(E1817=1,0,D1817*B1817/100/C1817))</f>
        <v/>
      </c>
      <c r="G1817">
        <f>IF(A1817="","",IF(OR(B1817&lt;&gt;B1816,C1817&lt;&gt;C1816,D1817&lt;&gt;D1816,E1817&lt;&gt;E1816),G1816+1,G1816))</f>
        <v/>
      </c>
    </row>
    <row r="1818">
      <c r="A1818" s="14">
        <f>IF(OR(NOT(ISNUMBER(Ввод!$B$5)),NOT(ISNUMBER(Ввод!$B$6))),"",IF(Ввод!$B$5+1816&gt;Ввод!$B$6,"",Ввод!$B$5+1816))</f>
        <v/>
      </c>
      <c r="B1818">
        <f>IF(A1818="","",IFERROR(INDEX(Ввод!$B$12:$B$71,MATCH(A1818,Ввод!$D$12:$D$71,1)),""))</f>
        <v/>
      </c>
      <c r="C1818">
        <f>IF(A1818="","",DATE(YEAR(A1818),12,31)-DATE(YEAR(A1818),1,1)+1)</f>
        <v/>
      </c>
      <c r="D1818">
        <f>IF(A1818="","",Ввод!$B$4-SUMIF(Оплаты!$A$6:$A$505,"&lt;"&amp;A1818,Оплаты!$B$6:$B$505))</f>
        <v/>
      </c>
      <c r="E1818">
        <f>IF(A1818="","",IF(SUMPRODUCT((Ввод!$F$12:$F$31&lt;&gt;"")*(Ввод!$F$12:$F$31&lt;=A1818)*(Ввод!$G$12:$G$31&gt;=A1818))&gt;0,1,0))</f>
        <v/>
      </c>
      <c r="F1818">
        <f>IF(OR(A1818="",B1818=""),"",IF(E1818=1,0,D1818*B1818/100/C1818))</f>
        <v/>
      </c>
      <c r="G1818">
        <f>IF(A1818="","",IF(OR(B1818&lt;&gt;B1817,C1818&lt;&gt;C1817,D1818&lt;&gt;D1817,E1818&lt;&gt;E1817),G1817+1,G1817))</f>
        <v/>
      </c>
    </row>
    <row r="1819">
      <c r="A1819" s="14">
        <f>IF(OR(NOT(ISNUMBER(Ввод!$B$5)),NOT(ISNUMBER(Ввод!$B$6))),"",IF(Ввод!$B$5+1817&gt;Ввод!$B$6,"",Ввод!$B$5+1817))</f>
        <v/>
      </c>
      <c r="B1819">
        <f>IF(A1819="","",IFERROR(INDEX(Ввод!$B$12:$B$71,MATCH(A1819,Ввод!$D$12:$D$71,1)),""))</f>
        <v/>
      </c>
      <c r="C1819">
        <f>IF(A1819="","",DATE(YEAR(A1819),12,31)-DATE(YEAR(A1819),1,1)+1)</f>
        <v/>
      </c>
      <c r="D1819">
        <f>IF(A1819="","",Ввод!$B$4-SUMIF(Оплаты!$A$6:$A$505,"&lt;"&amp;A1819,Оплаты!$B$6:$B$505))</f>
        <v/>
      </c>
      <c r="E1819">
        <f>IF(A1819="","",IF(SUMPRODUCT((Ввод!$F$12:$F$31&lt;&gt;"")*(Ввод!$F$12:$F$31&lt;=A1819)*(Ввод!$G$12:$G$31&gt;=A1819))&gt;0,1,0))</f>
        <v/>
      </c>
      <c r="F1819">
        <f>IF(OR(A1819="",B1819=""),"",IF(E1819=1,0,D1819*B1819/100/C1819))</f>
        <v/>
      </c>
      <c r="G1819">
        <f>IF(A1819="","",IF(OR(B1819&lt;&gt;B1818,C1819&lt;&gt;C1818,D1819&lt;&gt;D1818,E1819&lt;&gt;E1818),G1818+1,G1818))</f>
        <v/>
      </c>
    </row>
    <row r="1820">
      <c r="A1820" s="14">
        <f>IF(OR(NOT(ISNUMBER(Ввод!$B$5)),NOT(ISNUMBER(Ввод!$B$6))),"",IF(Ввод!$B$5+1818&gt;Ввод!$B$6,"",Ввод!$B$5+1818))</f>
        <v/>
      </c>
      <c r="B1820">
        <f>IF(A1820="","",IFERROR(INDEX(Ввод!$B$12:$B$71,MATCH(A1820,Ввод!$D$12:$D$71,1)),""))</f>
        <v/>
      </c>
      <c r="C1820">
        <f>IF(A1820="","",DATE(YEAR(A1820),12,31)-DATE(YEAR(A1820),1,1)+1)</f>
        <v/>
      </c>
      <c r="D1820">
        <f>IF(A1820="","",Ввод!$B$4-SUMIF(Оплаты!$A$6:$A$505,"&lt;"&amp;A1820,Оплаты!$B$6:$B$505))</f>
        <v/>
      </c>
      <c r="E1820">
        <f>IF(A1820="","",IF(SUMPRODUCT((Ввод!$F$12:$F$31&lt;&gt;"")*(Ввод!$F$12:$F$31&lt;=A1820)*(Ввод!$G$12:$G$31&gt;=A1820))&gt;0,1,0))</f>
        <v/>
      </c>
      <c r="F1820">
        <f>IF(OR(A1820="",B1820=""),"",IF(E1820=1,0,D1820*B1820/100/C1820))</f>
        <v/>
      </c>
      <c r="G1820">
        <f>IF(A1820="","",IF(OR(B1820&lt;&gt;B1819,C1820&lt;&gt;C1819,D1820&lt;&gt;D1819,E1820&lt;&gt;E1819),G1819+1,G1819))</f>
        <v/>
      </c>
    </row>
    <row r="1821">
      <c r="A1821" s="14">
        <f>IF(OR(NOT(ISNUMBER(Ввод!$B$5)),NOT(ISNUMBER(Ввод!$B$6))),"",IF(Ввод!$B$5+1819&gt;Ввод!$B$6,"",Ввод!$B$5+1819))</f>
        <v/>
      </c>
      <c r="B1821">
        <f>IF(A1821="","",IFERROR(INDEX(Ввод!$B$12:$B$71,MATCH(A1821,Ввод!$D$12:$D$71,1)),""))</f>
        <v/>
      </c>
      <c r="C1821">
        <f>IF(A1821="","",DATE(YEAR(A1821),12,31)-DATE(YEAR(A1821),1,1)+1)</f>
        <v/>
      </c>
      <c r="D1821">
        <f>IF(A1821="","",Ввод!$B$4-SUMIF(Оплаты!$A$6:$A$505,"&lt;"&amp;A1821,Оплаты!$B$6:$B$505))</f>
        <v/>
      </c>
      <c r="E1821">
        <f>IF(A1821="","",IF(SUMPRODUCT((Ввод!$F$12:$F$31&lt;&gt;"")*(Ввод!$F$12:$F$31&lt;=A1821)*(Ввод!$G$12:$G$31&gt;=A1821))&gt;0,1,0))</f>
        <v/>
      </c>
      <c r="F1821">
        <f>IF(OR(A1821="",B1821=""),"",IF(E1821=1,0,D1821*B1821/100/C1821))</f>
        <v/>
      </c>
      <c r="G1821">
        <f>IF(A1821="","",IF(OR(B1821&lt;&gt;B1820,C1821&lt;&gt;C1820,D1821&lt;&gt;D1820,E1821&lt;&gt;E1820),G1820+1,G1820))</f>
        <v/>
      </c>
    </row>
    <row r="1822">
      <c r="A1822" s="14">
        <f>IF(OR(NOT(ISNUMBER(Ввод!$B$5)),NOT(ISNUMBER(Ввод!$B$6))),"",IF(Ввод!$B$5+1820&gt;Ввод!$B$6,"",Ввод!$B$5+1820))</f>
        <v/>
      </c>
      <c r="B1822">
        <f>IF(A1822="","",IFERROR(INDEX(Ввод!$B$12:$B$71,MATCH(A1822,Ввод!$D$12:$D$71,1)),""))</f>
        <v/>
      </c>
      <c r="C1822">
        <f>IF(A1822="","",DATE(YEAR(A1822),12,31)-DATE(YEAR(A1822),1,1)+1)</f>
        <v/>
      </c>
      <c r="D1822">
        <f>IF(A1822="","",Ввод!$B$4-SUMIF(Оплаты!$A$6:$A$505,"&lt;"&amp;A1822,Оплаты!$B$6:$B$505))</f>
        <v/>
      </c>
      <c r="E1822">
        <f>IF(A1822="","",IF(SUMPRODUCT((Ввод!$F$12:$F$31&lt;&gt;"")*(Ввод!$F$12:$F$31&lt;=A1822)*(Ввод!$G$12:$G$31&gt;=A1822))&gt;0,1,0))</f>
        <v/>
      </c>
      <c r="F1822">
        <f>IF(OR(A1822="",B1822=""),"",IF(E1822=1,0,D1822*B1822/100/C1822))</f>
        <v/>
      </c>
      <c r="G1822">
        <f>IF(A1822="","",IF(OR(B1822&lt;&gt;B1821,C1822&lt;&gt;C1821,D1822&lt;&gt;D1821,E1822&lt;&gt;E1821),G1821+1,G1821))</f>
        <v/>
      </c>
    </row>
    <row r="1823">
      <c r="A1823" s="14">
        <f>IF(OR(NOT(ISNUMBER(Ввод!$B$5)),NOT(ISNUMBER(Ввод!$B$6))),"",IF(Ввод!$B$5+1821&gt;Ввод!$B$6,"",Ввод!$B$5+1821))</f>
        <v/>
      </c>
      <c r="B1823">
        <f>IF(A1823="","",IFERROR(INDEX(Ввод!$B$12:$B$71,MATCH(A1823,Ввод!$D$12:$D$71,1)),""))</f>
        <v/>
      </c>
      <c r="C1823">
        <f>IF(A1823="","",DATE(YEAR(A1823),12,31)-DATE(YEAR(A1823),1,1)+1)</f>
        <v/>
      </c>
      <c r="D1823">
        <f>IF(A1823="","",Ввод!$B$4-SUMIF(Оплаты!$A$6:$A$505,"&lt;"&amp;A1823,Оплаты!$B$6:$B$505))</f>
        <v/>
      </c>
      <c r="E1823">
        <f>IF(A1823="","",IF(SUMPRODUCT((Ввод!$F$12:$F$31&lt;&gt;"")*(Ввод!$F$12:$F$31&lt;=A1823)*(Ввод!$G$12:$G$31&gt;=A1823))&gt;0,1,0))</f>
        <v/>
      </c>
      <c r="F1823">
        <f>IF(OR(A1823="",B1823=""),"",IF(E1823=1,0,D1823*B1823/100/C1823))</f>
        <v/>
      </c>
      <c r="G1823">
        <f>IF(A1823="","",IF(OR(B1823&lt;&gt;B1822,C1823&lt;&gt;C1822,D1823&lt;&gt;D1822,E1823&lt;&gt;E1822),G1822+1,G1822))</f>
        <v/>
      </c>
    </row>
    <row r="1824">
      <c r="A1824" s="14">
        <f>IF(OR(NOT(ISNUMBER(Ввод!$B$5)),NOT(ISNUMBER(Ввод!$B$6))),"",IF(Ввод!$B$5+1822&gt;Ввод!$B$6,"",Ввод!$B$5+1822))</f>
        <v/>
      </c>
      <c r="B1824">
        <f>IF(A1824="","",IFERROR(INDEX(Ввод!$B$12:$B$71,MATCH(A1824,Ввод!$D$12:$D$71,1)),""))</f>
        <v/>
      </c>
      <c r="C1824">
        <f>IF(A1824="","",DATE(YEAR(A1824),12,31)-DATE(YEAR(A1824),1,1)+1)</f>
        <v/>
      </c>
      <c r="D1824">
        <f>IF(A1824="","",Ввод!$B$4-SUMIF(Оплаты!$A$6:$A$505,"&lt;"&amp;A1824,Оплаты!$B$6:$B$505))</f>
        <v/>
      </c>
      <c r="E1824">
        <f>IF(A1824="","",IF(SUMPRODUCT((Ввод!$F$12:$F$31&lt;&gt;"")*(Ввод!$F$12:$F$31&lt;=A1824)*(Ввод!$G$12:$G$31&gt;=A1824))&gt;0,1,0))</f>
        <v/>
      </c>
      <c r="F1824">
        <f>IF(OR(A1824="",B1824=""),"",IF(E1824=1,0,D1824*B1824/100/C1824))</f>
        <v/>
      </c>
      <c r="G1824">
        <f>IF(A1824="","",IF(OR(B1824&lt;&gt;B1823,C1824&lt;&gt;C1823,D1824&lt;&gt;D1823,E1824&lt;&gt;E1823),G1823+1,G1823))</f>
        <v/>
      </c>
    </row>
    <row r="1825">
      <c r="A1825" s="14">
        <f>IF(OR(NOT(ISNUMBER(Ввод!$B$5)),NOT(ISNUMBER(Ввод!$B$6))),"",IF(Ввод!$B$5+1823&gt;Ввод!$B$6,"",Ввод!$B$5+1823))</f>
        <v/>
      </c>
      <c r="B1825">
        <f>IF(A1825="","",IFERROR(INDEX(Ввод!$B$12:$B$71,MATCH(A1825,Ввод!$D$12:$D$71,1)),""))</f>
        <v/>
      </c>
      <c r="C1825">
        <f>IF(A1825="","",DATE(YEAR(A1825),12,31)-DATE(YEAR(A1825),1,1)+1)</f>
        <v/>
      </c>
      <c r="D1825">
        <f>IF(A1825="","",Ввод!$B$4-SUMIF(Оплаты!$A$6:$A$505,"&lt;"&amp;A1825,Оплаты!$B$6:$B$505))</f>
        <v/>
      </c>
      <c r="E1825">
        <f>IF(A1825="","",IF(SUMPRODUCT((Ввод!$F$12:$F$31&lt;&gt;"")*(Ввод!$F$12:$F$31&lt;=A1825)*(Ввод!$G$12:$G$31&gt;=A1825))&gt;0,1,0))</f>
        <v/>
      </c>
      <c r="F1825">
        <f>IF(OR(A1825="",B1825=""),"",IF(E1825=1,0,D1825*B1825/100/C1825))</f>
        <v/>
      </c>
      <c r="G1825">
        <f>IF(A1825="","",IF(OR(B1825&lt;&gt;B1824,C1825&lt;&gt;C1824,D1825&lt;&gt;D1824,E1825&lt;&gt;E1824),G1824+1,G1824))</f>
        <v/>
      </c>
    </row>
    <row r="1826">
      <c r="A1826" s="14">
        <f>IF(OR(NOT(ISNUMBER(Ввод!$B$5)),NOT(ISNUMBER(Ввод!$B$6))),"",IF(Ввод!$B$5+1824&gt;Ввод!$B$6,"",Ввод!$B$5+1824))</f>
        <v/>
      </c>
      <c r="B1826">
        <f>IF(A1826="","",IFERROR(INDEX(Ввод!$B$12:$B$71,MATCH(A1826,Ввод!$D$12:$D$71,1)),""))</f>
        <v/>
      </c>
      <c r="C1826">
        <f>IF(A1826="","",DATE(YEAR(A1826),12,31)-DATE(YEAR(A1826),1,1)+1)</f>
        <v/>
      </c>
      <c r="D1826">
        <f>IF(A1826="","",Ввод!$B$4-SUMIF(Оплаты!$A$6:$A$505,"&lt;"&amp;A1826,Оплаты!$B$6:$B$505))</f>
        <v/>
      </c>
      <c r="E1826">
        <f>IF(A1826="","",IF(SUMPRODUCT((Ввод!$F$12:$F$31&lt;&gt;"")*(Ввод!$F$12:$F$31&lt;=A1826)*(Ввод!$G$12:$G$31&gt;=A1826))&gt;0,1,0))</f>
        <v/>
      </c>
      <c r="F1826">
        <f>IF(OR(A1826="",B1826=""),"",IF(E1826=1,0,D1826*B1826/100/C1826))</f>
        <v/>
      </c>
      <c r="G1826">
        <f>IF(A1826="","",IF(OR(B1826&lt;&gt;B1825,C1826&lt;&gt;C1825,D1826&lt;&gt;D1825,E1826&lt;&gt;E1825),G1825+1,G1825))</f>
        <v/>
      </c>
    </row>
    <row r="1827">
      <c r="A1827" s="14">
        <f>IF(OR(NOT(ISNUMBER(Ввод!$B$5)),NOT(ISNUMBER(Ввод!$B$6))),"",IF(Ввод!$B$5+1825&gt;Ввод!$B$6,"",Ввод!$B$5+1825))</f>
        <v/>
      </c>
      <c r="B1827">
        <f>IF(A1827="","",IFERROR(INDEX(Ввод!$B$12:$B$71,MATCH(A1827,Ввод!$D$12:$D$71,1)),""))</f>
        <v/>
      </c>
      <c r="C1827">
        <f>IF(A1827="","",DATE(YEAR(A1827),12,31)-DATE(YEAR(A1827),1,1)+1)</f>
        <v/>
      </c>
      <c r="D1827">
        <f>IF(A1827="","",Ввод!$B$4-SUMIF(Оплаты!$A$6:$A$505,"&lt;"&amp;A1827,Оплаты!$B$6:$B$505))</f>
        <v/>
      </c>
      <c r="E1827">
        <f>IF(A1827="","",IF(SUMPRODUCT((Ввод!$F$12:$F$31&lt;&gt;"")*(Ввод!$F$12:$F$31&lt;=A1827)*(Ввод!$G$12:$G$31&gt;=A1827))&gt;0,1,0))</f>
        <v/>
      </c>
      <c r="F1827">
        <f>IF(OR(A1827="",B1827=""),"",IF(E1827=1,0,D1827*B1827/100/C1827))</f>
        <v/>
      </c>
      <c r="G1827">
        <f>IF(A1827="","",IF(OR(B1827&lt;&gt;B1826,C1827&lt;&gt;C1826,D1827&lt;&gt;D1826,E1827&lt;&gt;E1826),G1826+1,G1826))</f>
        <v/>
      </c>
    </row>
    <row r="1828">
      <c r="A1828" s="14">
        <f>IF(OR(NOT(ISNUMBER(Ввод!$B$5)),NOT(ISNUMBER(Ввод!$B$6))),"",IF(Ввод!$B$5+1826&gt;Ввод!$B$6,"",Ввод!$B$5+1826))</f>
        <v/>
      </c>
      <c r="B1828">
        <f>IF(A1828="","",IFERROR(INDEX(Ввод!$B$12:$B$71,MATCH(A1828,Ввод!$D$12:$D$71,1)),""))</f>
        <v/>
      </c>
      <c r="C1828">
        <f>IF(A1828="","",DATE(YEAR(A1828),12,31)-DATE(YEAR(A1828),1,1)+1)</f>
        <v/>
      </c>
      <c r="D1828">
        <f>IF(A1828="","",Ввод!$B$4-SUMIF(Оплаты!$A$6:$A$505,"&lt;"&amp;A1828,Оплаты!$B$6:$B$505))</f>
        <v/>
      </c>
      <c r="E1828">
        <f>IF(A1828="","",IF(SUMPRODUCT((Ввод!$F$12:$F$31&lt;&gt;"")*(Ввод!$F$12:$F$31&lt;=A1828)*(Ввод!$G$12:$G$31&gt;=A1828))&gt;0,1,0))</f>
        <v/>
      </c>
      <c r="F1828">
        <f>IF(OR(A1828="",B1828=""),"",IF(E1828=1,0,D1828*B1828/100/C1828))</f>
        <v/>
      </c>
      <c r="G1828">
        <f>IF(A1828="","",IF(OR(B1828&lt;&gt;B1827,C1828&lt;&gt;C1827,D1828&lt;&gt;D1827,E1828&lt;&gt;E1827),G1827+1,G1827))</f>
        <v/>
      </c>
    </row>
    <row r="1829">
      <c r="A1829" s="14">
        <f>IF(OR(NOT(ISNUMBER(Ввод!$B$5)),NOT(ISNUMBER(Ввод!$B$6))),"",IF(Ввод!$B$5+1827&gt;Ввод!$B$6,"",Ввод!$B$5+1827))</f>
        <v/>
      </c>
      <c r="B1829">
        <f>IF(A1829="","",IFERROR(INDEX(Ввод!$B$12:$B$71,MATCH(A1829,Ввод!$D$12:$D$71,1)),""))</f>
        <v/>
      </c>
      <c r="C1829">
        <f>IF(A1829="","",DATE(YEAR(A1829),12,31)-DATE(YEAR(A1829),1,1)+1)</f>
        <v/>
      </c>
      <c r="D1829">
        <f>IF(A1829="","",Ввод!$B$4-SUMIF(Оплаты!$A$6:$A$505,"&lt;"&amp;A1829,Оплаты!$B$6:$B$505))</f>
        <v/>
      </c>
      <c r="E1829">
        <f>IF(A1829="","",IF(SUMPRODUCT((Ввод!$F$12:$F$31&lt;&gt;"")*(Ввод!$F$12:$F$31&lt;=A1829)*(Ввод!$G$12:$G$31&gt;=A1829))&gt;0,1,0))</f>
        <v/>
      </c>
      <c r="F1829">
        <f>IF(OR(A1829="",B1829=""),"",IF(E1829=1,0,D1829*B1829/100/C1829))</f>
        <v/>
      </c>
      <c r="G1829">
        <f>IF(A1829="","",IF(OR(B1829&lt;&gt;B1828,C1829&lt;&gt;C1828,D1829&lt;&gt;D1828,E1829&lt;&gt;E1828),G1828+1,G1828))</f>
        <v/>
      </c>
    </row>
    <row r="1830">
      <c r="A1830" s="14">
        <f>IF(OR(NOT(ISNUMBER(Ввод!$B$5)),NOT(ISNUMBER(Ввод!$B$6))),"",IF(Ввод!$B$5+1828&gt;Ввод!$B$6,"",Ввод!$B$5+1828))</f>
        <v/>
      </c>
      <c r="B1830">
        <f>IF(A1830="","",IFERROR(INDEX(Ввод!$B$12:$B$71,MATCH(A1830,Ввод!$D$12:$D$71,1)),""))</f>
        <v/>
      </c>
      <c r="C1830">
        <f>IF(A1830="","",DATE(YEAR(A1830),12,31)-DATE(YEAR(A1830),1,1)+1)</f>
        <v/>
      </c>
      <c r="D1830">
        <f>IF(A1830="","",Ввод!$B$4-SUMIF(Оплаты!$A$6:$A$505,"&lt;"&amp;A1830,Оплаты!$B$6:$B$505))</f>
        <v/>
      </c>
      <c r="E1830">
        <f>IF(A1830="","",IF(SUMPRODUCT((Ввод!$F$12:$F$31&lt;&gt;"")*(Ввод!$F$12:$F$31&lt;=A1830)*(Ввод!$G$12:$G$31&gt;=A1830))&gt;0,1,0))</f>
        <v/>
      </c>
      <c r="F1830">
        <f>IF(OR(A1830="",B1830=""),"",IF(E1830=1,0,D1830*B1830/100/C1830))</f>
        <v/>
      </c>
      <c r="G1830">
        <f>IF(A1830="","",IF(OR(B1830&lt;&gt;B1829,C1830&lt;&gt;C1829,D1830&lt;&gt;D1829,E1830&lt;&gt;E1829),G1829+1,G1829))</f>
        <v/>
      </c>
    </row>
    <row r="1831">
      <c r="A1831" s="14">
        <f>IF(OR(NOT(ISNUMBER(Ввод!$B$5)),NOT(ISNUMBER(Ввод!$B$6))),"",IF(Ввод!$B$5+1829&gt;Ввод!$B$6,"",Ввод!$B$5+1829))</f>
        <v/>
      </c>
      <c r="B1831">
        <f>IF(A1831="","",IFERROR(INDEX(Ввод!$B$12:$B$71,MATCH(A1831,Ввод!$D$12:$D$71,1)),""))</f>
        <v/>
      </c>
      <c r="C1831">
        <f>IF(A1831="","",DATE(YEAR(A1831),12,31)-DATE(YEAR(A1831),1,1)+1)</f>
        <v/>
      </c>
      <c r="D1831">
        <f>IF(A1831="","",Ввод!$B$4-SUMIF(Оплаты!$A$6:$A$505,"&lt;"&amp;A1831,Оплаты!$B$6:$B$505))</f>
        <v/>
      </c>
      <c r="E1831">
        <f>IF(A1831="","",IF(SUMPRODUCT((Ввод!$F$12:$F$31&lt;&gt;"")*(Ввод!$F$12:$F$31&lt;=A1831)*(Ввод!$G$12:$G$31&gt;=A1831))&gt;0,1,0))</f>
        <v/>
      </c>
      <c r="F1831">
        <f>IF(OR(A1831="",B1831=""),"",IF(E1831=1,0,D1831*B1831/100/C1831))</f>
        <v/>
      </c>
      <c r="G1831">
        <f>IF(A1831="","",IF(OR(B1831&lt;&gt;B1830,C1831&lt;&gt;C1830,D1831&lt;&gt;D1830,E1831&lt;&gt;E1830),G1830+1,G1830))</f>
        <v/>
      </c>
    </row>
    <row r="1832">
      <c r="A1832" s="14">
        <f>IF(OR(NOT(ISNUMBER(Ввод!$B$5)),NOT(ISNUMBER(Ввод!$B$6))),"",IF(Ввод!$B$5+1830&gt;Ввод!$B$6,"",Ввод!$B$5+1830))</f>
        <v/>
      </c>
      <c r="B1832">
        <f>IF(A1832="","",IFERROR(INDEX(Ввод!$B$12:$B$71,MATCH(A1832,Ввод!$D$12:$D$71,1)),""))</f>
        <v/>
      </c>
      <c r="C1832">
        <f>IF(A1832="","",DATE(YEAR(A1832),12,31)-DATE(YEAR(A1832),1,1)+1)</f>
        <v/>
      </c>
      <c r="D1832">
        <f>IF(A1832="","",Ввод!$B$4-SUMIF(Оплаты!$A$6:$A$505,"&lt;"&amp;A1832,Оплаты!$B$6:$B$505))</f>
        <v/>
      </c>
      <c r="E1832">
        <f>IF(A1832="","",IF(SUMPRODUCT((Ввод!$F$12:$F$31&lt;&gt;"")*(Ввод!$F$12:$F$31&lt;=A1832)*(Ввод!$G$12:$G$31&gt;=A1832))&gt;0,1,0))</f>
        <v/>
      </c>
      <c r="F1832">
        <f>IF(OR(A1832="",B1832=""),"",IF(E1832=1,0,D1832*B1832/100/C1832))</f>
        <v/>
      </c>
      <c r="G1832">
        <f>IF(A1832="","",IF(OR(B1832&lt;&gt;B1831,C1832&lt;&gt;C1831,D1832&lt;&gt;D1831,E1832&lt;&gt;E1831),G1831+1,G1831))</f>
        <v/>
      </c>
    </row>
    <row r="1833">
      <c r="A1833" s="14">
        <f>IF(OR(NOT(ISNUMBER(Ввод!$B$5)),NOT(ISNUMBER(Ввод!$B$6))),"",IF(Ввод!$B$5+1831&gt;Ввод!$B$6,"",Ввод!$B$5+1831))</f>
        <v/>
      </c>
      <c r="B1833">
        <f>IF(A1833="","",IFERROR(INDEX(Ввод!$B$12:$B$71,MATCH(A1833,Ввод!$D$12:$D$71,1)),""))</f>
        <v/>
      </c>
      <c r="C1833">
        <f>IF(A1833="","",DATE(YEAR(A1833),12,31)-DATE(YEAR(A1833),1,1)+1)</f>
        <v/>
      </c>
      <c r="D1833">
        <f>IF(A1833="","",Ввод!$B$4-SUMIF(Оплаты!$A$6:$A$505,"&lt;"&amp;A1833,Оплаты!$B$6:$B$505))</f>
        <v/>
      </c>
      <c r="E1833">
        <f>IF(A1833="","",IF(SUMPRODUCT((Ввод!$F$12:$F$31&lt;&gt;"")*(Ввод!$F$12:$F$31&lt;=A1833)*(Ввод!$G$12:$G$31&gt;=A1833))&gt;0,1,0))</f>
        <v/>
      </c>
      <c r="F1833">
        <f>IF(OR(A1833="",B1833=""),"",IF(E1833=1,0,D1833*B1833/100/C1833))</f>
        <v/>
      </c>
      <c r="G1833">
        <f>IF(A1833="","",IF(OR(B1833&lt;&gt;B1832,C1833&lt;&gt;C1832,D1833&lt;&gt;D1832,E1833&lt;&gt;E1832),G1832+1,G1832))</f>
        <v/>
      </c>
    </row>
    <row r="1834">
      <c r="A1834" s="14">
        <f>IF(OR(NOT(ISNUMBER(Ввод!$B$5)),NOT(ISNUMBER(Ввод!$B$6))),"",IF(Ввод!$B$5+1832&gt;Ввод!$B$6,"",Ввод!$B$5+1832))</f>
        <v/>
      </c>
      <c r="B1834">
        <f>IF(A1834="","",IFERROR(INDEX(Ввод!$B$12:$B$71,MATCH(A1834,Ввод!$D$12:$D$71,1)),""))</f>
        <v/>
      </c>
      <c r="C1834">
        <f>IF(A1834="","",DATE(YEAR(A1834),12,31)-DATE(YEAR(A1834),1,1)+1)</f>
        <v/>
      </c>
      <c r="D1834">
        <f>IF(A1834="","",Ввод!$B$4-SUMIF(Оплаты!$A$6:$A$505,"&lt;"&amp;A1834,Оплаты!$B$6:$B$505))</f>
        <v/>
      </c>
      <c r="E1834">
        <f>IF(A1834="","",IF(SUMPRODUCT((Ввод!$F$12:$F$31&lt;&gt;"")*(Ввод!$F$12:$F$31&lt;=A1834)*(Ввод!$G$12:$G$31&gt;=A1834))&gt;0,1,0))</f>
        <v/>
      </c>
      <c r="F1834">
        <f>IF(OR(A1834="",B1834=""),"",IF(E1834=1,0,D1834*B1834/100/C1834))</f>
        <v/>
      </c>
      <c r="G1834">
        <f>IF(A1834="","",IF(OR(B1834&lt;&gt;B1833,C1834&lt;&gt;C1833,D1834&lt;&gt;D1833,E1834&lt;&gt;E1833),G1833+1,G1833))</f>
        <v/>
      </c>
    </row>
    <row r="1835">
      <c r="A1835" s="14">
        <f>IF(OR(NOT(ISNUMBER(Ввод!$B$5)),NOT(ISNUMBER(Ввод!$B$6))),"",IF(Ввод!$B$5+1833&gt;Ввод!$B$6,"",Ввод!$B$5+1833))</f>
        <v/>
      </c>
      <c r="B1835">
        <f>IF(A1835="","",IFERROR(INDEX(Ввод!$B$12:$B$71,MATCH(A1835,Ввод!$D$12:$D$71,1)),""))</f>
        <v/>
      </c>
      <c r="C1835">
        <f>IF(A1835="","",DATE(YEAR(A1835),12,31)-DATE(YEAR(A1835),1,1)+1)</f>
        <v/>
      </c>
      <c r="D1835">
        <f>IF(A1835="","",Ввод!$B$4-SUMIF(Оплаты!$A$6:$A$505,"&lt;"&amp;A1835,Оплаты!$B$6:$B$505))</f>
        <v/>
      </c>
      <c r="E1835">
        <f>IF(A1835="","",IF(SUMPRODUCT((Ввод!$F$12:$F$31&lt;&gt;"")*(Ввод!$F$12:$F$31&lt;=A1835)*(Ввод!$G$12:$G$31&gt;=A1835))&gt;0,1,0))</f>
        <v/>
      </c>
      <c r="F1835">
        <f>IF(OR(A1835="",B1835=""),"",IF(E1835=1,0,D1835*B1835/100/C1835))</f>
        <v/>
      </c>
      <c r="G1835">
        <f>IF(A1835="","",IF(OR(B1835&lt;&gt;B1834,C1835&lt;&gt;C1834,D1835&lt;&gt;D1834,E1835&lt;&gt;E1834),G1834+1,G1834))</f>
        <v/>
      </c>
    </row>
    <row r="1836">
      <c r="A1836" s="14">
        <f>IF(OR(NOT(ISNUMBER(Ввод!$B$5)),NOT(ISNUMBER(Ввод!$B$6))),"",IF(Ввод!$B$5+1834&gt;Ввод!$B$6,"",Ввод!$B$5+1834))</f>
        <v/>
      </c>
      <c r="B1836">
        <f>IF(A1836="","",IFERROR(INDEX(Ввод!$B$12:$B$71,MATCH(A1836,Ввод!$D$12:$D$71,1)),""))</f>
        <v/>
      </c>
      <c r="C1836">
        <f>IF(A1836="","",DATE(YEAR(A1836),12,31)-DATE(YEAR(A1836),1,1)+1)</f>
        <v/>
      </c>
      <c r="D1836">
        <f>IF(A1836="","",Ввод!$B$4-SUMIF(Оплаты!$A$6:$A$505,"&lt;"&amp;A1836,Оплаты!$B$6:$B$505))</f>
        <v/>
      </c>
      <c r="E1836">
        <f>IF(A1836="","",IF(SUMPRODUCT((Ввод!$F$12:$F$31&lt;&gt;"")*(Ввод!$F$12:$F$31&lt;=A1836)*(Ввод!$G$12:$G$31&gt;=A1836))&gt;0,1,0))</f>
        <v/>
      </c>
      <c r="F1836">
        <f>IF(OR(A1836="",B1836=""),"",IF(E1836=1,0,D1836*B1836/100/C1836))</f>
        <v/>
      </c>
      <c r="G1836">
        <f>IF(A1836="","",IF(OR(B1836&lt;&gt;B1835,C1836&lt;&gt;C1835,D1836&lt;&gt;D1835,E1836&lt;&gt;E1835),G1835+1,G1835))</f>
        <v/>
      </c>
    </row>
    <row r="1837">
      <c r="A1837" s="14">
        <f>IF(OR(NOT(ISNUMBER(Ввод!$B$5)),NOT(ISNUMBER(Ввод!$B$6))),"",IF(Ввод!$B$5+1835&gt;Ввод!$B$6,"",Ввод!$B$5+1835))</f>
        <v/>
      </c>
      <c r="B1837">
        <f>IF(A1837="","",IFERROR(INDEX(Ввод!$B$12:$B$71,MATCH(A1837,Ввод!$D$12:$D$71,1)),""))</f>
        <v/>
      </c>
      <c r="C1837">
        <f>IF(A1837="","",DATE(YEAR(A1837),12,31)-DATE(YEAR(A1837),1,1)+1)</f>
        <v/>
      </c>
      <c r="D1837">
        <f>IF(A1837="","",Ввод!$B$4-SUMIF(Оплаты!$A$6:$A$505,"&lt;"&amp;A1837,Оплаты!$B$6:$B$505))</f>
        <v/>
      </c>
      <c r="E1837">
        <f>IF(A1837="","",IF(SUMPRODUCT((Ввод!$F$12:$F$31&lt;&gt;"")*(Ввод!$F$12:$F$31&lt;=A1837)*(Ввод!$G$12:$G$31&gt;=A1837))&gt;0,1,0))</f>
        <v/>
      </c>
      <c r="F1837">
        <f>IF(OR(A1837="",B1837=""),"",IF(E1837=1,0,D1837*B1837/100/C1837))</f>
        <v/>
      </c>
      <c r="G1837">
        <f>IF(A1837="","",IF(OR(B1837&lt;&gt;B1836,C1837&lt;&gt;C1836,D1837&lt;&gt;D1836,E1837&lt;&gt;E1836),G1836+1,G1836))</f>
        <v/>
      </c>
    </row>
    <row r="1838">
      <c r="A1838" s="14">
        <f>IF(OR(NOT(ISNUMBER(Ввод!$B$5)),NOT(ISNUMBER(Ввод!$B$6))),"",IF(Ввод!$B$5+1836&gt;Ввод!$B$6,"",Ввод!$B$5+1836))</f>
        <v/>
      </c>
      <c r="B1838">
        <f>IF(A1838="","",IFERROR(INDEX(Ввод!$B$12:$B$71,MATCH(A1838,Ввод!$D$12:$D$71,1)),""))</f>
        <v/>
      </c>
      <c r="C1838">
        <f>IF(A1838="","",DATE(YEAR(A1838),12,31)-DATE(YEAR(A1838),1,1)+1)</f>
        <v/>
      </c>
      <c r="D1838">
        <f>IF(A1838="","",Ввод!$B$4-SUMIF(Оплаты!$A$6:$A$505,"&lt;"&amp;A1838,Оплаты!$B$6:$B$505))</f>
        <v/>
      </c>
      <c r="E1838">
        <f>IF(A1838="","",IF(SUMPRODUCT((Ввод!$F$12:$F$31&lt;&gt;"")*(Ввод!$F$12:$F$31&lt;=A1838)*(Ввод!$G$12:$G$31&gt;=A1838))&gt;0,1,0))</f>
        <v/>
      </c>
      <c r="F1838">
        <f>IF(OR(A1838="",B1838=""),"",IF(E1838=1,0,D1838*B1838/100/C1838))</f>
        <v/>
      </c>
      <c r="G1838">
        <f>IF(A1838="","",IF(OR(B1838&lt;&gt;B1837,C1838&lt;&gt;C1837,D1838&lt;&gt;D1837,E1838&lt;&gt;E1837),G1837+1,G1837))</f>
        <v/>
      </c>
    </row>
    <row r="1839">
      <c r="A1839" s="14">
        <f>IF(OR(NOT(ISNUMBER(Ввод!$B$5)),NOT(ISNUMBER(Ввод!$B$6))),"",IF(Ввод!$B$5+1837&gt;Ввод!$B$6,"",Ввод!$B$5+1837))</f>
        <v/>
      </c>
      <c r="B1839">
        <f>IF(A1839="","",IFERROR(INDEX(Ввод!$B$12:$B$71,MATCH(A1839,Ввод!$D$12:$D$71,1)),""))</f>
        <v/>
      </c>
      <c r="C1839">
        <f>IF(A1839="","",DATE(YEAR(A1839),12,31)-DATE(YEAR(A1839),1,1)+1)</f>
        <v/>
      </c>
      <c r="D1839">
        <f>IF(A1839="","",Ввод!$B$4-SUMIF(Оплаты!$A$6:$A$505,"&lt;"&amp;A1839,Оплаты!$B$6:$B$505))</f>
        <v/>
      </c>
      <c r="E1839">
        <f>IF(A1839="","",IF(SUMPRODUCT((Ввод!$F$12:$F$31&lt;&gt;"")*(Ввод!$F$12:$F$31&lt;=A1839)*(Ввод!$G$12:$G$31&gt;=A1839))&gt;0,1,0))</f>
        <v/>
      </c>
      <c r="F1839">
        <f>IF(OR(A1839="",B1839=""),"",IF(E1839=1,0,D1839*B1839/100/C1839))</f>
        <v/>
      </c>
      <c r="G1839">
        <f>IF(A1839="","",IF(OR(B1839&lt;&gt;B1838,C1839&lt;&gt;C1838,D1839&lt;&gt;D1838,E1839&lt;&gt;E1838),G1838+1,G1838))</f>
        <v/>
      </c>
    </row>
    <row r="1840">
      <c r="A1840" s="14">
        <f>IF(OR(NOT(ISNUMBER(Ввод!$B$5)),NOT(ISNUMBER(Ввод!$B$6))),"",IF(Ввод!$B$5+1838&gt;Ввод!$B$6,"",Ввод!$B$5+1838))</f>
        <v/>
      </c>
      <c r="B1840">
        <f>IF(A1840="","",IFERROR(INDEX(Ввод!$B$12:$B$71,MATCH(A1840,Ввод!$D$12:$D$71,1)),""))</f>
        <v/>
      </c>
      <c r="C1840">
        <f>IF(A1840="","",DATE(YEAR(A1840),12,31)-DATE(YEAR(A1840),1,1)+1)</f>
        <v/>
      </c>
      <c r="D1840">
        <f>IF(A1840="","",Ввод!$B$4-SUMIF(Оплаты!$A$6:$A$505,"&lt;"&amp;A1840,Оплаты!$B$6:$B$505))</f>
        <v/>
      </c>
      <c r="E1840">
        <f>IF(A1840="","",IF(SUMPRODUCT((Ввод!$F$12:$F$31&lt;&gt;"")*(Ввод!$F$12:$F$31&lt;=A1840)*(Ввод!$G$12:$G$31&gt;=A1840))&gt;0,1,0))</f>
        <v/>
      </c>
      <c r="F1840">
        <f>IF(OR(A1840="",B1840=""),"",IF(E1840=1,0,D1840*B1840/100/C1840))</f>
        <v/>
      </c>
      <c r="G1840">
        <f>IF(A1840="","",IF(OR(B1840&lt;&gt;B1839,C1840&lt;&gt;C1839,D1840&lt;&gt;D1839,E1840&lt;&gt;E1839),G1839+1,G1839))</f>
        <v/>
      </c>
    </row>
    <row r="1841">
      <c r="A1841" s="14">
        <f>IF(OR(NOT(ISNUMBER(Ввод!$B$5)),NOT(ISNUMBER(Ввод!$B$6))),"",IF(Ввод!$B$5+1839&gt;Ввод!$B$6,"",Ввод!$B$5+1839))</f>
        <v/>
      </c>
      <c r="B1841">
        <f>IF(A1841="","",IFERROR(INDEX(Ввод!$B$12:$B$71,MATCH(A1841,Ввод!$D$12:$D$71,1)),""))</f>
        <v/>
      </c>
      <c r="C1841">
        <f>IF(A1841="","",DATE(YEAR(A1841),12,31)-DATE(YEAR(A1841),1,1)+1)</f>
        <v/>
      </c>
      <c r="D1841">
        <f>IF(A1841="","",Ввод!$B$4-SUMIF(Оплаты!$A$6:$A$505,"&lt;"&amp;A1841,Оплаты!$B$6:$B$505))</f>
        <v/>
      </c>
      <c r="E1841">
        <f>IF(A1841="","",IF(SUMPRODUCT((Ввод!$F$12:$F$31&lt;&gt;"")*(Ввод!$F$12:$F$31&lt;=A1841)*(Ввод!$G$12:$G$31&gt;=A1841))&gt;0,1,0))</f>
        <v/>
      </c>
      <c r="F1841">
        <f>IF(OR(A1841="",B1841=""),"",IF(E1841=1,0,D1841*B1841/100/C1841))</f>
        <v/>
      </c>
      <c r="G1841">
        <f>IF(A1841="","",IF(OR(B1841&lt;&gt;B1840,C1841&lt;&gt;C1840,D1841&lt;&gt;D1840,E1841&lt;&gt;E1840),G1840+1,G1840))</f>
        <v/>
      </c>
    </row>
    <row r="1842">
      <c r="A1842" s="14">
        <f>IF(OR(NOT(ISNUMBER(Ввод!$B$5)),NOT(ISNUMBER(Ввод!$B$6))),"",IF(Ввод!$B$5+1840&gt;Ввод!$B$6,"",Ввод!$B$5+1840))</f>
        <v/>
      </c>
      <c r="B1842">
        <f>IF(A1842="","",IFERROR(INDEX(Ввод!$B$12:$B$71,MATCH(A1842,Ввод!$D$12:$D$71,1)),""))</f>
        <v/>
      </c>
      <c r="C1842">
        <f>IF(A1842="","",DATE(YEAR(A1842),12,31)-DATE(YEAR(A1842),1,1)+1)</f>
        <v/>
      </c>
      <c r="D1842">
        <f>IF(A1842="","",Ввод!$B$4-SUMIF(Оплаты!$A$6:$A$505,"&lt;"&amp;A1842,Оплаты!$B$6:$B$505))</f>
        <v/>
      </c>
      <c r="E1842">
        <f>IF(A1842="","",IF(SUMPRODUCT((Ввод!$F$12:$F$31&lt;&gt;"")*(Ввод!$F$12:$F$31&lt;=A1842)*(Ввод!$G$12:$G$31&gt;=A1842))&gt;0,1,0))</f>
        <v/>
      </c>
      <c r="F1842">
        <f>IF(OR(A1842="",B1842=""),"",IF(E1842=1,0,D1842*B1842/100/C1842))</f>
        <v/>
      </c>
      <c r="G1842">
        <f>IF(A1842="","",IF(OR(B1842&lt;&gt;B1841,C1842&lt;&gt;C1841,D1842&lt;&gt;D1841,E1842&lt;&gt;E1841),G1841+1,G1841))</f>
        <v/>
      </c>
    </row>
    <row r="1843">
      <c r="A1843" s="14">
        <f>IF(OR(NOT(ISNUMBER(Ввод!$B$5)),NOT(ISNUMBER(Ввод!$B$6))),"",IF(Ввод!$B$5+1841&gt;Ввод!$B$6,"",Ввод!$B$5+1841))</f>
        <v/>
      </c>
      <c r="B1843">
        <f>IF(A1843="","",IFERROR(INDEX(Ввод!$B$12:$B$71,MATCH(A1843,Ввод!$D$12:$D$71,1)),""))</f>
        <v/>
      </c>
      <c r="C1843">
        <f>IF(A1843="","",DATE(YEAR(A1843),12,31)-DATE(YEAR(A1843),1,1)+1)</f>
        <v/>
      </c>
      <c r="D1843">
        <f>IF(A1843="","",Ввод!$B$4-SUMIF(Оплаты!$A$6:$A$505,"&lt;"&amp;A1843,Оплаты!$B$6:$B$505))</f>
        <v/>
      </c>
      <c r="E1843">
        <f>IF(A1843="","",IF(SUMPRODUCT((Ввод!$F$12:$F$31&lt;&gt;"")*(Ввод!$F$12:$F$31&lt;=A1843)*(Ввод!$G$12:$G$31&gt;=A1843))&gt;0,1,0))</f>
        <v/>
      </c>
      <c r="F1843">
        <f>IF(OR(A1843="",B1843=""),"",IF(E1843=1,0,D1843*B1843/100/C1843))</f>
        <v/>
      </c>
      <c r="G1843">
        <f>IF(A1843="","",IF(OR(B1843&lt;&gt;B1842,C1843&lt;&gt;C1842,D1843&lt;&gt;D1842,E1843&lt;&gt;E1842),G1842+1,G1842))</f>
        <v/>
      </c>
    </row>
    <row r="1844">
      <c r="A1844" s="14">
        <f>IF(OR(NOT(ISNUMBER(Ввод!$B$5)),NOT(ISNUMBER(Ввод!$B$6))),"",IF(Ввод!$B$5+1842&gt;Ввод!$B$6,"",Ввод!$B$5+1842))</f>
        <v/>
      </c>
      <c r="B1844">
        <f>IF(A1844="","",IFERROR(INDEX(Ввод!$B$12:$B$71,MATCH(A1844,Ввод!$D$12:$D$71,1)),""))</f>
        <v/>
      </c>
      <c r="C1844">
        <f>IF(A1844="","",DATE(YEAR(A1844),12,31)-DATE(YEAR(A1844),1,1)+1)</f>
        <v/>
      </c>
      <c r="D1844">
        <f>IF(A1844="","",Ввод!$B$4-SUMIF(Оплаты!$A$6:$A$505,"&lt;"&amp;A1844,Оплаты!$B$6:$B$505))</f>
        <v/>
      </c>
      <c r="E1844">
        <f>IF(A1844="","",IF(SUMPRODUCT((Ввод!$F$12:$F$31&lt;&gt;"")*(Ввод!$F$12:$F$31&lt;=A1844)*(Ввод!$G$12:$G$31&gt;=A1844))&gt;0,1,0))</f>
        <v/>
      </c>
      <c r="F1844">
        <f>IF(OR(A1844="",B1844=""),"",IF(E1844=1,0,D1844*B1844/100/C1844))</f>
        <v/>
      </c>
      <c r="G1844">
        <f>IF(A1844="","",IF(OR(B1844&lt;&gt;B1843,C1844&lt;&gt;C1843,D1844&lt;&gt;D1843,E1844&lt;&gt;E1843),G1843+1,G1843))</f>
        <v/>
      </c>
    </row>
    <row r="1845">
      <c r="A1845" s="14">
        <f>IF(OR(NOT(ISNUMBER(Ввод!$B$5)),NOT(ISNUMBER(Ввод!$B$6))),"",IF(Ввод!$B$5+1843&gt;Ввод!$B$6,"",Ввод!$B$5+1843))</f>
        <v/>
      </c>
      <c r="B1845">
        <f>IF(A1845="","",IFERROR(INDEX(Ввод!$B$12:$B$71,MATCH(A1845,Ввод!$D$12:$D$71,1)),""))</f>
        <v/>
      </c>
      <c r="C1845">
        <f>IF(A1845="","",DATE(YEAR(A1845),12,31)-DATE(YEAR(A1845),1,1)+1)</f>
        <v/>
      </c>
      <c r="D1845">
        <f>IF(A1845="","",Ввод!$B$4-SUMIF(Оплаты!$A$6:$A$505,"&lt;"&amp;A1845,Оплаты!$B$6:$B$505))</f>
        <v/>
      </c>
      <c r="E1845">
        <f>IF(A1845="","",IF(SUMPRODUCT((Ввод!$F$12:$F$31&lt;&gt;"")*(Ввод!$F$12:$F$31&lt;=A1845)*(Ввод!$G$12:$G$31&gt;=A1845))&gt;0,1,0))</f>
        <v/>
      </c>
      <c r="F1845">
        <f>IF(OR(A1845="",B1845=""),"",IF(E1845=1,0,D1845*B1845/100/C1845))</f>
        <v/>
      </c>
      <c r="G1845">
        <f>IF(A1845="","",IF(OR(B1845&lt;&gt;B1844,C1845&lt;&gt;C1844,D1845&lt;&gt;D1844,E1845&lt;&gt;E1844),G1844+1,G1844))</f>
        <v/>
      </c>
    </row>
    <row r="1846">
      <c r="A1846" s="14">
        <f>IF(OR(NOT(ISNUMBER(Ввод!$B$5)),NOT(ISNUMBER(Ввод!$B$6))),"",IF(Ввод!$B$5+1844&gt;Ввод!$B$6,"",Ввод!$B$5+1844))</f>
        <v/>
      </c>
      <c r="B1846">
        <f>IF(A1846="","",IFERROR(INDEX(Ввод!$B$12:$B$71,MATCH(A1846,Ввод!$D$12:$D$71,1)),""))</f>
        <v/>
      </c>
      <c r="C1846">
        <f>IF(A1846="","",DATE(YEAR(A1846),12,31)-DATE(YEAR(A1846),1,1)+1)</f>
        <v/>
      </c>
      <c r="D1846">
        <f>IF(A1846="","",Ввод!$B$4-SUMIF(Оплаты!$A$6:$A$505,"&lt;"&amp;A1846,Оплаты!$B$6:$B$505))</f>
        <v/>
      </c>
      <c r="E1846">
        <f>IF(A1846="","",IF(SUMPRODUCT((Ввод!$F$12:$F$31&lt;&gt;"")*(Ввод!$F$12:$F$31&lt;=A1846)*(Ввод!$G$12:$G$31&gt;=A1846))&gt;0,1,0))</f>
        <v/>
      </c>
      <c r="F1846">
        <f>IF(OR(A1846="",B1846=""),"",IF(E1846=1,0,D1846*B1846/100/C1846))</f>
        <v/>
      </c>
      <c r="G1846">
        <f>IF(A1846="","",IF(OR(B1846&lt;&gt;B1845,C1846&lt;&gt;C1845,D1846&lt;&gt;D1845,E1846&lt;&gt;E1845),G1845+1,G1845))</f>
        <v/>
      </c>
    </row>
    <row r="1847">
      <c r="A1847" s="14">
        <f>IF(OR(NOT(ISNUMBER(Ввод!$B$5)),NOT(ISNUMBER(Ввод!$B$6))),"",IF(Ввод!$B$5+1845&gt;Ввод!$B$6,"",Ввод!$B$5+1845))</f>
        <v/>
      </c>
      <c r="B1847">
        <f>IF(A1847="","",IFERROR(INDEX(Ввод!$B$12:$B$71,MATCH(A1847,Ввод!$D$12:$D$71,1)),""))</f>
        <v/>
      </c>
      <c r="C1847">
        <f>IF(A1847="","",DATE(YEAR(A1847),12,31)-DATE(YEAR(A1847),1,1)+1)</f>
        <v/>
      </c>
      <c r="D1847">
        <f>IF(A1847="","",Ввод!$B$4-SUMIF(Оплаты!$A$6:$A$505,"&lt;"&amp;A1847,Оплаты!$B$6:$B$505))</f>
        <v/>
      </c>
      <c r="E1847">
        <f>IF(A1847="","",IF(SUMPRODUCT((Ввод!$F$12:$F$31&lt;&gt;"")*(Ввод!$F$12:$F$31&lt;=A1847)*(Ввод!$G$12:$G$31&gt;=A1847))&gt;0,1,0))</f>
        <v/>
      </c>
      <c r="F1847">
        <f>IF(OR(A1847="",B1847=""),"",IF(E1847=1,0,D1847*B1847/100/C1847))</f>
        <v/>
      </c>
      <c r="G1847">
        <f>IF(A1847="","",IF(OR(B1847&lt;&gt;B1846,C1847&lt;&gt;C1846,D1847&lt;&gt;D1846,E1847&lt;&gt;E1846),G1846+1,G1846))</f>
        <v/>
      </c>
    </row>
    <row r="1848">
      <c r="A1848" s="14">
        <f>IF(OR(NOT(ISNUMBER(Ввод!$B$5)),NOT(ISNUMBER(Ввод!$B$6))),"",IF(Ввод!$B$5+1846&gt;Ввод!$B$6,"",Ввод!$B$5+1846))</f>
        <v/>
      </c>
      <c r="B1848">
        <f>IF(A1848="","",IFERROR(INDEX(Ввод!$B$12:$B$71,MATCH(A1848,Ввод!$D$12:$D$71,1)),""))</f>
        <v/>
      </c>
      <c r="C1848">
        <f>IF(A1848="","",DATE(YEAR(A1848),12,31)-DATE(YEAR(A1848),1,1)+1)</f>
        <v/>
      </c>
      <c r="D1848">
        <f>IF(A1848="","",Ввод!$B$4-SUMIF(Оплаты!$A$6:$A$505,"&lt;"&amp;A1848,Оплаты!$B$6:$B$505))</f>
        <v/>
      </c>
      <c r="E1848">
        <f>IF(A1848="","",IF(SUMPRODUCT((Ввод!$F$12:$F$31&lt;&gt;"")*(Ввод!$F$12:$F$31&lt;=A1848)*(Ввод!$G$12:$G$31&gt;=A1848))&gt;0,1,0))</f>
        <v/>
      </c>
      <c r="F1848">
        <f>IF(OR(A1848="",B1848=""),"",IF(E1848=1,0,D1848*B1848/100/C1848))</f>
        <v/>
      </c>
      <c r="G1848">
        <f>IF(A1848="","",IF(OR(B1848&lt;&gt;B1847,C1848&lt;&gt;C1847,D1848&lt;&gt;D1847,E1848&lt;&gt;E1847),G1847+1,G1847))</f>
        <v/>
      </c>
    </row>
    <row r="1849">
      <c r="A1849" s="14">
        <f>IF(OR(NOT(ISNUMBER(Ввод!$B$5)),NOT(ISNUMBER(Ввод!$B$6))),"",IF(Ввод!$B$5+1847&gt;Ввод!$B$6,"",Ввод!$B$5+1847))</f>
        <v/>
      </c>
      <c r="B1849">
        <f>IF(A1849="","",IFERROR(INDEX(Ввод!$B$12:$B$71,MATCH(A1849,Ввод!$D$12:$D$71,1)),""))</f>
        <v/>
      </c>
      <c r="C1849">
        <f>IF(A1849="","",DATE(YEAR(A1849),12,31)-DATE(YEAR(A1849),1,1)+1)</f>
        <v/>
      </c>
      <c r="D1849">
        <f>IF(A1849="","",Ввод!$B$4-SUMIF(Оплаты!$A$6:$A$505,"&lt;"&amp;A1849,Оплаты!$B$6:$B$505))</f>
        <v/>
      </c>
      <c r="E1849">
        <f>IF(A1849="","",IF(SUMPRODUCT((Ввод!$F$12:$F$31&lt;&gt;"")*(Ввод!$F$12:$F$31&lt;=A1849)*(Ввод!$G$12:$G$31&gt;=A1849))&gt;0,1,0))</f>
        <v/>
      </c>
      <c r="F1849">
        <f>IF(OR(A1849="",B1849=""),"",IF(E1849=1,0,D1849*B1849/100/C1849))</f>
        <v/>
      </c>
      <c r="G1849">
        <f>IF(A1849="","",IF(OR(B1849&lt;&gt;B1848,C1849&lt;&gt;C1848,D1849&lt;&gt;D1848,E1849&lt;&gt;E1848),G1848+1,G1848))</f>
        <v/>
      </c>
    </row>
    <row r="1850">
      <c r="A1850" s="14">
        <f>IF(OR(NOT(ISNUMBER(Ввод!$B$5)),NOT(ISNUMBER(Ввод!$B$6))),"",IF(Ввод!$B$5+1848&gt;Ввод!$B$6,"",Ввод!$B$5+1848))</f>
        <v/>
      </c>
      <c r="B1850">
        <f>IF(A1850="","",IFERROR(INDEX(Ввод!$B$12:$B$71,MATCH(A1850,Ввод!$D$12:$D$71,1)),""))</f>
        <v/>
      </c>
      <c r="C1850">
        <f>IF(A1850="","",DATE(YEAR(A1850),12,31)-DATE(YEAR(A1850),1,1)+1)</f>
        <v/>
      </c>
      <c r="D1850">
        <f>IF(A1850="","",Ввод!$B$4-SUMIF(Оплаты!$A$6:$A$505,"&lt;"&amp;A1850,Оплаты!$B$6:$B$505))</f>
        <v/>
      </c>
      <c r="E1850">
        <f>IF(A1850="","",IF(SUMPRODUCT((Ввод!$F$12:$F$31&lt;&gt;"")*(Ввод!$F$12:$F$31&lt;=A1850)*(Ввод!$G$12:$G$31&gt;=A1850))&gt;0,1,0))</f>
        <v/>
      </c>
      <c r="F1850">
        <f>IF(OR(A1850="",B1850=""),"",IF(E1850=1,0,D1850*B1850/100/C1850))</f>
        <v/>
      </c>
      <c r="G1850">
        <f>IF(A1850="","",IF(OR(B1850&lt;&gt;B1849,C1850&lt;&gt;C1849,D1850&lt;&gt;D1849,E1850&lt;&gt;E1849),G1849+1,G1849))</f>
        <v/>
      </c>
    </row>
    <row r="1851">
      <c r="A1851" s="14">
        <f>IF(OR(NOT(ISNUMBER(Ввод!$B$5)),NOT(ISNUMBER(Ввод!$B$6))),"",IF(Ввод!$B$5+1849&gt;Ввод!$B$6,"",Ввод!$B$5+1849))</f>
        <v/>
      </c>
      <c r="B1851">
        <f>IF(A1851="","",IFERROR(INDEX(Ввод!$B$12:$B$71,MATCH(A1851,Ввод!$D$12:$D$71,1)),""))</f>
        <v/>
      </c>
      <c r="C1851">
        <f>IF(A1851="","",DATE(YEAR(A1851),12,31)-DATE(YEAR(A1851),1,1)+1)</f>
        <v/>
      </c>
      <c r="D1851">
        <f>IF(A1851="","",Ввод!$B$4-SUMIF(Оплаты!$A$6:$A$505,"&lt;"&amp;A1851,Оплаты!$B$6:$B$505))</f>
        <v/>
      </c>
      <c r="E1851">
        <f>IF(A1851="","",IF(SUMPRODUCT((Ввод!$F$12:$F$31&lt;&gt;"")*(Ввод!$F$12:$F$31&lt;=A1851)*(Ввод!$G$12:$G$31&gt;=A1851))&gt;0,1,0))</f>
        <v/>
      </c>
      <c r="F1851">
        <f>IF(OR(A1851="",B1851=""),"",IF(E1851=1,0,D1851*B1851/100/C1851))</f>
        <v/>
      </c>
      <c r="G1851">
        <f>IF(A1851="","",IF(OR(B1851&lt;&gt;B1850,C1851&lt;&gt;C1850,D1851&lt;&gt;D1850,E1851&lt;&gt;E1850),G1850+1,G1850))</f>
        <v/>
      </c>
    </row>
    <row r="1852">
      <c r="A1852" s="14">
        <f>IF(OR(NOT(ISNUMBER(Ввод!$B$5)),NOT(ISNUMBER(Ввод!$B$6))),"",IF(Ввод!$B$5+1850&gt;Ввод!$B$6,"",Ввод!$B$5+1850))</f>
        <v/>
      </c>
      <c r="B1852">
        <f>IF(A1852="","",IFERROR(INDEX(Ввод!$B$12:$B$71,MATCH(A1852,Ввод!$D$12:$D$71,1)),""))</f>
        <v/>
      </c>
      <c r="C1852">
        <f>IF(A1852="","",DATE(YEAR(A1852),12,31)-DATE(YEAR(A1852),1,1)+1)</f>
        <v/>
      </c>
      <c r="D1852">
        <f>IF(A1852="","",Ввод!$B$4-SUMIF(Оплаты!$A$6:$A$505,"&lt;"&amp;A1852,Оплаты!$B$6:$B$505))</f>
        <v/>
      </c>
      <c r="E1852">
        <f>IF(A1852="","",IF(SUMPRODUCT((Ввод!$F$12:$F$31&lt;&gt;"")*(Ввод!$F$12:$F$31&lt;=A1852)*(Ввод!$G$12:$G$31&gt;=A1852))&gt;0,1,0))</f>
        <v/>
      </c>
      <c r="F1852">
        <f>IF(OR(A1852="",B1852=""),"",IF(E1852=1,0,D1852*B1852/100/C1852))</f>
        <v/>
      </c>
      <c r="G1852">
        <f>IF(A1852="","",IF(OR(B1852&lt;&gt;B1851,C1852&lt;&gt;C1851,D1852&lt;&gt;D1851,E1852&lt;&gt;E1851),G1851+1,G1851))</f>
        <v/>
      </c>
    </row>
    <row r="1853">
      <c r="A1853" s="14">
        <f>IF(OR(NOT(ISNUMBER(Ввод!$B$5)),NOT(ISNUMBER(Ввод!$B$6))),"",IF(Ввод!$B$5+1851&gt;Ввод!$B$6,"",Ввод!$B$5+1851))</f>
        <v/>
      </c>
      <c r="B1853">
        <f>IF(A1853="","",IFERROR(INDEX(Ввод!$B$12:$B$71,MATCH(A1853,Ввод!$D$12:$D$71,1)),""))</f>
        <v/>
      </c>
      <c r="C1853">
        <f>IF(A1853="","",DATE(YEAR(A1853),12,31)-DATE(YEAR(A1853),1,1)+1)</f>
        <v/>
      </c>
      <c r="D1853">
        <f>IF(A1853="","",Ввод!$B$4-SUMIF(Оплаты!$A$6:$A$505,"&lt;"&amp;A1853,Оплаты!$B$6:$B$505))</f>
        <v/>
      </c>
      <c r="E1853">
        <f>IF(A1853="","",IF(SUMPRODUCT((Ввод!$F$12:$F$31&lt;&gt;"")*(Ввод!$F$12:$F$31&lt;=A1853)*(Ввод!$G$12:$G$31&gt;=A1853))&gt;0,1,0))</f>
        <v/>
      </c>
      <c r="F1853">
        <f>IF(OR(A1853="",B1853=""),"",IF(E1853=1,0,D1853*B1853/100/C1853))</f>
        <v/>
      </c>
      <c r="G1853">
        <f>IF(A1853="","",IF(OR(B1853&lt;&gt;B1852,C1853&lt;&gt;C1852,D1853&lt;&gt;D1852,E1853&lt;&gt;E1852),G1852+1,G1852))</f>
        <v/>
      </c>
    </row>
    <row r="1854">
      <c r="A1854" s="14">
        <f>IF(OR(NOT(ISNUMBER(Ввод!$B$5)),NOT(ISNUMBER(Ввод!$B$6))),"",IF(Ввод!$B$5+1852&gt;Ввод!$B$6,"",Ввод!$B$5+1852))</f>
        <v/>
      </c>
      <c r="B1854">
        <f>IF(A1854="","",IFERROR(INDEX(Ввод!$B$12:$B$71,MATCH(A1854,Ввод!$D$12:$D$71,1)),""))</f>
        <v/>
      </c>
      <c r="C1854">
        <f>IF(A1854="","",DATE(YEAR(A1854),12,31)-DATE(YEAR(A1854),1,1)+1)</f>
        <v/>
      </c>
      <c r="D1854">
        <f>IF(A1854="","",Ввод!$B$4-SUMIF(Оплаты!$A$6:$A$505,"&lt;"&amp;A1854,Оплаты!$B$6:$B$505))</f>
        <v/>
      </c>
      <c r="E1854">
        <f>IF(A1854="","",IF(SUMPRODUCT((Ввод!$F$12:$F$31&lt;&gt;"")*(Ввод!$F$12:$F$31&lt;=A1854)*(Ввод!$G$12:$G$31&gt;=A1854))&gt;0,1,0))</f>
        <v/>
      </c>
      <c r="F1854">
        <f>IF(OR(A1854="",B1854=""),"",IF(E1854=1,0,D1854*B1854/100/C1854))</f>
        <v/>
      </c>
      <c r="G1854">
        <f>IF(A1854="","",IF(OR(B1854&lt;&gt;B1853,C1854&lt;&gt;C1853,D1854&lt;&gt;D1853,E1854&lt;&gt;E1853),G1853+1,G1853))</f>
        <v/>
      </c>
    </row>
    <row r="1855">
      <c r="A1855" s="14">
        <f>IF(OR(NOT(ISNUMBER(Ввод!$B$5)),NOT(ISNUMBER(Ввод!$B$6))),"",IF(Ввод!$B$5+1853&gt;Ввод!$B$6,"",Ввод!$B$5+1853))</f>
        <v/>
      </c>
      <c r="B1855">
        <f>IF(A1855="","",IFERROR(INDEX(Ввод!$B$12:$B$71,MATCH(A1855,Ввод!$D$12:$D$71,1)),""))</f>
        <v/>
      </c>
      <c r="C1855">
        <f>IF(A1855="","",DATE(YEAR(A1855),12,31)-DATE(YEAR(A1855),1,1)+1)</f>
        <v/>
      </c>
      <c r="D1855">
        <f>IF(A1855="","",Ввод!$B$4-SUMIF(Оплаты!$A$6:$A$505,"&lt;"&amp;A1855,Оплаты!$B$6:$B$505))</f>
        <v/>
      </c>
      <c r="E1855">
        <f>IF(A1855="","",IF(SUMPRODUCT((Ввод!$F$12:$F$31&lt;&gt;"")*(Ввод!$F$12:$F$31&lt;=A1855)*(Ввод!$G$12:$G$31&gt;=A1855))&gt;0,1,0))</f>
        <v/>
      </c>
      <c r="F1855">
        <f>IF(OR(A1855="",B1855=""),"",IF(E1855=1,0,D1855*B1855/100/C1855))</f>
        <v/>
      </c>
      <c r="G1855">
        <f>IF(A1855="","",IF(OR(B1855&lt;&gt;B1854,C1855&lt;&gt;C1854,D1855&lt;&gt;D1854,E1855&lt;&gt;E1854),G1854+1,G1854))</f>
        <v/>
      </c>
    </row>
    <row r="1856">
      <c r="A1856" s="14">
        <f>IF(OR(NOT(ISNUMBER(Ввод!$B$5)),NOT(ISNUMBER(Ввод!$B$6))),"",IF(Ввод!$B$5+1854&gt;Ввод!$B$6,"",Ввод!$B$5+1854))</f>
        <v/>
      </c>
      <c r="B1856">
        <f>IF(A1856="","",IFERROR(INDEX(Ввод!$B$12:$B$71,MATCH(A1856,Ввод!$D$12:$D$71,1)),""))</f>
        <v/>
      </c>
      <c r="C1856">
        <f>IF(A1856="","",DATE(YEAR(A1856),12,31)-DATE(YEAR(A1856),1,1)+1)</f>
        <v/>
      </c>
      <c r="D1856">
        <f>IF(A1856="","",Ввод!$B$4-SUMIF(Оплаты!$A$6:$A$505,"&lt;"&amp;A1856,Оплаты!$B$6:$B$505))</f>
        <v/>
      </c>
      <c r="E1856">
        <f>IF(A1856="","",IF(SUMPRODUCT((Ввод!$F$12:$F$31&lt;&gt;"")*(Ввод!$F$12:$F$31&lt;=A1856)*(Ввод!$G$12:$G$31&gt;=A1856))&gt;0,1,0))</f>
        <v/>
      </c>
      <c r="F1856">
        <f>IF(OR(A1856="",B1856=""),"",IF(E1856=1,0,D1856*B1856/100/C1856))</f>
        <v/>
      </c>
      <c r="G1856">
        <f>IF(A1856="","",IF(OR(B1856&lt;&gt;B1855,C1856&lt;&gt;C1855,D1856&lt;&gt;D1855,E1856&lt;&gt;E1855),G1855+1,G1855))</f>
        <v/>
      </c>
    </row>
    <row r="1857">
      <c r="A1857" s="14">
        <f>IF(OR(NOT(ISNUMBER(Ввод!$B$5)),NOT(ISNUMBER(Ввод!$B$6))),"",IF(Ввод!$B$5+1855&gt;Ввод!$B$6,"",Ввод!$B$5+1855))</f>
        <v/>
      </c>
      <c r="B1857">
        <f>IF(A1857="","",IFERROR(INDEX(Ввод!$B$12:$B$71,MATCH(A1857,Ввод!$D$12:$D$71,1)),""))</f>
        <v/>
      </c>
      <c r="C1857">
        <f>IF(A1857="","",DATE(YEAR(A1857),12,31)-DATE(YEAR(A1857),1,1)+1)</f>
        <v/>
      </c>
      <c r="D1857">
        <f>IF(A1857="","",Ввод!$B$4-SUMIF(Оплаты!$A$6:$A$505,"&lt;"&amp;A1857,Оплаты!$B$6:$B$505))</f>
        <v/>
      </c>
      <c r="E1857">
        <f>IF(A1857="","",IF(SUMPRODUCT((Ввод!$F$12:$F$31&lt;&gt;"")*(Ввод!$F$12:$F$31&lt;=A1857)*(Ввод!$G$12:$G$31&gt;=A1857))&gt;0,1,0))</f>
        <v/>
      </c>
      <c r="F1857">
        <f>IF(OR(A1857="",B1857=""),"",IF(E1857=1,0,D1857*B1857/100/C1857))</f>
        <v/>
      </c>
      <c r="G1857">
        <f>IF(A1857="","",IF(OR(B1857&lt;&gt;B1856,C1857&lt;&gt;C1856,D1857&lt;&gt;D1856,E1857&lt;&gt;E1856),G1856+1,G1856))</f>
        <v/>
      </c>
    </row>
    <row r="1858">
      <c r="A1858" s="14">
        <f>IF(OR(NOT(ISNUMBER(Ввод!$B$5)),NOT(ISNUMBER(Ввод!$B$6))),"",IF(Ввод!$B$5+1856&gt;Ввод!$B$6,"",Ввод!$B$5+1856))</f>
        <v/>
      </c>
      <c r="B1858">
        <f>IF(A1858="","",IFERROR(INDEX(Ввод!$B$12:$B$71,MATCH(A1858,Ввод!$D$12:$D$71,1)),""))</f>
        <v/>
      </c>
      <c r="C1858">
        <f>IF(A1858="","",DATE(YEAR(A1858),12,31)-DATE(YEAR(A1858),1,1)+1)</f>
        <v/>
      </c>
      <c r="D1858">
        <f>IF(A1858="","",Ввод!$B$4-SUMIF(Оплаты!$A$6:$A$505,"&lt;"&amp;A1858,Оплаты!$B$6:$B$505))</f>
        <v/>
      </c>
      <c r="E1858">
        <f>IF(A1858="","",IF(SUMPRODUCT((Ввод!$F$12:$F$31&lt;&gt;"")*(Ввод!$F$12:$F$31&lt;=A1858)*(Ввод!$G$12:$G$31&gt;=A1858))&gt;0,1,0))</f>
        <v/>
      </c>
      <c r="F1858">
        <f>IF(OR(A1858="",B1858=""),"",IF(E1858=1,0,D1858*B1858/100/C1858))</f>
        <v/>
      </c>
      <c r="G1858">
        <f>IF(A1858="","",IF(OR(B1858&lt;&gt;B1857,C1858&lt;&gt;C1857,D1858&lt;&gt;D1857,E1858&lt;&gt;E1857),G1857+1,G1857))</f>
        <v/>
      </c>
    </row>
    <row r="1859">
      <c r="A1859" s="14">
        <f>IF(OR(NOT(ISNUMBER(Ввод!$B$5)),NOT(ISNUMBER(Ввод!$B$6))),"",IF(Ввод!$B$5+1857&gt;Ввод!$B$6,"",Ввод!$B$5+1857))</f>
        <v/>
      </c>
      <c r="B1859">
        <f>IF(A1859="","",IFERROR(INDEX(Ввод!$B$12:$B$71,MATCH(A1859,Ввод!$D$12:$D$71,1)),""))</f>
        <v/>
      </c>
      <c r="C1859">
        <f>IF(A1859="","",DATE(YEAR(A1859),12,31)-DATE(YEAR(A1859),1,1)+1)</f>
        <v/>
      </c>
      <c r="D1859">
        <f>IF(A1859="","",Ввод!$B$4-SUMIF(Оплаты!$A$6:$A$505,"&lt;"&amp;A1859,Оплаты!$B$6:$B$505))</f>
        <v/>
      </c>
      <c r="E1859">
        <f>IF(A1859="","",IF(SUMPRODUCT((Ввод!$F$12:$F$31&lt;&gt;"")*(Ввод!$F$12:$F$31&lt;=A1859)*(Ввод!$G$12:$G$31&gt;=A1859))&gt;0,1,0))</f>
        <v/>
      </c>
      <c r="F1859">
        <f>IF(OR(A1859="",B1859=""),"",IF(E1859=1,0,D1859*B1859/100/C1859))</f>
        <v/>
      </c>
      <c r="G1859">
        <f>IF(A1859="","",IF(OR(B1859&lt;&gt;B1858,C1859&lt;&gt;C1858,D1859&lt;&gt;D1858,E1859&lt;&gt;E1858),G1858+1,G1858))</f>
        <v/>
      </c>
    </row>
    <row r="1860">
      <c r="A1860" s="14">
        <f>IF(OR(NOT(ISNUMBER(Ввод!$B$5)),NOT(ISNUMBER(Ввод!$B$6))),"",IF(Ввод!$B$5+1858&gt;Ввод!$B$6,"",Ввод!$B$5+1858))</f>
        <v/>
      </c>
      <c r="B1860">
        <f>IF(A1860="","",IFERROR(INDEX(Ввод!$B$12:$B$71,MATCH(A1860,Ввод!$D$12:$D$71,1)),""))</f>
        <v/>
      </c>
      <c r="C1860">
        <f>IF(A1860="","",DATE(YEAR(A1860),12,31)-DATE(YEAR(A1860),1,1)+1)</f>
        <v/>
      </c>
      <c r="D1860">
        <f>IF(A1860="","",Ввод!$B$4-SUMIF(Оплаты!$A$6:$A$505,"&lt;"&amp;A1860,Оплаты!$B$6:$B$505))</f>
        <v/>
      </c>
      <c r="E1860">
        <f>IF(A1860="","",IF(SUMPRODUCT((Ввод!$F$12:$F$31&lt;&gt;"")*(Ввод!$F$12:$F$31&lt;=A1860)*(Ввод!$G$12:$G$31&gt;=A1860))&gt;0,1,0))</f>
        <v/>
      </c>
      <c r="F1860">
        <f>IF(OR(A1860="",B1860=""),"",IF(E1860=1,0,D1860*B1860/100/C1860))</f>
        <v/>
      </c>
      <c r="G1860">
        <f>IF(A1860="","",IF(OR(B1860&lt;&gt;B1859,C1860&lt;&gt;C1859,D1860&lt;&gt;D1859,E1860&lt;&gt;E1859),G1859+1,G1859))</f>
        <v/>
      </c>
    </row>
    <row r="1861">
      <c r="A1861" s="14">
        <f>IF(OR(NOT(ISNUMBER(Ввод!$B$5)),NOT(ISNUMBER(Ввод!$B$6))),"",IF(Ввод!$B$5+1859&gt;Ввод!$B$6,"",Ввод!$B$5+1859))</f>
        <v/>
      </c>
      <c r="B1861">
        <f>IF(A1861="","",IFERROR(INDEX(Ввод!$B$12:$B$71,MATCH(A1861,Ввод!$D$12:$D$71,1)),""))</f>
        <v/>
      </c>
      <c r="C1861">
        <f>IF(A1861="","",DATE(YEAR(A1861),12,31)-DATE(YEAR(A1861),1,1)+1)</f>
        <v/>
      </c>
      <c r="D1861">
        <f>IF(A1861="","",Ввод!$B$4-SUMIF(Оплаты!$A$6:$A$505,"&lt;"&amp;A1861,Оплаты!$B$6:$B$505))</f>
        <v/>
      </c>
      <c r="E1861">
        <f>IF(A1861="","",IF(SUMPRODUCT((Ввод!$F$12:$F$31&lt;&gt;"")*(Ввод!$F$12:$F$31&lt;=A1861)*(Ввод!$G$12:$G$31&gt;=A1861))&gt;0,1,0))</f>
        <v/>
      </c>
      <c r="F1861">
        <f>IF(OR(A1861="",B1861=""),"",IF(E1861=1,0,D1861*B1861/100/C1861))</f>
        <v/>
      </c>
      <c r="G1861">
        <f>IF(A1861="","",IF(OR(B1861&lt;&gt;B1860,C1861&lt;&gt;C1860,D1861&lt;&gt;D1860,E1861&lt;&gt;E1860),G1860+1,G1860))</f>
        <v/>
      </c>
    </row>
    <row r="1862">
      <c r="A1862" s="14">
        <f>IF(OR(NOT(ISNUMBER(Ввод!$B$5)),NOT(ISNUMBER(Ввод!$B$6))),"",IF(Ввод!$B$5+1860&gt;Ввод!$B$6,"",Ввод!$B$5+1860))</f>
        <v/>
      </c>
      <c r="B1862">
        <f>IF(A1862="","",IFERROR(INDEX(Ввод!$B$12:$B$71,MATCH(A1862,Ввод!$D$12:$D$71,1)),""))</f>
        <v/>
      </c>
      <c r="C1862">
        <f>IF(A1862="","",DATE(YEAR(A1862),12,31)-DATE(YEAR(A1862),1,1)+1)</f>
        <v/>
      </c>
      <c r="D1862">
        <f>IF(A1862="","",Ввод!$B$4-SUMIF(Оплаты!$A$6:$A$505,"&lt;"&amp;A1862,Оплаты!$B$6:$B$505))</f>
        <v/>
      </c>
      <c r="E1862">
        <f>IF(A1862="","",IF(SUMPRODUCT((Ввод!$F$12:$F$31&lt;&gt;"")*(Ввод!$F$12:$F$31&lt;=A1862)*(Ввод!$G$12:$G$31&gt;=A1862))&gt;0,1,0))</f>
        <v/>
      </c>
      <c r="F1862">
        <f>IF(OR(A1862="",B1862=""),"",IF(E1862=1,0,D1862*B1862/100/C1862))</f>
        <v/>
      </c>
      <c r="G1862">
        <f>IF(A1862="","",IF(OR(B1862&lt;&gt;B1861,C1862&lt;&gt;C1861,D1862&lt;&gt;D1861,E1862&lt;&gt;E1861),G1861+1,G1861))</f>
        <v/>
      </c>
    </row>
    <row r="1863">
      <c r="A1863" s="14">
        <f>IF(OR(NOT(ISNUMBER(Ввод!$B$5)),NOT(ISNUMBER(Ввод!$B$6))),"",IF(Ввод!$B$5+1861&gt;Ввод!$B$6,"",Ввод!$B$5+1861))</f>
        <v/>
      </c>
      <c r="B1863">
        <f>IF(A1863="","",IFERROR(INDEX(Ввод!$B$12:$B$71,MATCH(A1863,Ввод!$D$12:$D$71,1)),""))</f>
        <v/>
      </c>
      <c r="C1863">
        <f>IF(A1863="","",DATE(YEAR(A1863),12,31)-DATE(YEAR(A1863),1,1)+1)</f>
        <v/>
      </c>
      <c r="D1863">
        <f>IF(A1863="","",Ввод!$B$4-SUMIF(Оплаты!$A$6:$A$505,"&lt;"&amp;A1863,Оплаты!$B$6:$B$505))</f>
        <v/>
      </c>
      <c r="E1863">
        <f>IF(A1863="","",IF(SUMPRODUCT((Ввод!$F$12:$F$31&lt;&gt;"")*(Ввод!$F$12:$F$31&lt;=A1863)*(Ввод!$G$12:$G$31&gt;=A1863))&gt;0,1,0))</f>
        <v/>
      </c>
      <c r="F1863">
        <f>IF(OR(A1863="",B1863=""),"",IF(E1863=1,0,D1863*B1863/100/C1863))</f>
        <v/>
      </c>
      <c r="G1863">
        <f>IF(A1863="","",IF(OR(B1863&lt;&gt;B1862,C1863&lt;&gt;C1862,D1863&lt;&gt;D1862,E1863&lt;&gt;E1862),G1862+1,G1862))</f>
        <v/>
      </c>
    </row>
    <row r="1864">
      <c r="A1864" s="14">
        <f>IF(OR(NOT(ISNUMBER(Ввод!$B$5)),NOT(ISNUMBER(Ввод!$B$6))),"",IF(Ввод!$B$5+1862&gt;Ввод!$B$6,"",Ввод!$B$5+1862))</f>
        <v/>
      </c>
      <c r="B1864">
        <f>IF(A1864="","",IFERROR(INDEX(Ввод!$B$12:$B$71,MATCH(A1864,Ввод!$D$12:$D$71,1)),""))</f>
        <v/>
      </c>
      <c r="C1864">
        <f>IF(A1864="","",DATE(YEAR(A1864),12,31)-DATE(YEAR(A1864),1,1)+1)</f>
        <v/>
      </c>
      <c r="D1864">
        <f>IF(A1864="","",Ввод!$B$4-SUMIF(Оплаты!$A$6:$A$505,"&lt;"&amp;A1864,Оплаты!$B$6:$B$505))</f>
        <v/>
      </c>
      <c r="E1864">
        <f>IF(A1864="","",IF(SUMPRODUCT((Ввод!$F$12:$F$31&lt;&gt;"")*(Ввод!$F$12:$F$31&lt;=A1864)*(Ввод!$G$12:$G$31&gt;=A1864))&gt;0,1,0))</f>
        <v/>
      </c>
      <c r="F1864">
        <f>IF(OR(A1864="",B1864=""),"",IF(E1864=1,0,D1864*B1864/100/C1864))</f>
        <v/>
      </c>
      <c r="G1864">
        <f>IF(A1864="","",IF(OR(B1864&lt;&gt;B1863,C1864&lt;&gt;C1863,D1864&lt;&gt;D1863,E1864&lt;&gt;E1863),G1863+1,G1863))</f>
        <v/>
      </c>
    </row>
    <row r="1865">
      <c r="A1865" s="14">
        <f>IF(OR(NOT(ISNUMBER(Ввод!$B$5)),NOT(ISNUMBER(Ввод!$B$6))),"",IF(Ввод!$B$5+1863&gt;Ввод!$B$6,"",Ввод!$B$5+1863))</f>
        <v/>
      </c>
      <c r="B1865">
        <f>IF(A1865="","",IFERROR(INDEX(Ввод!$B$12:$B$71,MATCH(A1865,Ввод!$D$12:$D$71,1)),""))</f>
        <v/>
      </c>
      <c r="C1865">
        <f>IF(A1865="","",DATE(YEAR(A1865),12,31)-DATE(YEAR(A1865),1,1)+1)</f>
        <v/>
      </c>
      <c r="D1865">
        <f>IF(A1865="","",Ввод!$B$4-SUMIF(Оплаты!$A$6:$A$505,"&lt;"&amp;A1865,Оплаты!$B$6:$B$505))</f>
        <v/>
      </c>
      <c r="E1865">
        <f>IF(A1865="","",IF(SUMPRODUCT((Ввод!$F$12:$F$31&lt;&gt;"")*(Ввод!$F$12:$F$31&lt;=A1865)*(Ввод!$G$12:$G$31&gt;=A1865))&gt;0,1,0))</f>
        <v/>
      </c>
      <c r="F1865">
        <f>IF(OR(A1865="",B1865=""),"",IF(E1865=1,0,D1865*B1865/100/C1865))</f>
        <v/>
      </c>
      <c r="G1865">
        <f>IF(A1865="","",IF(OR(B1865&lt;&gt;B1864,C1865&lt;&gt;C1864,D1865&lt;&gt;D1864,E1865&lt;&gt;E1864),G1864+1,G1864))</f>
        <v/>
      </c>
    </row>
    <row r="1866">
      <c r="A1866" s="14">
        <f>IF(OR(NOT(ISNUMBER(Ввод!$B$5)),NOT(ISNUMBER(Ввод!$B$6))),"",IF(Ввод!$B$5+1864&gt;Ввод!$B$6,"",Ввод!$B$5+1864))</f>
        <v/>
      </c>
      <c r="B1866">
        <f>IF(A1866="","",IFERROR(INDEX(Ввод!$B$12:$B$71,MATCH(A1866,Ввод!$D$12:$D$71,1)),""))</f>
        <v/>
      </c>
      <c r="C1866">
        <f>IF(A1866="","",DATE(YEAR(A1866),12,31)-DATE(YEAR(A1866),1,1)+1)</f>
        <v/>
      </c>
      <c r="D1866">
        <f>IF(A1866="","",Ввод!$B$4-SUMIF(Оплаты!$A$6:$A$505,"&lt;"&amp;A1866,Оплаты!$B$6:$B$505))</f>
        <v/>
      </c>
      <c r="E1866">
        <f>IF(A1866="","",IF(SUMPRODUCT((Ввод!$F$12:$F$31&lt;&gt;"")*(Ввод!$F$12:$F$31&lt;=A1866)*(Ввод!$G$12:$G$31&gt;=A1866))&gt;0,1,0))</f>
        <v/>
      </c>
      <c r="F1866">
        <f>IF(OR(A1866="",B1866=""),"",IF(E1866=1,0,D1866*B1866/100/C1866))</f>
        <v/>
      </c>
      <c r="G1866">
        <f>IF(A1866="","",IF(OR(B1866&lt;&gt;B1865,C1866&lt;&gt;C1865,D1866&lt;&gt;D1865,E1866&lt;&gt;E1865),G1865+1,G1865))</f>
        <v/>
      </c>
    </row>
    <row r="1867">
      <c r="A1867" s="14">
        <f>IF(OR(NOT(ISNUMBER(Ввод!$B$5)),NOT(ISNUMBER(Ввод!$B$6))),"",IF(Ввод!$B$5+1865&gt;Ввод!$B$6,"",Ввод!$B$5+1865))</f>
        <v/>
      </c>
      <c r="B1867">
        <f>IF(A1867="","",IFERROR(INDEX(Ввод!$B$12:$B$71,MATCH(A1867,Ввод!$D$12:$D$71,1)),""))</f>
        <v/>
      </c>
      <c r="C1867">
        <f>IF(A1867="","",DATE(YEAR(A1867),12,31)-DATE(YEAR(A1867),1,1)+1)</f>
        <v/>
      </c>
      <c r="D1867">
        <f>IF(A1867="","",Ввод!$B$4-SUMIF(Оплаты!$A$6:$A$505,"&lt;"&amp;A1867,Оплаты!$B$6:$B$505))</f>
        <v/>
      </c>
      <c r="E1867">
        <f>IF(A1867="","",IF(SUMPRODUCT((Ввод!$F$12:$F$31&lt;&gt;"")*(Ввод!$F$12:$F$31&lt;=A1867)*(Ввод!$G$12:$G$31&gt;=A1867))&gt;0,1,0))</f>
        <v/>
      </c>
      <c r="F1867">
        <f>IF(OR(A1867="",B1867=""),"",IF(E1867=1,0,D1867*B1867/100/C1867))</f>
        <v/>
      </c>
      <c r="G1867">
        <f>IF(A1867="","",IF(OR(B1867&lt;&gt;B1866,C1867&lt;&gt;C1866,D1867&lt;&gt;D1866,E1867&lt;&gt;E1866),G1866+1,G1866))</f>
        <v/>
      </c>
    </row>
    <row r="1868">
      <c r="A1868" s="14">
        <f>IF(OR(NOT(ISNUMBER(Ввод!$B$5)),NOT(ISNUMBER(Ввод!$B$6))),"",IF(Ввод!$B$5+1866&gt;Ввод!$B$6,"",Ввод!$B$5+1866))</f>
        <v/>
      </c>
      <c r="B1868">
        <f>IF(A1868="","",IFERROR(INDEX(Ввод!$B$12:$B$71,MATCH(A1868,Ввод!$D$12:$D$71,1)),""))</f>
        <v/>
      </c>
      <c r="C1868">
        <f>IF(A1868="","",DATE(YEAR(A1868),12,31)-DATE(YEAR(A1868),1,1)+1)</f>
        <v/>
      </c>
      <c r="D1868">
        <f>IF(A1868="","",Ввод!$B$4-SUMIF(Оплаты!$A$6:$A$505,"&lt;"&amp;A1868,Оплаты!$B$6:$B$505))</f>
        <v/>
      </c>
      <c r="E1868">
        <f>IF(A1868="","",IF(SUMPRODUCT((Ввод!$F$12:$F$31&lt;&gt;"")*(Ввод!$F$12:$F$31&lt;=A1868)*(Ввод!$G$12:$G$31&gt;=A1868))&gt;0,1,0))</f>
        <v/>
      </c>
      <c r="F1868">
        <f>IF(OR(A1868="",B1868=""),"",IF(E1868=1,0,D1868*B1868/100/C1868))</f>
        <v/>
      </c>
      <c r="G1868">
        <f>IF(A1868="","",IF(OR(B1868&lt;&gt;B1867,C1868&lt;&gt;C1867,D1868&lt;&gt;D1867,E1868&lt;&gt;E1867),G1867+1,G1867))</f>
        <v/>
      </c>
    </row>
    <row r="1869">
      <c r="A1869" s="14">
        <f>IF(OR(NOT(ISNUMBER(Ввод!$B$5)),NOT(ISNUMBER(Ввод!$B$6))),"",IF(Ввод!$B$5+1867&gt;Ввод!$B$6,"",Ввод!$B$5+1867))</f>
        <v/>
      </c>
      <c r="B1869">
        <f>IF(A1869="","",IFERROR(INDEX(Ввод!$B$12:$B$71,MATCH(A1869,Ввод!$D$12:$D$71,1)),""))</f>
        <v/>
      </c>
      <c r="C1869">
        <f>IF(A1869="","",DATE(YEAR(A1869),12,31)-DATE(YEAR(A1869),1,1)+1)</f>
        <v/>
      </c>
      <c r="D1869">
        <f>IF(A1869="","",Ввод!$B$4-SUMIF(Оплаты!$A$6:$A$505,"&lt;"&amp;A1869,Оплаты!$B$6:$B$505))</f>
        <v/>
      </c>
      <c r="E1869">
        <f>IF(A1869="","",IF(SUMPRODUCT((Ввод!$F$12:$F$31&lt;&gt;"")*(Ввод!$F$12:$F$31&lt;=A1869)*(Ввод!$G$12:$G$31&gt;=A1869))&gt;0,1,0))</f>
        <v/>
      </c>
      <c r="F1869">
        <f>IF(OR(A1869="",B1869=""),"",IF(E1869=1,0,D1869*B1869/100/C1869))</f>
        <v/>
      </c>
      <c r="G1869">
        <f>IF(A1869="","",IF(OR(B1869&lt;&gt;B1868,C1869&lt;&gt;C1868,D1869&lt;&gt;D1868,E1869&lt;&gt;E1868),G1868+1,G1868))</f>
        <v/>
      </c>
    </row>
    <row r="1870">
      <c r="A1870" s="14">
        <f>IF(OR(NOT(ISNUMBER(Ввод!$B$5)),NOT(ISNUMBER(Ввод!$B$6))),"",IF(Ввод!$B$5+1868&gt;Ввод!$B$6,"",Ввод!$B$5+1868))</f>
        <v/>
      </c>
      <c r="B1870">
        <f>IF(A1870="","",IFERROR(INDEX(Ввод!$B$12:$B$71,MATCH(A1870,Ввод!$D$12:$D$71,1)),""))</f>
        <v/>
      </c>
      <c r="C1870">
        <f>IF(A1870="","",DATE(YEAR(A1870),12,31)-DATE(YEAR(A1870),1,1)+1)</f>
        <v/>
      </c>
      <c r="D1870">
        <f>IF(A1870="","",Ввод!$B$4-SUMIF(Оплаты!$A$6:$A$505,"&lt;"&amp;A1870,Оплаты!$B$6:$B$505))</f>
        <v/>
      </c>
      <c r="E1870">
        <f>IF(A1870="","",IF(SUMPRODUCT((Ввод!$F$12:$F$31&lt;&gt;"")*(Ввод!$F$12:$F$31&lt;=A1870)*(Ввод!$G$12:$G$31&gt;=A1870))&gt;0,1,0))</f>
        <v/>
      </c>
      <c r="F1870">
        <f>IF(OR(A1870="",B1870=""),"",IF(E1870=1,0,D1870*B1870/100/C1870))</f>
        <v/>
      </c>
      <c r="G1870">
        <f>IF(A1870="","",IF(OR(B1870&lt;&gt;B1869,C1870&lt;&gt;C1869,D1870&lt;&gt;D1869,E1870&lt;&gt;E1869),G1869+1,G1869))</f>
        <v/>
      </c>
    </row>
    <row r="1871">
      <c r="A1871" s="14">
        <f>IF(OR(NOT(ISNUMBER(Ввод!$B$5)),NOT(ISNUMBER(Ввод!$B$6))),"",IF(Ввод!$B$5+1869&gt;Ввод!$B$6,"",Ввод!$B$5+1869))</f>
        <v/>
      </c>
      <c r="B1871">
        <f>IF(A1871="","",IFERROR(INDEX(Ввод!$B$12:$B$71,MATCH(A1871,Ввод!$D$12:$D$71,1)),""))</f>
        <v/>
      </c>
      <c r="C1871">
        <f>IF(A1871="","",DATE(YEAR(A1871),12,31)-DATE(YEAR(A1871),1,1)+1)</f>
        <v/>
      </c>
      <c r="D1871">
        <f>IF(A1871="","",Ввод!$B$4-SUMIF(Оплаты!$A$6:$A$505,"&lt;"&amp;A1871,Оплаты!$B$6:$B$505))</f>
        <v/>
      </c>
      <c r="E1871">
        <f>IF(A1871="","",IF(SUMPRODUCT((Ввод!$F$12:$F$31&lt;&gt;"")*(Ввод!$F$12:$F$31&lt;=A1871)*(Ввод!$G$12:$G$31&gt;=A1871))&gt;0,1,0))</f>
        <v/>
      </c>
      <c r="F1871">
        <f>IF(OR(A1871="",B1871=""),"",IF(E1871=1,0,D1871*B1871/100/C1871))</f>
        <v/>
      </c>
      <c r="G1871">
        <f>IF(A1871="","",IF(OR(B1871&lt;&gt;B1870,C1871&lt;&gt;C1870,D1871&lt;&gt;D1870,E1871&lt;&gt;E1870),G1870+1,G1870))</f>
        <v/>
      </c>
    </row>
    <row r="1872">
      <c r="A1872" s="14">
        <f>IF(OR(NOT(ISNUMBER(Ввод!$B$5)),NOT(ISNUMBER(Ввод!$B$6))),"",IF(Ввод!$B$5+1870&gt;Ввод!$B$6,"",Ввод!$B$5+1870))</f>
        <v/>
      </c>
      <c r="B1872">
        <f>IF(A1872="","",IFERROR(INDEX(Ввод!$B$12:$B$71,MATCH(A1872,Ввод!$D$12:$D$71,1)),""))</f>
        <v/>
      </c>
      <c r="C1872">
        <f>IF(A1872="","",DATE(YEAR(A1872),12,31)-DATE(YEAR(A1872),1,1)+1)</f>
        <v/>
      </c>
      <c r="D1872">
        <f>IF(A1872="","",Ввод!$B$4-SUMIF(Оплаты!$A$6:$A$505,"&lt;"&amp;A1872,Оплаты!$B$6:$B$505))</f>
        <v/>
      </c>
      <c r="E1872">
        <f>IF(A1872="","",IF(SUMPRODUCT((Ввод!$F$12:$F$31&lt;&gt;"")*(Ввод!$F$12:$F$31&lt;=A1872)*(Ввод!$G$12:$G$31&gt;=A1872))&gt;0,1,0))</f>
        <v/>
      </c>
      <c r="F1872">
        <f>IF(OR(A1872="",B1872=""),"",IF(E1872=1,0,D1872*B1872/100/C1872))</f>
        <v/>
      </c>
      <c r="G1872">
        <f>IF(A1872="","",IF(OR(B1872&lt;&gt;B1871,C1872&lt;&gt;C1871,D1872&lt;&gt;D1871,E1872&lt;&gt;E1871),G1871+1,G1871))</f>
        <v/>
      </c>
    </row>
    <row r="1873">
      <c r="A1873" s="14">
        <f>IF(OR(NOT(ISNUMBER(Ввод!$B$5)),NOT(ISNUMBER(Ввод!$B$6))),"",IF(Ввод!$B$5+1871&gt;Ввод!$B$6,"",Ввод!$B$5+1871))</f>
        <v/>
      </c>
      <c r="B1873">
        <f>IF(A1873="","",IFERROR(INDEX(Ввод!$B$12:$B$71,MATCH(A1873,Ввод!$D$12:$D$71,1)),""))</f>
        <v/>
      </c>
      <c r="C1873">
        <f>IF(A1873="","",DATE(YEAR(A1873),12,31)-DATE(YEAR(A1873),1,1)+1)</f>
        <v/>
      </c>
      <c r="D1873">
        <f>IF(A1873="","",Ввод!$B$4-SUMIF(Оплаты!$A$6:$A$505,"&lt;"&amp;A1873,Оплаты!$B$6:$B$505))</f>
        <v/>
      </c>
      <c r="E1873">
        <f>IF(A1873="","",IF(SUMPRODUCT((Ввод!$F$12:$F$31&lt;&gt;"")*(Ввод!$F$12:$F$31&lt;=A1873)*(Ввод!$G$12:$G$31&gt;=A1873))&gt;0,1,0))</f>
        <v/>
      </c>
      <c r="F1873">
        <f>IF(OR(A1873="",B1873=""),"",IF(E1873=1,0,D1873*B1873/100/C1873))</f>
        <v/>
      </c>
      <c r="G1873">
        <f>IF(A1873="","",IF(OR(B1873&lt;&gt;B1872,C1873&lt;&gt;C1872,D1873&lt;&gt;D1872,E1873&lt;&gt;E1872),G1872+1,G1872))</f>
        <v/>
      </c>
    </row>
    <row r="1874">
      <c r="A1874" s="14">
        <f>IF(OR(NOT(ISNUMBER(Ввод!$B$5)),NOT(ISNUMBER(Ввод!$B$6))),"",IF(Ввод!$B$5+1872&gt;Ввод!$B$6,"",Ввод!$B$5+1872))</f>
        <v/>
      </c>
      <c r="B1874">
        <f>IF(A1874="","",IFERROR(INDEX(Ввод!$B$12:$B$71,MATCH(A1874,Ввод!$D$12:$D$71,1)),""))</f>
        <v/>
      </c>
      <c r="C1874">
        <f>IF(A1874="","",DATE(YEAR(A1874),12,31)-DATE(YEAR(A1874),1,1)+1)</f>
        <v/>
      </c>
      <c r="D1874">
        <f>IF(A1874="","",Ввод!$B$4-SUMIF(Оплаты!$A$6:$A$505,"&lt;"&amp;A1874,Оплаты!$B$6:$B$505))</f>
        <v/>
      </c>
      <c r="E1874">
        <f>IF(A1874="","",IF(SUMPRODUCT((Ввод!$F$12:$F$31&lt;&gt;"")*(Ввод!$F$12:$F$31&lt;=A1874)*(Ввод!$G$12:$G$31&gt;=A1874))&gt;0,1,0))</f>
        <v/>
      </c>
      <c r="F1874">
        <f>IF(OR(A1874="",B1874=""),"",IF(E1874=1,0,D1874*B1874/100/C1874))</f>
        <v/>
      </c>
      <c r="G1874">
        <f>IF(A1874="","",IF(OR(B1874&lt;&gt;B1873,C1874&lt;&gt;C1873,D1874&lt;&gt;D1873,E1874&lt;&gt;E1873),G1873+1,G1873))</f>
        <v/>
      </c>
    </row>
    <row r="1875">
      <c r="A1875" s="14">
        <f>IF(OR(NOT(ISNUMBER(Ввод!$B$5)),NOT(ISNUMBER(Ввод!$B$6))),"",IF(Ввод!$B$5+1873&gt;Ввод!$B$6,"",Ввод!$B$5+1873))</f>
        <v/>
      </c>
      <c r="B1875">
        <f>IF(A1875="","",IFERROR(INDEX(Ввод!$B$12:$B$71,MATCH(A1875,Ввод!$D$12:$D$71,1)),""))</f>
        <v/>
      </c>
      <c r="C1875">
        <f>IF(A1875="","",DATE(YEAR(A1875),12,31)-DATE(YEAR(A1875),1,1)+1)</f>
        <v/>
      </c>
      <c r="D1875">
        <f>IF(A1875="","",Ввод!$B$4-SUMIF(Оплаты!$A$6:$A$505,"&lt;"&amp;A1875,Оплаты!$B$6:$B$505))</f>
        <v/>
      </c>
      <c r="E1875">
        <f>IF(A1875="","",IF(SUMPRODUCT((Ввод!$F$12:$F$31&lt;&gt;"")*(Ввод!$F$12:$F$31&lt;=A1875)*(Ввод!$G$12:$G$31&gt;=A1875))&gt;0,1,0))</f>
        <v/>
      </c>
      <c r="F1875">
        <f>IF(OR(A1875="",B1875=""),"",IF(E1875=1,0,D1875*B1875/100/C1875))</f>
        <v/>
      </c>
      <c r="G1875">
        <f>IF(A1875="","",IF(OR(B1875&lt;&gt;B1874,C1875&lt;&gt;C1874,D1875&lt;&gt;D1874,E1875&lt;&gt;E1874),G1874+1,G1874))</f>
        <v/>
      </c>
    </row>
    <row r="1876">
      <c r="A1876" s="14">
        <f>IF(OR(NOT(ISNUMBER(Ввод!$B$5)),NOT(ISNUMBER(Ввод!$B$6))),"",IF(Ввод!$B$5+1874&gt;Ввод!$B$6,"",Ввод!$B$5+1874))</f>
        <v/>
      </c>
      <c r="B1876">
        <f>IF(A1876="","",IFERROR(INDEX(Ввод!$B$12:$B$71,MATCH(A1876,Ввод!$D$12:$D$71,1)),""))</f>
        <v/>
      </c>
      <c r="C1876">
        <f>IF(A1876="","",DATE(YEAR(A1876),12,31)-DATE(YEAR(A1876),1,1)+1)</f>
        <v/>
      </c>
      <c r="D1876">
        <f>IF(A1876="","",Ввод!$B$4-SUMIF(Оплаты!$A$6:$A$505,"&lt;"&amp;A1876,Оплаты!$B$6:$B$505))</f>
        <v/>
      </c>
      <c r="E1876">
        <f>IF(A1876="","",IF(SUMPRODUCT((Ввод!$F$12:$F$31&lt;&gt;"")*(Ввод!$F$12:$F$31&lt;=A1876)*(Ввод!$G$12:$G$31&gt;=A1876))&gt;0,1,0))</f>
        <v/>
      </c>
      <c r="F1876">
        <f>IF(OR(A1876="",B1876=""),"",IF(E1876=1,0,D1876*B1876/100/C1876))</f>
        <v/>
      </c>
      <c r="G1876">
        <f>IF(A1876="","",IF(OR(B1876&lt;&gt;B1875,C1876&lt;&gt;C1875,D1876&lt;&gt;D1875,E1876&lt;&gt;E1875),G1875+1,G1875))</f>
        <v/>
      </c>
    </row>
    <row r="1877">
      <c r="A1877" s="14">
        <f>IF(OR(NOT(ISNUMBER(Ввод!$B$5)),NOT(ISNUMBER(Ввод!$B$6))),"",IF(Ввод!$B$5+1875&gt;Ввод!$B$6,"",Ввод!$B$5+1875))</f>
        <v/>
      </c>
      <c r="B1877">
        <f>IF(A1877="","",IFERROR(INDEX(Ввод!$B$12:$B$71,MATCH(A1877,Ввод!$D$12:$D$71,1)),""))</f>
        <v/>
      </c>
      <c r="C1877">
        <f>IF(A1877="","",DATE(YEAR(A1877),12,31)-DATE(YEAR(A1877),1,1)+1)</f>
        <v/>
      </c>
      <c r="D1877">
        <f>IF(A1877="","",Ввод!$B$4-SUMIF(Оплаты!$A$6:$A$505,"&lt;"&amp;A1877,Оплаты!$B$6:$B$505))</f>
        <v/>
      </c>
      <c r="E1877">
        <f>IF(A1877="","",IF(SUMPRODUCT((Ввод!$F$12:$F$31&lt;&gt;"")*(Ввод!$F$12:$F$31&lt;=A1877)*(Ввод!$G$12:$G$31&gt;=A1877))&gt;0,1,0))</f>
        <v/>
      </c>
      <c r="F1877">
        <f>IF(OR(A1877="",B1877=""),"",IF(E1877=1,0,D1877*B1877/100/C1877))</f>
        <v/>
      </c>
      <c r="G1877">
        <f>IF(A1877="","",IF(OR(B1877&lt;&gt;B1876,C1877&lt;&gt;C1876,D1877&lt;&gt;D1876,E1877&lt;&gt;E1876),G1876+1,G1876))</f>
        <v/>
      </c>
    </row>
    <row r="1878">
      <c r="A1878" s="14">
        <f>IF(OR(NOT(ISNUMBER(Ввод!$B$5)),NOT(ISNUMBER(Ввод!$B$6))),"",IF(Ввод!$B$5+1876&gt;Ввод!$B$6,"",Ввод!$B$5+1876))</f>
        <v/>
      </c>
      <c r="B1878">
        <f>IF(A1878="","",IFERROR(INDEX(Ввод!$B$12:$B$71,MATCH(A1878,Ввод!$D$12:$D$71,1)),""))</f>
        <v/>
      </c>
      <c r="C1878">
        <f>IF(A1878="","",DATE(YEAR(A1878),12,31)-DATE(YEAR(A1878),1,1)+1)</f>
        <v/>
      </c>
      <c r="D1878">
        <f>IF(A1878="","",Ввод!$B$4-SUMIF(Оплаты!$A$6:$A$505,"&lt;"&amp;A1878,Оплаты!$B$6:$B$505))</f>
        <v/>
      </c>
      <c r="E1878">
        <f>IF(A1878="","",IF(SUMPRODUCT((Ввод!$F$12:$F$31&lt;&gt;"")*(Ввод!$F$12:$F$31&lt;=A1878)*(Ввод!$G$12:$G$31&gt;=A1878))&gt;0,1,0))</f>
        <v/>
      </c>
      <c r="F1878">
        <f>IF(OR(A1878="",B1878=""),"",IF(E1878=1,0,D1878*B1878/100/C1878))</f>
        <v/>
      </c>
      <c r="G1878">
        <f>IF(A1878="","",IF(OR(B1878&lt;&gt;B1877,C1878&lt;&gt;C1877,D1878&lt;&gt;D1877,E1878&lt;&gt;E1877),G1877+1,G1877))</f>
        <v/>
      </c>
    </row>
    <row r="1879">
      <c r="A1879" s="14">
        <f>IF(OR(NOT(ISNUMBER(Ввод!$B$5)),NOT(ISNUMBER(Ввод!$B$6))),"",IF(Ввод!$B$5+1877&gt;Ввод!$B$6,"",Ввод!$B$5+1877))</f>
        <v/>
      </c>
      <c r="B1879">
        <f>IF(A1879="","",IFERROR(INDEX(Ввод!$B$12:$B$71,MATCH(A1879,Ввод!$D$12:$D$71,1)),""))</f>
        <v/>
      </c>
      <c r="C1879">
        <f>IF(A1879="","",DATE(YEAR(A1879),12,31)-DATE(YEAR(A1879),1,1)+1)</f>
        <v/>
      </c>
      <c r="D1879">
        <f>IF(A1879="","",Ввод!$B$4-SUMIF(Оплаты!$A$6:$A$505,"&lt;"&amp;A1879,Оплаты!$B$6:$B$505))</f>
        <v/>
      </c>
      <c r="E1879">
        <f>IF(A1879="","",IF(SUMPRODUCT((Ввод!$F$12:$F$31&lt;&gt;"")*(Ввод!$F$12:$F$31&lt;=A1879)*(Ввод!$G$12:$G$31&gt;=A1879))&gt;0,1,0))</f>
        <v/>
      </c>
      <c r="F1879">
        <f>IF(OR(A1879="",B1879=""),"",IF(E1879=1,0,D1879*B1879/100/C1879))</f>
        <v/>
      </c>
      <c r="G1879">
        <f>IF(A1879="","",IF(OR(B1879&lt;&gt;B1878,C1879&lt;&gt;C1878,D1879&lt;&gt;D1878,E1879&lt;&gt;E1878),G1878+1,G1878))</f>
        <v/>
      </c>
    </row>
    <row r="1880">
      <c r="A1880" s="14">
        <f>IF(OR(NOT(ISNUMBER(Ввод!$B$5)),NOT(ISNUMBER(Ввод!$B$6))),"",IF(Ввод!$B$5+1878&gt;Ввод!$B$6,"",Ввод!$B$5+1878))</f>
        <v/>
      </c>
      <c r="B1880">
        <f>IF(A1880="","",IFERROR(INDEX(Ввод!$B$12:$B$71,MATCH(A1880,Ввод!$D$12:$D$71,1)),""))</f>
        <v/>
      </c>
      <c r="C1880">
        <f>IF(A1880="","",DATE(YEAR(A1880),12,31)-DATE(YEAR(A1880),1,1)+1)</f>
        <v/>
      </c>
      <c r="D1880">
        <f>IF(A1880="","",Ввод!$B$4-SUMIF(Оплаты!$A$6:$A$505,"&lt;"&amp;A1880,Оплаты!$B$6:$B$505))</f>
        <v/>
      </c>
      <c r="E1880">
        <f>IF(A1880="","",IF(SUMPRODUCT((Ввод!$F$12:$F$31&lt;&gt;"")*(Ввод!$F$12:$F$31&lt;=A1880)*(Ввод!$G$12:$G$31&gt;=A1880))&gt;0,1,0))</f>
        <v/>
      </c>
      <c r="F1880">
        <f>IF(OR(A1880="",B1880=""),"",IF(E1880=1,0,D1880*B1880/100/C1880))</f>
        <v/>
      </c>
      <c r="G1880">
        <f>IF(A1880="","",IF(OR(B1880&lt;&gt;B1879,C1880&lt;&gt;C1879,D1880&lt;&gt;D1879,E1880&lt;&gt;E1879),G1879+1,G1879))</f>
        <v/>
      </c>
    </row>
    <row r="1881">
      <c r="A1881" s="14">
        <f>IF(OR(NOT(ISNUMBER(Ввод!$B$5)),NOT(ISNUMBER(Ввод!$B$6))),"",IF(Ввод!$B$5+1879&gt;Ввод!$B$6,"",Ввод!$B$5+1879))</f>
        <v/>
      </c>
      <c r="B1881">
        <f>IF(A1881="","",IFERROR(INDEX(Ввод!$B$12:$B$71,MATCH(A1881,Ввод!$D$12:$D$71,1)),""))</f>
        <v/>
      </c>
      <c r="C1881">
        <f>IF(A1881="","",DATE(YEAR(A1881),12,31)-DATE(YEAR(A1881),1,1)+1)</f>
        <v/>
      </c>
      <c r="D1881">
        <f>IF(A1881="","",Ввод!$B$4-SUMIF(Оплаты!$A$6:$A$505,"&lt;"&amp;A1881,Оплаты!$B$6:$B$505))</f>
        <v/>
      </c>
      <c r="E1881">
        <f>IF(A1881="","",IF(SUMPRODUCT((Ввод!$F$12:$F$31&lt;&gt;"")*(Ввод!$F$12:$F$31&lt;=A1881)*(Ввод!$G$12:$G$31&gt;=A1881))&gt;0,1,0))</f>
        <v/>
      </c>
      <c r="F1881">
        <f>IF(OR(A1881="",B1881=""),"",IF(E1881=1,0,D1881*B1881/100/C1881))</f>
        <v/>
      </c>
      <c r="G1881">
        <f>IF(A1881="","",IF(OR(B1881&lt;&gt;B1880,C1881&lt;&gt;C1880,D1881&lt;&gt;D1880,E1881&lt;&gt;E1880),G1880+1,G1880))</f>
        <v/>
      </c>
    </row>
    <row r="1882">
      <c r="A1882" s="14">
        <f>IF(OR(NOT(ISNUMBER(Ввод!$B$5)),NOT(ISNUMBER(Ввод!$B$6))),"",IF(Ввод!$B$5+1880&gt;Ввод!$B$6,"",Ввод!$B$5+1880))</f>
        <v/>
      </c>
      <c r="B1882">
        <f>IF(A1882="","",IFERROR(INDEX(Ввод!$B$12:$B$71,MATCH(A1882,Ввод!$D$12:$D$71,1)),""))</f>
        <v/>
      </c>
      <c r="C1882">
        <f>IF(A1882="","",DATE(YEAR(A1882),12,31)-DATE(YEAR(A1882),1,1)+1)</f>
        <v/>
      </c>
      <c r="D1882">
        <f>IF(A1882="","",Ввод!$B$4-SUMIF(Оплаты!$A$6:$A$505,"&lt;"&amp;A1882,Оплаты!$B$6:$B$505))</f>
        <v/>
      </c>
      <c r="E1882">
        <f>IF(A1882="","",IF(SUMPRODUCT((Ввод!$F$12:$F$31&lt;&gt;"")*(Ввод!$F$12:$F$31&lt;=A1882)*(Ввод!$G$12:$G$31&gt;=A1882))&gt;0,1,0))</f>
        <v/>
      </c>
      <c r="F1882">
        <f>IF(OR(A1882="",B1882=""),"",IF(E1882=1,0,D1882*B1882/100/C1882))</f>
        <v/>
      </c>
      <c r="G1882">
        <f>IF(A1882="","",IF(OR(B1882&lt;&gt;B1881,C1882&lt;&gt;C1881,D1882&lt;&gt;D1881,E1882&lt;&gt;E1881),G1881+1,G1881))</f>
        <v/>
      </c>
    </row>
    <row r="1883">
      <c r="A1883" s="14">
        <f>IF(OR(NOT(ISNUMBER(Ввод!$B$5)),NOT(ISNUMBER(Ввод!$B$6))),"",IF(Ввод!$B$5+1881&gt;Ввод!$B$6,"",Ввод!$B$5+1881))</f>
        <v/>
      </c>
      <c r="B1883">
        <f>IF(A1883="","",IFERROR(INDEX(Ввод!$B$12:$B$71,MATCH(A1883,Ввод!$D$12:$D$71,1)),""))</f>
        <v/>
      </c>
      <c r="C1883">
        <f>IF(A1883="","",DATE(YEAR(A1883),12,31)-DATE(YEAR(A1883),1,1)+1)</f>
        <v/>
      </c>
      <c r="D1883">
        <f>IF(A1883="","",Ввод!$B$4-SUMIF(Оплаты!$A$6:$A$505,"&lt;"&amp;A1883,Оплаты!$B$6:$B$505))</f>
        <v/>
      </c>
      <c r="E1883">
        <f>IF(A1883="","",IF(SUMPRODUCT((Ввод!$F$12:$F$31&lt;&gt;"")*(Ввод!$F$12:$F$31&lt;=A1883)*(Ввод!$G$12:$G$31&gt;=A1883))&gt;0,1,0))</f>
        <v/>
      </c>
      <c r="F1883">
        <f>IF(OR(A1883="",B1883=""),"",IF(E1883=1,0,D1883*B1883/100/C1883))</f>
        <v/>
      </c>
      <c r="G1883">
        <f>IF(A1883="","",IF(OR(B1883&lt;&gt;B1882,C1883&lt;&gt;C1882,D1883&lt;&gt;D1882,E1883&lt;&gt;E1882),G1882+1,G1882))</f>
        <v/>
      </c>
    </row>
    <row r="1884">
      <c r="A1884" s="14">
        <f>IF(OR(NOT(ISNUMBER(Ввод!$B$5)),NOT(ISNUMBER(Ввод!$B$6))),"",IF(Ввод!$B$5+1882&gt;Ввод!$B$6,"",Ввод!$B$5+1882))</f>
        <v/>
      </c>
      <c r="B1884">
        <f>IF(A1884="","",IFERROR(INDEX(Ввод!$B$12:$B$71,MATCH(A1884,Ввод!$D$12:$D$71,1)),""))</f>
        <v/>
      </c>
      <c r="C1884">
        <f>IF(A1884="","",DATE(YEAR(A1884),12,31)-DATE(YEAR(A1884),1,1)+1)</f>
        <v/>
      </c>
      <c r="D1884">
        <f>IF(A1884="","",Ввод!$B$4-SUMIF(Оплаты!$A$6:$A$505,"&lt;"&amp;A1884,Оплаты!$B$6:$B$505))</f>
        <v/>
      </c>
      <c r="E1884">
        <f>IF(A1884="","",IF(SUMPRODUCT((Ввод!$F$12:$F$31&lt;&gt;"")*(Ввод!$F$12:$F$31&lt;=A1884)*(Ввод!$G$12:$G$31&gt;=A1884))&gt;0,1,0))</f>
        <v/>
      </c>
      <c r="F1884">
        <f>IF(OR(A1884="",B1884=""),"",IF(E1884=1,0,D1884*B1884/100/C1884))</f>
        <v/>
      </c>
      <c r="G1884">
        <f>IF(A1884="","",IF(OR(B1884&lt;&gt;B1883,C1884&lt;&gt;C1883,D1884&lt;&gt;D1883,E1884&lt;&gt;E1883),G1883+1,G1883))</f>
        <v/>
      </c>
    </row>
    <row r="1885">
      <c r="A1885" s="14">
        <f>IF(OR(NOT(ISNUMBER(Ввод!$B$5)),NOT(ISNUMBER(Ввод!$B$6))),"",IF(Ввод!$B$5+1883&gt;Ввод!$B$6,"",Ввод!$B$5+1883))</f>
        <v/>
      </c>
      <c r="B1885">
        <f>IF(A1885="","",IFERROR(INDEX(Ввод!$B$12:$B$71,MATCH(A1885,Ввод!$D$12:$D$71,1)),""))</f>
        <v/>
      </c>
      <c r="C1885">
        <f>IF(A1885="","",DATE(YEAR(A1885),12,31)-DATE(YEAR(A1885),1,1)+1)</f>
        <v/>
      </c>
      <c r="D1885">
        <f>IF(A1885="","",Ввод!$B$4-SUMIF(Оплаты!$A$6:$A$505,"&lt;"&amp;A1885,Оплаты!$B$6:$B$505))</f>
        <v/>
      </c>
      <c r="E1885">
        <f>IF(A1885="","",IF(SUMPRODUCT((Ввод!$F$12:$F$31&lt;&gt;"")*(Ввод!$F$12:$F$31&lt;=A1885)*(Ввод!$G$12:$G$31&gt;=A1885))&gt;0,1,0))</f>
        <v/>
      </c>
      <c r="F1885">
        <f>IF(OR(A1885="",B1885=""),"",IF(E1885=1,0,D1885*B1885/100/C1885))</f>
        <v/>
      </c>
      <c r="G1885">
        <f>IF(A1885="","",IF(OR(B1885&lt;&gt;B1884,C1885&lt;&gt;C1884,D1885&lt;&gt;D1884,E1885&lt;&gt;E1884),G1884+1,G1884))</f>
        <v/>
      </c>
    </row>
    <row r="1886">
      <c r="A1886" s="14">
        <f>IF(OR(NOT(ISNUMBER(Ввод!$B$5)),NOT(ISNUMBER(Ввод!$B$6))),"",IF(Ввод!$B$5+1884&gt;Ввод!$B$6,"",Ввод!$B$5+1884))</f>
        <v/>
      </c>
      <c r="B1886">
        <f>IF(A1886="","",IFERROR(INDEX(Ввод!$B$12:$B$71,MATCH(A1886,Ввод!$D$12:$D$71,1)),""))</f>
        <v/>
      </c>
      <c r="C1886">
        <f>IF(A1886="","",DATE(YEAR(A1886),12,31)-DATE(YEAR(A1886),1,1)+1)</f>
        <v/>
      </c>
      <c r="D1886">
        <f>IF(A1886="","",Ввод!$B$4-SUMIF(Оплаты!$A$6:$A$505,"&lt;"&amp;A1886,Оплаты!$B$6:$B$505))</f>
        <v/>
      </c>
      <c r="E1886">
        <f>IF(A1886="","",IF(SUMPRODUCT((Ввод!$F$12:$F$31&lt;&gt;"")*(Ввод!$F$12:$F$31&lt;=A1886)*(Ввод!$G$12:$G$31&gt;=A1886))&gt;0,1,0))</f>
        <v/>
      </c>
      <c r="F1886">
        <f>IF(OR(A1886="",B1886=""),"",IF(E1886=1,0,D1886*B1886/100/C1886))</f>
        <v/>
      </c>
      <c r="G1886">
        <f>IF(A1886="","",IF(OR(B1886&lt;&gt;B1885,C1886&lt;&gt;C1885,D1886&lt;&gt;D1885,E1886&lt;&gt;E1885),G1885+1,G1885))</f>
        <v/>
      </c>
    </row>
    <row r="1887">
      <c r="A1887" s="14">
        <f>IF(OR(NOT(ISNUMBER(Ввод!$B$5)),NOT(ISNUMBER(Ввод!$B$6))),"",IF(Ввод!$B$5+1885&gt;Ввод!$B$6,"",Ввод!$B$5+1885))</f>
        <v/>
      </c>
      <c r="B1887">
        <f>IF(A1887="","",IFERROR(INDEX(Ввод!$B$12:$B$71,MATCH(A1887,Ввод!$D$12:$D$71,1)),""))</f>
        <v/>
      </c>
      <c r="C1887">
        <f>IF(A1887="","",DATE(YEAR(A1887),12,31)-DATE(YEAR(A1887),1,1)+1)</f>
        <v/>
      </c>
      <c r="D1887">
        <f>IF(A1887="","",Ввод!$B$4-SUMIF(Оплаты!$A$6:$A$505,"&lt;"&amp;A1887,Оплаты!$B$6:$B$505))</f>
        <v/>
      </c>
      <c r="E1887">
        <f>IF(A1887="","",IF(SUMPRODUCT((Ввод!$F$12:$F$31&lt;&gt;"")*(Ввод!$F$12:$F$31&lt;=A1887)*(Ввод!$G$12:$G$31&gt;=A1887))&gt;0,1,0))</f>
        <v/>
      </c>
      <c r="F1887">
        <f>IF(OR(A1887="",B1887=""),"",IF(E1887=1,0,D1887*B1887/100/C1887))</f>
        <v/>
      </c>
      <c r="G1887">
        <f>IF(A1887="","",IF(OR(B1887&lt;&gt;B1886,C1887&lt;&gt;C1886,D1887&lt;&gt;D1886,E1887&lt;&gt;E1886),G1886+1,G1886))</f>
        <v/>
      </c>
    </row>
    <row r="1888">
      <c r="A1888" s="14">
        <f>IF(OR(NOT(ISNUMBER(Ввод!$B$5)),NOT(ISNUMBER(Ввод!$B$6))),"",IF(Ввод!$B$5+1886&gt;Ввод!$B$6,"",Ввод!$B$5+1886))</f>
        <v/>
      </c>
      <c r="B1888">
        <f>IF(A1888="","",IFERROR(INDEX(Ввод!$B$12:$B$71,MATCH(A1888,Ввод!$D$12:$D$71,1)),""))</f>
        <v/>
      </c>
      <c r="C1888">
        <f>IF(A1888="","",DATE(YEAR(A1888),12,31)-DATE(YEAR(A1888),1,1)+1)</f>
        <v/>
      </c>
      <c r="D1888">
        <f>IF(A1888="","",Ввод!$B$4-SUMIF(Оплаты!$A$6:$A$505,"&lt;"&amp;A1888,Оплаты!$B$6:$B$505))</f>
        <v/>
      </c>
      <c r="E1888">
        <f>IF(A1888="","",IF(SUMPRODUCT((Ввод!$F$12:$F$31&lt;&gt;"")*(Ввод!$F$12:$F$31&lt;=A1888)*(Ввод!$G$12:$G$31&gt;=A1888))&gt;0,1,0))</f>
        <v/>
      </c>
      <c r="F1888">
        <f>IF(OR(A1888="",B1888=""),"",IF(E1888=1,0,D1888*B1888/100/C1888))</f>
        <v/>
      </c>
      <c r="G1888">
        <f>IF(A1888="","",IF(OR(B1888&lt;&gt;B1887,C1888&lt;&gt;C1887,D1888&lt;&gt;D1887,E1888&lt;&gt;E1887),G1887+1,G1887))</f>
        <v/>
      </c>
    </row>
    <row r="1889">
      <c r="A1889" s="14">
        <f>IF(OR(NOT(ISNUMBER(Ввод!$B$5)),NOT(ISNUMBER(Ввод!$B$6))),"",IF(Ввод!$B$5+1887&gt;Ввод!$B$6,"",Ввод!$B$5+1887))</f>
        <v/>
      </c>
      <c r="B1889">
        <f>IF(A1889="","",IFERROR(INDEX(Ввод!$B$12:$B$71,MATCH(A1889,Ввод!$D$12:$D$71,1)),""))</f>
        <v/>
      </c>
      <c r="C1889">
        <f>IF(A1889="","",DATE(YEAR(A1889),12,31)-DATE(YEAR(A1889),1,1)+1)</f>
        <v/>
      </c>
      <c r="D1889">
        <f>IF(A1889="","",Ввод!$B$4-SUMIF(Оплаты!$A$6:$A$505,"&lt;"&amp;A1889,Оплаты!$B$6:$B$505))</f>
        <v/>
      </c>
      <c r="E1889">
        <f>IF(A1889="","",IF(SUMPRODUCT((Ввод!$F$12:$F$31&lt;&gt;"")*(Ввод!$F$12:$F$31&lt;=A1889)*(Ввод!$G$12:$G$31&gt;=A1889))&gt;0,1,0))</f>
        <v/>
      </c>
      <c r="F1889">
        <f>IF(OR(A1889="",B1889=""),"",IF(E1889=1,0,D1889*B1889/100/C1889))</f>
        <v/>
      </c>
      <c r="G1889">
        <f>IF(A1889="","",IF(OR(B1889&lt;&gt;B1888,C1889&lt;&gt;C1888,D1889&lt;&gt;D1888,E1889&lt;&gt;E1888),G1888+1,G1888))</f>
        <v/>
      </c>
    </row>
    <row r="1890">
      <c r="A1890" s="14">
        <f>IF(OR(NOT(ISNUMBER(Ввод!$B$5)),NOT(ISNUMBER(Ввод!$B$6))),"",IF(Ввод!$B$5+1888&gt;Ввод!$B$6,"",Ввод!$B$5+1888))</f>
        <v/>
      </c>
      <c r="B1890">
        <f>IF(A1890="","",IFERROR(INDEX(Ввод!$B$12:$B$71,MATCH(A1890,Ввод!$D$12:$D$71,1)),""))</f>
        <v/>
      </c>
      <c r="C1890">
        <f>IF(A1890="","",DATE(YEAR(A1890),12,31)-DATE(YEAR(A1890),1,1)+1)</f>
        <v/>
      </c>
      <c r="D1890">
        <f>IF(A1890="","",Ввод!$B$4-SUMIF(Оплаты!$A$6:$A$505,"&lt;"&amp;A1890,Оплаты!$B$6:$B$505))</f>
        <v/>
      </c>
      <c r="E1890">
        <f>IF(A1890="","",IF(SUMPRODUCT((Ввод!$F$12:$F$31&lt;&gt;"")*(Ввод!$F$12:$F$31&lt;=A1890)*(Ввод!$G$12:$G$31&gt;=A1890))&gt;0,1,0))</f>
        <v/>
      </c>
      <c r="F1890">
        <f>IF(OR(A1890="",B1890=""),"",IF(E1890=1,0,D1890*B1890/100/C1890))</f>
        <v/>
      </c>
      <c r="G1890">
        <f>IF(A1890="","",IF(OR(B1890&lt;&gt;B1889,C1890&lt;&gt;C1889,D1890&lt;&gt;D1889,E1890&lt;&gt;E1889),G1889+1,G1889))</f>
        <v/>
      </c>
    </row>
    <row r="1891">
      <c r="A1891" s="14">
        <f>IF(OR(NOT(ISNUMBER(Ввод!$B$5)),NOT(ISNUMBER(Ввод!$B$6))),"",IF(Ввод!$B$5+1889&gt;Ввод!$B$6,"",Ввод!$B$5+1889))</f>
        <v/>
      </c>
      <c r="B1891">
        <f>IF(A1891="","",IFERROR(INDEX(Ввод!$B$12:$B$71,MATCH(A1891,Ввод!$D$12:$D$71,1)),""))</f>
        <v/>
      </c>
      <c r="C1891">
        <f>IF(A1891="","",DATE(YEAR(A1891),12,31)-DATE(YEAR(A1891),1,1)+1)</f>
        <v/>
      </c>
      <c r="D1891">
        <f>IF(A1891="","",Ввод!$B$4-SUMIF(Оплаты!$A$6:$A$505,"&lt;"&amp;A1891,Оплаты!$B$6:$B$505))</f>
        <v/>
      </c>
      <c r="E1891">
        <f>IF(A1891="","",IF(SUMPRODUCT((Ввод!$F$12:$F$31&lt;&gt;"")*(Ввод!$F$12:$F$31&lt;=A1891)*(Ввод!$G$12:$G$31&gt;=A1891))&gt;0,1,0))</f>
        <v/>
      </c>
      <c r="F1891">
        <f>IF(OR(A1891="",B1891=""),"",IF(E1891=1,0,D1891*B1891/100/C1891))</f>
        <v/>
      </c>
      <c r="G1891">
        <f>IF(A1891="","",IF(OR(B1891&lt;&gt;B1890,C1891&lt;&gt;C1890,D1891&lt;&gt;D1890,E1891&lt;&gt;E1890),G1890+1,G1890))</f>
        <v/>
      </c>
    </row>
    <row r="1892">
      <c r="A1892" s="14">
        <f>IF(OR(NOT(ISNUMBER(Ввод!$B$5)),NOT(ISNUMBER(Ввод!$B$6))),"",IF(Ввод!$B$5+1890&gt;Ввод!$B$6,"",Ввод!$B$5+1890))</f>
        <v/>
      </c>
      <c r="B1892">
        <f>IF(A1892="","",IFERROR(INDEX(Ввод!$B$12:$B$71,MATCH(A1892,Ввод!$D$12:$D$71,1)),""))</f>
        <v/>
      </c>
      <c r="C1892">
        <f>IF(A1892="","",DATE(YEAR(A1892),12,31)-DATE(YEAR(A1892),1,1)+1)</f>
        <v/>
      </c>
      <c r="D1892">
        <f>IF(A1892="","",Ввод!$B$4-SUMIF(Оплаты!$A$6:$A$505,"&lt;"&amp;A1892,Оплаты!$B$6:$B$505))</f>
        <v/>
      </c>
      <c r="E1892">
        <f>IF(A1892="","",IF(SUMPRODUCT((Ввод!$F$12:$F$31&lt;&gt;"")*(Ввод!$F$12:$F$31&lt;=A1892)*(Ввод!$G$12:$G$31&gt;=A1892))&gt;0,1,0))</f>
        <v/>
      </c>
      <c r="F1892">
        <f>IF(OR(A1892="",B1892=""),"",IF(E1892=1,0,D1892*B1892/100/C1892))</f>
        <v/>
      </c>
      <c r="G1892">
        <f>IF(A1892="","",IF(OR(B1892&lt;&gt;B1891,C1892&lt;&gt;C1891,D1892&lt;&gt;D1891,E1892&lt;&gt;E1891),G1891+1,G1891))</f>
        <v/>
      </c>
    </row>
    <row r="1893">
      <c r="A1893" s="14">
        <f>IF(OR(NOT(ISNUMBER(Ввод!$B$5)),NOT(ISNUMBER(Ввод!$B$6))),"",IF(Ввод!$B$5+1891&gt;Ввод!$B$6,"",Ввод!$B$5+1891))</f>
        <v/>
      </c>
      <c r="B1893">
        <f>IF(A1893="","",IFERROR(INDEX(Ввод!$B$12:$B$71,MATCH(A1893,Ввод!$D$12:$D$71,1)),""))</f>
        <v/>
      </c>
      <c r="C1893">
        <f>IF(A1893="","",DATE(YEAR(A1893),12,31)-DATE(YEAR(A1893),1,1)+1)</f>
        <v/>
      </c>
      <c r="D1893">
        <f>IF(A1893="","",Ввод!$B$4-SUMIF(Оплаты!$A$6:$A$505,"&lt;"&amp;A1893,Оплаты!$B$6:$B$505))</f>
        <v/>
      </c>
      <c r="E1893">
        <f>IF(A1893="","",IF(SUMPRODUCT((Ввод!$F$12:$F$31&lt;&gt;"")*(Ввод!$F$12:$F$31&lt;=A1893)*(Ввод!$G$12:$G$31&gt;=A1893))&gt;0,1,0))</f>
        <v/>
      </c>
      <c r="F1893">
        <f>IF(OR(A1893="",B1893=""),"",IF(E1893=1,0,D1893*B1893/100/C1893))</f>
        <v/>
      </c>
      <c r="G1893">
        <f>IF(A1893="","",IF(OR(B1893&lt;&gt;B1892,C1893&lt;&gt;C1892,D1893&lt;&gt;D1892,E1893&lt;&gt;E1892),G1892+1,G1892))</f>
        <v/>
      </c>
    </row>
    <row r="1894">
      <c r="A1894" s="14">
        <f>IF(OR(NOT(ISNUMBER(Ввод!$B$5)),NOT(ISNUMBER(Ввод!$B$6))),"",IF(Ввод!$B$5+1892&gt;Ввод!$B$6,"",Ввод!$B$5+1892))</f>
        <v/>
      </c>
      <c r="B1894">
        <f>IF(A1894="","",IFERROR(INDEX(Ввод!$B$12:$B$71,MATCH(A1894,Ввод!$D$12:$D$71,1)),""))</f>
        <v/>
      </c>
      <c r="C1894">
        <f>IF(A1894="","",DATE(YEAR(A1894),12,31)-DATE(YEAR(A1894),1,1)+1)</f>
        <v/>
      </c>
      <c r="D1894">
        <f>IF(A1894="","",Ввод!$B$4-SUMIF(Оплаты!$A$6:$A$505,"&lt;"&amp;A1894,Оплаты!$B$6:$B$505))</f>
        <v/>
      </c>
      <c r="E1894">
        <f>IF(A1894="","",IF(SUMPRODUCT((Ввод!$F$12:$F$31&lt;&gt;"")*(Ввод!$F$12:$F$31&lt;=A1894)*(Ввод!$G$12:$G$31&gt;=A1894))&gt;0,1,0))</f>
        <v/>
      </c>
      <c r="F1894">
        <f>IF(OR(A1894="",B1894=""),"",IF(E1894=1,0,D1894*B1894/100/C1894))</f>
        <v/>
      </c>
      <c r="G1894">
        <f>IF(A1894="","",IF(OR(B1894&lt;&gt;B1893,C1894&lt;&gt;C1893,D1894&lt;&gt;D1893,E1894&lt;&gt;E1893),G1893+1,G1893))</f>
        <v/>
      </c>
    </row>
    <row r="1895">
      <c r="A1895" s="14">
        <f>IF(OR(NOT(ISNUMBER(Ввод!$B$5)),NOT(ISNUMBER(Ввод!$B$6))),"",IF(Ввод!$B$5+1893&gt;Ввод!$B$6,"",Ввод!$B$5+1893))</f>
        <v/>
      </c>
      <c r="B1895">
        <f>IF(A1895="","",IFERROR(INDEX(Ввод!$B$12:$B$71,MATCH(A1895,Ввод!$D$12:$D$71,1)),""))</f>
        <v/>
      </c>
      <c r="C1895">
        <f>IF(A1895="","",DATE(YEAR(A1895),12,31)-DATE(YEAR(A1895),1,1)+1)</f>
        <v/>
      </c>
      <c r="D1895">
        <f>IF(A1895="","",Ввод!$B$4-SUMIF(Оплаты!$A$6:$A$505,"&lt;"&amp;A1895,Оплаты!$B$6:$B$505))</f>
        <v/>
      </c>
      <c r="E1895">
        <f>IF(A1895="","",IF(SUMPRODUCT((Ввод!$F$12:$F$31&lt;&gt;"")*(Ввод!$F$12:$F$31&lt;=A1895)*(Ввод!$G$12:$G$31&gt;=A1895))&gt;0,1,0))</f>
        <v/>
      </c>
      <c r="F1895">
        <f>IF(OR(A1895="",B1895=""),"",IF(E1895=1,0,D1895*B1895/100/C1895))</f>
        <v/>
      </c>
      <c r="G1895">
        <f>IF(A1895="","",IF(OR(B1895&lt;&gt;B1894,C1895&lt;&gt;C1894,D1895&lt;&gt;D1894,E1895&lt;&gt;E1894),G1894+1,G1894))</f>
        <v/>
      </c>
    </row>
    <row r="1896">
      <c r="A1896" s="14">
        <f>IF(OR(NOT(ISNUMBER(Ввод!$B$5)),NOT(ISNUMBER(Ввод!$B$6))),"",IF(Ввод!$B$5+1894&gt;Ввод!$B$6,"",Ввод!$B$5+1894))</f>
        <v/>
      </c>
      <c r="B1896">
        <f>IF(A1896="","",IFERROR(INDEX(Ввод!$B$12:$B$71,MATCH(A1896,Ввод!$D$12:$D$71,1)),""))</f>
        <v/>
      </c>
      <c r="C1896">
        <f>IF(A1896="","",DATE(YEAR(A1896),12,31)-DATE(YEAR(A1896),1,1)+1)</f>
        <v/>
      </c>
      <c r="D1896">
        <f>IF(A1896="","",Ввод!$B$4-SUMIF(Оплаты!$A$6:$A$505,"&lt;"&amp;A1896,Оплаты!$B$6:$B$505))</f>
        <v/>
      </c>
      <c r="E1896">
        <f>IF(A1896="","",IF(SUMPRODUCT((Ввод!$F$12:$F$31&lt;&gt;"")*(Ввод!$F$12:$F$31&lt;=A1896)*(Ввод!$G$12:$G$31&gt;=A1896))&gt;0,1,0))</f>
        <v/>
      </c>
      <c r="F1896">
        <f>IF(OR(A1896="",B1896=""),"",IF(E1896=1,0,D1896*B1896/100/C1896))</f>
        <v/>
      </c>
      <c r="G1896">
        <f>IF(A1896="","",IF(OR(B1896&lt;&gt;B1895,C1896&lt;&gt;C1895,D1896&lt;&gt;D1895,E1896&lt;&gt;E1895),G1895+1,G1895))</f>
        <v/>
      </c>
    </row>
    <row r="1897">
      <c r="A1897" s="14">
        <f>IF(OR(NOT(ISNUMBER(Ввод!$B$5)),NOT(ISNUMBER(Ввод!$B$6))),"",IF(Ввод!$B$5+1895&gt;Ввод!$B$6,"",Ввод!$B$5+1895))</f>
        <v/>
      </c>
      <c r="B1897">
        <f>IF(A1897="","",IFERROR(INDEX(Ввод!$B$12:$B$71,MATCH(A1897,Ввод!$D$12:$D$71,1)),""))</f>
        <v/>
      </c>
      <c r="C1897">
        <f>IF(A1897="","",DATE(YEAR(A1897),12,31)-DATE(YEAR(A1897),1,1)+1)</f>
        <v/>
      </c>
      <c r="D1897">
        <f>IF(A1897="","",Ввод!$B$4-SUMIF(Оплаты!$A$6:$A$505,"&lt;"&amp;A1897,Оплаты!$B$6:$B$505))</f>
        <v/>
      </c>
      <c r="E1897">
        <f>IF(A1897="","",IF(SUMPRODUCT((Ввод!$F$12:$F$31&lt;&gt;"")*(Ввод!$F$12:$F$31&lt;=A1897)*(Ввод!$G$12:$G$31&gt;=A1897))&gt;0,1,0))</f>
        <v/>
      </c>
      <c r="F1897">
        <f>IF(OR(A1897="",B1897=""),"",IF(E1897=1,0,D1897*B1897/100/C1897))</f>
        <v/>
      </c>
      <c r="G1897">
        <f>IF(A1897="","",IF(OR(B1897&lt;&gt;B1896,C1897&lt;&gt;C1896,D1897&lt;&gt;D1896,E1897&lt;&gt;E1896),G1896+1,G1896))</f>
        <v/>
      </c>
    </row>
    <row r="1898">
      <c r="A1898" s="14">
        <f>IF(OR(NOT(ISNUMBER(Ввод!$B$5)),NOT(ISNUMBER(Ввод!$B$6))),"",IF(Ввод!$B$5+1896&gt;Ввод!$B$6,"",Ввод!$B$5+1896))</f>
        <v/>
      </c>
      <c r="B1898">
        <f>IF(A1898="","",IFERROR(INDEX(Ввод!$B$12:$B$71,MATCH(A1898,Ввод!$D$12:$D$71,1)),""))</f>
        <v/>
      </c>
      <c r="C1898">
        <f>IF(A1898="","",DATE(YEAR(A1898),12,31)-DATE(YEAR(A1898),1,1)+1)</f>
        <v/>
      </c>
      <c r="D1898">
        <f>IF(A1898="","",Ввод!$B$4-SUMIF(Оплаты!$A$6:$A$505,"&lt;"&amp;A1898,Оплаты!$B$6:$B$505))</f>
        <v/>
      </c>
      <c r="E1898">
        <f>IF(A1898="","",IF(SUMPRODUCT((Ввод!$F$12:$F$31&lt;&gt;"")*(Ввод!$F$12:$F$31&lt;=A1898)*(Ввод!$G$12:$G$31&gt;=A1898))&gt;0,1,0))</f>
        <v/>
      </c>
      <c r="F1898">
        <f>IF(OR(A1898="",B1898=""),"",IF(E1898=1,0,D1898*B1898/100/C1898))</f>
        <v/>
      </c>
      <c r="G1898">
        <f>IF(A1898="","",IF(OR(B1898&lt;&gt;B1897,C1898&lt;&gt;C1897,D1898&lt;&gt;D1897,E1898&lt;&gt;E1897),G1897+1,G1897))</f>
        <v/>
      </c>
    </row>
    <row r="1899">
      <c r="A1899" s="14">
        <f>IF(OR(NOT(ISNUMBER(Ввод!$B$5)),NOT(ISNUMBER(Ввод!$B$6))),"",IF(Ввод!$B$5+1897&gt;Ввод!$B$6,"",Ввод!$B$5+1897))</f>
        <v/>
      </c>
      <c r="B1899">
        <f>IF(A1899="","",IFERROR(INDEX(Ввод!$B$12:$B$71,MATCH(A1899,Ввод!$D$12:$D$71,1)),""))</f>
        <v/>
      </c>
      <c r="C1899">
        <f>IF(A1899="","",DATE(YEAR(A1899),12,31)-DATE(YEAR(A1899),1,1)+1)</f>
        <v/>
      </c>
      <c r="D1899">
        <f>IF(A1899="","",Ввод!$B$4-SUMIF(Оплаты!$A$6:$A$505,"&lt;"&amp;A1899,Оплаты!$B$6:$B$505))</f>
        <v/>
      </c>
      <c r="E1899">
        <f>IF(A1899="","",IF(SUMPRODUCT((Ввод!$F$12:$F$31&lt;&gt;"")*(Ввод!$F$12:$F$31&lt;=A1899)*(Ввод!$G$12:$G$31&gt;=A1899))&gt;0,1,0))</f>
        <v/>
      </c>
      <c r="F1899">
        <f>IF(OR(A1899="",B1899=""),"",IF(E1899=1,0,D1899*B1899/100/C1899))</f>
        <v/>
      </c>
      <c r="G1899">
        <f>IF(A1899="","",IF(OR(B1899&lt;&gt;B1898,C1899&lt;&gt;C1898,D1899&lt;&gt;D1898,E1899&lt;&gt;E1898),G1898+1,G1898))</f>
        <v/>
      </c>
    </row>
    <row r="1900">
      <c r="A1900" s="14">
        <f>IF(OR(NOT(ISNUMBER(Ввод!$B$5)),NOT(ISNUMBER(Ввод!$B$6))),"",IF(Ввод!$B$5+1898&gt;Ввод!$B$6,"",Ввод!$B$5+1898))</f>
        <v/>
      </c>
      <c r="B1900">
        <f>IF(A1900="","",IFERROR(INDEX(Ввод!$B$12:$B$71,MATCH(A1900,Ввод!$D$12:$D$71,1)),""))</f>
        <v/>
      </c>
      <c r="C1900">
        <f>IF(A1900="","",DATE(YEAR(A1900),12,31)-DATE(YEAR(A1900),1,1)+1)</f>
        <v/>
      </c>
      <c r="D1900">
        <f>IF(A1900="","",Ввод!$B$4-SUMIF(Оплаты!$A$6:$A$505,"&lt;"&amp;A1900,Оплаты!$B$6:$B$505))</f>
        <v/>
      </c>
      <c r="E1900">
        <f>IF(A1900="","",IF(SUMPRODUCT((Ввод!$F$12:$F$31&lt;&gt;"")*(Ввод!$F$12:$F$31&lt;=A1900)*(Ввод!$G$12:$G$31&gt;=A1900))&gt;0,1,0))</f>
        <v/>
      </c>
      <c r="F1900">
        <f>IF(OR(A1900="",B1900=""),"",IF(E1900=1,0,D1900*B1900/100/C1900))</f>
        <v/>
      </c>
      <c r="G1900">
        <f>IF(A1900="","",IF(OR(B1900&lt;&gt;B1899,C1900&lt;&gt;C1899,D1900&lt;&gt;D1899,E1900&lt;&gt;E1899),G1899+1,G1899))</f>
        <v/>
      </c>
    </row>
    <row r="1901">
      <c r="A1901" s="14">
        <f>IF(OR(NOT(ISNUMBER(Ввод!$B$5)),NOT(ISNUMBER(Ввод!$B$6))),"",IF(Ввод!$B$5+1899&gt;Ввод!$B$6,"",Ввод!$B$5+1899))</f>
        <v/>
      </c>
      <c r="B1901">
        <f>IF(A1901="","",IFERROR(INDEX(Ввод!$B$12:$B$71,MATCH(A1901,Ввод!$D$12:$D$71,1)),""))</f>
        <v/>
      </c>
      <c r="C1901">
        <f>IF(A1901="","",DATE(YEAR(A1901),12,31)-DATE(YEAR(A1901),1,1)+1)</f>
        <v/>
      </c>
      <c r="D1901">
        <f>IF(A1901="","",Ввод!$B$4-SUMIF(Оплаты!$A$6:$A$505,"&lt;"&amp;A1901,Оплаты!$B$6:$B$505))</f>
        <v/>
      </c>
      <c r="E1901">
        <f>IF(A1901="","",IF(SUMPRODUCT((Ввод!$F$12:$F$31&lt;&gt;"")*(Ввод!$F$12:$F$31&lt;=A1901)*(Ввод!$G$12:$G$31&gt;=A1901))&gt;0,1,0))</f>
        <v/>
      </c>
      <c r="F1901">
        <f>IF(OR(A1901="",B1901=""),"",IF(E1901=1,0,D1901*B1901/100/C1901))</f>
        <v/>
      </c>
      <c r="G1901">
        <f>IF(A1901="","",IF(OR(B1901&lt;&gt;B1900,C1901&lt;&gt;C1900,D1901&lt;&gt;D1900,E1901&lt;&gt;E1900),G1900+1,G1900))</f>
        <v/>
      </c>
    </row>
    <row r="1902">
      <c r="A1902" s="14">
        <f>IF(OR(NOT(ISNUMBER(Ввод!$B$5)),NOT(ISNUMBER(Ввод!$B$6))),"",IF(Ввод!$B$5+1900&gt;Ввод!$B$6,"",Ввод!$B$5+1900))</f>
        <v/>
      </c>
      <c r="B1902">
        <f>IF(A1902="","",IFERROR(INDEX(Ввод!$B$12:$B$71,MATCH(A1902,Ввод!$D$12:$D$71,1)),""))</f>
        <v/>
      </c>
      <c r="C1902">
        <f>IF(A1902="","",DATE(YEAR(A1902),12,31)-DATE(YEAR(A1902),1,1)+1)</f>
        <v/>
      </c>
      <c r="D1902">
        <f>IF(A1902="","",Ввод!$B$4-SUMIF(Оплаты!$A$6:$A$505,"&lt;"&amp;A1902,Оплаты!$B$6:$B$505))</f>
        <v/>
      </c>
      <c r="E1902">
        <f>IF(A1902="","",IF(SUMPRODUCT((Ввод!$F$12:$F$31&lt;&gt;"")*(Ввод!$F$12:$F$31&lt;=A1902)*(Ввод!$G$12:$G$31&gt;=A1902))&gt;0,1,0))</f>
        <v/>
      </c>
      <c r="F1902">
        <f>IF(OR(A1902="",B1902=""),"",IF(E1902=1,0,D1902*B1902/100/C1902))</f>
        <v/>
      </c>
      <c r="G1902">
        <f>IF(A1902="","",IF(OR(B1902&lt;&gt;B1901,C1902&lt;&gt;C1901,D1902&lt;&gt;D1901,E1902&lt;&gt;E1901),G1901+1,G1901))</f>
        <v/>
      </c>
    </row>
    <row r="1903">
      <c r="A1903" s="14">
        <f>IF(OR(NOT(ISNUMBER(Ввод!$B$5)),NOT(ISNUMBER(Ввод!$B$6))),"",IF(Ввод!$B$5+1901&gt;Ввод!$B$6,"",Ввод!$B$5+1901))</f>
        <v/>
      </c>
      <c r="B1903">
        <f>IF(A1903="","",IFERROR(INDEX(Ввод!$B$12:$B$71,MATCH(A1903,Ввод!$D$12:$D$71,1)),""))</f>
        <v/>
      </c>
      <c r="C1903">
        <f>IF(A1903="","",DATE(YEAR(A1903),12,31)-DATE(YEAR(A1903),1,1)+1)</f>
        <v/>
      </c>
      <c r="D1903">
        <f>IF(A1903="","",Ввод!$B$4-SUMIF(Оплаты!$A$6:$A$505,"&lt;"&amp;A1903,Оплаты!$B$6:$B$505))</f>
        <v/>
      </c>
      <c r="E1903">
        <f>IF(A1903="","",IF(SUMPRODUCT((Ввод!$F$12:$F$31&lt;&gt;"")*(Ввод!$F$12:$F$31&lt;=A1903)*(Ввод!$G$12:$G$31&gt;=A1903))&gt;0,1,0))</f>
        <v/>
      </c>
      <c r="F1903">
        <f>IF(OR(A1903="",B1903=""),"",IF(E1903=1,0,D1903*B1903/100/C1903))</f>
        <v/>
      </c>
      <c r="G1903">
        <f>IF(A1903="","",IF(OR(B1903&lt;&gt;B1902,C1903&lt;&gt;C1902,D1903&lt;&gt;D1902,E1903&lt;&gt;E1902),G1902+1,G1902))</f>
        <v/>
      </c>
    </row>
    <row r="1904">
      <c r="A1904" s="14">
        <f>IF(OR(NOT(ISNUMBER(Ввод!$B$5)),NOT(ISNUMBER(Ввод!$B$6))),"",IF(Ввод!$B$5+1902&gt;Ввод!$B$6,"",Ввод!$B$5+1902))</f>
        <v/>
      </c>
      <c r="B1904">
        <f>IF(A1904="","",IFERROR(INDEX(Ввод!$B$12:$B$71,MATCH(A1904,Ввод!$D$12:$D$71,1)),""))</f>
        <v/>
      </c>
      <c r="C1904">
        <f>IF(A1904="","",DATE(YEAR(A1904),12,31)-DATE(YEAR(A1904),1,1)+1)</f>
        <v/>
      </c>
      <c r="D1904">
        <f>IF(A1904="","",Ввод!$B$4-SUMIF(Оплаты!$A$6:$A$505,"&lt;"&amp;A1904,Оплаты!$B$6:$B$505))</f>
        <v/>
      </c>
      <c r="E1904">
        <f>IF(A1904="","",IF(SUMPRODUCT((Ввод!$F$12:$F$31&lt;&gt;"")*(Ввод!$F$12:$F$31&lt;=A1904)*(Ввод!$G$12:$G$31&gt;=A1904))&gt;0,1,0))</f>
        <v/>
      </c>
      <c r="F1904">
        <f>IF(OR(A1904="",B1904=""),"",IF(E1904=1,0,D1904*B1904/100/C1904))</f>
        <v/>
      </c>
      <c r="G1904">
        <f>IF(A1904="","",IF(OR(B1904&lt;&gt;B1903,C1904&lt;&gt;C1903,D1904&lt;&gt;D1903,E1904&lt;&gt;E1903),G1903+1,G1903))</f>
        <v/>
      </c>
    </row>
    <row r="1905">
      <c r="A1905" s="14">
        <f>IF(OR(NOT(ISNUMBER(Ввод!$B$5)),NOT(ISNUMBER(Ввод!$B$6))),"",IF(Ввод!$B$5+1903&gt;Ввод!$B$6,"",Ввод!$B$5+1903))</f>
        <v/>
      </c>
      <c r="B1905">
        <f>IF(A1905="","",IFERROR(INDEX(Ввод!$B$12:$B$71,MATCH(A1905,Ввод!$D$12:$D$71,1)),""))</f>
        <v/>
      </c>
      <c r="C1905">
        <f>IF(A1905="","",DATE(YEAR(A1905),12,31)-DATE(YEAR(A1905),1,1)+1)</f>
        <v/>
      </c>
      <c r="D1905">
        <f>IF(A1905="","",Ввод!$B$4-SUMIF(Оплаты!$A$6:$A$505,"&lt;"&amp;A1905,Оплаты!$B$6:$B$505))</f>
        <v/>
      </c>
      <c r="E1905">
        <f>IF(A1905="","",IF(SUMPRODUCT((Ввод!$F$12:$F$31&lt;&gt;"")*(Ввод!$F$12:$F$31&lt;=A1905)*(Ввод!$G$12:$G$31&gt;=A1905))&gt;0,1,0))</f>
        <v/>
      </c>
      <c r="F1905">
        <f>IF(OR(A1905="",B1905=""),"",IF(E1905=1,0,D1905*B1905/100/C1905))</f>
        <v/>
      </c>
      <c r="G1905">
        <f>IF(A1905="","",IF(OR(B1905&lt;&gt;B1904,C1905&lt;&gt;C1904,D1905&lt;&gt;D1904,E1905&lt;&gt;E1904),G1904+1,G1904))</f>
        <v/>
      </c>
    </row>
    <row r="1906">
      <c r="A1906" s="14">
        <f>IF(OR(NOT(ISNUMBER(Ввод!$B$5)),NOT(ISNUMBER(Ввод!$B$6))),"",IF(Ввод!$B$5+1904&gt;Ввод!$B$6,"",Ввод!$B$5+1904))</f>
        <v/>
      </c>
      <c r="B1906">
        <f>IF(A1906="","",IFERROR(INDEX(Ввод!$B$12:$B$71,MATCH(A1906,Ввод!$D$12:$D$71,1)),""))</f>
        <v/>
      </c>
      <c r="C1906">
        <f>IF(A1906="","",DATE(YEAR(A1906),12,31)-DATE(YEAR(A1906),1,1)+1)</f>
        <v/>
      </c>
      <c r="D1906">
        <f>IF(A1906="","",Ввод!$B$4-SUMIF(Оплаты!$A$6:$A$505,"&lt;"&amp;A1906,Оплаты!$B$6:$B$505))</f>
        <v/>
      </c>
      <c r="E1906">
        <f>IF(A1906="","",IF(SUMPRODUCT((Ввод!$F$12:$F$31&lt;&gt;"")*(Ввод!$F$12:$F$31&lt;=A1906)*(Ввод!$G$12:$G$31&gt;=A1906))&gt;0,1,0))</f>
        <v/>
      </c>
      <c r="F1906">
        <f>IF(OR(A1906="",B1906=""),"",IF(E1906=1,0,D1906*B1906/100/C1906))</f>
        <v/>
      </c>
      <c r="G1906">
        <f>IF(A1906="","",IF(OR(B1906&lt;&gt;B1905,C1906&lt;&gt;C1905,D1906&lt;&gt;D1905,E1906&lt;&gt;E1905),G1905+1,G1905))</f>
        <v/>
      </c>
    </row>
    <row r="1907">
      <c r="A1907" s="14">
        <f>IF(OR(NOT(ISNUMBER(Ввод!$B$5)),NOT(ISNUMBER(Ввод!$B$6))),"",IF(Ввод!$B$5+1905&gt;Ввод!$B$6,"",Ввод!$B$5+1905))</f>
        <v/>
      </c>
      <c r="B1907">
        <f>IF(A1907="","",IFERROR(INDEX(Ввод!$B$12:$B$71,MATCH(A1907,Ввод!$D$12:$D$71,1)),""))</f>
        <v/>
      </c>
      <c r="C1907">
        <f>IF(A1907="","",DATE(YEAR(A1907),12,31)-DATE(YEAR(A1907),1,1)+1)</f>
        <v/>
      </c>
      <c r="D1907">
        <f>IF(A1907="","",Ввод!$B$4-SUMIF(Оплаты!$A$6:$A$505,"&lt;"&amp;A1907,Оплаты!$B$6:$B$505))</f>
        <v/>
      </c>
      <c r="E1907">
        <f>IF(A1907="","",IF(SUMPRODUCT((Ввод!$F$12:$F$31&lt;&gt;"")*(Ввод!$F$12:$F$31&lt;=A1907)*(Ввод!$G$12:$G$31&gt;=A1907))&gt;0,1,0))</f>
        <v/>
      </c>
      <c r="F1907">
        <f>IF(OR(A1907="",B1907=""),"",IF(E1907=1,0,D1907*B1907/100/C1907))</f>
        <v/>
      </c>
      <c r="G1907">
        <f>IF(A1907="","",IF(OR(B1907&lt;&gt;B1906,C1907&lt;&gt;C1906,D1907&lt;&gt;D1906,E1907&lt;&gt;E1906),G1906+1,G1906))</f>
        <v/>
      </c>
    </row>
    <row r="1908">
      <c r="A1908" s="14">
        <f>IF(OR(NOT(ISNUMBER(Ввод!$B$5)),NOT(ISNUMBER(Ввод!$B$6))),"",IF(Ввод!$B$5+1906&gt;Ввод!$B$6,"",Ввод!$B$5+1906))</f>
        <v/>
      </c>
      <c r="B1908">
        <f>IF(A1908="","",IFERROR(INDEX(Ввод!$B$12:$B$71,MATCH(A1908,Ввод!$D$12:$D$71,1)),""))</f>
        <v/>
      </c>
      <c r="C1908">
        <f>IF(A1908="","",DATE(YEAR(A1908),12,31)-DATE(YEAR(A1908),1,1)+1)</f>
        <v/>
      </c>
      <c r="D1908">
        <f>IF(A1908="","",Ввод!$B$4-SUMIF(Оплаты!$A$6:$A$505,"&lt;"&amp;A1908,Оплаты!$B$6:$B$505))</f>
        <v/>
      </c>
      <c r="E1908">
        <f>IF(A1908="","",IF(SUMPRODUCT((Ввод!$F$12:$F$31&lt;&gt;"")*(Ввод!$F$12:$F$31&lt;=A1908)*(Ввод!$G$12:$G$31&gt;=A1908))&gt;0,1,0))</f>
        <v/>
      </c>
      <c r="F1908">
        <f>IF(OR(A1908="",B1908=""),"",IF(E1908=1,0,D1908*B1908/100/C1908))</f>
        <v/>
      </c>
      <c r="G1908">
        <f>IF(A1908="","",IF(OR(B1908&lt;&gt;B1907,C1908&lt;&gt;C1907,D1908&lt;&gt;D1907,E1908&lt;&gt;E1907),G1907+1,G1907))</f>
        <v/>
      </c>
    </row>
    <row r="1909">
      <c r="A1909" s="14">
        <f>IF(OR(NOT(ISNUMBER(Ввод!$B$5)),NOT(ISNUMBER(Ввод!$B$6))),"",IF(Ввод!$B$5+1907&gt;Ввод!$B$6,"",Ввод!$B$5+1907))</f>
        <v/>
      </c>
      <c r="B1909">
        <f>IF(A1909="","",IFERROR(INDEX(Ввод!$B$12:$B$71,MATCH(A1909,Ввод!$D$12:$D$71,1)),""))</f>
        <v/>
      </c>
      <c r="C1909">
        <f>IF(A1909="","",DATE(YEAR(A1909),12,31)-DATE(YEAR(A1909),1,1)+1)</f>
        <v/>
      </c>
      <c r="D1909">
        <f>IF(A1909="","",Ввод!$B$4-SUMIF(Оплаты!$A$6:$A$505,"&lt;"&amp;A1909,Оплаты!$B$6:$B$505))</f>
        <v/>
      </c>
      <c r="E1909">
        <f>IF(A1909="","",IF(SUMPRODUCT((Ввод!$F$12:$F$31&lt;&gt;"")*(Ввод!$F$12:$F$31&lt;=A1909)*(Ввод!$G$12:$G$31&gt;=A1909))&gt;0,1,0))</f>
        <v/>
      </c>
      <c r="F1909">
        <f>IF(OR(A1909="",B1909=""),"",IF(E1909=1,0,D1909*B1909/100/C1909))</f>
        <v/>
      </c>
      <c r="G1909">
        <f>IF(A1909="","",IF(OR(B1909&lt;&gt;B1908,C1909&lt;&gt;C1908,D1909&lt;&gt;D1908,E1909&lt;&gt;E1908),G1908+1,G1908))</f>
        <v/>
      </c>
    </row>
    <row r="1910">
      <c r="A1910" s="14">
        <f>IF(OR(NOT(ISNUMBER(Ввод!$B$5)),NOT(ISNUMBER(Ввод!$B$6))),"",IF(Ввод!$B$5+1908&gt;Ввод!$B$6,"",Ввод!$B$5+1908))</f>
        <v/>
      </c>
      <c r="B1910">
        <f>IF(A1910="","",IFERROR(INDEX(Ввод!$B$12:$B$71,MATCH(A1910,Ввод!$D$12:$D$71,1)),""))</f>
        <v/>
      </c>
      <c r="C1910">
        <f>IF(A1910="","",DATE(YEAR(A1910),12,31)-DATE(YEAR(A1910),1,1)+1)</f>
        <v/>
      </c>
      <c r="D1910">
        <f>IF(A1910="","",Ввод!$B$4-SUMIF(Оплаты!$A$6:$A$505,"&lt;"&amp;A1910,Оплаты!$B$6:$B$505))</f>
        <v/>
      </c>
      <c r="E1910">
        <f>IF(A1910="","",IF(SUMPRODUCT((Ввод!$F$12:$F$31&lt;&gt;"")*(Ввод!$F$12:$F$31&lt;=A1910)*(Ввод!$G$12:$G$31&gt;=A1910))&gt;0,1,0))</f>
        <v/>
      </c>
      <c r="F1910">
        <f>IF(OR(A1910="",B1910=""),"",IF(E1910=1,0,D1910*B1910/100/C1910))</f>
        <v/>
      </c>
      <c r="G1910">
        <f>IF(A1910="","",IF(OR(B1910&lt;&gt;B1909,C1910&lt;&gt;C1909,D1910&lt;&gt;D1909,E1910&lt;&gt;E1909),G1909+1,G1909))</f>
        <v/>
      </c>
    </row>
    <row r="1911">
      <c r="A1911" s="14">
        <f>IF(OR(NOT(ISNUMBER(Ввод!$B$5)),NOT(ISNUMBER(Ввод!$B$6))),"",IF(Ввод!$B$5+1909&gt;Ввод!$B$6,"",Ввод!$B$5+1909))</f>
        <v/>
      </c>
      <c r="B1911">
        <f>IF(A1911="","",IFERROR(INDEX(Ввод!$B$12:$B$71,MATCH(A1911,Ввод!$D$12:$D$71,1)),""))</f>
        <v/>
      </c>
      <c r="C1911">
        <f>IF(A1911="","",DATE(YEAR(A1911),12,31)-DATE(YEAR(A1911),1,1)+1)</f>
        <v/>
      </c>
      <c r="D1911">
        <f>IF(A1911="","",Ввод!$B$4-SUMIF(Оплаты!$A$6:$A$505,"&lt;"&amp;A1911,Оплаты!$B$6:$B$505))</f>
        <v/>
      </c>
      <c r="E1911">
        <f>IF(A1911="","",IF(SUMPRODUCT((Ввод!$F$12:$F$31&lt;&gt;"")*(Ввод!$F$12:$F$31&lt;=A1911)*(Ввод!$G$12:$G$31&gt;=A1911))&gt;0,1,0))</f>
        <v/>
      </c>
      <c r="F1911">
        <f>IF(OR(A1911="",B1911=""),"",IF(E1911=1,0,D1911*B1911/100/C1911))</f>
        <v/>
      </c>
      <c r="G1911">
        <f>IF(A1911="","",IF(OR(B1911&lt;&gt;B1910,C1911&lt;&gt;C1910,D1911&lt;&gt;D1910,E1911&lt;&gt;E1910),G1910+1,G1910))</f>
        <v/>
      </c>
    </row>
    <row r="1912">
      <c r="A1912" s="14">
        <f>IF(OR(NOT(ISNUMBER(Ввод!$B$5)),NOT(ISNUMBER(Ввод!$B$6))),"",IF(Ввод!$B$5+1910&gt;Ввод!$B$6,"",Ввод!$B$5+1910))</f>
        <v/>
      </c>
      <c r="B1912">
        <f>IF(A1912="","",IFERROR(INDEX(Ввод!$B$12:$B$71,MATCH(A1912,Ввод!$D$12:$D$71,1)),""))</f>
        <v/>
      </c>
      <c r="C1912">
        <f>IF(A1912="","",DATE(YEAR(A1912),12,31)-DATE(YEAR(A1912),1,1)+1)</f>
        <v/>
      </c>
      <c r="D1912">
        <f>IF(A1912="","",Ввод!$B$4-SUMIF(Оплаты!$A$6:$A$505,"&lt;"&amp;A1912,Оплаты!$B$6:$B$505))</f>
        <v/>
      </c>
      <c r="E1912">
        <f>IF(A1912="","",IF(SUMPRODUCT((Ввод!$F$12:$F$31&lt;&gt;"")*(Ввод!$F$12:$F$31&lt;=A1912)*(Ввод!$G$12:$G$31&gt;=A1912))&gt;0,1,0))</f>
        <v/>
      </c>
      <c r="F1912">
        <f>IF(OR(A1912="",B1912=""),"",IF(E1912=1,0,D1912*B1912/100/C1912))</f>
        <v/>
      </c>
      <c r="G1912">
        <f>IF(A1912="","",IF(OR(B1912&lt;&gt;B1911,C1912&lt;&gt;C1911,D1912&lt;&gt;D1911,E1912&lt;&gt;E1911),G1911+1,G1911))</f>
        <v/>
      </c>
    </row>
    <row r="1913">
      <c r="A1913" s="14">
        <f>IF(OR(NOT(ISNUMBER(Ввод!$B$5)),NOT(ISNUMBER(Ввод!$B$6))),"",IF(Ввод!$B$5+1911&gt;Ввод!$B$6,"",Ввод!$B$5+1911))</f>
        <v/>
      </c>
      <c r="B1913">
        <f>IF(A1913="","",IFERROR(INDEX(Ввод!$B$12:$B$71,MATCH(A1913,Ввод!$D$12:$D$71,1)),""))</f>
        <v/>
      </c>
      <c r="C1913">
        <f>IF(A1913="","",DATE(YEAR(A1913),12,31)-DATE(YEAR(A1913),1,1)+1)</f>
        <v/>
      </c>
      <c r="D1913">
        <f>IF(A1913="","",Ввод!$B$4-SUMIF(Оплаты!$A$6:$A$505,"&lt;"&amp;A1913,Оплаты!$B$6:$B$505))</f>
        <v/>
      </c>
      <c r="E1913">
        <f>IF(A1913="","",IF(SUMPRODUCT((Ввод!$F$12:$F$31&lt;&gt;"")*(Ввод!$F$12:$F$31&lt;=A1913)*(Ввод!$G$12:$G$31&gt;=A1913))&gt;0,1,0))</f>
        <v/>
      </c>
      <c r="F1913">
        <f>IF(OR(A1913="",B1913=""),"",IF(E1913=1,0,D1913*B1913/100/C1913))</f>
        <v/>
      </c>
      <c r="G1913">
        <f>IF(A1913="","",IF(OR(B1913&lt;&gt;B1912,C1913&lt;&gt;C1912,D1913&lt;&gt;D1912,E1913&lt;&gt;E1912),G1912+1,G1912))</f>
        <v/>
      </c>
    </row>
    <row r="1914">
      <c r="A1914" s="14">
        <f>IF(OR(NOT(ISNUMBER(Ввод!$B$5)),NOT(ISNUMBER(Ввод!$B$6))),"",IF(Ввод!$B$5+1912&gt;Ввод!$B$6,"",Ввод!$B$5+1912))</f>
        <v/>
      </c>
      <c r="B1914">
        <f>IF(A1914="","",IFERROR(INDEX(Ввод!$B$12:$B$71,MATCH(A1914,Ввод!$D$12:$D$71,1)),""))</f>
        <v/>
      </c>
      <c r="C1914">
        <f>IF(A1914="","",DATE(YEAR(A1914),12,31)-DATE(YEAR(A1914),1,1)+1)</f>
        <v/>
      </c>
      <c r="D1914">
        <f>IF(A1914="","",Ввод!$B$4-SUMIF(Оплаты!$A$6:$A$505,"&lt;"&amp;A1914,Оплаты!$B$6:$B$505))</f>
        <v/>
      </c>
      <c r="E1914">
        <f>IF(A1914="","",IF(SUMPRODUCT((Ввод!$F$12:$F$31&lt;&gt;"")*(Ввод!$F$12:$F$31&lt;=A1914)*(Ввод!$G$12:$G$31&gt;=A1914))&gt;0,1,0))</f>
        <v/>
      </c>
      <c r="F1914">
        <f>IF(OR(A1914="",B1914=""),"",IF(E1914=1,0,D1914*B1914/100/C1914))</f>
        <v/>
      </c>
      <c r="G1914">
        <f>IF(A1914="","",IF(OR(B1914&lt;&gt;B1913,C1914&lt;&gt;C1913,D1914&lt;&gt;D1913,E1914&lt;&gt;E1913),G1913+1,G1913))</f>
        <v/>
      </c>
    </row>
    <row r="1915">
      <c r="A1915" s="14">
        <f>IF(OR(NOT(ISNUMBER(Ввод!$B$5)),NOT(ISNUMBER(Ввод!$B$6))),"",IF(Ввод!$B$5+1913&gt;Ввод!$B$6,"",Ввод!$B$5+1913))</f>
        <v/>
      </c>
      <c r="B1915">
        <f>IF(A1915="","",IFERROR(INDEX(Ввод!$B$12:$B$71,MATCH(A1915,Ввод!$D$12:$D$71,1)),""))</f>
        <v/>
      </c>
      <c r="C1915">
        <f>IF(A1915="","",DATE(YEAR(A1915),12,31)-DATE(YEAR(A1915),1,1)+1)</f>
        <v/>
      </c>
      <c r="D1915">
        <f>IF(A1915="","",Ввод!$B$4-SUMIF(Оплаты!$A$6:$A$505,"&lt;"&amp;A1915,Оплаты!$B$6:$B$505))</f>
        <v/>
      </c>
      <c r="E1915">
        <f>IF(A1915="","",IF(SUMPRODUCT((Ввод!$F$12:$F$31&lt;&gt;"")*(Ввод!$F$12:$F$31&lt;=A1915)*(Ввод!$G$12:$G$31&gt;=A1915))&gt;0,1,0))</f>
        <v/>
      </c>
      <c r="F1915">
        <f>IF(OR(A1915="",B1915=""),"",IF(E1915=1,0,D1915*B1915/100/C1915))</f>
        <v/>
      </c>
      <c r="G1915">
        <f>IF(A1915="","",IF(OR(B1915&lt;&gt;B1914,C1915&lt;&gt;C1914,D1915&lt;&gt;D1914,E1915&lt;&gt;E1914),G1914+1,G1914))</f>
        <v/>
      </c>
    </row>
    <row r="1916">
      <c r="A1916" s="14">
        <f>IF(OR(NOT(ISNUMBER(Ввод!$B$5)),NOT(ISNUMBER(Ввод!$B$6))),"",IF(Ввод!$B$5+1914&gt;Ввод!$B$6,"",Ввод!$B$5+1914))</f>
        <v/>
      </c>
      <c r="B1916">
        <f>IF(A1916="","",IFERROR(INDEX(Ввод!$B$12:$B$71,MATCH(A1916,Ввод!$D$12:$D$71,1)),""))</f>
        <v/>
      </c>
      <c r="C1916">
        <f>IF(A1916="","",DATE(YEAR(A1916),12,31)-DATE(YEAR(A1916),1,1)+1)</f>
        <v/>
      </c>
      <c r="D1916">
        <f>IF(A1916="","",Ввод!$B$4-SUMIF(Оплаты!$A$6:$A$505,"&lt;"&amp;A1916,Оплаты!$B$6:$B$505))</f>
        <v/>
      </c>
      <c r="E1916">
        <f>IF(A1916="","",IF(SUMPRODUCT((Ввод!$F$12:$F$31&lt;&gt;"")*(Ввод!$F$12:$F$31&lt;=A1916)*(Ввод!$G$12:$G$31&gt;=A1916))&gt;0,1,0))</f>
        <v/>
      </c>
      <c r="F1916">
        <f>IF(OR(A1916="",B1916=""),"",IF(E1916=1,0,D1916*B1916/100/C1916))</f>
        <v/>
      </c>
      <c r="G1916">
        <f>IF(A1916="","",IF(OR(B1916&lt;&gt;B1915,C1916&lt;&gt;C1915,D1916&lt;&gt;D1915,E1916&lt;&gt;E1915),G1915+1,G1915))</f>
        <v/>
      </c>
    </row>
    <row r="1917">
      <c r="A1917" s="14">
        <f>IF(OR(NOT(ISNUMBER(Ввод!$B$5)),NOT(ISNUMBER(Ввод!$B$6))),"",IF(Ввод!$B$5+1915&gt;Ввод!$B$6,"",Ввод!$B$5+1915))</f>
        <v/>
      </c>
      <c r="B1917">
        <f>IF(A1917="","",IFERROR(INDEX(Ввод!$B$12:$B$71,MATCH(A1917,Ввод!$D$12:$D$71,1)),""))</f>
        <v/>
      </c>
      <c r="C1917">
        <f>IF(A1917="","",DATE(YEAR(A1917),12,31)-DATE(YEAR(A1917),1,1)+1)</f>
        <v/>
      </c>
      <c r="D1917">
        <f>IF(A1917="","",Ввод!$B$4-SUMIF(Оплаты!$A$6:$A$505,"&lt;"&amp;A1917,Оплаты!$B$6:$B$505))</f>
        <v/>
      </c>
      <c r="E1917">
        <f>IF(A1917="","",IF(SUMPRODUCT((Ввод!$F$12:$F$31&lt;&gt;"")*(Ввод!$F$12:$F$31&lt;=A1917)*(Ввод!$G$12:$G$31&gt;=A1917))&gt;0,1,0))</f>
        <v/>
      </c>
      <c r="F1917">
        <f>IF(OR(A1917="",B1917=""),"",IF(E1917=1,0,D1917*B1917/100/C1917))</f>
        <v/>
      </c>
      <c r="G1917">
        <f>IF(A1917="","",IF(OR(B1917&lt;&gt;B1916,C1917&lt;&gt;C1916,D1917&lt;&gt;D1916,E1917&lt;&gt;E1916),G1916+1,G1916))</f>
        <v/>
      </c>
    </row>
    <row r="1918">
      <c r="A1918" s="14">
        <f>IF(OR(NOT(ISNUMBER(Ввод!$B$5)),NOT(ISNUMBER(Ввод!$B$6))),"",IF(Ввод!$B$5+1916&gt;Ввод!$B$6,"",Ввод!$B$5+1916))</f>
        <v/>
      </c>
      <c r="B1918">
        <f>IF(A1918="","",IFERROR(INDEX(Ввод!$B$12:$B$71,MATCH(A1918,Ввод!$D$12:$D$71,1)),""))</f>
        <v/>
      </c>
      <c r="C1918">
        <f>IF(A1918="","",DATE(YEAR(A1918),12,31)-DATE(YEAR(A1918),1,1)+1)</f>
        <v/>
      </c>
      <c r="D1918">
        <f>IF(A1918="","",Ввод!$B$4-SUMIF(Оплаты!$A$6:$A$505,"&lt;"&amp;A1918,Оплаты!$B$6:$B$505))</f>
        <v/>
      </c>
      <c r="E1918">
        <f>IF(A1918="","",IF(SUMPRODUCT((Ввод!$F$12:$F$31&lt;&gt;"")*(Ввод!$F$12:$F$31&lt;=A1918)*(Ввод!$G$12:$G$31&gt;=A1918))&gt;0,1,0))</f>
        <v/>
      </c>
      <c r="F1918">
        <f>IF(OR(A1918="",B1918=""),"",IF(E1918=1,0,D1918*B1918/100/C1918))</f>
        <v/>
      </c>
      <c r="G1918">
        <f>IF(A1918="","",IF(OR(B1918&lt;&gt;B1917,C1918&lt;&gt;C1917,D1918&lt;&gt;D1917,E1918&lt;&gt;E1917),G1917+1,G1917))</f>
        <v/>
      </c>
    </row>
    <row r="1919">
      <c r="A1919" s="14">
        <f>IF(OR(NOT(ISNUMBER(Ввод!$B$5)),NOT(ISNUMBER(Ввод!$B$6))),"",IF(Ввод!$B$5+1917&gt;Ввод!$B$6,"",Ввод!$B$5+1917))</f>
        <v/>
      </c>
      <c r="B1919">
        <f>IF(A1919="","",IFERROR(INDEX(Ввод!$B$12:$B$71,MATCH(A1919,Ввод!$D$12:$D$71,1)),""))</f>
        <v/>
      </c>
      <c r="C1919">
        <f>IF(A1919="","",DATE(YEAR(A1919),12,31)-DATE(YEAR(A1919),1,1)+1)</f>
        <v/>
      </c>
      <c r="D1919">
        <f>IF(A1919="","",Ввод!$B$4-SUMIF(Оплаты!$A$6:$A$505,"&lt;"&amp;A1919,Оплаты!$B$6:$B$505))</f>
        <v/>
      </c>
      <c r="E1919">
        <f>IF(A1919="","",IF(SUMPRODUCT((Ввод!$F$12:$F$31&lt;&gt;"")*(Ввод!$F$12:$F$31&lt;=A1919)*(Ввод!$G$12:$G$31&gt;=A1919))&gt;0,1,0))</f>
        <v/>
      </c>
      <c r="F1919">
        <f>IF(OR(A1919="",B1919=""),"",IF(E1919=1,0,D1919*B1919/100/C1919))</f>
        <v/>
      </c>
      <c r="G1919">
        <f>IF(A1919="","",IF(OR(B1919&lt;&gt;B1918,C1919&lt;&gt;C1918,D1919&lt;&gt;D1918,E1919&lt;&gt;E1918),G1918+1,G1918))</f>
        <v/>
      </c>
    </row>
    <row r="1920">
      <c r="A1920" s="14">
        <f>IF(OR(NOT(ISNUMBER(Ввод!$B$5)),NOT(ISNUMBER(Ввод!$B$6))),"",IF(Ввод!$B$5+1918&gt;Ввод!$B$6,"",Ввод!$B$5+1918))</f>
        <v/>
      </c>
      <c r="B1920">
        <f>IF(A1920="","",IFERROR(INDEX(Ввод!$B$12:$B$71,MATCH(A1920,Ввод!$D$12:$D$71,1)),""))</f>
        <v/>
      </c>
      <c r="C1920">
        <f>IF(A1920="","",DATE(YEAR(A1920),12,31)-DATE(YEAR(A1920),1,1)+1)</f>
        <v/>
      </c>
      <c r="D1920">
        <f>IF(A1920="","",Ввод!$B$4-SUMIF(Оплаты!$A$6:$A$505,"&lt;"&amp;A1920,Оплаты!$B$6:$B$505))</f>
        <v/>
      </c>
      <c r="E1920">
        <f>IF(A1920="","",IF(SUMPRODUCT((Ввод!$F$12:$F$31&lt;&gt;"")*(Ввод!$F$12:$F$31&lt;=A1920)*(Ввод!$G$12:$G$31&gt;=A1920))&gt;0,1,0))</f>
        <v/>
      </c>
      <c r="F1920">
        <f>IF(OR(A1920="",B1920=""),"",IF(E1920=1,0,D1920*B1920/100/C1920))</f>
        <v/>
      </c>
      <c r="G1920">
        <f>IF(A1920="","",IF(OR(B1920&lt;&gt;B1919,C1920&lt;&gt;C1919,D1920&lt;&gt;D1919,E1920&lt;&gt;E1919),G1919+1,G1919))</f>
        <v/>
      </c>
    </row>
    <row r="1921">
      <c r="A1921" s="14">
        <f>IF(OR(NOT(ISNUMBER(Ввод!$B$5)),NOT(ISNUMBER(Ввод!$B$6))),"",IF(Ввод!$B$5+1919&gt;Ввод!$B$6,"",Ввод!$B$5+1919))</f>
        <v/>
      </c>
      <c r="B1921">
        <f>IF(A1921="","",IFERROR(INDEX(Ввод!$B$12:$B$71,MATCH(A1921,Ввод!$D$12:$D$71,1)),""))</f>
        <v/>
      </c>
      <c r="C1921">
        <f>IF(A1921="","",DATE(YEAR(A1921),12,31)-DATE(YEAR(A1921),1,1)+1)</f>
        <v/>
      </c>
      <c r="D1921">
        <f>IF(A1921="","",Ввод!$B$4-SUMIF(Оплаты!$A$6:$A$505,"&lt;"&amp;A1921,Оплаты!$B$6:$B$505))</f>
        <v/>
      </c>
      <c r="E1921">
        <f>IF(A1921="","",IF(SUMPRODUCT((Ввод!$F$12:$F$31&lt;&gt;"")*(Ввод!$F$12:$F$31&lt;=A1921)*(Ввод!$G$12:$G$31&gt;=A1921))&gt;0,1,0))</f>
        <v/>
      </c>
      <c r="F1921">
        <f>IF(OR(A1921="",B1921=""),"",IF(E1921=1,0,D1921*B1921/100/C1921))</f>
        <v/>
      </c>
      <c r="G1921">
        <f>IF(A1921="","",IF(OR(B1921&lt;&gt;B1920,C1921&lt;&gt;C1920,D1921&lt;&gt;D1920,E1921&lt;&gt;E1920),G1920+1,G1920))</f>
        <v/>
      </c>
    </row>
    <row r="1922">
      <c r="A1922" s="14">
        <f>IF(OR(NOT(ISNUMBER(Ввод!$B$5)),NOT(ISNUMBER(Ввод!$B$6))),"",IF(Ввод!$B$5+1920&gt;Ввод!$B$6,"",Ввод!$B$5+1920))</f>
        <v/>
      </c>
      <c r="B1922">
        <f>IF(A1922="","",IFERROR(INDEX(Ввод!$B$12:$B$71,MATCH(A1922,Ввод!$D$12:$D$71,1)),""))</f>
        <v/>
      </c>
      <c r="C1922">
        <f>IF(A1922="","",DATE(YEAR(A1922),12,31)-DATE(YEAR(A1922),1,1)+1)</f>
        <v/>
      </c>
      <c r="D1922">
        <f>IF(A1922="","",Ввод!$B$4-SUMIF(Оплаты!$A$6:$A$505,"&lt;"&amp;A1922,Оплаты!$B$6:$B$505))</f>
        <v/>
      </c>
      <c r="E1922">
        <f>IF(A1922="","",IF(SUMPRODUCT((Ввод!$F$12:$F$31&lt;&gt;"")*(Ввод!$F$12:$F$31&lt;=A1922)*(Ввод!$G$12:$G$31&gt;=A1922))&gt;0,1,0))</f>
        <v/>
      </c>
      <c r="F1922">
        <f>IF(OR(A1922="",B1922=""),"",IF(E1922=1,0,D1922*B1922/100/C1922))</f>
        <v/>
      </c>
      <c r="G1922">
        <f>IF(A1922="","",IF(OR(B1922&lt;&gt;B1921,C1922&lt;&gt;C1921,D1922&lt;&gt;D1921,E1922&lt;&gt;E1921),G1921+1,G1921))</f>
        <v/>
      </c>
    </row>
    <row r="1923">
      <c r="A1923" s="14">
        <f>IF(OR(NOT(ISNUMBER(Ввод!$B$5)),NOT(ISNUMBER(Ввод!$B$6))),"",IF(Ввод!$B$5+1921&gt;Ввод!$B$6,"",Ввод!$B$5+1921))</f>
        <v/>
      </c>
      <c r="B1923">
        <f>IF(A1923="","",IFERROR(INDEX(Ввод!$B$12:$B$71,MATCH(A1923,Ввод!$D$12:$D$71,1)),""))</f>
        <v/>
      </c>
      <c r="C1923">
        <f>IF(A1923="","",DATE(YEAR(A1923),12,31)-DATE(YEAR(A1923),1,1)+1)</f>
        <v/>
      </c>
      <c r="D1923">
        <f>IF(A1923="","",Ввод!$B$4-SUMIF(Оплаты!$A$6:$A$505,"&lt;"&amp;A1923,Оплаты!$B$6:$B$505))</f>
        <v/>
      </c>
      <c r="E1923">
        <f>IF(A1923="","",IF(SUMPRODUCT((Ввод!$F$12:$F$31&lt;&gt;"")*(Ввод!$F$12:$F$31&lt;=A1923)*(Ввод!$G$12:$G$31&gt;=A1923))&gt;0,1,0))</f>
        <v/>
      </c>
      <c r="F1923">
        <f>IF(OR(A1923="",B1923=""),"",IF(E1923=1,0,D1923*B1923/100/C1923))</f>
        <v/>
      </c>
      <c r="G1923">
        <f>IF(A1923="","",IF(OR(B1923&lt;&gt;B1922,C1923&lt;&gt;C1922,D1923&lt;&gt;D1922,E1923&lt;&gt;E1922),G1922+1,G1922))</f>
        <v/>
      </c>
    </row>
    <row r="1924">
      <c r="A1924" s="14">
        <f>IF(OR(NOT(ISNUMBER(Ввод!$B$5)),NOT(ISNUMBER(Ввод!$B$6))),"",IF(Ввод!$B$5+1922&gt;Ввод!$B$6,"",Ввод!$B$5+1922))</f>
        <v/>
      </c>
      <c r="B1924">
        <f>IF(A1924="","",IFERROR(INDEX(Ввод!$B$12:$B$71,MATCH(A1924,Ввод!$D$12:$D$71,1)),""))</f>
        <v/>
      </c>
      <c r="C1924">
        <f>IF(A1924="","",DATE(YEAR(A1924),12,31)-DATE(YEAR(A1924),1,1)+1)</f>
        <v/>
      </c>
      <c r="D1924">
        <f>IF(A1924="","",Ввод!$B$4-SUMIF(Оплаты!$A$6:$A$505,"&lt;"&amp;A1924,Оплаты!$B$6:$B$505))</f>
        <v/>
      </c>
      <c r="E1924">
        <f>IF(A1924="","",IF(SUMPRODUCT((Ввод!$F$12:$F$31&lt;&gt;"")*(Ввод!$F$12:$F$31&lt;=A1924)*(Ввод!$G$12:$G$31&gt;=A1924))&gt;0,1,0))</f>
        <v/>
      </c>
      <c r="F1924">
        <f>IF(OR(A1924="",B1924=""),"",IF(E1924=1,0,D1924*B1924/100/C1924))</f>
        <v/>
      </c>
      <c r="G1924">
        <f>IF(A1924="","",IF(OR(B1924&lt;&gt;B1923,C1924&lt;&gt;C1923,D1924&lt;&gt;D1923,E1924&lt;&gt;E1923),G1923+1,G1923))</f>
        <v/>
      </c>
    </row>
    <row r="1925">
      <c r="A1925" s="14">
        <f>IF(OR(NOT(ISNUMBER(Ввод!$B$5)),NOT(ISNUMBER(Ввод!$B$6))),"",IF(Ввод!$B$5+1923&gt;Ввод!$B$6,"",Ввод!$B$5+1923))</f>
        <v/>
      </c>
      <c r="B1925">
        <f>IF(A1925="","",IFERROR(INDEX(Ввод!$B$12:$B$71,MATCH(A1925,Ввод!$D$12:$D$71,1)),""))</f>
        <v/>
      </c>
      <c r="C1925">
        <f>IF(A1925="","",DATE(YEAR(A1925),12,31)-DATE(YEAR(A1925),1,1)+1)</f>
        <v/>
      </c>
      <c r="D1925">
        <f>IF(A1925="","",Ввод!$B$4-SUMIF(Оплаты!$A$6:$A$505,"&lt;"&amp;A1925,Оплаты!$B$6:$B$505))</f>
        <v/>
      </c>
      <c r="E1925">
        <f>IF(A1925="","",IF(SUMPRODUCT((Ввод!$F$12:$F$31&lt;&gt;"")*(Ввод!$F$12:$F$31&lt;=A1925)*(Ввод!$G$12:$G$31&gt;=A1925))&gt;0,1,0))</f>
        <v/>
      </c>
      <c r="F1925">
        <f>IF(OR(A1925="",B1925=""),"",IF(E1925=1,0,D1925*B1925/100/C1925))</f>
        <v/>
      </c>
      <c r="G1925">
        <f>IF(A1925="","",IF(OR(B1925&lt;&gt;B1924,C1925&lt;&gt;C1924,D1925&lt;&gt;D1924,E1925&lt;&gt;E1924),G1924+1,G1924))</f>
        <v/>
      </c>
    </row>
    <row r="1926">
      <c r="A1926" s="14">
        <f>IF(OR(NOT(ISNUMBER(Ввод!$B$5)),NOT(ISNUMBER(Ввод!$B$6))),"",IF(Ввод!$B$5+1924&gt;Ввод!$B$6,"",Ввод!$B$5+1924))</f>
        <v/>
      </c>
      <c r="B1926">
        <f>IF(A1926="","",IFERROR(INDEX(Ввод!$B$12:$B$71,MATCH(A1926,Ввод!$D$12:$D$71,1)),""))</f>
        <v/>
      </c>
      <c r="C1926">
        <f>IF(A1926="","",DATE(YEAR(A1926),12,31)-DATE(YEAR(A1926),1,1)+1)</f>
        <v/>
      </c>
      <c r="D1926">
        <f>IF(A1926="","",Ввод!$B$4-SUMIF(Оплаты!$A$6:$A$505,"&lt;"&amp;A1926,Оплаты!$B$6:$B$505))</f>
        <v/>
      </c>
      <c r="E1926">
        <f>IF(A1926="","",IF(SUMPRODUCT((Ввод!$F$12:$F$31&lt;&gt;"")*(Ввод!$F$12:$F$31&lt;=A1926)*(Ввод!$G$12:$G$31&gt;=A1926))&gt;0,1,0))</f>
        <v/>
      </c>
      <c r="F1926">
        <f>IF(OR(A1926="",B1926=""),"",IF(E1926=1,0,D1926*B1926/100/C1926))</f>
        <v/>
      </c>
      <c r="G1926">
        <f>IF(A1926="","",IF(OR(B1926&lt;&gt;B1925,C1926&lt;&gt;C1925,D1926&lt;&gt;D1925,E1926&lt;&gt;E1925),G1925+1,G1925))</f>
        <v/>
      </c>
    </row>
    <row r="1927">
      <c r="A1927" s="14">
        <f>IF(OR(NOT(ISNUMBER(Ввод!$B$5)),NOT(ISNUMBER(Ввод!$B$6))),"",IF(Ввод!$B$5+1925&gt;Ввод!$B$6,"",Ввод!$B$5+1925))</f>
        <v/>
      </c>
      <c r="B1927">
        <f>IF(A1927="","",IFERROR(INDEX(Ввод!$B$12:$B$71,MATCH(A1927,Ввод!$D$12:$D$71,1)),""))</f>
        <v/>
      </c>
      <c r="C1927">
        <f>IF(A1927="","",DATE(YEAR(A1927),12,31)-DATE(YEAR(A1927),1,1)+1)</f>
        <v/>
      </c>
      <c r="D1927">
        <f>IF(A1927="","",Ввод!$B$4-SUMIF(Оплаты!$A$6:$A$505,"&lt;"&amp;A1927,Оплаты!$B$6:$B$505))</f>
        <v/>
      </c>
      <c r="E1927">
        <f>IF(A1927="","",IF(SUMPRODUCT((Ввод!$F$12:$F$31&lt;&gt;"")*(Ввод!$F$12:$F$31&lt;=A1927)*(Ввод!$G$12:$G$31&gt;=A1927))&gt;0,1,0))</f>
        <v/>
      </c>
      <c r="F1927">
        <f>IF(OR(A1927="",B1927=""),"",IF(E1927=1,0,D1927*B1927/100/C1927))</f>
        <v/>
      </c>
      <c r="G1927">
        <f>IF(A1927="","",IF(OR(B1927&lt;&gt;B1926,C1927&lt;&gt;C1926,D1927&lt;&gt;D1926,E1927&lt;&gt;E1926),G1926+1,G1926))</f>
        <v/>
      </c>
    </row>
    <row r="1928">
      <c r="A1928" s="14">
        <f>IF(OR(NOT(ISNUMBER(Ввод!$B$5)),NOT(ISNUMBER(Ввод!$B$6))),"",IF(Ввод!$B$5+1926&gt;Ввод!$B$6,"",Ввод!$B$5+1926))</f>
        <v/>
      </c>
      <c r="B1928">
        <f>IF(A1928="","",IFERROR(INDEX(Ввод!$B$12:$B$71,MATCH(A1928,Ввод!$D$12:$D$71,1)),""))</f>
        <v/>
      </c>
      <c r="C1928">
        <f>IF(A1928="","",DATE(YEAR(A1928),12,31)-DATE(YEAR(A1928),1,1)+1)</f>
        <v/>
      </c>
      <c r="D1928">
        <f>IF(A1928="","",Ввод!$B$4-SUMIF(Оплаты!$A$6:$A$505,"&lt;"&amp;A1928,Оплаты!$B$6:$B$505))</f>
        <v/>
      </c>
      <c r="E1928">
        <f>IF(A1928="","",IF(SUMPRODUCT((Ввод!$F$12:$F$31&lt;&gt;"")*(Ввод!$F$12:$F$31&lt;=A1928)*(Ввод!$G$12:$G$31&gt;=A1928))&gt;0,1,0))</f>
        <v/>
      </c>
      <c r="F1928">
        <f>IF(OR(A1928="",B1928=""),"",IF(E1928=1,0,D1928*B1928/100/C1928))</f>
        <v/>
      </c>
      <c r="G1928">
        <f>IF(A1928="","",IF(OR(B1928&lt;&gt;B1927,C1928&lt;&gt;C1927,D1928&lt;&gt;D1927,E1928&lt;&gt;E1927),G1927+1,G1927))</f>
        <v/>
      </c>
    </row>
    <row r="1929">
      <c r="A1929" s="14">
        <f>IF(OR(NOT(ISNUMBER(Ввод!$B$5)),NOT(ISNUMBER(Ввод!$B$6))),"",IF(Ввод!$B$5+1927&gt;Ввод!$B$6,"",Ввод!$B$5+1927))</f>
        <v/>
      </c>
      <c r="B1929">
        <f>IF(A1929="","",IFERROR(INDEX(Ввод!$B$12:$B$71,MATCH(A1929,Ввод!$D$12:$D$71,1)),""))</f>
        <v/>
      </c>
      <c r="C1929">
        <f>IF(A1929="","",DATE(YEAR(A1929),12,31)-DATE(YEAR(A1929),1,1)+1)</f>
        <v/>
      </c>
      <c r="D1929">
        <f>IF(A1929="","",Ввод!$B$4-SUMIF(Оплаты!$A$6:$A$505,"&lt;"&amp;A1929,Оплаты!$B$6:$B$505))</f>
        <v/>
      </c>
      <c r="E1929">
        <f>IF(A1929="","",IF(SUMPRODUCT((Ввод!$F$12:$F$31&lt;&gt;"")*(Ввод!$F$12:$F$31&lt;=A1929)*(Ввод!$G$12:$G$31&gt;=A1929))&gt;0,1,0))</f>
        <v/>
      </c>
      <c r="F1929">
        <f>IF(OR(A1929="",B1929=""),"",IF(E1929=1,0,D1929*B1929/100/C1929))</f>
        <v/>
      </c>
      <c r="G1929">
        <f>IF(A1929="","",IF(OR(B1929&lt;&gt;B1928,C1929&lt;&gt;C1928,D1929&lt;&gt;D1928,E1929&lt;&gt;E1928),G1928+1,G1928))</f>
        <v/>
      </c>
    </row>
    <row r="1930">
      <c r="A1930" s="14">
        <f>IF(OR(NOT(ISNUMBER(Ввод!$B$5)),NOT(ISNUMBER(Ввод!$B$6))),"",IF(Ввод!$B$5+1928&gt;Ввод!$B$6,"",Ввод!$B$5+1928))</f>
        <v/>
      </c>
      <c r="B1930">
        <f>IF(A1930="","",IFERROR(INDEX(Ввод!$B$12:$B$71,MATCH(A1930,Ввод!$D$12:$D$71,1)),""))</f>
        <v/>
      </c>
      <c r="C1930">
        <f>IF(A1930="","",DATE(YEAR(A1930),12,31)-DATE(YEAR(A1930),1,1)+1)</f>
        <v/>
      </c>
      <c r="D1930">
        <f>IF(A1930="","",Ввод!$B$4-SUMIF(Оплаты!$A$6:$A$505,"&lt;"&amp;A1930,Оплаты!$B$6:$B$505))</f>
        <v/>
      </c>
      <c r="E1930">
        <f>IF(A1930="","",IF(SUMPRODUCT((Ввод!$F$12:$F$31&lt;&gt;"")*(Ввод!$F$12:$F$31&lt;=A1930)*(Ввод!$G$12:$G$31&gt;=A1930))&gt;0,1,0))</f>
        <v/>
      </c>
      <c r="F1930">
        <f>IF(OR(A1930="",B1930=""),"",IF(E1930=1,0,D1930*B1930/100/C1930))</f>
        <v/>
      </c>
      <c r="G1930">
        <f>IF(A1930="","",IF(OR(B1930&lt;&gt;B1929,C1930&lt;&gt;C1929,D1930&lt;&gt;D1929,E1930&lt;&gt;E1929),G1929+1,G1929))</f>
        <v/>
      </c>
    </row>
    <row r="1931">
      <c r="A1931" s="14">
        <f>IF(OR(NOT(ISNUMBER(Ввод!$B$5)),NOT(ISNUMBER(Ввод!$B$6))),"",IF(Ввод!$B$5+1929&gt;Ввод!$B$6,"",Ввод!$B$5+1929))</f>
        <v/>
      </c>
      <c r="B1931">
        <f>IF(A1931="","",IFERROR(INDEX(Ввод!$B$12:$B$71,MATCH(A1931,Ввод!$D$12:$D$71,1)),""))</f>
        <v/>
      </c>
      <c r="C1931">
        <f>IF(A1931="","",DATE(YEAR(A1931),12,31)-DATE(YEAR(A1931),1,1)+1)</f>
        <v/>
      </c>
      <c r="D1931">
        <f>IF(A1931="","",Ввод!$B$4-SUMIF(Оплаты!$A$6:$A$505,"&lt;"&amp;A1931,Оплаты!$B$6:$B$505))</f>
        <v/>
      </c>
      <c r="E1931">
        <f>IF(A1931="","",IF(SUMPRODUCT((Ввод!$F$12:$F$31&lt;&gt;"")*(Ввод!$F$12:$F$31&lt;=A1931)*(Ввод!$G$12:$G$31&gt;=A1931))&gt;0,1,0))</f>
        <v/>
      </c>
      <c r="F1931">
        <f>IF(OR(A1931="",B1931=""),"",IF(E1931=1,0,D1931*B1931/100/C1931))</f>
        <v/>
      </c>
      <c r="G1931">
        <f>IF(A1931="","",IF(OR(B1931&lt;&gt;B1930,C1931&lt;&gt;C1930,D1931&lt;&gt;D1930,E1931&lt;&gt;E1930),G1930+1,G1930))</f>
        <v/>
      </c>
    </row>
    <row r="1932">
      <c r="A1932" s="14">
        <f>IF(OR(NOT(ISNUMBER(Ввод!$B$5)),NOT(ISNUMBER(Ввод!$B$6))),"",IF(Ввод!$B$5+1930&gt;Ввод!$B$6,"",Ввод!$B$5+1930))</f>
        <v/>
      </c>
      <c r="B1932">
        <f>IF(A1932="","",IFERROR(INDEX(Ввод!$B$12:$B$71,MATCH(A1932,Ввод!$D$12:$D$71,1)),""))</f>
        <v/>
      </c>
      <c r="C1932">
        <f>IF(A1932="","",DATE(YEAR(A1932),12,31)-DATE(YEAR(A1932),1,1)+1)</f>
        <v/>
      </c>
      <c r="D1932">
        <f>IF(A1932="","",Ввод!$B$4-SUMIF(Оплаты!$A$6:$A$505,"&lt;"&amp;A1932,Оплаты!$B$6:$B$505))</f>
        <v/>
      </c>
      <c r="E1932">
        <f>IF(A1932="","",IF(SUMPRODUCT((Ввод!$F$12:$F$31&lt;&gt;"")*(Ввод!$F$12:$F$31&lt;=A1932)*(Ввод!$G$12:$G$31&gt;=A1932))&gt;0,1,0))</f>
        <v/>
      </c>
      <c r="F1932">
        <f>IF(OR(A1932="",B1932=""),"",IF(E1932=1,0,D1932*B1932/100/C1932))</f>
        <v/>
      </c>
      <c r="G1932">
        <f>IF(A1932="","",IF(OR(B1932&lt;&gt;B1931,C1932&lt;&gt;C1931,D1932&lt;&gt;D1931,E1932&lt;&gt;E1931),G1931+1,G1931))</f>
        <v/>
      </c>
    </row>
    <row r="1933">
      <c r="A1933" s="14">
        <f>IF(OR(NOT(ISNUMBER(Ввод!$B$5)),NOT(ISNUMBER(Ввод!$B$6))),"",IF(Ввод!$B$5+1931&gt;Ввод!$B$6,"",Ввод!$B$5+1931))</f>
        <v/>
      </c>
      <c r="B1933">
        <f>IF(A1933="","",IFERROR(INDEX(Ввод!$B$12:$B$71,MATCH(A1933,Ввод!$D$12:$D$71,1)),""))</f>
        <v/>
      </c>
      <c r="C1933">
        <f>IF(A1933="","",DATE(YEAR(A1933),12,31)-DATE(YEAR(A1933),1,1)+1)</f>
        <v/>
      </c>
      <c r="D1933">
        <f>IF(A1933="","",Ввод!$B$4-SUMIF(Оплаты!$A$6:$A$505,"&lt;"&amp;A1933,Оплаты!$B$6:$B$505))</f>
        <v/>
      </c>
      <c r="E1933">
        <f>IF(A1933="","",IF(SUMPRODUCT((Ввод!$F$12:$F$31&lt;&gt;"")*(Ввод!$F$12:$F$31&lt;=A1933)*(Ввод!$G$12:$G$31&gt;=A1933))&gt;0,1,0))</f>
        <v/>
      </c>
      <c r="F1933">
        <f>IF(OR(A1933="",B1933=""),"",IF(E1933=1,0,D1933*B1933/100/C1933))</f>
        <v/>
      </c>
      <c r="G1933">
        <f>IF(A1933="","",IF(OR(B1933&lt;&gt;B1932,C1933&lt;&gt;C1932,D1933&lt;&gt;D1932,E1933&lt;&gt;E1932),G1932+1,G1932))</f>
        <v/>
      </c>
    </row>
    <row r="1934">
      <c r="A1934" s="14">
        <f>IF(OR(NOT(ISNUMBER(Ввод!$B$5)),NOT(ISNUMBER(Ввод!$B$6))),"",IF(Ввод!$B$5+1932&gt;Ввод!$B$6,"",Ввод!$B$5+1932))</f>
        <v/>
      </c>
      <c r="B1934">
        <f>IF(A1934="","",IFERROR(INDEX(Ввод!$B$12:$B$71,MATCH(A1934,Ввод!$D$12:$D$71,1)),""))</f>
        <v/>
      </c>
      <c r="C1934">
        <f>IF(A1934="","",DATE(YEAR(A1934),12,31)-DATE(YEAR(A1934),1,1)+1)</f>
        <v/>
      </c>
      <c r="D1934">
        <f>IF(A1934="","",Ввод!$B$4-SUMIF(Оплаты!$A$6:$A$505,"&lt;"&amp;A1934,Оплаты!$B$6:$B$505))</f>
        <v/>
      </c>
      <c r="E1934">
        <f>IF(A1934="","",IF(SUMPRODUCT((Ввод!$F$12:$F$31&lt;&gt;"")*(Ввод!$F$12:$F$31&lt;=A1934)*(Ввод!$G$12:$G$31&gt;=A1934))&gt;0,1,0))</f>
        <v/>
      </c>
      <c r="F1934">
        <f>IF(OR(A1934="",B1934=""),"",IF(E1934=1,0,D1934*B1934/100/C1934))</f>
        <v/>
      </c>
      <c r="G1934">
        <f>IF(A1934="","",IF(OR(B1934&lt;&gt;B1933,C1934&lt;&gt;C1933,D1934&lt;&gt;D1933,E1934&lt;&gt;E1933),G1933+1,G1933))</f>
        <v/>
      </c>
    </row>
    <row r="1935">
      <c r="A1935" s="14">
        <f>IF(OR(NOT(ISNUMBER(Ввод!$B$5)),NOT(ISNUMBER(Ввод!$B$6))),"",IF(Ввод!$B$5+1933&gt;Ввод!$B$6,"",Ввод!$B$5+1933))</f>
        <v/>
      </c>
      <c r="B1935">
        <f>IF(A1935="","",IFERROR(INDEX(Ввод!$B$12:$B$71,MATCH(A1935,Ввод!$D$12:$D$71,1)),""))</f>
        <v/>
      </c>
      <c r="C1935">
        <f>IF(A1935="","",DATE(YEAR(A1935),12,31)-DATE(YEAR(A1935),1,1)+1)</f>
        <v/>
      </c>
      <c r="D1935">
        <f>IF(A1935="","",Ввод!$B$4-SUMIF(Оплаты!$A$6:$A$505,"&lt;"&amp;A1935,Оплаты!$B$6:$B$505))</f>
        <v/>
      </c>
      <c r="E1935">
        <f>IF(A1935="","",IF(SUMPRODUCT((Ввод!$F$12:$F$31&lt;&gt;"")*(Ввод!$F$12:$F$31&lt;=A1935)*(Ввод!$G$12:$G$31&gt;=A1935))&gt;0,1,0))</f>
        <v/>
      </c>
      <c r="F1935">
        <f>IF(OR(A1935="",B1935=""),"",IF(E1935=1,0,D1935*B1935/100/C1935))</f>
        <v/>
      </c>
      <c r="G1935">
        <f>IF(A1935="","",IF(OR(B1935&lt;&gt;B1934,C1935&lt;&gt;C1934,D1935&lt;&gt;D1934,E1935&lt;&gt;E1934),G1934+1,G1934))</f>
        <v/>
      </c>
    </row>
    <row r="1936">
      <c r="A1936" s="14">
        <f>IF(OR(NOT(ISNUMBER(Ввод!$B$5)),NOT(ISNUMBER(Ввод!$B$6))),"",IF(Ввод!$B$5+1934&gt;Ввод!$B$6,"",Ввод!$B$5+1934))</f>
        <v/>
      </c>
      <c r="B1936">
        <f>IF(A1936="","",IFERROR(INDEX(Ввод!$B$12:$B$71,MATCH(A1936,Ввод!$D$12:$D$71,1)),""))</f>
        <v/>
      </c>
      <c r="C1936">
        <f>IF(A1936="","",DATE(YEAR(A1936),12,31)-DATE(YEAR(A1936),1,1)+1)</f>
        <v/>
      </c>
      <c r="D1936">
        <f>IF(A1936="","",Ввод!$B$4-SUMIF(Оплаты!$A$6:$A$505,"&lt;"&amp;A1936,Оплаты!$B$6:$B$505))</f>
        <v/>
      </c>
      <c r="E1936">
        <f>IF(A1936="","",IF(SUMPRODUCT((Ввод!$F$12:$F$31&lt;&gt;"")*(Ввод!$F$12:$F$31&lt;=A1936)*(Ввод!$G$12:$G$31&gt;=A1936))&gt;0,1,0))</f>
        <v/>
      </c>
      <c r="F1936">
        <f>IF(OR(A1936="",B1936=""),"",IF(E1936=1,0,D1936*B1936/100/C1936))</f>
        <v/>
      </c>
      <c r="G1936">
        <f>IF(A1936="","",IF(OR(B1936&lt;&gt;B1935,C1936&lt;&gt;C1935,D1936&lt;&gt;D1935,E1936&lt;&gt;E1935),G1935+1,G1935))</f>
        <v/>
      </c>
    </row>
    <row r="1937">
      <c r="A1937" s="14">
        <f>IF(OR(NOT(ISNUMBER(Ввод!$B$5)),NOT(ISNUMBER(Ввод!$B$6))),"",IF(Ввод!$B$5+1935&gt;Ввод!$B$6,"",Ввод!$B$5+1935))</f>
        <v/>
      </c>
      <c r="B1937">
        <f>IF(A1937="","",IFERROR(INDEX(Ввод!$B$12:$B$71,MATCH(A1937,Ввод!$D$12:$D$71,1)),""))</f>
        <v/>
      </c>
      <c r="C1937">
        <f>IF(A1937="","",DATE(YEAR(A1937),12,31)-DATE(YEAR(A1937),1,1)+1)</f>
        <v/>
      </c>
      <c r="D1937">
        <f>IF(A1937="","",Ввод!$B$4-SUMIF(Оплаты!$A$6:$A$505,"&lt;"&amp;A1937,Оплаты!$B$6:$B$505))</f>
        <v/>
      </c>
      <c r="E1937">
        <f>IF(A1937="","",IF(SUMPRODUCT((Ввод!$F$12:$F$31&lt;&gt;"")*(Ввод!$F$12:$F$31&lt;=A1937)*(Ввод!$G$12:$G$31&gt;=A1937))&gt;0,1,0))</f>
        <v/>
      </c>
      <c r="F1937">
        <f>IF(OR(A1937="",B1937=""),"",IF(E1937=1,0,D1937*B1937/100/C1937))</f>
        <v/>
      </c>
      <c r="G1937">
        <f>IF(A1937="","",IF(OR(B1937&lt;&gt;B1936,C1937&lt;&gt;C1936,D1937&lt;&gt;D1936,E1937&lt;&gt;E1936),G1936+1,G1936))</f>
        <v/>
      </c>
    </row>
    <row r="1938">
      <c r="A1938" s="14">
        <f>IF(OR(NOT(ISNUMBER(Ввод!$B$5)),NOT(ISNUMBER(Ввод!$B$6))),"",IF(Ввод!$B$5+1936&gt;Ввод!$B$6,"",Ввод!$B$5+1936))</f>
        <v/>
      </c>
      <c r="B1938">
        <f>IF(A1938="","",IFERROR(INDEX(Ввод!$B$12:$B$71,MATCH(A1938,Ввод!$D$12:$D$71,1)),""))</f>
        <v/>
      </c>
      <c r="C1938">
        <f>IF(A1938="","",DATE(YEAR(A1938),12,31)-DATE(YEAR(A1938),1,1)+1)</f>
        <v/>
      </c>
      <c r="D1938">
        <f>IF(A1938="","",Ввод!$B$4-SUMIF(Оплаты!$A$6:$A$505,"&lt;"&amp;A1938,Оплаты!$B$6:$B$505))</f>
        <v/>
      </c>
      <c r="E1938">
        <f>IF(A1938="","",IF(SUMPRODUCT((Ввод!$F$12:$F$31&lt;&gt;"")*(Ввод!$F$12:$F$31&lt;=A1938)*(Ввод!$G$12:$G$31&gt;=A1938))&gt;0,1,0))</f>
        <v/>
      </c>
      <c r="F1938">
        <f>IF(OR(A1938="",B1938=""),"",IF(E1938=1,0,D1938*B1938/100/C1938))</f>
        <v/>
      </c>
      <c r="G1938">
        <f>IF(A1938="","",IF(OR(B1938&lt;&gt;B1937,C1938&lt;&gt;C1937,D1938&lt;&gt;D1937,E1938&lt;&gt;E1937),G1937+1,G1937))</f>
        <v/>
      </c>
    </row>
    <row r="1939">
      <c r="A1939" s="14">
        <f>IF(OR(NOT(ISNUMBER(Ввод!$B$5)),NOT(ISNUMBER(Ввод!$B$6))),"",IF(Ввод!$B$5+1937&gt;Ввод!$B$6,"",Ввод!$B$5+1937))</f>
        <v/>
      </c>
      <c r="B1939">
        <f>IF(A1939="","",IFERROR(INDEX(Ввод!$B$12:$B$71,MATCH(A1939,Ввод!$D$12:$D$71,1)),""))</f>
        <v/>
      </c>
      <c r="C1939">
        <f>IF(A1939="","",DATE(YEAR(A1939),12,31)-DATE(YEAR(A1939),1,1)+1)</f>
        <v/>
      </c>
      <c r="D1939">
        <f>IF(A1939="","",Ввод!$B$4-SUMIF(Оплаты!$A$6:$A$505,"&lt;"&amp;A1939,Оплаты!$B$6:$B$505))</f>
        <v/>
      </c>
      <c r="E1939">
        <f>IF(A1939="","",IF(SUMPRODUCT((Ввод!$F$12:$F$31&lt;&gt;"")*(Ввод!$F$12:$F$31&lt;=A1939)*(Ввод!$G$12:$G$31&gt;=A1939))&gt;0,1,0))</f>
        <v/>
      </c>
      <c r="F1939">
        <f>IF(OR(A1939="",B1939=""),"",IF(E1939=1,0,D1939*B1939/100/C1939))</f>
        <v/>
      </c>
      <c r="G1939">
        <f>IF(A1939="","",IF(OR(B1939&lt;&gt;B1938,C1939&lt;&gt;C1938,D1939&lt;&gt;D1938,E1939&lt;&gt;E1938),G1938+1,G1938))</f>
        <v/>
      </c>
    </row>
    <row r="1940">
      <c r="A1940" s="14">
        <f>IF(OR(NOT(ISNUMBER(Ввод!$B$5)),NOT(ISNUMBER(Ввод!$B$6))),"",IF(Ввод!$B$5+1938&gt;Ввод!$B$6,"",Ввод!$B$5+1938))</f>
        <v/>
      </c>
      <c r="B1940">
        <f>IF(A1940="","",IFERROR(INDEX(Ввод!$B$12:$B$71,MATCH(A1940,Ввод!$D$12:$D$71,1)),""))</f>
        <v/>
      </c>
      <c r="C1940">
        <f>IF(A1940="","",DATE(YEAR(A1940),12,31)-DATE(YEAR(A1940),1,1)+1)</f>
        <v/>
      </c>
      <c r="D1940">
        <f>IF(A1940="","",Ввод!$B$4-SUMIF(Оплаты!$A$6:$A$505,"&lt;"&amp;A1940,Оплаты!$B$6:$B$505))</f>
        <v/>
      </c>
      <c r="E1940">
        <f>IF(A1940="","",IF(SUMPRODUCT((Ввод!$F$12:$F$31&lt;&gt;"")*(Ввод!$F$12:$F$31&lt;=A1940)*(Ввод!$G$12:$G$31&gt;=A1940))&gt;0,1,0))</f>
        <v/>
      </c>
      <c r="F1940">
        <f>IF(OR(A1940="",B1940=""),"",IF(E1940=1,0,D1940*B1940/100/C1940))</f>
        <v/>
      </c>
      <c r="G1940">
        <f>IF(A1940="","",IF(OR(B1940&lt;&gt;B1939,C1940&lt;&gt;C1939,D1940&lt;&gt;D1939,E1940&lt;&gt;E1939),G1939+1,G1939))</f>
        <v/>
      </c>
    </row>
    <row r="1941">
      <c r="A1941" s="14">
        <f>IF(OR(NOT(ISNUMBER(Ввод!$B$5)),NOT(ISNUMBER(Ввод!$B$6))),"",IF(Ввод!$B$5+1939&gt;Ввод!$B$6,"",Ввод!$B$5+1939))</f>
        <v/>
      </c>
      <c r="B1941">
        <f>IF(A1941="","",IFERROR(INDEX(Ввод!$B$12:$B$71,MATCH(A1941,Ввод!$D$12:$D$71,1)),""))</f>
        <v/>
      </c>
      <c r="C1941">
        <f>IF(A1941="","",DATE(YEAR(A1941),12,31)-DATE(YEAR(A1941),1,1)+1)</f>
        <v/>
      </c>
      <c r="D1941">
        <f>IF(A1941="","",Ввод!$B$4-SUMIF(Оплаты!$A$6:$A$505,"&lt;"&amp;A1941,Оплаты!$B$6:$B$505))</f>
        <v/>
      </c>
      <c r="E1941">
        <f>IF(A1941="","",IF(SUMPRODUCT((Ввод!$F$12:$F$31&lt;&gt;"")*(Ввод!$F$12:$F$31&lt;=A1941)*(Ввод!$G$12:$G$31&gt;=A1941))&gt;0,1,0))</f>
        <v/>
      </c>
      <c r="F1941">
        <f>IF(OR(A1941="",B1941=""),"",IF(E1941=1,0,D1941*B1941/100/C1941))</f>
        <v/>
      </c>
      <c r="G1941">
        <f>IF(A1941="","",IF(OR(B1941&lt;&gt;B1940,C1941&lt;&gt;C1940,D1941&lt;&gt;D1940,E1941&lt;&gt;E1940),G1940+1,G1940))</f>
        <v/>
      </c>
    </row>
    <row r="1942">
      <c r="A1942" s="14">
        <f>IF(OR(NOT(ISNUMBER(Ввод!$B$5)),NOT(ISNUMBER(Ввод!$B$6))),"",IF(Ввод!$B$5+1940&gt;Ввод!$B$6,"",Ввод!$B$5+1940))</f>
        <v/>
      </c>
      <c r="B1942">
        <f>IF(A1942="","",IFERROR(INDEX(Ввод!$B$12:$B$71,MATCH(A1942,Ввод!$D$12:$D$71,1)),""))</f>
        <v/>
      </c>
      <c r="C1942">
        <f>IF(A1942="","",DATE(YEAR(A1942),12,31)-DATE(YEAR(A1942),1,1)+1)</f>
        <v/>
      </c>
      <c r="D1942">
        <f>IF(A1942="","",Ввод!$B$4-SUMIF(Оплаты!$A$6:$A$505,"&lt;"&amp;A1942,Оплаты!$B$6:$B$505))</f>
        <v/>
      </c>
      <c r="E1942">
        <f>IF(A1942="","",IF(SUMPRODUCT((Ввод!$F$12:$F$31&lt;&gt;"")*(Ввод!$F$12:$F$31&lt;=A1942)*(Ввод!$G$12:$G$31&gt;=A1942))&gt;0,1,0))</f>
        <v/>
      </c>
      <c r="F1942">
        <f>IF(OR(A1942="",B1942=""),"",IF(E1942=1,0,D1942*B1942/100/C1942))</f>
        <v/>
      </c>
      <c r="G1942">
        <f>IF(A1942="","",IF(OR(B1942&lt;&gt;B1941,C1942&lt;&gt;C1941,D1942&lt;&gt;D1941,E1942&lt;&gt;E1941),G1941+1,G1941))</f>
        <v/>
      </c>
    </row>
    <row r="1943">
      <c r="A1943" s="14">
        <f>IF(OR(NOT(ISNUMBER(Ввод!$B$5)),NOT(ISNUMBER(Ввод!$B$6))),"",IF(Ввод!$B$5+1941&gt;Ввод!$B$6,"",Ввод!$B$5+1941))</f>
        <v/>
      </c>
      <c r="B1943">
        <f>IF(A1943="","",IFERROR(INDEX(Ввод!$B$12:$B$71,MATCH(A1943,Ввод!$D$12:$D$71,1)),""))</f>
        <v/>
      </c>
      <c r="C1943">
        <f>IF(A1943="","",DATE(YEAR(A1943),12,31)-DATE(YEAR(A1943),1,1)+1)</f>
        <v/>
      </c>
      <c r="D1943">
        <f>IF(A1943="","",Ввод!$B$4-SUMIF(Оплаты!$A$6:$A$505,"&lt;"&amp;A1943,Оплаты!$B$6:$B$505))</f>
        <v/>
      </c>
      <c r="E1943">
        <f>IF(A1943="","",IF(SUMPRODUCT((Ввод!$F$12:$F$31&lt;&gt;"")*(Ввод!$F$12:$F$31&lt;=A1943)*(Ввод!$G$12:$G$31&gt;=A1943))&gt;0,1,0))</f>
        <v/>
      </c>
      <c r="F1943">
        <f>IF(OR(A1943="",B1943=""),"",IF(E1943=1,0,D1943*B1943/100/C1943))</f>
        <v/>
      </c>
      <c r="G1943">
        <f>IF(A1943="","",IF(OR(B1943&lt;&gt;B1942,C1943&lt;&gt;C1942,D1943&lt;&gt;D1942,E1943&lt;&gt;E1942),G1942+1,G1942))</f>
        <v/>
      </c>
    </row>
    <row r="1944">
      <c r="A1944" s="14">
        <f>IF(OR(NOT(ISNUMBER(Ввод!$B$5)),NOT(ISNUMBER(Ввод!$B$6))),"",IF(Ввод!$B$5+1942&gt;Ввод!$B$6,"",Ввод!$B$5+1942))</f>
        <v/>
      </c>
      <c r="B1944">
        <f>IF(A1944="","",IFERROR(INDEX(Ввод!$B$12:$B$71,MATCH(A1944,Ввод!$D$12:$D$71,1)),""))</f>
        <v/>
      </c>
      <c r="C1944">
        <f>IF(A1944="","",DATE(YEAR(A1944),12,31)-DATE(YEAR(A1944),1,1)+1)</f>
        <v/>
      </c>
      <c r="D1944">
        <f>IF(A1944="","",Ввод!$B$4-SUMIF(Оплаты!$A$6:$A$505,"&lt;"&amp;A1944,Оплаты!$B$6:$B$505))</f>
        <v/>
      </c>
      <c r="E1944">
        <f>IF(A1944="","",IF(SUMPRODUCT((Ввод!$F$12:$F$31&lt;&gt;"")*(Ввод!$F$12:$F$31&lt;=A1944)*(Ввод!$G$12:$G$31&gt;=A1944))&gt;0,1,0))</f>
        <v/>
      </c>
      <c r="F1944">
        <f>IF(OR(A1944="",B1944=""),"",IF(E1944=1,0,D1944*B1944/100/C1944))</f>
        <v/>
      </c>
      <c r="G1944">
        <f>IF(A1944="","",IF(OR(B1944&lt;&gt;B1943,C1944&lt;&gt;C1943,D1944&lt;&gt;D1943,E1944&lt;&gt;E1943),G1943+1,G1943))</f>
        <v/>
      </c>
    </row>
    <row r="1945">
      <c r="A1945" s="14">
        <f>IF(OR(NOT(ISNUMBER(Ввод!$B$5)),NOT(ISNUMBER(Ввод!$B$6))),"",IF(Ввод!$B$5+1943&gt;Ввод!$B$6,"",Ввод!$B$5+1943))</f>
        <v/>
      </c>
      <c r="B1945">
        <f>IF(A1945="","",IFERROR(INDEX(Ввод!$B$12:$B$71,MATCH(A1945,Ввод!$D$12:$D$71,1)),""))</f>
        <v/>
      </c>
      <c r="C1945">
        <f>IF(A1945="","",DATE(YEAR(A1945),12,31)-DATE(YEAR(A1945),1,1)+1)</f>
        <v/>
      </c>
      <c r="D1945">
        <f>IF(A1945="","",Ввод!$B$4-SUMIF(Оплаты!$A$6:$A$505,"&lt;"&amp;A1945,Оплаты!$B$6:$B$505))</f>
        <v/>
      </c>
      <c r="E1945">
        <f>IF(A1945="","",IF(SUMPRODUCT((Ввод!$F$12:$F$31&lt;&gt;"")*(Ввод!$F$12:$F$31&lt;=A1945)*(Ввод!$G$12:$G$31&gt;=A1945))&gt;0,1,0))</f>
        <v/>
      </c>
      <c r="F1945">
        <f>IF(OR(A1945="",B1945=""),"",IF(E1945=1,0,D1945*B1945/100/C1945))</f>
        <v/>
      </c>
      <c r="G1945">
        <f>IF(A1945="","",IF(OR(B1945&lt;&gt;B1944,C1945&lt;&gt;C1944,D1945&lt;&gt;D1944,E1945&lt;&gt;E1944),G1944+1,G1944))</f>
        <v/>
      </c>
    </row>
    <row r="1946">
      <c r="A1946" s="14">
        <f>IF(OR(NOT(ISNUMBER(Ввод!$B$5)),NOT(ISNUMBER(Ввод!$B$6))),"",IF(Ввод!$B$5+1944&gt;Ввод!$B$6,"",Ввод!$B$5+1944))</f>
        <v/>
      </c>
      <c r="B1946">
        <f>IF(A1946="","",IFERROR(INDEX(Ввод!$B$12:$B$71,MATCH(A1946,Ввод!$D$12:$D$71,1)),""))</f>
        <v/>
      </c>
      <c r="C1946">
        <f>IF(A1946="","",DATE(YEAR(A1946),12,31)-DATE(YEAR(A1946),1,1)+1)</f>
        <v/>
      </c>
      <c r="D1946">
        <f>IF(A1946="","",Ввод!$B$4-SUMIF(Оплаты!$A$6:$A$505,"&lt;"&amp;A1946,Оплаты!$B$6:$B$505))</f>
        <v/>
      </c>
      <c r="E1946">
        <f>IF(A1946="","",IF(SUMPRODUCT((Ввод!$F$12:$F$31&lt;&gt;"")*(Ввод!$F$12:$F$31&lt;=A1946)*(Ввод!$G$12:$G$31&gt;=A1946))&gt;0,1,0))</f>
        <v/>
      </c>
      <c r="F1946">
        <f>IF(OR(A1946="",B1946=""),"",IF(E1946=1,0,D1946*B1946/100/C1946))</f>
        <v/>
      </c>
      <c r="G1946">
        <f>IF(A1946="","",IF(OR(B1946&lt;&gt;B1945,C1946&lt;&gt;C1945,D1946&lt;&gt;D1945,E1946&lt;&gt;E1945),G1945+1,G1945))</f>
        <v/>
      </c>
    </row>
    <row r="1947">
      <c r="A1947" s="14">
        <f>IF(OR(NOT(ISNUMBER(Ввод!$B$5)),NOT(ISNUMBER(Ввод!$B$6))),"",IF(Ввод!$B$5+1945&gt;Ввод!$B$6,"",Ввод!$B$5+1945))</f>
        <v/>
      </c>
      <c r="B1947">
        <f>IF(A1947="","",IFERROR(INDEX(Ввод!$B$12:$B$71,MATCH(A1947,Ввод!$D$12:$D$71,1)),""))</f>
        <v/>
      </c>
      <c r="C1947">
        <f>IF(A1947="","",DATE(YEAR(A1947),12,31)-DATE(YEAR(A1947),1,1)+1)</f>
        <v/>
      </c>
      <c r="D1947">
        <f>IF(A1947="","",Ввод!$B$4-SUMIF(Оплаты!$A$6:$A$505,"&lt;"&amp;A1947,Оплаты!$B$6:$B$505))</f>
        <v/>
      </c>
      <c r="E1947">
        <f>IF(A1947="","",IF(SUMPRODUCT((Ввод!$F$12:$F$31&lt;&gt;"")*(Ввод!$F$12:$F$31&lt;=A1947)*(Ввод!$G$12:$G$31&gt;=A1947))&gt;0,1,0))</f>
        <v/>
      </c>
      <c r="F1947">
        <f>IF(OR(A1947="",B1947=""),"",IF(E1947=1,0,D1947*B1947/100/C1947))</f>
        <v/>
      </c>
      <c r="G1947">
        <f>IF(A1947="","",IF(OR(B1947&lt;&gt;B1946,C1947&lt;&gt;C1946,D1947&lt;&gt;D1946,E1947&lt;&gt;E1946),G1946+1,G1946))</f>
        <v/>
      </c>
    </row>
    <row r="1948">
      <c r="A1948" s="14">
        <f>IF(OR(NOT(ISNUMBER(Ввод!$B$5)),NOT(ISNUMBER(Ввод!$B$6))),"",IF(Ввод!$B$5+1946&gt;Ввод!$B$6,"",Ввод!$B$5+1946))</f>
        <v/>
      </c>
      <c r="B1948">
        <f>IF(A1948="","",IFERROR(INDEX(Ввод!$B$12:$B$71,MATCH(A1948,Ввод!$D$12:$D$71,1)),""))</f>
        <v/>
      </c>
      <c r="C1948">
        <f>IF(A1948="","",DATE(YEAR(A1948),12,31)-DATE(YEAR(A1948),1,1)+1)</f>
        <v/>
      </c>
      <c r="D1948">
        <f>IF(A1948="","",Ввод!$B$4-SUMIF(Оплаты!$A$6:$A$505,"&lt;"&amp;A1948,Оплаты!$B$6:$B$505))</f>
        <v/>
      </c>
      <c r="E1948">
        <f>IF(A1948="","",IF(SUMPRODUCT((Ввод!$F$12:$F$31&lt;&gt;"")*(Ввод!$F$12:$F$31&lt;=A1948)*(Ввод!$G$12:$G$31&gt;=A1948))&gt;0,1,0))</f>
        <v/>
      </c>
      <c r="F1948">
        <f>IF(OR(A1948="",B1948=""),"",IF(E1948=1,0,D1948*B1948/100/C1948))</f>
        <v/>
      </c>
      <c r="G1948">
        <f>IF(A1948="","",IF(OR(B1948&lt;&gt;B1947,C1948&lt;&gt;C1947,D1948&lt;&gt;D1947,E1948&lt;&gt;E1947),G1947+1,G1947))</f>
        <v/>
      </c>
    </row>
    <row r="1949">
      <c r="A1949" s="14">
        <f>IF(OR(NOT(ISNUMBER(Ввод!$B$5)),NOT(ISNUMBER(Ввод!$B$6))),"",IF(Ввод!$B$5+1947&gt;Ввод!$B$6,"",Ввод!$B$5+1947))</f>
        <v/>
      </c>
      <c r="B1949">
        <f>IF(A1949="","",IFERROR(INDEX(Ввод!$B$12:$B$71,MATCH(A1949,Ввод!$D$12:$D$71,1)),""))</f>
        <v/>
      </c>
      <c r="C1949">
        <f>IF(A1949="","",DATE(YEAR(A1949),12,31)-DATE(YEAR(A1949),1,1)+1)</f>
        <v/>
      </c>
      <c r="D1949">
        <f>IF(A1949="","",Ввод!$B$4-SUMIF(Оплаты!$A$6:$A$505,"&lt;"&amp;A1949,Оплаты!$B$6:$B$505))</f>
        <v/>
      </c>
      <c r="E1949">
        <f>IF(A1949="","",IF(SUMPRODUCT((Ввод!$F$12:$F$31&lt;&gt;"")*(Ввод!$F$12:$F$31&lt;=A1949)*(Ввод!$G$12:$G$31&gt;=A1949))&gt;0,1,0))</f>
        <v/>
      </c>
      <c r="F1949">
        <f>IF(OR(A1949="",B1949=""),"",IF(E1949=1,0,D1949*B1949/100/C1949))</f>
        <v/>
      </c>
      <c r="G1949">
        <f>IF(A1949="","",IF(OR(B1949&lt;&gt;B1948,C1949&lt;&gt;C1948,D1949&lt;&gt;D1948,E1949&lt;&gt;E1948),G1948+1,G1948))</f>
        <v/>
      </c>
    </row>
    <row r="1950">
      <c r="A1950" s="14">
        <f>IF(OR(NOT(ISNUMBER(Ввод!$B$5)),NOT(ISNUMBER(Ввод!$B$6))),"",IF(Ввод!$B$5+1948&gt;Ввод!$B$6,"",Ввод!$B$5+1948))</f>
        <v/>
      </c>
      <c r="B1950">
        <f>IF(A1950="","",IFERROR(INDEX(Ввод!$B$12:$B$71,MATCH(A1950,Ввод!$D$12:$D$71,1)),""))</f>
        <v/>
      </c>
      <c r="C1950">
        <f>IF(A1950="","",DATE(YEAR(A1950),12,31)-DATE(YEAR(A1950),1,1)+1)</f>
        <v/>
      </c>
      <c r="D1950">
        <f>IF(A1950="","",Ввод!$B$4-SUMIF(Оплаты!$A$6:$A$505,"&lt;"&amp;A1950,Оплаты!$B$6:$B$505))</f>
        <v/>
      </c>
      <c r="E1950">
        <f>IF(A1950="","",IF(SUMPRODUCT((Ввод!$F$12:$F$31&lt;&gt;"")*(Ввод!$F$12:$F$31&lt;=A1950)*(Ввод!$G$12:$G$31&gt;=A1950))&gt;0,1,0))</f>
        <v/>
      </c>
      <c r="F1950">
        <f>IF(OR(A1950="",B1950=""),"",IF(E1950=1,0,D1950*B1950/100/C1950))</f>
        <v/>
      </c>
      <c r="G1950">
        <f>IF(A1950="","",IF(OR(B1950&lt;&gt;B1949,C1950&lt;&gt;C1949,D1950&lt;&gt;D1949,E1950&lt;&gt;E1949),G1949+1,G1949))</f>
        <v/>
      </c>
    </row>
    <row r="1951">
      <c r="A1951" s="14">
        <f>IF(OR(NOT(ISNUMBER(Ввод!$B$5)),NOT(ISNUMBER(Ввод!$B$6))),"",IF(Ввод!$B$5+1949&gt;Ввод!$B$6,"",Ввод!$B$5+1949))</f>
        <v/>
      </c>
      <c r="B1951">
        <f>IF(A1951="","",IFERROR(INDEX(Ввод!$B$12:$B$71,MATCH(A1951,Ввод!$D$12:$D$71,1)),""))</f>
        <v/>
      </c>
      <c r="C1951">
        <f>IF(A1951="","",DATE(YEAR(A1951),12,31)-DATE(YEAR(A1951),1,1)+1)</f>
        <v/>
      </c>
      <c r="D1951">
        <f>IF(A1951="","",Ввод!$B$4-SUMIF(Оплаты!$A$6:$A$505,"&lt;"&amp;A1951,Оплаты!$B$6:$B$505))</f>
        <v/>
      </c>
      <c r="E1951">
        <f>IF(A1951="","",IF(SUMPRODUCT((Ввод!$F$12:$F$31&lt;&gt;"")*(Ввод!$F$12:$F$31&lt;=A1951)*(Ввод!$G$12:$G$31&gt;=A1951))&gt;0,1,0))</f>
        <v/>
      </c>
      <c r="F1951">
        <f>IF(OR(A1951="",B1951=""),"",IF(E1951=1,0,D1951*B1951/100/C1951))</f>
        <v/>
      </c>
      <c r="G1951">
        <f>IF(A1951="","",IF(OR(B1951&lt;&gt;B1950,C1951&lt;&gt;C1950,D1951&lt;&gt;D1950,E1951&lt;&gt;E1950),G1950+1,G1950))</f>
        <v/>
      </c>
    </row>
    <row r="1952">
      <c r="A1952" s="14">
        <f>IF(OR(NOT(ISNUMBER(Ввод!$B$5)),NOT(ISNUMBER(Ввод!$B$6))),"",IF(Ввод!$B$5+1950&gt;Ввод!$B$6,"",Ввод!$B$5+1950))</f>
        <v/>
      </c>
      <c r="B1952">
        <f>IF(A1952="","",IFERROR(INDEX(Ввод!$B$12:$B$71,MATCH(A1952,Ввод!$D$12:$D$71,1)),""))</f>
        <v/>
      </c>
      <c r="C1952">
        <f>IF(A1952="","",DATE(YEAR(A1952),12,31)-DATE(YEAR(A1952),1,1)+1)</f>
        <v/>
      </c>
      <c r="D1952">
        <f>IF(A1952="","",Ввод!$B$4-SUMIF(Оплаты!$A$6:$A$505,"&lt;"&amp;A1952,Оплаты!$B$6:$B$505))</f>
        <v/>
      </c>
      <c r="E1952">
        <f>IF(A1952="","",IF(SUMPRODUCT((Ввод!$F$12:$F$31&lt;&gt;"")*(Ввод!$F$12:$F$31&lt;=A1952)*(Ввод!$G$12:$G$31&gt;=A1952))&gt;0,1,0))</f>
        <v/>
      </c>
      <c r="F1952">
        <f>IF(OR(A1952="",B1952=""),"",IF(E1952=1,0,D1952*B1952/100/C1952))</f>
        <v/>
      </c>
      <c r="G1952">
        <f>IF(A1952="","",IF(OR(B1952&lt;&gt;B1951,C1952&lt;&gt;C1951,D1952&lt;&gt;D1951,E1952&lt;&gt;E1951),G1951+1,G1951))</f>
        <v/>
      </c>
    </row>
    <row r="1953">
      <c r="A1953" s="14">
        <f>IF(OR(NOT(ISNUMBER(Ввод!$B$5)),NOT(ISNUMBER(Ввод!$B$6))),"",IF(Ввод!$B$5+1951&gt;Ввод!$B$6,"",Ввод!$B$5+1951))</f>
        <v/>
      </c>
      <c r="B1953">
        <f>IF(A1953="","",IFERROR(INDEX(Ввод!$B$12:$B$71,MATCH(A1953,Ввод!$D$12:$D$71,1)),""))</f>
        <v/>
      </c>
      <c r="C1953">
        <f>IF(A1953="","",DATE(YEAR(A1953),12,31)-DATE(YEAR(A1953),1,1)+1)</f>
        <v/>
      </c>
      <c r="D1953">
        <f>IF(A1953="","",Ввод!$B$4-SUMIF(Оплаты!$A$6:$A$505,"&lt;"&amp;A1953,Оплаты!$B$6:$B$505))</f>
        <v/>
      </c>
      <c r="E1953">
        <f>IF(A1953="","",IF(SUMPRODUCT((Ввод!$F$12:$F$31&lt;&gt;"")*(Ввод!$F$12:$F$31&lt;=A1953)*(Ввод!$G$12:$G$31&gt;=A1953))&gt;0,1,0))</f>
        <v/>
      </c>
      <c r="F1953">
        <f>IF(OR(A1953="",B1953=""),"",IF(E1953=1,0,D1953*B1953/100/C1953))</f>
        <v/>
      </c>
      <c r="G1953">
        <f>IF(A1953="","",IF(OR(B1953&lt;&gt;B1952,C1953&lt;&gt;C1952,D1953&lt;&gt;D1952,E1953&lt;&gt;E1952),G1952+1,G1952))</f>
        <v/>
      </c>
    </row>
    <row r="1954">
      <c r="A1954" s="14">
        <f>IF(OR(NOT(ISNUMBER(Ввод!$B$5)),NOT(ISNUMBER(Ввод!$B$6))),"",IF(Ввод!$B$5+1952&gt;Ввод!$B$6,"",Ввод!$B$5+1952))</f>
        <v/>
      </c>
      <c r="B1954">
        <f>IF(A1954="","",IFERROR(INDEX(Ввод!$B$12:$B$71,MATCH(A1954,Ввод!$D$12:$D$71,1)),""))</f>
        <v/>
      </c>
      <c r="C1954">
        <f>IF(A1954="","",DATE(YEAR(A1954),12,31)-DATE(YEAR(A1954),1,1)+1)</f>
        <v/>
      </c>
      <c r="D1954">
        <f>IF(A1954="","",Ввод!$B$4-SUMIF(Оплаты!$A$6:$A$505,"&lt;"&amp;A1954,Оплаты!$B$6:$B$505))</f>
        <v/>
      </c>
      <c r="E1954">
        <f>IF(A1954="","",IF(SUMPRODUCT((Ввод!$F$12:$F$31&lt;&gt;"")*(Ввод!$F$12:$F$31&lt;=A1954)*(Ввод!$G$12:$G$31&gt;=A1954))&gt;0,1,0))</f>
        <v/>
      </c>
      <c r="F1954">
        <f>IF(OR(A1954="",B1954=""),"",IF(E1954=1,0,D1954*B1954/100/C1954))</f>
        <v/>
      </c>
      <c r="G1954">
        <f>IF(A1954="","",IF(OR(B1954&lt;&gt;B1953,C1954&lt;&gt;C1953,D1954&lt;&gt;D1953,E1954&lt;&gt;E1953),G1953+1,G1953))</f>
        <v/>
      </c>
    </row>
    <row r="1955">
      <c r="A1955" s="14">
        <f>IF(OR(NOT(ISNUMBER(Ввод!$B$5)),NOT(ISNUMBER(Ввод!$B$6))),"",IF(Ввод!$B$5+1953&gt;Ввод!$B$6,"",Ввод!$B$5+1953))</f>
        <v/>
      </c>
      <c r="B1955">
        <f>IF(A1955="","",IFERROR(INDEX(Ввод!$B$12:$B$71,MATCH(A1955,Ввод!$D$12:$D$71,1)),""))</f>
        <v/>
      </c>
      <c r="C1955">
        <f>IF(A1955="","",DATE(YEAR(A1955),12,31)-DATE(YEAR(A1955),1,1)+1)</f>
        <v/>
      </c>
      <c r="D1955">
        <f>IF(A1955="","",Ввод!$B$4-SUMIF(Оплаты!$A$6:$A$505,"&lt;"&amp;A1955,Оплаты!$B$6:$B$505))</f>
        <v/>
      </c>
      <c r="E1955">
        <f>IF(A1955="","",IF(SUMPRODUCT((Ввод!$F$12:$F$31&lt;&gt;"")*(Ввод!$F$12:$F$31&lt;=A1955)*(Ввод!$G$12:$G$31&gt;=A1955))&gt;0,1,0))</f>
        <v/>
      </c>
      <c r="F1955">
        <f>IF(OR(A1955="",B1955=""),"",IF(E1955=1,0,D1955*B1955/100/C1955))</f>
        <v/>
      </c>
      <c r="G1955">
        <f>IF(A1955="","",IF(OR(B1955&lt;&gt;B1954,C1955&lt;&gt;C1954,D1955&lt;&gt;D1954,E1955&lt;&gt;E1954),G1954+1,G1954))</f>
        <v/>
      </c>
    </row>
    <row r="1956">
      <c r="A1956" s="14">
        <f>IF(OR(NOT(ISNUMBER(Ввод!$B$5)),NOT(ISNUMBER(Ввод!$B$6))),"",IF(Ввод!$B$5+1954&gt;Ввод!$B$6,"",Ввод!$B$5+1954))</f>
        <v/>
      </c>
      <c r="B1956">
        <f>IF(A1956="","",IFERROR(INDEX(Ввод!$B$12:$B$71,MATCH(A1956,Ввод!$D$12:$D$71,1)),""))</f>
        <v/>
      </c>
      <c r="C1956">
        <f>IF(A1956="","",DATE(YEAR(A1956),12,31)-DATE(YEAR(A1956),1,1)+1)</f>
        <v/>
      </c>
      <c r="D1956">
        <f>IF(A1956="","",Ввод!$B$4-SUMIF(Оплаты!$A$6:$A$505,"&lt;"&amp;A1956,Оплаты!$B$6:$B$505))</f>
        <v/>
      </c>
      <c r="E1956">
        <f>IF(A1956="","",IF(SUMPRODUCT((Ввод!$F$12:$F$31&lt;&gt;"")*(Ввод!$F$12:$F$31&lt;=A1956)*(Ввод!$G$12:$G$31&gt;=A1956))&gt;0,1,0))</f>
        <v/>
      </c>
      <c r="F1956">
        <f>IF(OR(A1956="",B1956=""),"",IF(E1956=1,0,D1956*B1956/100/C1956))</f>
        <v/>
      </c>
      <c r="G1956">
        <f>IF(A1956="","",IF(OR(B1956&lt;&gt;B1955,C1956&lt;&gt;C1955,D1956&lt;&gt;D1955,E1956&lt;&gt;E1955),G1955+1,G1955))</f>
        <v/>
      </c>
    </row>
    <row r="1957">
      <c r="A1957" s="14">
        <f>IF(OR(NOT(ISNUMBER(Ввод!$B$5)),NOT(ISNUMBER(Ввод!$B$6))),"",IF(Ввод!$B$5+1955&gt;Ввод!$B$6,"",Ввод!$B$5+1955))</f>
        <v/>
      </c>
      <c r="B1957">
        <f>IF(A1957="","",IFERROR(INDEX(Ввод!$B$12:$B$71,MATCH(A1957,Ввод!$D$12:$D$71,1)),""))</f>
        <v/>
      </c>
      <c r="C1957">
        <f>IF(A1957="","",DATE(YEAR(A1957),12,31)-DATE(YEAR(A1957),1,1)+1)</f>
        <v/>
      </c>
      <c r="D1957">
        <f>IF(A1957="","",Ввод!$B$4-SUMIF(Оплаты!$A$6:$A$505,"&lt;"&amp;A1957,Оплаты!$B$6:$B$505))</f>
        <v/>
      </c>
      <c r="E1957">
        <f>IF(A1957="","",IF(SUMPRODUCT((Ввод!$F$12:$F$31&lt;&gt;"")*(Ввод!$F$12:$F$31&lt;=A1957)*(Ввод!$G$12:$G$31&gt;=A1957))&gt;0,1,0))</f>
        <v/>
      </c>
      <c r="F1957">
        <f>IF(OR(A1957="",B1957=""),"",IF(E1957=1,0,D1957*B1957/100/C1957))</f>
        <v/>
      </c>
      <c r="G1957">
        <f>IF(A1957="","",IF(OR(B1957&lt;&gt;B1956,C1957&lt;&gt;C1956,D1957&lt;&gt;D1956,E1957&lt;&gt;E1956),G1956+1,G1956))</f>
        <v/>
      </c>
    </row>
    <row r="1958">
      <c r="A1958" s="14">
        <f>IF(OR(NOT(ISNUMBER(Ввод!$B$5)),NOT(ISNUMBER(Ввод!$B$6))),"",IF(Ввод!$B$5+1956&gt;Ввод!$B$6,"",Ввод!$B$5+1956))</f>
        <v/>
      </c>
      <c r="B1958">
        <f>IF(A1958="","",IFERROR(INDEX(Ввод!$B$12:$B$71,MATCH(A1958,Ввод!$D$12:$D$71,1)),""))</f>
        <v/>
      </c>
      <c r="C1958">
        <f>IF(A1958="","",DATE(YEAR(A1958),12,31)-DATE(YEAR(A1958),1,1)+1)</f>
        <v/>
      </c>
      <c r="D1958">
        <f>IF(A1958="","",Ввод!$B$4-SUMIF(Оплаты!$A$6:$A$505,"&lt;"&amp;A1958,Оплаты!$B$6:$B$505))</f>
        <v/>
      </c>
      <c r="E1958">
        <f>IF(A1958="","",IF(SUMPRODUCT((Ввод!$F$12:$F$31&lt;&gt;"")*(Ввод!$F$12:$F$31&lt;=A1958)*(Ввод!$G$12:$G$31&gt;=A1958))&gt;0,1,0))</f>
        <v/>
      </c>
      <c r="F1958">
        <f>IF(OR(A1958="",B1958=""),"",IF(E1958=1,0,D1958*B1958/100/C1958))</f>
        <v/>
      </c>
      <c r="G1958">
        <f>IF(A1958="","",IF(OR(B1958&lt;&gt;B1957,C1958&lt;&gt;C1957,D1958&lt;&gt;D1957,E1958&lt;&gt;E1957),G1957+1,G1957))</f>
        <v/>
      </c>
    </row>
    <row r="1959">
      <c r="A1959" s="14">
        <f>IF(OR(NOT(ISNUMBER(Ввод!$B$5)),NOT(ISNUMBER(Ввод!$B$6))),"",IF(Ввод!$B$5+1957&gt;Ввод!$B$6,"",Ввод!$B$5+1957))</f>
        <v/>
      </c>
      <c r="B1959">
        <f>IF(A1959="","",IFERROR(INDEX(Ввод!$B$12:$B$71,MATCH(A1959,Ввод!$D$12:$D$71,1)),""))</f>
        <v/>
      </c>
      <c r="C1959">
        <f>IF(A1959="","",DATE(YEAR(A1959),12,31)-DATE(YEAR(A1959),1,1)+1)</f>
        <v/>
      </c>
      <c r="D1959">
        <f>IF(A1959="","",Ввод!$B$4-SUMIF(Оплаты!$A$6:$A$505,"&lt;"&amp;A1959,Оплаты!$B$6:$B$505))</f>
        <v/>
      </c>
      <c r="E1959">
        <f>IF(A1959="","",IF(SUMPRODUCT((Ввод!$F$12:$F$31&lt;&gt;"")*(Ввод!$F$12:$F$31&lt;=A1959)*(Ввод!$G$12:$G$31&gt;=A1959))&gt;0,1,0))</f>
        <v/>
      </c>
      <c r="F1959">
        <f>IF(OR(A1959="",B1959=""),"",IF(E1959=1,0,D1959*B1959/100/C1959))</f>
        <v/>
      </c>
      <c r="G1959">
        <f>IF(A1959="","",IF(OR(B1959&lt;&gt;B1958,C1959&lt;&gt;C1958,D1959&lt;&gt;D1958,E1959&lt;&gt;E1958),G1958+1,G1958))</f>
        <v/>
      </c>
    </row>
    <row r="1960">
      <c r="A1960" s="14">
        <f>IF(OR(NOT(ISNUMBER(Ввод!$B$5)),NOT(ISNUMBER(Ввод!$B$6))),"",IF(Ввод!$B$5+1958&gt;Ввод!$B$6,"",Ввод!$B$5+1958))</f>
        <v/>
      </c>
      <c r="B1960">
        <f>IF(A1960="","",IFERROR(INDEX(Ввод!$B$12:$B$71,MATCH(A1960,Ввод!$D$12:$D$71,1)),""))</f>
        <v/>
      </c>
      <c r="C1960">
        <f>IF(A1960="","",DATE(YEAR(A1960),12,31)-DATE(YEAR(A1960),1,1)+1)</f>
        <v/>
      </c>
      <c r="D1960">
        <f>IF(A1960="","",Ввод!$B$4-SUMIF(Оплаты!$A$6:$A$505,"&lt;"&amp;A1960,Оплаты!$B$6:$B$505))</f>
        <v/>
      </c>
      <c r="E1960">
        <f>IF(A1960="","",IF(SUMPRODUCT((Ввод!$F$12:$F$31&lt;&gt;"")*(Ввод!$F$12:$F$31&lt;=A1960)*(Ввод!$G$12:$G$31&gt;=A1960))&gt;0,1,0))</f>
        <v/>
      </c>
      <c r="F1960">
        <f>IF(OR(A1960="",B1960=""),"",IF(E1960=1,0,D1960*B1960/100/C1960))</f>
        <v/>
      </c>
      <c r="G1960">
        <f>IF(A1960="","",IF(OR(B1960&lt;&gt;B1959,C1960&lt;&gt;C1959,D1960&lt;&gt;D1959,E1960&lt;&gt;E1959),G1959+1,G1959))</f>
        <v/>
      </c>
    </row>
    <row r="1961">
      <c r="A1961" s="14">
        <f>IF(OR(NOT(ISNUMBER(Ввод!$B$5)),NOT(ISNUMBER(Ввод!$B$6))),"",IF(Ввод!$B$5+1959&gt;Ввод!$B$6,"",Ввод!$B$5+1959))</f>
        <v/>
      </c>
      <c r="B1961">
        <f>IF(A1961="","",IFERROR(INDEX(Ввод!$B$12:$B$71,MATCH(A1961,Ввод!$D$12:$D$71,1)),""))</f>
        <v/>
      </c>
      <c r="C1961">
        <f>IF(A1961="","",DATE(YEAR(A1961),12,31)-DATE(YEAR(A1961),1,1)+1)</f>
        <v/>
      </c>
      <c r="D1961">
        <f>IF(A1961="","",Ввод!$B$4-SUMIF(Оплаты!$A$6:$A$505,"&lt;"&amp;A1961,Оплаты!$B$6:$B$505))</f>
        <v/>
      </c>
      <c r="E1961">
        <f>IF(A1961="","",IF(SUMPRODUCT((Ввод!$F$12:$F$31&lt;&gt;"")*(Ввод!$F$12:$F$31&lt;=A1961)*(Ввод!$G$12:$G$31&gt;=A1961))&gt;0,1,0))</f>
        <v/>
      </c>
      <c r="F1961">
        <f>IF(OR(A1961="",B1961=""),"",IF(E1961=1,0,D1961*B1961/100/C1961))</f>
        <v/>
      </c>
      <c r="G1961">
        <f>IF(A1961="","",IF(OR(B1961&lt;&gt;B1960,C1961&lt;&gt;C1960,D1961&lt;&gt;D1960,E1961&lt;&gt;E1960),G1960+1,G1960))</f>
        <v/>
      </c>
    </row>
    <row r="1962">
      <c r="A1962" s="14">
        <f>IF(OR(NOT(ISNUMBER(Ввод!$B$5)),NOT(ISNUMBER(Ввод!$B$6))),"",IF(Ввод!$B$5+1960&gt;Ввод!$B$6,"",Ввод!$B$5+1960))</f>
        <v/>
      </c>
      <c r="B1962">
        <f>IF(A1962="","",IFERROR(INDEX(Ввод!$B$12:$B$71,MATCH(A1962,Ввод!$D$12:$D$71,1)),""))</f>
        <v/>
      </c>
      <c r="C1962">
        <f>IF(A1962="","",DATE(YEAR(A1962),12,31)-DATE(YEAR(A1962),1,1)+1)</f>
        <v/>
      </c>
      <c r="D1962">
        <f>IF(A1962="","",Ввод!$B$4-SUMIF(Оплаты!$A$6:$A$505,"&lt;"&amp;A1962,Оплаты!$B$6:$B$505))</f>
        <v/>
      </c>
      <c r="E1962">
        <f>IF(A1962="","",IF(SUMPRODUCT((Ввод!$F$12:$F$31&lt;&gt;"")*(Ввод!$F$12:$F$31&lt;=A1962)*(Ввод!$G$12:$G$31&gt;=A1962))&gt;0,1,0))</f>
        <v/>
      </c>
      <c r="F1962">
        <f>IF(OR(A1962="",B1962=""),"",IF(E1962=1,0,D1962*B1962/100/C1962))</f>
        <v/>
      </c>
      <c r="G1962">
        <f>IF(A1962="","",IF(OR(B1962&lt;&gt;B1961,C1962&lt;&gt;C1961,D1962&lt;&gt;D1961,E1962&lt;&gt;E1961),G1961+1,G1961))</f>
        <v/>
      </c>
    </row>
    <row r="1963">
      <c r="A1963" s="14">
        <f>IF(OR(NOT(ISNUMBER(Ввод!$B$5)),NOT(ISNUMBER(Ввод!$B$6))),"",IF(Ввод!$B$5+1961&gt;Ввод!$B$6,"",Ввод!$B$5+1961))</f>
        <v/>
      </c>
      <c r="B1963">
        <f>IF(A1963="","",IFERROR(INDEX(Ввод!$B$12:$B$71,MATCH(A1963,Ввод!$D$12:$D$71,1)),""))</f>
        <v/>
      </c>
      <c r="C1963">
        <f>IF(A1963="","",DATE(YEAR(A1963),12,31)-DATE(YEAR(A1963),1,1)+1)</f>
        <v/>
      </c>
      <c r="D1963">
        <f>IF(A1963="","",Ввод!$B$4-SUMIF(Оплаты!$A$6:$A$505,"&lt;"&amp;A1963,Оплаты!$B$6:$B$505))</f>
        <v/>
      </c>
      <c r="E1963">
        <f>IF(A1963="","",IF(SUMPRODUCT((Ввод!$F$12:$F$31&lt;&gt;"")*(Ввод!$F$12:$F$31&lt;=A1963)*(Ввод!$G$12:$G$31&gt;=A1963))&gt;0,1,0))</f>
        <v/>
      </c>
      <c r="F1963">
        <f>IF(OR(A1963="",B1963=""),"",IF(E1963=1,0,D1963*B1963/100/C1963))</f>
        <v/>
      </c>
      <c r="G1963">
        <f>IF(A1963="","",IF(OR(B1963&lt;&gt;B1962,C1963&lt;&gt;C1962,D1963&lt;&gt;D1962,E1963&lt;&gt;E1962),G1962+1,G1962))</f>
        <v/>
      </c>
    </row>
    <row r="1964">
      <c r="A1964" s="14">
        <f>IF(OR(NOT(ISNUMBER(Ввод!$B$5)),NOT(ISNUMBER(Ввод!$B$6))),"",IF(Ввод!$B$5+1962&gt;Ввод!$B$6,"",Ввод!$B$5+1962))</f>
        <v/>
      </c>
      <c r="B1964">
        <f>IF(A1964="","",IFERROR(INDEX(Ввод!$B$12:$B$71,MATCH(A1964,Ввод!$D$12:$D$71,1)),""))</f>
        <v/>
      </c>
      <c r="C1964">
        <f>IF(A1964="","",DATE(YEAR(A1964),12,31)-DATE(YEAR(A1964),1,1)+1)</f>
        <v/>
      </c>
      <c r="D1964">
        <f>IF(A1964="","",Ввод!$B$4-SUMIF(Оплаты!$A$6:$A$505,"&lt;"&amp;A1964,Оплаты!$B$6:$B$505))</f>
        <v/>
      </c>
      <c r="E1964">
        <f>IF(A1964="","",IF(SUMPRODUCT((Ввод!$F$12:$F$31&lt;&gt;"")*(Ввод!$F$12:$F$31&lt;=A1964)*(Ввод!$G$12:$G$31&gt;=A1964))&gt;0,1,0))</f>
        <v/>
      </c>
      <c r="F1964">
        <f>IF(OR(A1964="",B1964=""),"",IF(E1964=1,0,D1964*B1964/100/C1964))</f>
        <v/>
      </c>
      <c r="G1964">
        <f>IF(A1964="","",IF(OR(B1964&lt;&gt;B1963,C1964&lt;&gt;C1963,D1964&lt;&gt;D1963,E1964&lt;&gt;E1963),G1963+1,G1963))</f>
        <v/>
      </c>
    </row>
    <row r="1965">
      <c r="A1965" s="14">
        <f>IF(OR(NOT(ISNUMBER(Ввод!$B$5)),NOT(ISNUMBER(Ввод!$B$6))),"",IF(Ввод!$B$5+1963&gt;Ввод!$B$6,"",Ввод!$B$5+1963))</f>
        <v/>
      </c>
      <c r="B1965">
        <f>IF(A1965="","",IFERROR(INDEX(Ввод!$B$12:$B$71,MATCH(A1965,Ввод!$D$12:$D$71,1)),""))</f>
        <v/>
      </c>
      <c r="C1965">
        <f>IF(A1965="","",DATE(YEAR(A1965),12,31)-DATE(YEAR(A1965),1,1)+1)</f>
        <v/>
      </c>
      <c r="D1965">
        <f>IF(A1965="","",Ввод!$B$4-SUMIF(Оплаты!$A$6:$A$505,"&lt;"&amp;A1965,Оплаты!$B$6:$B$505))</f>
        <v/>
      </c>
      <c r="E1965">
        <f>IF(A1965="","",IF(SUMPRODUCT((Ввод!$F$12:$F$31&lt;&gt;"")*(Ввод!$F$12:$F$31&lt;=A1965)*(Ввод!$G$12:$G$31&gt;=A1965))&gt;0,1,0))</f>
        <v/>
      </c>
      <c r="F1965">
        <f>IF(OR(A1965="",B1965=""),"",IF(E1965=1,0,D1965*B1965/100/C1965))</f>
        <v/>
      </c>
      <c r="G1965">
        <f>IF(A1965="","",IF(OR(B1965&lt;&gt;B1964,C1965&lt;&gt;C1964,D1965&lt;&gt;D1964,E1965&lt;&gt;E1964),G1964+1,G1964))</f>
        <v/>
      </c>
    </row>
    <row r="1966">
      <c r="A1966" s="14">
        <f>IF(OR(NOT(ISNUMBER(Ввод!$B$5)),NOT(ISNUMBER(Ввод!$B$6))),"",IF(Ввод!$B$5+1964&gt;Ввод!$B$6,"",Ввод!$B$5+1964))</f>
        <v/>
      </c>
      <c r="B1966">
        <f>IF(A1966="","",IFERROR(INDEX(Ввод!$B$12:$B$71,MATCH(A1966,Ввод!$D$12:$D$71,1)),""))</f>
        <v/>
      </c>
      <c r="C1966">
        <f>IF(A1966="","",DATE(YEAR(A1966),12,31)-DATE(YEAR(A1966),1,1)+1)</f>
        <v/>
      </c>
      <c r="D1966">
        <f>IF(A1966="","",Ввод!$B$4-SUMIF(Оплаты!$A$6:$A$505,"&lt;"&amp;A1966,Оплаты!$B$6:$B$505))</f>
        <v/>
      </c>
      <c r="E1966">
        <f>IF(A1966="","",IF(SUMPRODUCT((Ввод!$F$12:$F$31&lt;&gt;"")*(Ввод!$F$12:$F$31&lt;=A1966)*(Ввод!$G$12:$G$31&gt;=A1966))&gt;0,1,0))</f>
        <v/>
      </c>
      <c r="F1966">
        <f>IF(OR(A1966="",B1966=""),"",IF(E1966=1,0,D1966*B1966/100/C1966))</f>
        <v/>
      </c>
      <c r="G1966">
        <f>IF(A1966="","",IF(OR(B1966&lt;&gt;B1965,C1966&lt;&gt;C1965,D1966&lt;&gt;D1965,E1966&lt;&gt;E1965),G1965+1,G1965))</f>
        <v/>
      </c>
    </row>
    <row r="1967">
      <c r="A1967" s="14">
        <f>IF(OR(NOT(ISNUMBER(Ввод!$B$5)),NOT(ISNUMBER(Ввод!$B$6))),"",IF(Ввод!$B$5+1965&gt;Ввод!$B$6,"",Ввод!$B$5+1965))</f>
        <v/>
      </c>
      <c r="B1967">
        <f>IF(A1967="","",IFERROR(INDEX(Ввод!$B$12:$B$71,MATCH(A1967,Ввод!$D$12:$D$71,1)),""))</f>
        <v/>
      </c>
      <c r="C1967">
        <f>IF(A1967="","",DATE(YEAR(A1967),12,31)-DATE(YEAR(A1967),1,1)+1)</f>
        <v/>
      </c>
      <c r="D1967">
        <f>IF(A1967="","",Ввод!$B$4-SUMIF(Оплаты!$A$6:$A$505,"&lt;"&amp;A1967,Оплаты!$B$6:$B$505))</f>
        <v/>
      </c>
      <c r="E1967">
        <f>IF(A1967="","",IF(SUMPRODUCT((Ввод!$F$12:$F$31&lt;&gt;"")*(Ввод!$F$12:$F$31&lt;=A1967)*(Ввод!$G$12:$G$31&gt;=A1967))&gt;0,1,0))</f>
        <v/>
      </c>
      <c r="F1967">
        <f>IF(OR(A1967="",B1967=""),"",IF(E1967=1,0,D1967*B1967/100/C1967))</f>
        <v/>
      </c>
      <c r="G1967">
        <f>IF(A1967="","",IF(OR(B1967&lt;&gt;B1966,C1967&lt;&gt;C1966,D1967&lt;&gt;D1966,E1967&lt;&gt;E1966),G1966+1,G1966))</f>
        <v/>
      </c>
    </row>
    <row r="1968">
      <c r="A1968" s="14">
        <f>IF(OR(NOT(ISNUMBER(Ввод!$B$5)),NOT(ISNUMBER(Ввод!$B$6))),"",IF(Ввод!$B$5+1966&gt;Ввод!$B$6,"",Ввод!$B$5+1966))</f>
        <v/>
      </c>
      <c r="B1968">
        <f>IF(A1968="","",IFERROR(INDEX(Ввод!$B$12:$B$71,MATCH(A1968,Ввод!$D$12:$D$71,1)),""))</f>
        <v/>
      </c>
      <c r="C1968">
        <f>IF(A1968="","",DATE(YEAR(A1968),12,31)-DATE(YEAR(A1968),1,1)+1)</f>
        <v/>
      </c>
      <c r="D1968">
        <f>IF(A1968="","",Ввод!$B$4-SUMIF(Оплаты!$A$6:$A$505,"&lt;"&amp;A1968,Оплаты!$B$6:$B$505))</f>
        <v/>
      </c>
      <c r="E1968">
        <f>IF(A1968="","",IF(SUMPRODUCT((Ввод!$F$12:$F$31&lt;&gt;"")*(Ввод!$F$12:$F$31&lt;=A1968)*(Ввод!$G$12:$G$31&gt;=A1968))&gt;0,1,0))</f>
        <v/>
      </c>
      <c r="F1968">
        <f>IF(OR(A1968="",B1968=""),"",IF(E1968=1,0,D1968*B1968/100/C1968))</f>
        <v/>
      </c>
      <c r="G1968">
        <f>IF(A1968="","",IF(OR(B1968&lt;&gt;B1967,C1968&lt;&gt;C1967,D1968&lt;&gt;D1967,E1968&lt;&gt;E1967),G1967+1,G1967))</f>
        <v/>
      </c>
    </row>
    <row r="1969">
      <c r="A1969" s="14">
        <f>IF(OR(NOT(ISNUMBER(Ввод!$B$5)),NOT(ISNUMBER(Ввод!$B$6))),"",IF(Ввод!$B$5+1967&gt;Ввод!$B$6,"",Ввод!$B$5+1967))</f>
        <v/>
      </c>
      <c r="B1969">
        <f>IF(A1969="","",IFERROR(INDEX(Ввод!$B$12:$B$71,MATCH(A1969,Ввод!$D$12:$D$71,1)),""))</f>
        <v/>
      </c>
      <c r="C1969">
        <f>IF(A1969="","",DATE(YEAR(A1969),12,31)-DATE(YEAR(A1969),1,1)+1)</f>
        <v/>
      </c>
      <c r="D1969">
        <f>IF(A1969="","",Ввод!$B$4-SUMIF(Оплаты!$A$6:$A$505,"&lt;"&amp;A1969,Оплаты!$B$6:$B$505))</f>
        <v/>
      </c>
      <c r="E1969">
        <f>IF(A1969="","",IF(SUMPRODUCT((Ввод!$F$12:$F$31&lt;&gt;"")*(Ввод!$F$12:$F$31&lt;=A1969)*(Ввод!$G$12:$G$31&gt;=A1969))&gt;0,1,0))</f>
        <v/>
      </c>
      <c r="F1969">
        <f>IF(OR(A1969="",B1969=""),"",IF(E1969=1,0,D1969*B1969/100/C1969))</f>
        <v/>
      </c>
      <c r="G1969">
        <f>IF(A1969="","",IF(OR(B1969&lt;&gt;B1968,C1969&lt;&gt;C1968,D1969&lt;&gt;D1968,E1969&lt;&gt;E1968),G1968+1,G1968))</f>
        <v/>
      </c>
    </row>
    <row r="1970">
      <c r="A1970" s="14">
        <f>IF(OR(NOT(ISNUMBER(Ввод!$B$5)),NOT(ISNUMBER(Ввод!$B$6))),"",IF(Ввод!$B$5+1968&gt;Ввод!$B$6,"",Ввод!$B$5+1968))</f>
        <v/>
      </c>
      <c r="B1970">
        <f>IF(A1970="","",IFERROR(INDEX(Ввод!$B$12:$B$71,MATCH(A1970,Ввод!$D$12:$D$71,1)),""))</f>
        <v/>
      </c>
      <c r="C1970">
        <f>IF(A1970="","",DATE(YEAR(A1970),12,31)-DATE(YEAR(A1970),1,1)+1)</f>
        <v/>
      </c>
      <c r="D1970">
        <f>IF(A1970="","",Ввод!$B$4-SUMIF(Оплаты!$A$6:$A$505,"&lt;"&amp;A1970,Оплаты!$B$6:$B$505))</f>
        <v/>
      </c>
      <c r="E1970">
        <f>IF(A1970="","",IF(SUMPRODUCT((Ввод!$F$12:$F$31&lt;&gt;"")*(Ввод!$F$12:$F$31&lt;=A1970)*(Ввод!$G$12:$G$31&gt;=A1970))&gt;0,1,0))</f>
        <v/>
      </c>
      <c r="F1970">
        <f>IF(OR(A1970="",B1970=""),"",IF(E1970=1,0,D1970*B1970/100/C1970))</f>
        <v/>
      </c>
      <c r="G1970">
        <f>IF(A1970="","",IF(OR(B1970&lt;&gt;B1969,C1970&lt;&gt;C1969,D1970&lt;&gt;D1969,E1970&lt;&gt;E1969),G1969+1,G1969))</f>
        <v/>
      </c>
    </row>
    <row r="1971">
      <c r="A1971" s="14">
        <f>IF(OR(NOT(ISNUMBER(Ввод!$B$5)),NOT(ISNUMBER(Ввод!$B$6))),"",IF(Ввод!$B$5+1969&gt;Ввод!$B$6,"",Ввод!$B$5+1969))</f>
        <v/>
      </c>
      <c r="B1971">
        <f>IF(A1971="","",IFERROR(INDEX(Ввод!$B$12:$B$71,MATCH(A1971,Ввод!$D$12:$D$71,1)),""))</f>
        <v/>
      </c>
      <c r="C1971">
        <f>IF(A1971="","",DATE(YEAR(A1971),12,31)-DATE(YEAR(A1971),1,1)+1)</f>
        <v/>
      </c>
      <c r="D1971">
        <f>IF(A1971="","",Ввод!$B$4-SUMIF(Оплаты!$A$6:$A$505,"&lt;"&amp;A1971,Оплаты!$B$6:$B$505))</f>
        <v/>
      </c>
      <c r="E1971">
        <f>IF(A1971="","",IF(SUMPRODUCT((Ввод!$F$12:$F$31&lt;&gt;"")*(Ввод!$F$12:$F$31&lt;=A1971)*(Ввод!$G$12:$G$31&gt;=A1971))&gt;0,1,0))</f>
        <v/>
      </c>
      <c r="F1971">
        <f>IF(OR(A1971="",B1971=""),"",IF(E1971=1,0,D1971*B1971/100/C1971))</f>
        <v/>
      </c>
      <c r="G1971">
        <f>IF(A1971="","",IF(OR(B1971&lt;&gt;B1970,C1971&lt;&gt;C1970,D1971&lt;&gt;D1970,E1971&lt;&gt;E1970),G1970+1,G1970))</f>
        <v/>
      </c>
    </row>
    <row r="1972">
      <c r="A1972" s="14">
        <f>IF(OR(NOT(ISNUMBER(Ввод!$B$5)),NOT(ISNUMBER(Ввод!$B$6))),"",IF(Ввод!$B$5+1970&gt;Ввод!$B$6,"",Ввод!$B$5+1970))</f>
        <v/>
      </c>
      <c r="B1972">
        <f>IF(A1972="","",IFERROR(INDEX(Ввод!$B$12:$B$71,MATCH(A1972,Ввод!$D$12:$D$71,1)),""))</f>
        <v/>
      </c>
      <c r="C1972">
        <f>IF(A1972="","",DATE(YEAR(A1972),12,31)-DATE(YEAR(A1972),1,1)+1)</f>
        <v/>
      </c>
      <c r="D1972">
        <f>IF(A1972="","",Ввод!$B$4-SUMIF(Оплаты!$A$6:$A$505,"&lt;"&amp;A1972,Оплаты!$B$6:$B$505))</f>
        <v/>
      </c>
      <c r="E1972">
        <f>IF(A1972="","",IF(SUMPRODUCT((Ввод!$F$12:$F$31&lt;&gt;"")*(Ввод!$F$12:$F$31&lt;=A1972)*(Ввод!$G$12:$G$31&gt;=A1972))&gt;0,1,0))</f>
        <v/>
      </c>
      <c r="F1972">
        <f>IF(OR(A1972="",B1972=""),"",IF(E1972=1,0,D1972*B1972/100/C1972))</f>
        <v/>
      </c>
      <c r="G1972">
        <f>IF(A1972="","",IF(OR(B1972&lt;&gt;B1971,C1972&lt;&gt;C1971,D1972&lt;&gt;D1971,E1972&lt;&gt;E1971),G1971+1,G1971))</f>
        <v/>
      </c>
    </row>
    <row r="1973">
      <c r="A1973" s="14">
        <f>IF(OR(NOT(ISNUMBER(Ввод!$B$5)),NOT(ISNUMBER(Ввод!$B$6))),"",IF(Ввод!$B$5+1971&gt;Ввод!$B$6,"",Ввод!$B$5+1971))</f>
        <v/>
      </c>
      <c r="B1973">
        <f>IF(A1973="","",IFERROR(INDEX(Ввод!$B$12:$B$71,MATCH(A1973,Ввод!$D$12:$D$71,1)),""))</f>
        <v/>
      </c>
      <c r="C1973">
        <f>IF(A1973="","",DATE(YEAR(A1973),12,31)-DATE(YEAR(A1973),1,1)+1)</f>
        <v/>
      </c>
      <c r="D1973">
        <f>IF(A1973="","",Ввод!$B$4-SUMIF(Оплаты!$A$6:$A$505,"&lt;"&amp;A1973,Оплаты!$B$6:$B$505))</f>
        <v/>
      </c>
      <c r="E1973">
        <f>IF(A1973="","",IF(SUMPRODUCT((Ввод!$F$12:$F$31&lt;&gt;"")*(Ввод!$F$12:$F$31&lt;=A1973)*(Ввод!$G$12:$G$31&gt;=A1973))&gt;0,1,0))</f>
        <v/>
      </c>
      <c r="F1973">
        <f>IF(OR(A1973="",B1973=""),"",IF(E1973=1,0,D1973*B1973/100/C1973))</f>
        <v/>
      </c>
      <c r="G1973">
        <f>IF(A1973="","",IF(OR(B1973&lt;&gt;B1972,C1973&lt;&gt;C1972,D1973&lt;&gt;D1972,E1973&lt;&gt;E1972),G1972+1,G1972))</f>
        <v/>
      </c>
    </row>
    <row r="1974">
      <c r="A1974" s="14">
        <f>IF(OR(NOT(ISNUMBER(Ввод!$B$5)),NOT(ISNUMBER(Ввод!$B$6))),"",IF(Ввод!$B$5+1972&gt;Ввод!$B$6,"",Ввод!$B$5+1972))</f>
        <v/>
      </c>
      <c r="B1974">
        <f>IF(A1974="","",IFERROR(INDEX(Ввод!$B$12:$B$71,MATCH(A1974,Ввод!$D$12:$D$71,1)),""))</f>
        <v/>
      </c>
      <c r="C1974">
        <f>IF(A1974="","",DATE(YEAR(A1974),12,31)-DATE(YEAR(A1974),1,1)+1)</f>
        <v/>
      </c>
      <c r="D1974">
        <f>IF(A1974="","",Ввод!$B$4-SUMIF(Оплаты!$A$6:$A$505,"&lt;"&amp;A1974,Оплаты!$B$6:$B$505))</f>
        <v/>
      </c>
      <c r="E1974">
        <f>IF(A1974="","",IF(SUMPRODUCT((Ввод!$F$12:$F$31&lt;&gt;"")*(Ввод!$F$12:$F$31&lt;=A1974)*(Ввод!$G$12:$G$31&gt;=A1974))&gt;0,1,0))</f>
        <v/>
      </c>
      <c r="F1974">
        <f>IF(OR(A1974="",B1974=""),"",IF(E1974=1,0,D1974*B1974/100/C1974))</f>
        <v/>
      </c>
      <c r="G1974">
        <f>IF(A1974="","",IF(OR(B1974&lt;&gt;B1973,C1974&lt;&gt;C1973,D1974&lt;&gt;D1973,E1974&lt;&gt;E1973),G1973+1,G1973))</f>
        <v/>
      </c>
    </row>
    <row r="1975">
      <c r="A1975" s="14">
        <f>IF(OR(NOT(ISNUMBER(Ввод!$B$5)),NOT(ISNUMBER(Ввод!$B$6))),"",IF(Ввод!$B$5+1973&gt;Ввод!$B$6,"",Ввод!$B$5+1973))</f>
        <v/>
      </c>
      <c r="B1975">
        <f>IF(A1975="","",IFERROR(INDEX(Ввод!$B$12:$B$71,MATCH(A1975,Ввод!$D$12:$D$71,1)),""))</f>
        <v/>
      </c>
      <c r="C1975">
        <f>IF(A1975="","",DATE(YEAR(A1975),12,31)-DATE(YEAR(A1975),1,1)+1)</f>
        <v/>
      </c>
      <c r="D1975">
        <f>IF(A1975="","",Ввод!$B$4-SUMIF(Оплаты!$A$6:$A$505,"&lt;"&amp;A1975,Оплаты!$B$6:$B$505))</f>
        <v/>
      </c>
      <c r="E1975">
        <f>IF(A1975="","",IF(SUMPRODUCT((Ввод!$F$12:$F$31&lt;&gt;"")*(Ввод!$F$12:$F$31&lt;=A1975)*(Ввод!$G$12:$G$31&gt;=A1975))&gt;0,1,0))</f>
        <v/>
      </c>
      <c r="F1975">
        <f>IF(OR(A1975="",B1975=""),"",IF(E1975=1,0,D1975*B1975/100/C1975))</f>
        <v/>
      </c>
      <c r="G1975">
        <f>IF(A1975="","",IF(OR(B1975&lt;&gt;B1974,C1975&lt;&gt;C1974,D1975&lt;&gt;D1974,E1975&lt;&gt;E1974),G1974+1,G1974))</f>
        <v/>
      </c>
    </row>
    <row r="1976">
      <c r="A1976" s="14">
        <f>IF(OR(NOT(ISNUMBER(Ввод!$B$5)),NOT(ISNUMBER(Ввод!$B$6))),"",IF(Ввод!$B$5+1974&gt;Ввод!$B$6,"",Ввод!$B$5+1974))</f>
        <v/>
      </c>
      <c r="B1976">
        <f>IF(A1976="","",IFERROR(INDEX(Ввод!$B$12:$B$71,MATCH(A1976,Ввод!$D$12:$D$71,1)),""))</f>
        <v/>
      </c>
      <c r="C1976">
        <f>IF(A1976="","",DATE(YEAR(A1976),12,31)-DATE(YEAR(A1976),1,1)+1)</f>
        <v/>
      </c>
      <c r="D1976">
        <f>IF(A1976="","",Ввод!$B$4-SUMIF(Оплаты!$A$6:$A$505,"&lt;"&amp;A1976,Оплаты!$B$6:$B$505))</f>
        <v/>
      </c>
      <c r="E1976">
        <f>IF(A1976="","",IF(SUMPRODUCT((Ввод!$F$12:$F$31&lt;&gt;"")*(Ввод!$F$12:$F$31&lt;=A1976)*(Ввод!$G$12:$G$31&gt;=A1976))&gt;0,1,0))</f>
        <v/>
      </c>
      <c r="F1976">
        <f>IF(OR(A1976="",B1976=""),"",IF(E1976=1,0,D1976*B1976/100/C1976))</f>
        <v/>
      </c>
      <c r="G1976">
        <f>IF(A1976="","",IF(OR(B1976&lt;&gt;B1975,C1976&lt;&gt;C1975,D1976&lt;&gt;D1975,E1976&lt;&gt;E1975),G1975+1,G1975))</f>
        <v/>
      </c>
    </row>
    <row r="1977">
      <c r="A1977" s="14">
        <f>IF(OR(NOT(ISNUMBER(Ввод!$B$5)),NOT(ISNUMBER(Ввод!$B$6))),"",IF(Ввод!$B$5+1975&gt;Ввод!$B$6,"",Ввод!$B$5+1975))</f>
        <v/>
      </c>
      <c r="B1977">
        <f>IF(A1977="","",IFERROR(INDEX(Ввод!$B$12:$B$71,MATCH(A1977,Ввод!$D$12:$D$71,1)),""))</f>
        <v/>
      </c>
      <c r="C1977">
        <f>IF(A1977="","",DATE(YEAR(A1977),12,31)-DATE(YEAR(A1977),1,1)+1)</f>
        <v/>
      </c>
      <c r="D1977">
        <f>IF(A1977="","",Ввод!$B$4-SUMIF(Оплаты!$A$6:$A$505,"&lt;"&amp;A1977,Оплаты!$B$6:$B$505))</f>
        <v/>
      </c>
      <c r="E1977">
        <f>IF(A1977="","",IF(SUMPRODUCT((Ввод!$F$12:$F$31&lt;&gt;"")*(Ввод!$F$12:$F$31&lt;=A1977)*(Ввод!$G$12:$G$31&gt;=A1977))&gt;0,1,0))</f>
        <v/>
      </c>
      <c r="F1977">
        <f>IF(OR(A1977="",B1977=""),"",IF(E1977=1,0,D1977*B1977/100/C1977))</f>
        <v/>
      </c>
      <c r="G1977">
        <f>IF(A1977="","",IF(OR(B1977&lt;&gt;B1976,C1977&lt;&gt;C1976,D1977&lt;&gt;D1976,E1977&lt;&gt;E1976),G1976+1,G1976))</f>
        <v/>
      </c>
    </row>
    <row r="1978">
      <c r="A1978" s="14">
        <f>IF(OR(NOT(ISNUMBER(Ввод!$B$5)),NOT(ISNUMBER(Ввод!$B$6))),"",IF(Ввод!$B$5+1976&gt;Ввод!$B$6,"",Ввод!$B$5+1976))</f>
        <v/>
      </c>
      <c r="B1978">
        <f>IF(A1978="","",IFERROR(INDEX(Ввод!$B$12:$B$71,MATCH(A1978,Ввод!$D$12:$D$71,1)),""))</f>
        <v/>
      </c>
      <c r="C1978">
        <f>IF(A1978="","",DATE(YEAR(A1978),12,31)-DATE(YEAR(A1978),1,1)+1)</f>
        <v/>
      </c>
      <c r="D1978">
        <f>IF(A1978="","",Ввод!$B$4-SUMIF(Оплаты!$A$6:$A$505,"&lt;"&amp;A1978,Оплаты!$B$6:$B$505))</f>
        <v/>
      </c>
      <c r="E1978">
        <f>IF(A1978="","",IF(SUMPRODUCT((Ввод!$F$12:$F$31&lt;&gt;"")*(Ввод!$F$12:$F$31&lt;=A1978)*(Ввод!$G$12:$G$31&gt;=A1978))&gt;0,1,0))</f>
        <v/>
      </c>
      <c r="F1978">
        <f>IF(OR(A1978="",B1978=""),"",IF(E1978=1,0,D1978*B1978/100/C1978))</f>
        <v/>
      </c>
      <c r="G1978">
        <f>IF(A1978="","",IF(OR(B1978&lt;&gt;B1977,C1978&lt;&gt;C1977,D1978&lt;&gt;D1977,E1978&lt;&gt;E1977),G1977+1,G1977))</f>
        <v/>
      </c>
    </row>
    <row r="1979">
      <c r="A1979" s="14">
        <f>IF(OR(NOT(ISNUMBER(Ввод!$B$5)),NOT(ISNUMBER(Ввод!$B$6))),"",IF(Ввод!$B$5+1977&gt;Ввод!$B$6,"",Ввод!$B$5+1977))</f>
        <v/>
      </c>
      <c r="B1979">
        <f>IF(A1979="","",IFERROR(INDEX(Ввод!$B$12:$B$71,MATCH(A1979,Ввод!$D$12:$D$71,1)),""))</f>
        <v/>
      </c>
      <c r="C1979">
        <f>IF(A1979="","",DATE(YEAR(A1979),12,31)-DATE(YEAR(A1979),1,1)+1)</f>
        <v/>
      </c>
      <c r="D1979">
        <f>IF(A1979="","",Ввод!$B$4-SUMIF(Оплаты!$A$6:$A$505,"&lt;"&amp;A1979,Оплаты!$B$6:$B$505))</f>
        <v/>
      </c>
      <c r="E1979">
        <f>IF(A1979="","",IF(SUMPRODUCT((Ввод!$F$12:$F$31&lt;&gt;"")*(Ввод!$F$12:$F$31&lt;=A1979)*(Ввод!$G$12:$G$31&gt;=A1979))&gt;0,1,0))</f>
        <v/>
      </c>
      <c r="F1979">
        <f>IF(OR(A1979="",B1979=""),"",IF(E1979=1,0,D1979*B1979/100/C1979))</f>
        <v/>
      </c>
      <c r="G1979">
        <f>IF(A1979="","",IF(OR(B1979&lt;&gt;B1978,C1979&lt;&gt;C1978,D1979&lt;&gt;D1978,E1979&lt;&gt;E1978),G1978+1,G1978))</f>
        <v/>
      </c>
    </row>
    <row r="1980">
      <c r="A1980" s="14">
        <f>IF(OR(NOT(ISNUMBER(Ввод!$B$5)),NOT(ISNUMBER(Ввод!$B$6))),"",IF(Ввод!$B$5+1978&gt;Ввод!$B$6,"",Ввод!$B$5+1978))</f>
        <v/>
      </c>
      <c r="B1980">
        <f>IF(A1980="","",IFERROR(INDEX(Ввод!$B$12:$B$71,MATCH(A1980,Ввод!$D$12:$D$71,1)),""))</f>
        <v/>
      </c>
      <c r="C1980">
        <f>IF(A1980="","",DATE(YEAR(A1980),12,31)-DATE(YEAR(A1980),1,1)+1)</f>
        <v/>
      </c>
      <c r="D1980">
        <f>IF(A1980="","",Ввод!$B$4-SUMIF(Оплаты!$A$6:$A$505,"&lt;"&amp;A1980,Оплаты!$B$6:$B$505))</f>
        <v/>
      </c>
      <c r="E1980">
        <f>IF(A1980="","",IF(SUMPRODUCT((Ввод!$F$12:$F$31&lt;&gt;"")*(Ввод!$F$12:$F$31&lt;=A1980)*(Ввод!$G$12:$G$31&gt;=A1980))&gt;0,1,0))</f>
        <v/>
      </c>
      <c r="F1980">
        <f>IF(OR(A1980="",B1980=""),"",IF(E1980=1,0,D1980*B1980/100/C1980))</f>
        <v/>
      </c>
      <c r="G1980">
        <f>IF(A1980="","",IF(OR(B1980&lt;&gt;B1979,C1980&lt;&gt;C1979,D1980&lt;&gt;D1979,E1980&lt;&gt;E1979),G1979+1,G1979))</f>
        <v/>
      </c>
    </row>
    <row r="1981">
      <c r="A1981" s="14">
        <f>IF(OR(NOT(ISNUMBER(Ввод!$B$5)),NOT(ISNUMBER(Ввод!$B$6))),"",IF(Ввод!$B$5+1979&gt;Ввод!$B$6,"",Ввод!$B$5+1979))</f>
        <v/>
      </c>
      <c r="B1981">
        <f>IF(A1981="","",IFERROR(INDEX(Ввод!$B$12:$B$71,MATCH(A1981,Ввод!$D$12:$D$71,1)),""))</f>
        <v/>
      </c>
      <c r="C1981">
        <f>IF(A1981="","",DATE(YEAR(A1981),12,31)-DATE(YEAR(A1981),1,1)+1)</f>
        <v/>
      </c>
      <c r="D1981">
        <f>IF(A1981="","",Ввод!$B$4-SUMIF(Оплаты!$A$6:$A$505,"&lt;"&amp;A1981,Оплаты!$B$6:$B$505))</f>
        <v/>
      </c>
      <c r="E1981">
        <f>IF(A1981="","",IF(SUMPRODUCT((Ввод!$F$12:$F$31&lt;&gt;"")*(Ввод!$F$12:$F$31&lt;=A1981)*(Ввод!$G$12:$G$31&gt;=A1981))&gt;0,1,0))</f>
        <v/>
      </c>
      <c r="F1981">
        <f>IF(OR(A1981="",B1981=""),"",IF(E1981=1,0,D1981*B1981/100/C1981))</f>
        <v/>
      </c>
      <c r="G1981">
        <f>IF(A1981="","",IF(OR(B1981&lt;&gt;B1980,C1981&lt;&gt;C1980,D1981&lt;&gt;D1980,E1981&lt;&gt;E1980),G1980+1,G1980))</f>
        <v/>
      </c>
    </row>
    <row r="1982">
      <c r="A1982" s="14">
        <f>IF(OR(NOT(ISNUMBER(Ввод!$B$5)),NOT(ISNUMBER(Ввод!$B$6))),"",IF(Ввод!$B$5+1980&gt;Ввод!$B$6,"",Ввод!$B$5+1980))</f>
        <v/>
      </c>
      <c r="B1982">
        <f>IF(A1982="","",IFERROR(INDEX(Ввод!$B$12:$B$71,MATCH(A1982,Ввод!$D$12:$D$71,1)),""))</f>
        <v/>
      </c>
      <c r="C1982">
        <f>IF(A1982="","",DATE(YEAR(A1982),12,31)-DATE(YEAR(A1982),1,1)+1)</f>
        <v/>
      </c>
      <c r="D1982">
        <f>IF(A1982="","",Ввод!$B$4-SUMIF(Оплаты!$A$6:$A$505,"&lt;"&amp;A1982,Оплаты!$B$6:$B$505))</f>
        <v/>
      </c>
      <c r="E1982">
        <f>IF(A1982="","",IF(SUMPRODUCT((Ввод!$F$12:$F$31&lt;&gt;"")*(Ввод!$F$12:$F$31&lt;=A1982)*(Ввод!$G$12:$G$31&gt;=A1982))&gt;0,1,0))</f>
        <v/>
      </c>
      <c r="F1982">
        <f>IF(OR(A1982="",B1982=""),"",IF(E1982=1,0,D1982*B1982/100/C1982))</f>
        <v/>
      </c>
      <c r="G1982">
        <f>IF(A1982="","",IF(OR(B1982&lt;&gt;B1981,C1982&lt;&gt;C1981,D1982&lt;&gt;D1981,E1982&lt;&gt;E1981),G1981+1,G1981))</f>
        <v/>
      </c>
    </row>
    <row r="1983">
      <c r="A1983" s="14">
        <f>IF(OR(NOT(ISNUMBER(Ввод!$B$5)),NOT(ISNUMBER(Ввод!$B$6))),"",IF(Ввод!$B$5+1981&gt;Ввод!$B$6,"",Ввод!$B$5+1981))</f>
        <v/>
      </c>
      <c r="B1983">
        <f>IF(A1983="","",IFERROR(INDEX(Ввод!$B$12:$B$71,MATCH(A1983,Ввод!$D$12:$D$71,1)),""))</f>
        <v/>
      </c>
      <c r="C1983">
        <f>IF(A1983="","",DATE(YEAR(A1983),12,31)-DATE(YEAR(A1983),1,1)+1)</f>
        <v/>
      </c>
      <c r="D1983">
        <f>IF(A1983="","",Ввод!$B$4-SUMIF(Оплаты!$A$6:$A$505,"&lt;"&amp;A1983,Оплаты!$B$6:$B$505))</f>
        <v/>
      </c>
      <c r="E1983">
        <f>IF(A1983="","",IF(SUMPRODUCT((Ввод!$F$12:$F$31&lt;&gt;"")*(Ввод!$F$12:$F$31&lt;=A1983)*(Ввод!$G$12:$G$31&gt;=A1983))&gt;0,1,0))</f>
        <v/>
      </c>
      <c r="F1983">
        <f>IF(OR(A1983="",B1983=""),"",IF(E1983=1,0,D1983*B1983/100/C1983))</f>
        <v/>
      </c>
      <c r="G1983">
        <f>IF(A1983="","",IF(OR(B1983&lt;&gt;B1982,C1983&lt;&gt;C1982,D1983&lt;&gt;D1982,E1983&lt;&gt;E1982),G1982+1,G1982))</f>
        <v/>
      </c>
    </row>
    <row r="1984">
      <c r="A1984" s="14">
        <f>IF(OR(NOT(ISNUMBER(Ввод!$B$5)),NOT(ISNUMBER(Ввод!$B$6))),"",IF(Ввод!$B$5+1982&gt;Ввод!$B$6,"",Ввод!$B$5+1982))</f>
        <v/>
      </c>
      <c r="B1984">
        <f>IF(A1984="","",IFERROR(INDEX(Ввод!$B$12:$B$71,MATCH(A1984,Ввод!$D$12:$D$71,1)),""))</f>
        <v/>
      </c>
      <c r="C1984">
        <f>IF(A1984="","",DATE(YEAR(A1984),12,31)-DATE(YEAR(A1984),1,1)+1)</f>
        <v/>
      </c>
      <c r="D1984">
        <f>IF(A1984="","",Ввод!$B$4-SUMIF(Оплаты!$A$6:$A$505,"&lt;"&amp;A1984,Оплаты!$B$6:$B$505))</f>
        <v/>
      </c>
      <c r="E1984">
        <f>IF(A1984="","",IF(SUMPRODUCT((Ввод!$F$12:$F$31&lt;&gt;"")*(Ввод!$F$12:$F$31&lt;=A1984)*(Ввод!$G$12:$G$31&gt;=A1984))&gt;0,1,0))</f>
        <v/>
      </c>
      <c r="F1984">
        <f>IF(OR(A1984="",B1984=""),"",IF(E1984=1,0,D1984*B1984/100/C1984))</f>
        <v/>
      </c>
      <c r="G1984">
        <f>IF(A1984="","",IF(OR(B1984&lt;&gt;B1983,C1984&lt;&gt;C1983,D1984&lt;&gt;D1983,E1984&lt;&gt;E1983),G1983+1,G1983))</f>
        <v/>
      </c>
    </row>
    <row r="1985">
      <c r="A1985" s="14">
        <f>IF(OR(NOT(ISNUMBER(Ввод!$B$5)),NOT(ISNUMBER(Ввод!$B$6))),"",IF(Ввод!$B$5+1983&gt;Ввод!$B$6,"",Ввод!$B$5+1983))</f>
        <v/>
      </c>
      <c r="B1985">
        <f>IF(A1985="","",IFERROR(INDEX(Ввод!$B$12:$B$71,MATCH(A1985,Ввод!$D$12:$D$71,1)),""))</f>
        <v/>
      </c>
      <c r="C1985">
        <f>IF(A1985="","",DATE(YEAR(A1985),12,31)-DATE(YEAR(A1985),1,1)+1)</f>
        <v/>
      </c>
      <c r="D1985">
        <f>IF(A1985="","",Ввод!$B$4-SUMIF(Оплаты!$A$6:$A$505,"&lt;"&amp;A1985,Оплаты!$B$6:$B$505))</f>
        <v/>
      </c>
      <c r="E1985">
        <f>IF(A1985="","",IF(SUMPRODUCT((Ввод!$F$12:$F$31&lt;&gt;"")*(Ввод!$F$12:$F$31&lt;=A1985)*(Ввод!$G$12:$G$31&gt;=A1985))&gt;0,1,0))</f>
        <v/>
      </c>
      <c r="F1985">
        <f>IF(OR(A1985="",B1985=""),"",IF(E1985=1,0,D1985*B1985/100/C1985))</f>
        <v/>
      </c>
      <c r="G1985">
        <f>IF(A1985="","",IF(OR(B1985&lt;&gt;B1984,C1985&lt;&gt;C1984,D1985&lt;&gt;D1984,E1985&lt;&gt;E1984),G1984+1,G1984))</f>
        <v/>
      </c>
    </row>
    <row r="1986">
      <c r="A1986" s="14">
        <f>IF(OR(NOT(ISNUMBER(Ввод!$B$5)),NOT(ISNUMBER(Ввод!$B$6))),"",IF(Ввод!$B$5+1984&gt;Ввод!$B$6,"",Ввод!$B$5+1984))</f>
        <v/>
      </c>
      <c r="B1986">
        <f>IF(A1986="","",IFERROR(INDEX(Ввод!$B$12:$B$71,MATCH(A1986,Ввод!$D$12:$D$71,1)),""))</f>
        <v/>
      </c>
      <c r="C1986">
        <f>IF(A1986="","",DATE(YEAR(A1986),12,31)-DATE(YEAR(A1986),1,1)+1)</f>
        <v/>
      </c>
      <c r="D1986">
        <f>IF(A1986="","",Ввод!$B$4-SUMIF(Оплаты!$A$6:$A$505,"&lt;"&amp;A1986,Оплаты!$B$6:$B$505))</f>
        <v/>
      </c>
      <c r="E1986">
        <f>IF(A1986="","",IF(SUMPRODUCT((Ввод!$F$12:$F$31&lt;&gt;"")*(Ввод!$F$12:$F$31&lt;=A1986)*(Ввод!$G$12:$G$31&gt;=A1986))&gt;0,1,0))</f>
        <v/>
      </c>
      <c r="F1986">
        <f>IF(OR(A1986="",B1986=""),"",IF(E1986=1,0,D1986*B1986/100/C1986))</f>
        <v/>
      </c>
      <c r="G1986">
        <f>IF(A1986="","",IF(OR(B1986&lt;&gt;B1985,C1986&lt;&gt;C1985,D1986&lt;&gt;D1985,E1986&lt;&gt;E1985),G1985+1,G1985))</f>
        <v/>
      </c>
    </row>
    <row r="1987">
      <c r="A1987" s="14">
        <f>IF(OR(NOT(ISNUMBER(Ввод!$B$5)),NOT(ISNUMBER(Ввод!$B$6))),"",IF(Ввод!$B$5+1985&gt;Ввод!$B$6,"",Ввод!$B$5+1985))</f>
        <v/>
      </c>
      <c r="B1987">
        <f>IF(A1987="","",IFERROR(INDEX(Ввод!$B$12:$B$71,MATCH(A1987,Ввод!$D$12:$D$71,1)),""))</f>
        <v/>
      </c>
      <c r="C1987">
        <f>IF(A1987="","",DATE(YEAR(A1987),12,31)-DATE(YEAR(A1987),1,1)+1)</f>
        <v/>
      </c>
      <c r="D1987">
        <f>IF(A1987="","",Ввод!$B$4-SUMIF(Оплаты!$A$6:$A$505,"&lt;"&amp;A1987,Оплаты!$B$6:$B$505))</f>
        <v/>
      </c>
      <c r="E1987">
        <f>IF(A1987="","",IF(SUMPRODUCT((Ввод!$F$12:$F$31&lt;&gt;"")*(Ввод!$F$12:$F$31&lt;=A1987)*(Ввод!$G$12:$G$31&gt;=A1987))&gt;0,1,0))</f>
        <v/>
      </c>
      <c r="F1987">
        <f>IF(OR(A1987="",B1987=""),"",IF(E1987=1,0,D1987*B1987/100/C1987))</f>
        <v/>
      </c>
      <c r="G1987">
        <f>IF(A1987="","",IF(OR(B1987&lt;&gt;B1986,C1987&lt;&gt;C1986,D1987&lt;&gt;D1986,E1987&lt;&gt;E1986),G1986+1,G1986))</f>
        <v/>
      </c>
    </row>
    <row r="1988">
      <c r="A1988" s="14">
        <f>IF(OR(NOT(ISNUMBER(Ввод!$B$5)),NOT(ISNUMBER(Ввод!$B$6))),"",IF(Ввод!$B$5+1986&gt;Ввод!$B$6,"",Ввод!$B$5+1986))</f>
        <v/>
      </c>
      <c r="B1988">
        <f>IF(A1988="","",IFERROR(INDEX(Ввод!$B$12:$B$71,MATCH(A1988,Ввод!$D$12:$D$71,1)),""))</f>
        <v/>
      </c>
      <c r="C1988">
        <f>IF(A1988="","",DATE(YEAR(A1988),12,31)-DATE(YEAR(A1988),1,1)+1)</f>
        <v/>
      </c>
      <c r="D1988">
        <f>IF(A1988="","",Ввод!$B$4-SUMIF(Оплаты!$A$6:$A$505,"&lt;"&amp;A1988,Оплаты!$B$6:$B$505))</f>
        <v/>
      </c>
      <c r="E1988">
        <f>IF(A1988="","",IF(SUMPRODUCT((Ввод!$F$12:$F$31&lt;&gt;"")*(Ввод!$F$12:$F$31&lt;=A1988)*(Ввод!$G$12:$G$31&gt;=A1988))&gt;0,1,0))</f>
        <v/>
      </c>
      <c r="F1988">
        <f>IF(OR(A1988="",B1988=""),"",IF(E1988=1,0,D1988*B1988/100/C1988))</f>
        <v/>
      </c>
      <c r="G1988">
        <f>IF(A1988="","",IF(OR(B1988&lt;&gt;B1987,C1988&lt;&gt;C1987,D1988&lt;&gt;D1987,E1988&lt;&gt;E1987),G1987+1,G1987))</f>
        <v/>
      </c>
    </row>
    <row r="1989">
      <c r="A1989" s="14">
        <f>IF(OR(NOT(ISNUMBER(Ввод!$B$5)),NOT(ISNUMBER(Ввод!$B$6))),"",IF(Ввод!$B$5+1987&gt;Ввод!$B$6,"",Ввод!$B$5+1987))</f>
        <v/>
      </c>
      <c r="B1989">
        <f>IF(A1989="","",IFERROR(INDEX(Ввод!$B$12:$B$71,MATCH(A1989,Ввод!$D$12:$D$71,1)),""))</f>
        <v/>
      </c>
      <c r="C1989">
        <f>IF(A1989="","",DATE(YEAR(A1989),12,31)-DATE(YEAR(A1989),1,1)+1)</f>
        <v/>
      </c>
      <c r="D1989">
        <f>IF(A1989="","",Ввод!$B$4-SUMIF(Оплаты!$A$6:$A$505,"&lt;"&amp;A1989,Оплаты!$B$6:$B$505))</f>
        <v/>
      </c>
      <c r="E1989">
        <f>IF(A1989="","",IF(SUMPRODUCT((Ввод!$F$12:$F$31&lt;&gt;"")*(Ввод!$F$12:$F$31&lt;=A1989)*(Ввод!$G$12:$G$31&gt;=A1989))&gt;0,1,0))</f>
        <v/>
      </c>
      <c r="F1989">
        <f>IF(OR(A1989="",B1989=""),"",IF(E1989=1,0,D1989*B1989/100/C1989))</f>
        <v/>
      </c>
      <c r="G1989">
        <f>IF(A1989="","",IF(OR(B1989&lt;&gt;B1988,C1989&lt;&gt;C1988,D1989&lt;&gt;D1988,E1989&lt;&gt;E1988),G1988+1,G1988))</f>
        <v/>
      </c>
    </row>
    <row r="1990">
      <c r="A1990" s="14">
        <f>IF(OR(NOT(ISNUMBER(Ввод!$B$5)),NOT(ISNUMBER(Ввод!$B$6))),"",IF(Ввод!$B$5+1988&gt;Ввод!$B$6,"",Ввод!$B$5+1988))</f>
        <v/>
      </c>
      <c r="B1990">
        <f>IF(A1990="","",IFERROR(INDEX(Ввод!$B$12:$B$71,MATCH(A1990,Ввод!$D$12:$D$71,1)),""))</f>
        <v/>
      </c>
      <c r="C1990">
        <f>IF(A1990="","",DATE(YEAR(A1990),12,31)-DATE(YEAR(A1990),1,1)+1)</f>
        <v/>
      </c>
      <c r="D1990">
        <f>IF(A1990="","",Ввод!$B$4-SUMIF(Оплаты!$A$6:$A$505,"&lt;"&amp;A1990,Оплаты!$B$6:$B$505))</f>
        <v/>
      </c>
      <c r="E1990">
        <f>IF(A1990="","",IF(SUMPRODUCT((Ввод!$F$12:$F$31&lt;&gt;"")*(Ввод!$F$12:$F$31&lt;=A1990)*(Ввод!$G$12:$G$31&gt;=A1990))&gt;0,1,0))</f>
        <v/>
      </c>
      <c r="F1990">
        <f>IF(OR(A1990="",B1990=""),"",IF(E1990=1,0,D1990*B1990/100/C1990))</f>
        <v/>
      </c>
      <c r="G1990">
        <f>IF(A1990="","",IF(OR(B1990&lt;&gt;B1989,C1990&lt;&gt;C1989,D1990&lt;&gt;D1989,E1990&lt;&gt;E1989),G1989+1,G1989))</f>
        <v/>
      </c>
    </row>
    <row r="1991">
      <c r="A1991" s="14">
        <f>IF(OR(NOT(ISNUMBER(Ввод!$B$5)),NOT(ISNUMBER(Ввод!$B$6))),"",IF(Ввод!$B$5+1989&gt;Ввод!$B$6,"",Ввод!$B$5+1989))</f>
        <v/>
      </c>
      <c r="B1991">
        <f>IF(A1991="","",IFERROR(INDEX(Ввод!$B$12:$B$71,MATCH(A1991,Ввод!$D$12:$D$71,1)),""))</f>
        <v/>
      </c>
      <c r="C1991">
        <f>IF(A1991="","",DATE(YEAR(A1991),12,31)-DATE(YEAR(A1991),1,1)+1)</f>
        <v/>
      </c>
      <c r="D1991">
        <f>IF(A1991="","",Ввод!$B$4-SUMIF(Оплаты!$A$6:$A$505,"&lt;"&amp;A1991,Оплаты!$B$6:$B$505))</f>
        <v/>
      </c>
      <c r="E1991">
        <f>IF(A1991="","",IF(SUMPRODUCT((Ввод!$F$12:$F$31&lt;&gt;"")*(Ввод!$F$12:$F$31&lt;=A1991)*(Ввод!$G$12:$G$31&gt;=A1991))&gt;0,1,0))</f>
        <v/>
      </c>
      <c r="F1991">
        <f>IF(OR(A1991="",B1991=""),"",IF(E1991=1,0,D1991*B1991/100/C1991))</f>
        <v/>
      </c>
      <c r="G1991">
        <f>IF(A1991="","",IF(OR(B1991&lt;&gt;B1990,C1991&lt;&gt;C1990,D1991&lt;&gt;D1990,E1991&lt;&gt;E1990),G1990+1,G1990))</f>
        <v/>
      </c>
    </row>
    <row r="1992">
      <c r="A1992" s="14">
        <f>IF(OR(NOT(ISNUMBER(Ввод!$B$5)),NOT(ISNUMBER(Ввод!$B$6))),"",IF(Ввод!$B$5+1990&gt;Ввод!$B$6,"",Ввод!$B$5+1990))</f>
        <v/>
      </c>
      <c r="B1992">
        <f>IF(A1992="","",IFERROR(INDEX(Ввод!$B$12:$B$71,MATCH(A1992,Ввод!$D$12:$D$71,1)),""))</f>
        <v/>
      </c>
      <c r="C1992">
        <f>IF(A1992="","",DATE(YEAR(A1992),12,31)-DATE(YEAR(A1992),1,1)+1)</f>
        <v/>
      </c>
      <c r="D1992">
        <f>IF(A1992="","",Ввод!$B$4-SUMIF(Оплаты!$A$6:$A$505,"&lt;"&amp;A1992,Оплаты!$B$6:$B$505))</f>
        <v/>
      </c>
      <c r="E1992">
        <f>IF(A1992="","",IF(SUMPRODUCT((Ввод!$F$12:$F$31&lt;&gt;"")*(Ввод!$F$12:$F$31&lt;=A1992)*(Ввод!$G$12:$G$31&gt;=A1992))&gt;0,1,0))</f>
        <v/>
      </c>
      <c r="F1992">
        <f>IF(OR(A1992="",B1992=""),"",IF(E1992=1,0,D1992*B1992/100/C1992))</f>
        <v/>
      </c>
      <c r="G1992">
        <f>IF(A1992="","",IF(OR(B1992&lt;&gt;B1991,C1992&lt;&gt;C1991,D1992&lt;&gt;D1991,E1992&lt;&gt;E1991),G1991+1,G1991))</f>
        <v/>
      </c>
    </row>
    <row r="1993">
      <c r="A1993" s="14">
        <f>IF(OR(NOT(ISNUMBER(Ввод!$B$5)),NOT(ISNUMBER(Ввод!$B$6))),"",IF(Ввод!$B$5+1991&gt;Ввод!$B$6,"",Ввод!$B$5+1991))</f>
        <v/>
      </c>
      <c r="B1993">
        <f>IF(A1993="","",IFERROR(INDEX(Ввод!$B$12:$B$71,MATCH(A1993,Ввод!$D$12:$D$71,1)),""))</f>
        <v/>
      </c>
      <c r="C1993">
        <f>IF(A1993="","",DATE(YEAR(A1993),12,31)-DATE(YEAR(A1993),1,1)+1)</f>
        <v/>
      </c>
      <c r="D1993">
        <f>IF(A1993="","",Ввод!$B$4-SUMIF(Оплаты!$A$6:$A$505,"&lt;"&amp;A1993,Оплаты!$B$6:$B$505))</f>
        <v/>
      </c>
      <c r="E1993">
        <f>IF(A1993="","",IF(SUMPRODUCT((Ввод!$F$12:$F$31&lt;&gt;"")*(Ввод!$F$12:$F$31&lt;=A1993)*(Ввод!$G$12:$G$31&gt;=A1993))&gt;0,1,0))</f>
        <v/>
      </c>
      <c r="F1993">
        <f>IF(OR(A1993="",B1993=""),"",IF(E1993=1,0,D1993*B1993/100/C1993))</f>
        <v/>
      </c>
      <c r="G1993">
        <f>IF(A1993="","",IF(OR(B1993&lt;&gt;B1992,C1993&lt;&gt;C1992,D1993&lt;&gt;D1992,E1993&lt;&gt;E1992),G1992+1,G1992))</f>
        <v/>
      </c>
    </row>
    <row r="1994">
      <c r="A1994" s="14">
        <f>IF(OR(NOT(ISNUMBER(Ввод!$B$5)),NOT(ISNUMBER(Ввод!$B$6))),"",IF(Ввод!$B$5+1992&gt;Ввод!$B$6,"",Ввод!$B$5+1992))</f>
        <v/>
      </c>
      <c r="B1994">
        <f>IF(A1994="","",IFERROR(INDEX(Ввод!$B$12:$B$71,MATCH(A1994,Ввод!$D$12:$D$71,1)),""))</f>
        <v/>
      </c>
      <c r="C1994">
        <f>IF(A1994="","",DATE(YEAR(A1994),12,31)-DATE(YEAR(A1994),1,1)+1)</f>
        <v/>
      </c>
      <c r="D1994">
        <f>IF(A1994="","",Ввод!$B$4-SUMIF(Оплаты!$A$6:$A$505,"&lt;"&amp;A1994,Оплаты!$B$6:$B$505))</f>
        <v/>
      </c>
      <c r="E1994">
        <f>IF(A1994="","",IF(SUMPRODUCT((Ввод!$F$12:$F$31&lt;&gt;"")*(Ввод!$F$12:$F$31&lt;=A1994)*(Ввод!$G$12:$G$31&gt;=A1994))&gt;0,1,0))</f>
        <v/>
      </c>
      <c r="F1994">
        <f>IF(OR(A1994="",B1994=""),"",IF(E1994=1,0,D1994*B1994/100/C1994))</f>
        <v/>
      </c>
      <c r="G1994">
        <f>IF(A1994="","",IF(OR(B1994&lt;&gt;B1993,C1994&lt;&gt;C1993,D1994&lt;&gt;D1993,E1994&lt;&gt;E1993),G1993+1,G1993))</f>
        <v/>
      </c>
    </row>
    <row r="1995">
      <c r="A1995" s="14">
        <f>IF(OR(NOT(ISNUMBER(Ввод!$B$5)),NOT(ISNUMBER(Ввод!$B$6))),"",IF(Ввод!$B$5+1993&gt;Ввод!$B$6,"",Ввод!$B$5+1993))</f>
        <v/>
      </c>
      <c r="B1995">
        <f>IF(A1995="","",IFERROR(INDEX(Ввод!$B$12:$B$71,MATCH(A1995,Ввод!$D$12:$D$71,1)),""))</f>
        <v/>
      </c>
      <c r="C1995">
        <f>IF(A1995="","",DATE(YEAR(A1995),12,31)-DATE(YEAR(A1995),1,1)+1)</f>
        <v/>
      </c>
      <c r="D1995">
        <f>IF(A1995="","",Ввод!$B$4-SUMIF(Оплаты!$A$6:$A$505,"&lt;"&amp;A1995,Оплаты!$B$6:$B$505))</f>
        <v/>
      </c>
      <c r="E1995">
        <f>IF(A1995="","",IF(SUMPRODUCT((Ввод!$F$12:$F$31&lt;&gt;"")*(Ввод!$F$12:$F$31&lt;=A1995)*(Ввод!$G$12:$G$31&gt;=A1995))&gt;0,1,0))</f>
        <v/>
      </c>
      <c r="F1995">
        <f>IF(OR(A1995="",B1995=""),"",IF(E1995=1,0,D1995*B1995/100/C1995))</f>
        <v/>
      </c>
      <c r="G1995">
        <f>IF(A1995="","",IF(OR(B1995&lt;&gt;B1994,C1995&lt;&gt;C1994,D1995&lt;&gt;D1994,E1995&lt;&gt;E1994),G1994+1,G1994))</f>
        <v/>
      </c>
    </row>
    <row r="1996">
      <c r="A1996" s="14">
        <f>IF(OR(NOT(ISNUMBER(Ввод!$B$5)),NOT(ISNUMBER(Ввод!$B$6))),"",IF(Ввод!$B$5+1994&gt;Ввод!$B$6,"",Ввод!$B$5+1994))</f>
        <v/>
      </c>
      <c r="B1996">
        <f>IF(A1996="","",IFERROR(INDEX(Ввод!$B$12:$B$71,MATCH(A1996,Ввод!$D$12:$D$71,1)),""))</f>
        <v/>
      </c>
      <c r="C1996">
        <f>IF(A1996="","",DATE(YEAR(A1996),12,31)-DATE(YEAR(A1996),1,1)+1)</f>
        <v/>
      </c>
      <c r="D1996">
        <f>IF(A1996="","",Ввод!$B$4-SUMIF(Оплаты!$A$6:$A$505,"&lt;"&amp;A1996,Оплаты!$B$6:$B$505))</f>
        <v/>
      </c>
      <c r="E1996">
        <f>IF(A1996="","",IF(SUMPRODUCT((Ввод!$F$12:$F$31&lt;&gt;"")*(Ввод!$F$12:$F$31&lt;=A1996)*(Ввод!$G$12:$G$31&gt;=A1996))&gt;0,1,0))</f>
        <v/>
      </c>
      <c r="F1996">
        <f>IF(OR(A1996="",B1996=""),"",IF(E1996=1,0,D1996*B1996/100/C1996))</f>
        <v/>
      </c>
      <c r="G1996">
        <f>IF(A1996="","",IF(OR(B1996&lt;&gt;B1995,C1996&lt;&gt;C1995,D1996&lt;&gt;D1995,E1996&lt;&gt;E1995),G1995+1,G1995))</f>
        <v/>
      </c>
    </row>
    <row r="1997">
      <c r="A1997" s="14">
        <f>IF(OR(NOT(ISNUMBER(Ввод!$B$5)),NOT(ISNUMBER(Ввод!$B$6))),"",IF(Ввод!$B$5+1995&gt;Ввод!$B$6,"",Ввод!$B$5+1995))</f>
        <v/>
      </c>
      <c r="B1997">
        <f>IF(A1997="","",IFERROR(INDEX(Ввод!$B$12:$B$71,MATCH(A1997,Ввод!$D$12:$D$71,1)),""))</f>
        <v/>
      </c>
      <c r="C1997">
        <f>IF(A1997="","",DATE(YEAR(A1997),12,31)-DATE(YEAR(A1997),1,1)+1)</f>
        <v/>
      </c>
      <c r="D1997">
        <f>IF(A1997="","",Ввод!$B$4-SUMIF(Оплаты!$A$6:$A$505,"&lt;"&amp;A1997,Оплаты!$B$6:$B$505))</f>
        <v/>
      </c>
      <c r="E1997">
        <f>IF(A1997="","",IF(SUMPRODUCT((Ввод!$F$12:$F$31&lt;&gt;"")*(Ввод!$F$12:$F$31&lt;=A1997)*(Ввод!$G$12:$G$31&gt;=A1997))&gt;0,1,0))</f>
        <v/>
      </c>
      <c r="F1997">
        <f>IF(OR(A1997="",B1997=""),"",IF(E1997=1,0,D1997*B1997/100/C1997))</f>
        <v/>
      </c>
      <c r="G1997">
        <f>IF(A1997="","",IF(OR(B1997&lt;&gt;B1996,C1997&lt;&gt;C1996,D1997&lt;&gt;D1996,E1997&lt;&gt;E1996),G1996+1,G1996))</f>
        <v/>
      </c>
    </row>
    <row r="1998">
      <c r="A1998" s="14">
        <f>IF(OR(NOT(ISNUMBER(Ввод!$B$5)),NOT(ISNUMBER(Ввод!$B$6))),"",IF(Ввод!$B$5+1996&gt;Ввод!$B$6,"",Ввод!$B$5+1996))</f>
        <v/>
      </c>
      <c r="B1998">
        <f>IF(A1998="","",IFERROR(INDEX(Ввод!$B$12:$B$71,MATCH(A1998,Ввод!$D$12:$D$71,1)),""))</f>
        <v/>
      </c>
      <c r="C1998">
        <f>IF(A1998="","",DATE(YEAR(A1998),12,31)-DATE(YEAR(A1998),1,1)+1)</f>
        <v/>
      </c>
      <c r="D1998">
        <f>IF(A1998="","",Ввод!$B$4-SUMIF(Оплаты!$A$6:$A$505,"&lt;"&amp;A1998,Оплаты!$B$6:$B$505))</f>
        <v/>
      </c>
      <c r="E1998">
        <f>IF(A1998="","",IF(SUMPRODUCT((Ввод!$F$12:$F$31&lt;&gt;"")*(Ввод!$F$12:$F$31&lt;=A1998)*(Ввод!$G$12:$G$31&gt;=A1998))&gt;0,1,0))</f>
        <v/>
      </c>
      <c r="F1998">
        <f>IF(OR(A1998="",B1998=""),"",IF(E1998=1,0,D1998*B1998/100/C1998))</f>
        <v/>
      </c>
      <c r="G1998">
        <f>IF(A1998="","",IF(OR(B1998&lt;&gt;B1997,C1998&lt;&gt;C1997,D1998&lt;&gt;D1997,E1998&lt;&gt;E1997),G1997+1,G1997))</f>
        <v/>
      </c>
    </row>
    <row r="1999">
      <c r="A1999" s="14">
        <f>IF(OR(NOT(ISNUMBER(Ввод!$B$5)),NOT(ISNUMBER(Ввод!$B$6))),"",IF(Ввод!$B$5+1997&gt;Ввод!$B$6,"",Ввод!$B$5+1997))</f>
        <v/>
      </c>
      <c r="B1999">
        <f>IF(A1999="","",IFERROR(INDEX(Ввод!$B$12:$B$71,MATCH(A1999,Ввод!$D$12:$D$71,1)),""))</f>
        <v/>
      </c>
      <c r="C1999">
        <f>IF(A1999="","",DATE(YEAR(A1999),12,31)-DATE(YEAR(A1999),1,1)+1)</f>
        <v/>
      </c>
      <c r="D1999">
        <f>IF(A1999="","",Ввод!$B$4-SUMIF(Оплаты!$A$6:$A$505,"&lt;"&amp;A1999,Оплаты!$B$6:$B$505))</f>
        <v/>
      </c>
      <c r="E1999">
        <f>IF(A1999="","",IF(SUMPRODUCT((Ввод!$F$12:$F$31&lt;&gt;"")*(Ввод!$F$12:$F$31&lt;=A1999)*(Ввод!$G$12:$G$31&gt;=A1999))&gt;0,1,0))</f>
        <v/>
      </c>
      <c r="F1999">
        <f>IF(OR(A1999="",B1999=""),"",IF(E1999=1,0,D1999*B1999/100/C1999))</f>
        <v/>
      </c>
      <c r="G1999">
        <f>IF(A1999="","",IF(OR(B1999&lt;&gt;B1998,C1999&lt;&gt;C1998,D1999&lt;&gt;D1998,E1999&lt;&gt;E1998),G1998+1,G1998))</f>
        <v/>
      </c>
    </row>
    <row r="2000">
      <c r="A2000" s="14">
        <f>IF(OR(NOT(ISNUMBER(Ввод!$B$5)),NOT(ISNUMBER(Ввод!$B$6))),"",IF(Ввод!$B$5+1998&gt;Ввод!$B$6,"",Ввод!$B$5+1998))</f>
        <v/>
      </c>
      <c r="B2000">
        <f>IF(A2000="","",IFERROR(INDEX(Ввод!$B$12:$B$71,MATCH(A2000,Ввод!$D$12:$D$71,1)),""))</f>
        <v/>
      </c>
      <c r="C2000">
        <f>IF(A2000="","",DATE(YEAR(A2000),12,31)-DATE(YEAR(A2000),1,1)+1)</f>
        <v/>
      </c>
      <c r="D2000">
        <f>IF(A2000="","",Ввод!$B$4-SUMIF(Оплаты!$A$6:$A$505,"&lt;"&amp;A2000,Оплаты!$B$6:$B$505))</f>
        <v/>
      </c>
      <c r="E2000">
        <f>IF(A2000="","",IF(SUMPRODUCT((Ввод!$F$12:$F$31&lt;&gt;"")*(Ввод!$F$12:$F$31&lt;=A2000)*(Ввод!$G$12:$G$31&gt;=A2000))&gt;0,1,0))</f>
        <v/>
      </c>
      <c r="F2000">
        <f>IF(OR(A2000="",B2000=""),"",IF(E2000=1,0,D2000*B2000/100/C2000))</f>
        <v/>
      </c>
      <c r="G2000">
        <f>IF(A2000="","",IF(OR(B2000&lt;&gt;B1999,C2000&lt;&gt;C1999,D2000&lt;&gt;D1999,E2000&lt;&gt;E1999),G1999+1,G1999))</f>
        <v/>
      </c>
    </row>
    <row r="2001">
      <c r="A2001" s="14">
        <f>IF(OR(NOT(ISNUMBER(Ввод!$B$5)),NOT(ISNUMBER(Ввод!$B$6))),"",IF(Ввод!$B$5+1999&gt;Ввод!$B$6,"",Ввод!$B$5+1999))</f>
        <v/>
      </c>
      <c r="B2001">
        <f>IF(A2001="","",IFERROR(INDEX(Ввод!$B$12:$B$71,MATCH(A2001,Ввод!$D$12:$D$71,1)),""))</f>
        <v/>
      </c>
      <c r="C2001">
        <f>IF(A2001="","",DATE(YEAR(A2001),12,31)-DATE(YEAR(A2001),1,1)+1)</f>
        <v/>
      </c>
      <c r="D2001">
        <f>IF(A2001="","",Ввод!$B$4-SUMIF(Оплаты!$A$6:$A$505,"&lt;"&amp;A2001,Оплаты!$B$6:$B$505))</f>
        <v/>
      </c>
      <c r="E2001">
        <f>IF(A2001="","",IF(SUMPRODUCT((Ввод!$F$12:$F$31&lt;&gt;"")*(Ввод!$F$12:$F$31&lt;=A2001)*(Ввод!$G$12:$G$31&gt;=A2001))&gt;0,1,0))</f>
        <v/>
      </c>
      <c r="F2001">
        <f>IF(OR(A2001="",B2001=""),"",IF(E2001=1,0,D2001*B2001/100/C2001))</f>
        <v/>
      </c>
      <c r="G2001">
        <f>IF(A2001="","",IF(OR(B2001&lt;&gt;B2000,C2001&lt;&gt;C2000,D2001&lt;&gt;D2000,E2001&lt;&gt;E2000),G2000+1,G2000))</f>
        <v/>
      </c>
    </row>
    <row r="2002">
      <c r="A2002" s="14">
        <f>IF(OR(NOT(ISNUMBER(Ввод!$B$5)),NOT(ISNUMBER(Ввод!$B$6))),"",IF(Ввод!$B$5+2000&gt;Ввод!$B$6,"",Ввод!$B$5+2000))</f>
        <v/>
      </c>
      <c r="B2002">
        <f>IF(A2002="","",IFERROR(INDEX(Ввод!$B$12:$B$71,MATCH(A2002,Ввод!$D$12:$D$71,1)),""))</f>
        <v/>
      </c>
      <c r="C2002">
        <f>IF(A2002="","",DATE(YEAR(A2002),12,31)-DATE(YEAR(A2002),1,1)+1)</f>
        <v/>
      </c>
      <c r="D2002">
        <f>IF(A2002="","",Ввод!$B$4-SUMIF(Оплаты!$A$6:$A$505,"&lt;"&amp;A2002,Оплаты!$B$6:$B$505))</f>
        <v/>
      </c>
      <c r="E2002">
        <f>IF(A2002="","",IF(SUMPRODUCT((Ввод!$F$12:$F$31&lt;&gt;"")*(Ввод!$F$12:$F$31&lt;=A2002)*(Ввод!$G$12:$G$31&gt;=A2002))&gt;0,1,0))</f>
        <v/>
      </c>
      <c r="F2002">
        <f>IF(OR(A2002="",B2002=""),"",IF(E2002=1,0,D2002*B2002/100/C2002))</f>
        <v/>
      </c>
      <c r="G2002">
        <f>IF(A2002="","",IF(OR(B2002&lt;&gt;B2001,C2002&lt;&gt;C2001,D2002&lt;&gt;D2001,E2002&lt;&gt;E2001),G2001+1,G2001))</f>
        <v/>
      </c>
    </row>
    <row r="2003">
      <c r="A2003" s="14">
        <f>IF(OR(NOT(ISNUMBER(Ввод!$B$5)),NOT(ISNUMBER(Ввод!$B$6))),"",IF(Ввод!$B$5+2001&gt;Ввод!$B$6,"",Ввод!$B$5+2001))</f>
        <v/>
      </c>
      <c r="B2003">
        <f>IF(A2003="","",IFERROR(INDEX(Ввод!$B$12:$B$71,MATCH(A2003,Ввод!$D$12:$D$71,1)),""))</f>
        <v/>
      </c>
      <c r="C2003">
        <f>IF(A2003="","",DATE(YEAR(A2003),12,31)-DATE(YEAR(A2003),1,1)+1)</f>
        <v/>
      </c>
      <c r="D2003">
        <f>IF(A2003="","",Ввод!$B$4-SUMIF(Оплаты!$A$6:$A$505,"&lt;"&amp;A2003,Оплаты!$B$6:$B$505))</f>
        <v/>
      </c>
      <c r="E2003">
        <f>IF(A2003="","",IF(SUMPRODUCT((Ввод!$F$12:$F$31&lt;&gt;"")*(Ввод!$F$12:$F$31&lt;=A2003)*(Ввод!$G$12:$G$31&gt;=A2003))&gt;0,1,0))</f>
        <v/>
      </c>
      <c r="F2003">
        <f>IF(OR(A2003="",B2003=""),"",IF(E2003=1,0,D2003*B2003/100/C2003))</f>
        <v/>
      </c>
      <c r="G2003">
        <f>IF(A2003="","",IF(OR(B2003&lt;&gt;B2002,C2003&lt;&gt;C2002,D2003&lt;&gt;D2002,E2003&lt;&gt;E2002),G2002+1,G2002))</f>
        <v/>
      </c>
    </row>
    <row r="2004">
      <c r="A2004" s="14">
        <f>IF(OR(NOT(ISNUMBER(Ввод!$B$5)),NOT(ISNUMBER(Ввод!$B$6))),"",IF(Ввод!$B$5+2002&gt;Ввод!$B$6,"",Ввод!$B$5+2002))</f>
        <v/>
      </c>
      <c r="B2004">
        <f>IF(A2004="","",IFERROR(INDEX(Ввод!$B$12:$B$71,MATCH(A2004,Ввод!$D$12:$D$71,1)),""))</f>
        <v/>
      </c>
      <c r="C2004">
        <f>IF(A2004="","",DATE(YEAR(A2004),12,31)-DATE(YEAR(A2004),1,1)+1)</f>
        <v/>
      </c>
      <c r="D2004">
        <f>IF(A2004="","",Ввод!$B$4-SUMIF(Оплаты!$A$6:$A$505,"&lt;"&amp;A2004,Оплаты!$B$6:$B$505))</f>
        <v/>
      </c>
      <c r="E2004">
        <f>IF(A2004="","",IF(SUMPRODUCT((Ввод!$F$12:$F$31&lt;&gt;"")*(Ввод!$F$12:$F$31&lt;=A2004)*(Ввод!$G$12:$G$31&gt;=A2004))&gt;0,1,0))</f>
        <v/>
      </c>
      <c r="F2004">
        <f>IF(OR(A2004="",B2004=""),"",IF(E2004=1,0,D2004*B2004/100/C2004))</f>
        <v/>
      </c>
      <c r="G2004">
        <f>IF(A2004="","",IF(OR(B2004&lt;&gt;B2003,C2004&lt;&gt;C2003,D2004&lt;&gt;D2003,E2004&lt;&gt;E2003),G2003+1,G2003))</f>
        <v/>
      </c>
    </row>
    <row r="2005">
      <c r="A2005" s="14">
        <f>IF(OR(NOT(ISNUMBER(Ввод!$B$5)),NOT(ISNUMBER(Ввод!$B$6))),"",IF(Ввод!$B$5+2003&gt;Ввод!$B$6,"",Ввод!$B$5+2003))</f>
        <v/>
      </c>
      <c r="B2005">
        <f>IF(A2005="","",IFERROR(INDEX(Ввод!$B$12:$B$71,MATCH(A2005,Ввод!$D$12:$D$71,1)),""))</f>
        <v/>
      </c>
      <c r="C2005">
        <f>IF(A2005="","",DATE(YEAR(A2005),12,31)-DATE(YEAR(A2005),1,1)+1)</f>
        <v/>
      </c>
      <c r="D2005">
        <f>IF(A2005="","",Ввод!$B$4-SUMIF(Оплаты!$A$6:$A$505,"&lt;"&amp;A2005,Оплаты!$B$6:$B$505))</f>
        <v/>
      </c>
      <c r="E2005">
        <f>IF(A2005="","",IF(SUMPRODUCT((Ввод!$F$12:$F$31&lt;&gt;"")*(Ввод!$F$12:$F$31&lt;=A2005)*(Ввод!$G$12:$G$31&gt;=A2005))&gt;0,1,0))</f>
        <v/>
      </c>
      <c r="F2005">
        <f>IF(OR(A2005="",B2005=""),"",IF(E2005=1,0,D2005*B2005/100/C2005))</f>
        <v/>
      </c>
      <c r="G2005">
        <f>IF(A2005="","",IF(OR(B2005&lt;&gt;B2004,C2005&lt;&gt;C2004,D2005&lt;&gt;D2004,E2005&lt;&gt;E2004),G2004+1,G2004))</f>
        <v/>
      </c>
    </row>
    <row r="2006">
      <c r="A2006" s="14">
        <f>IF(OR(NOT(ISNUMBER(Ввод!$B$5)),NOT(ISNUMBER(Ввод!$B$6))),"",IF(Ввод!$B$5+2004&gt;Ввод!$B$6,"",Ввод!$B$5+2004))</f>
        <v/>
      </c>
      <c r="B2006">
        <f>IF(A2006="","",IFERROR(INDEX(Ввод!$B$12:$B$71,MATCH(A2006,Ввод!$D$12:$D$71,1)),""))</f>
        <v/>
      </c>
      <c r="C2006">
        <f>IF(A2006="","",DATE(YEAR(A2006),12,31)-DATE(YEAR(A2006),1,1)+1)</f>
        <v/>
      </c>
      <c r="D2006">
        <f>IF(A2006="","",Ввод!$B$4-SUMIF(Оплаты!$A$6:$A$505,"&lt;"&amp;A2006,Оплаты!$B$6:$B$505))</f>
        <v/>
      </c>
      <c r="E2006">
        <f>IF(A2006="","",IF(SUMPRODUCT((Ввод!$F$12:$F$31&lt;&gt;"")*(Ввод!$F$12:$F$31&lt;=A2006)*(Ввод!$G$12:$G$31&gt;=A2006))&gt;0,1,0))</f>
        <v/>
      </c>
      <c r="F2006">
        <f>IF(OR(A2006="",B2006=""),"",IF(E2006=1,0,D2006*B2006/100/C2006))</f>
        <v/>
      </c>
      <c r="G2006">
        <f>IF(A2006="","",IF(OR(B2006&lt;&gt;B2005,C2006&lt;&gt;C2005,D2006&lt;&gt;D2005,E2006&lt;&gt;E2005),G2005+1,G2005))</f>
        <v/>
      </c>
    </row>
    <row r="2007">
      <c r="A2007" s="14">
        <f>IF(OR(NOT(ISNUMBER(Ввод!$B$5)),NOT(ISNUMBER(Ввод!$B$6))),"",IF(Ввод!$B$5+2005&gt;Ввод!$B$6,"",Ввод!$B$5+2005))</f>
        <v/>
      </c>
      <c r="B2007">
        <f>IF(A2007="","",IFERROR(INDEX(Ввод!$B$12:$B$71,MATCH(A2007,Ввод!$D$12:$D$71,1)),""))</f>
        <v/>
      </c>
      <c r="C2007">
        <f>IF(A2007="","",DATE(YEAR(A2007),12,31)-DATE(YEAR(A2007),1,1)+1)</f>
        <v/>
      </c>
      <c r="D2007">
        <f>IF(A2007="","",Ввод!$B$4-SUMIF(Оплаты!$A$6:$A$505,"&lt;"&amp;A2007,Оплаты!$B$6:$B$505))</f>
        <v/>
      </c>
      <c r="E2007">
        <f>IF(A2007="","",IF(SUMPRODUCT((Ввод!$F$12:$F$31&lt;&gt;"")*(Ввод!$F$12:$F$31&lt;=A2007)*(Ввод!$G$12:$G$31&gt;=A2007))&gt;0,1,0))</f>
        <v/>
      </c>
      <c r="F2007">
        <f>IF(OR(A2007="",B2007=""),"",IF(E2007=1,0,D2007*B2007/100/C2007))</f>
        <v/>
      </c>
      <c r="G2007">
        <f>IF(A2007="","",IF(OR(B2007&lt;&gt;B2006,C2007&lt;&gt;C2006,D2007&lt;&gt;D2006,E2007&lt;&gt;E2006),G2006+1,G2006))</f>
        <v/>
      </c>
    </row>
    <row r="2008">
      <c r="A2008" s="14">
        <f>IF(OR(NOT(ISNUMBER(Ввод!$B$5)),NOT(ISNUMBER(Ввод!$B$6))),"",IF(Ввод!$B$5+2006&gt;Ввод!$B$6,"",Ввод!$B$5+2006))</f>
        <v/>
      </c>
      <c r="B2008">
        <f>IF(A2008="","",IFERROR(INDEX(Ввод!$B$12:$B$71,MATCH(A2008,Ввод!$D$12:$D$71,1)),""))</f>
        <v/>
      </c>
      <c r="C2008">
        <f>IF(A2008="","",DATE(YEAR(A2008),12,31)-DATE(YEAR(A2008),1,1)+1)</f>
        <v/>
      </c>
      <c r="D2008">
        <f>IF(A2008="","",Ввод!$B$4-SUMIF(Оплаты!$A$6:$A$505,"&lt;"&amp;A2008,Оплаты!$B$6:$B$505))</f>
        <v/>
      </c>
      <c r="E2008">
        <f>IF(A2008="","",IF(SUMPRODUCT((Ввод!$F$12:$F$31&lt;&gt;"")*(Ввод!$F$12:$F$31&lt;=A2008)*(Ввод!$G$12:$G$31&gt;=A2008))&gt;0,1,0))</f>
        <v/>
      </c>
      <c r="F2008">
        <f>IF(OR(A2008="",B2008=""),"",IF(E2008=1,0,D2008*B2008/100/C2008))</f>
        <v/>
      </c>
      <c r="G2008">
        <f>IF(A2008="","",IF(OR(B2008&lt;&gt;B2007,C2008&lt;&gt;C2007,D2008&lt;&gt;D2007,E2008&lt;&gt;E2007),G2007+1,G2007))</f>
        <v/>
      </c>
    </row>
    <row r="2009">
      <c r="A2009" s="14">
        <f>IF(OR(NOT(ISNUMBER(Ввод!$B$5)),NOT(ISNUMBER(Ввод!$B$6))),"",IF(Ввод!$B$5+2007&gt;Ввод!$B$6,"",Ввод!$B$5+2007))</f>
        <v/>
      </c>
      <c r="B2009">
        <f>IF(A2009="","",IFERROR(INDEX(Ввод!$B$12:$B$71,MATCH(A2009,Ввод!$D$12:$D$71,1)),""))</f>
        <v/>
      </c>
      <c r="C2009">
        <f>IF(A2009="","",DATE(YEAR(A2009),12,31)-DATE(YEAR(A2009),1,1)+1)</f>
        <v/>
      </c>
      <c r="D2009">
        <f>IF(A2009="","",Ввод!$B$4-SUMIF(Оплаты!$A$6:$A$505,"&lt;"&amp;A2009,Оплаты!$B$6:$B$505))</f>
        <v/>
      </c>
      <c r="E2009">
        <f>IF(A2009="","",IF(SUMPRODUCT((Ввод!$F$12:$F$31&lt;&gt;"")*(Ввод!$F$12:$F$31&lt;=A2009)*(Ввод!$G$12:$G$31&gt;=A2009))&gt;0,1,0))</f>
        <v/>
      </c>
      <c r="F2009">
        <f>IF(OR(A2009="",B2009=""),"",IF(E2009=1,0,D2009*B2009/100/C2009))</f>
        <v/>
      </c>
      <c r="G2009">
        <f>IF(A2009="","",IF(OR(B2009&lt;&gt;B2008,C2009&lt;&gt;C2008,D2009&lt;&gt;D2008,E2009&lt;&gt;E2008),G2008+1,G2008))</f>
        <v/>
      </c>
    </row>
    <row r="2010">
      <c r="A2010" s="14">
        <f>IF(OR(NOT(ISNUMBER(Ввод!$B$5)),NOT(ISNUMBER(Ввод!$B$6))),"",IF(Ввод!$B$5+2008&gt;Ввод!$B$6,"",Ввод!$B$5+2008))</f>
        <v/>
      </c>
      <c r="B2010">
        <f>IF(A2010="","",IFERROR(INDEX(Ввод!$B$12:$B$71,MATCH(A2010,Ввод!$D$12:$D$71,1)),""))</f>
        <v/>
      </c>
      <c r="C2010">
        <f>IF(A2010="","",DATE(YEAR(A2010),12,31)-DATE(YEAR(A2010),1,1)+1)</f>
        <v/>
      </c>
      <c r="D2010">
        <f>IF(A2010="","",Ввод!$B$4-SUMIF(Оплаты!$A$6:$A$505,"&lt;"&amp;A2010,Оплаты!$B$6:$B$505))</f>
        <v/>
      </c>
      <c r="E2010">
        <f>IF(A2010="","",IF(SUMPRODUCT((Ввод!$F$12:$F$31&lt;&gt;"")*(Ввод!$F$12:$F$31&lt;=A2010)*(Ввод!$G$12:$G$31&gt;=A2010))&gt;0,1,0))</f>
        <v/>
      </c>
      <c r="F2010">
        <f>IF(OR(A2010="",B2010=""),"",IF(E2010=1,0,D2010*B2010/100/C2010))</f>
        <v/>
      </c>
      <c r="G2010">
        <f>IF(A2010="","",IF(OR(B2010&lt;&gt;B2009,C2010&lt;&gt;C2009,D2010&lt;&gt;D2009,E2010&lt;&gt;E2009),G2009+1,G2009))</f>
        <v/>
      </c>
    </row>
    <row r="2011">
      <c r="A2011" s="14">
        <f>IF(OR(NOT(ISNUMBER(Ввод!$B$5)),NOT(ISNUMBER(Ввод!$B$6))),"",IF(Ввод!$B$5+2009&gt;Ввод!$B$6,"",Ввод!$B$5+2009))</f>
        <v/>
      </c>
      <c r="B2011">
        <f>IF(A2011="","",IFERROR(INDEX(Ввод!$B$12:$B$71,MATCH(A2011,Ввод!$D$12:$D$71,1)),""))</f>
        <v/>
      </c>
      <c r="C2011">
        <f>IF(A2011="","",DATE(YEAR(A2011),12,31)-DATE(YEAR(A2011),1,1)+1)</f>
        <v/>
      </c>
      <c r="D2011">
        <f>IF(A2011="","",Ввод!$B$4-SUMIF(Оплаты!$A$6:$A$505,"&lt;"&amp;A2011,Оплаты!$B$6:$B$505))</f>
        <v/>
      </c>
      <c r="E2011">
        <f>IF(A2011="","",IF(SUMPRODUCT((Ввод!$F$12:$F$31&lt;&gt;"")*(Ввод!$F$12:$F$31&lt;=A2011)*(Ввод!$G$12:$G$31&gt;=A2011))&gt;0,1,0))</f>
        <v/>
      </c>
      <c r="F2011">
        <f>IF(OR(A2011="",B2011=""),"",IF(E2011=1,0,D2011*B2011/100/C2011))</f>
        <v/>
      </c>
      <c r="G2011">
        <f>IF(A2011="","",IF(OR(B2011&lt;&gt;B2010,C2011&lt;&gt;C2010,D2011&lt;&gt;D2010,E2011&lt;&gt;E2010),G2010+1,G2010))</f>
        <v/>
      </c>
    </row>
    <row r="2012">
      <c r="A2012" s="14">
        <f>IF(OR(NOT(ISNUMBER(Ввод!$B$5)),NOT(ISNUMBER(Ввод!$B$6))),"",IF(Ввод!$B$5+2010&gt;Ввод!$B$6,"",Ввод!$B$5+2010))</f>
        <v/>
      </c>
      <c r="B2012">
        <f>IF(A2012="","",IFERROR(INDEX(Ввод!$B$12:$B$71,MATCH(A2012,Ввод!$D$12:$D$71,1)),""))</f>
        <v/>
      </c>
      <c r="C2012">
        <f>IF(A2012="","",DATE(YEAR(A2012),12,31)-DATE(YEAR(A2012),1,1)+1)</f>
        <v/>
      </c>
      <c r="D2012">
        <f>IF(A2012="","",Ввод!$B$4-SUMIF(Оплаты!$A$6:$A$505,"&lt;"&amp;A2012,Оплаты!$B$6:$B$505))</f>
        <v/>
      </c>
      <c r="E2012">
        <f>IF(A2012="","",IF(SUMPRODUCT((Ввод!$F$12:$F$31&lt;&gt;"")*(Ввод!$F$12:$F$31&lt;=A2012)*(Ввод!$G$12:$G$31&gt;=A2012))&gt;0,1,0))</f>
        <v/>
      </c>
      <c r="F2012">
        <f>IF(OR(A2012="",B2012=""),"",IF(E2012=1,0,D2012*B2012/100/C2012))</f>
        <v/>
      </c>
      <c r="G2012">
        <f>IF(A2012="","",IF(OR(B2012&lt;&gt;B2011,C2012&lt;&gt;C2011,D2012&lt;&gt;D2011,E2012&lt;&gt;E2011),G2011+1,G2011))</f>
        <v/>
      </c>
    </row>
    <row r="2013">
      <c r="A2013" s="14">
        <f>IF(OR(NOT(ISNUMBER(Ввод!$B$5)),NOT(ISNUMBER(Ввод!$B$6))),"",IF(Ввод!$B$5+2011&gt;Ввод!$B$6,"",Ввод!$B$5+2011))</f>
        <v/>
      </c>
      <c r="B2013">
        <f>IF(A2013="","",IFERROR(INDEX(Ввод!$B$12:$B$71,MATCH(A2013,Ввод!$D$12:$D$71,1)),""))</f>
        <v/>
      </c>
      <c r="C2013">
        <f>IF(A2013="","",DATE(YEAR(A2013),12,31)-DATE(YEAR(A2013),1,1)+1)</f>
        <v/>
      </c>
      <c r="D2013">
        <f>IF(A2013="","",Ввод!$B$4-SUMIF(Оплаты!$A$6:$A$505,"&lt;"&amp;A2013,Оплаты!$B$6:$B$505))</f>
        <v/>
      </c>
      <c r="E2013">
        <f>IF(A2013="","",IF(SUMPRODUCT((Ввод!$F$12:$F$31&lt;&gt;"")*(Ввод!$F$12:$F$31&lt;=A2013)*(Ввод!$G$12:$G$31&gt;=A2013))&gt;0,1,0))</f>
        <v/>
      </c>
      <c r="F2013">
        <f>IF(OR(A2013="",B2013=""),"",IF(E2013=1,0,D2013*B2013/100/C2013))</f>
        <v/>
      </c>
      <c r="G2013">
        <f>IF(A2013="","",IF(OR(B2013&lt;&gt;B2012,C2013&lt;&gt;C2012,D2013&lt;&gt;D2012,E2013&lt;&gt;E2012),G2012+1,G2012))</f>
        <v/>
      </c>
    </row>
    <row r="2014">
      <c r="A2014" s="14">
        <f>IF(OR(NOT(ISNUMBER(Ввод!$B$5)),NOT(ISNUMBER(Ввод!$B$6))),"",IF(Ввод!$B$5+2012&gt;Ввод!$B$6,"",Ввод!$B$5+2012))</f>
        <v/>
      </c>
      <c r="B2014">
        <f>IF(A2014="","",IFERROR(INDEX(Ввод!$B$12:$B$71,MATCH(A2014,Ввод!$D$12:$D$71,1)),""))</f>
        <v/>
      </c>
      <c r="C2014">
        <f>IF(A2014="","",DATE(YEAR(A2014),12,31)-DATE(YEAR(A2014),1,1)+1)</f>
        <v/>
      </c>
      <c r="D2014">
        <f>IF(A2014="","",Ввод!$B$4-SUMIF(Оплаты!$A$6:$A$505,"&lt;"&amp;A2014,Оплаты!$B$6:$B$505))</f>
        <v/>
      </c>
      <c r="E2014">
        <f>IF(A2014="","",IF(SUMPRODUCT((Ввод!$F$12:$F$31&lt;&gt;"")*(Ввод!$F$12:$F$31&lt;=A2014)*(Ввод!$G$12:$G$31&gt;=A2014))&gt;0,1,0))</f>
        <v/>
      </c>
      <c r="F2014">
        <f>IF(OR(A2014="",B2014=""),"",IF(E2014=1,0,D2014*B2014/100/C2014))</f>
        <v/>
      </c>
      <c r="G2014">
        <f>IF(A2014="","",IF(OR(B2014&lt;&gt;B2013,C2014&lt;&gt;C2013,D2014&lt;&gt;D2013,E2014&lt;&gt;E2013),G2013+1,G2013))</f>
        <v/>
      </c>
    </row>
    <row r="2015">
      <c r="A2015" s="14">
        <f>IF(OR(NOT(ISNUMBER(Ввод!$B$5)),NOT(ISNUMBER(Ввод!$B$6))),"",IF(Ввод!$B$5+2013&gt;Ввод!$B$6,"",Ввод!$B$5+2013))</f>
        <v/>
      </c>
      <c r="B2015">
        <f>IF(A2015="","",IFERROR(INDEX(Ввод!$B$12:$B$71,MATCH(A2015,Ввод!$D$12:$D$71,1)),""))</f>
        <v/>
      </c>
      <c r="C2015">
        <f>IF(A2015="","",DATE(YEAR(A2015),12,31)-DATE(YEAR(A2015),1,1)+1)</f>
        <v/>
      </c>
      <c r="D2015">
        <f>IF(A2015="","",Ввод!$B$4-SUMIF(Оплаты!$A$6:$A$505,"&lt;"&amp;A2015,Оплаты!$B$6:$B$505))</f>
        <v/>
      </c>
      <c r="E2015">
        <f>IF(A2015="","",IF(SUMPRODUCT((Ввод!$F$12:$F$31&lt;&gt;"")*(Ввод!$F$12:$F$31&lt;=A2015)*(Ввод!$G$12:$G$31&gt;=A2015))&gt;0,1,0))</f>
        <v/>
      </c>
      <c r="F2015">
        <f>IF(OR(A2015="",B2015=""),"",IF(E2015=1,0,D2015*B2015/100/C2015))</f>
        <v/>
      </c>
      <c r="G2015">
        <f>IF(A2015="","",IF(OR(B2015&lt;&gt;B2014,C2015&lt;&gt;C2014,D2015&lt;&gt;D2014,E2015&lt;&gt;E2014),G2014+1,G2014))</f>
        <v/>
      </c>
    </row>
    <row r="2016">
      <c r="A2016" s="14">
        <f>IF(OR(NOT(ISNUMBER(Ввод!$B$5)),NOT(ISNUMBER(Ввод!$B$6))),"",IF(Ввод!$B$5+2014&gt;Ввод!$B$6,"",Ввод!$B$5+2014))</f>
        <v/>
      </c>
      <c r="B2016">
        <f>IF(A2016="","",IFERROR(INDEX(Ввод!$B$12:$B$71,MATCH(A2016,Ввод!$D$12:$D$71,1)),""))</f>
        <v/>
      </c>
      <c r="C2016">
        <f>IF(A2016="","",DATE(YEAR(A2016),12,31)-DATE(YEAR(A2016),1,1)+1)</f>
        <v/>
      </c>
      <c r="D2016">
        <f>IF(A2016="","",Ввод!$B$4-SUMIF(Оплаты!$A$6:$A$505,"&lt;"&amp;A2016,Оплаты!$B$6:$B$505))</f>
        <v/>
      </c>
      <c r="E2016">
        <f>IF(A2016="","",IF(SUMPRODUCT((Ввод!$F$12:$F$31&lt;&gt;"")*(Ввод!$F$12:$F$31&lt;=A2016)*(Ввод!$G$12:$G$31&gt;=A2016))&gt;0,1,0))</f>
        <v/>
      </c>
      <c r="F2016">
        <f>IF(OR(A2016="",B2016=""),"",IF(E2016=1,0,D2016*B2016/100/C2016))</f>
        <v/>
      </c>
      <c r="G2016">
        <f>IF(A2016="","",IF(OR(B2016&lt;&gt;B2015,C2016&lt;&gt;C2015,D2016&lt;&gt;D2015,E2016&lt;&gt;E2015),G2015+1,G2015))</f>
        <v/>
      </c>
    </row>
    <row r="2017">
      <c r="A2017" s="14">
        <f>IF(OR(NOT(ISNUMBER(Ввод!$B$5)),NOT(ISNUMBER(Ввод!$B$6))),"",IF(Ввод!$B$5+2015&gt;Ввод!$B$6,"",Ввод!$B$5+2015))</f>
        <v/>
      </c>
      <c r="B2017">
        <f>IF(A2017="","",IFERROR(INDEX(Ввод!$B$12:$B$71,MATCH(A2017,Ввод!$D$12:$D$71,1)),""))</f>
        <v/>
      </c>
      <c r="C2017">
        <f>IF(A2017="","",DATE(YEAR(A2017),12,31)-DATE(YEAR(A2017),1,1)+1)</f>
        <v/>
      </c>
      <c r="D2017">
        <f>IF(A2017="","",Ввод!$B$4-SUMIF(Оплаты!$A$6:$A$505,"&lt;"&amp;A2017,Оплаты!$B$6:$B$505))</f>
        <v/>
      </c>
      <c r="E2017">
        <f>IF(A2017="","",IF(SUMPRODUCT((Ввод!$F$12:$F$31&lt;&gt;"")*(Ввод!$F$12:$F$31&lt;=A2017)*(Ввод!$G$12:$G$31&gt;=A2017))&gt;0,1,0))</f>
        <v/>
      </c>
      <c r="F2017">
        <f>IF(OR(A2017="",B2017=""),"",IF(E2017=1,0,D2017*B2017/100/C2017))</f>
        <v/>
      </c>
      <c r="G2017">
        <f>IF(A2017="","",IF(OR(B2017&lt;&gt;B2016,C2017&lt;&gt;C2016,D2017&lt;&gt;D2016,E2017&lt;&gt;E2016),G2016+1,G2016))</f>
        <v/>
      </c>
    </row>
    <row r="2018">
      <c r="A2018" s="14">
        <f>IF(OR(NOT(ISNUMBER(Ввод!$B$5)),NOT(ISNUMBER(Ввод!$B$6))),"",IF(Ввод!$B$5+2016&gt;Ввод!$B$6,"",Ввод!$B$5+2016))</f>
        <v/>
      </c>
      <c r="B2018">
        <f>IF(A2018="","",IFERROR(INDEX(Ввод!$B$12:$B$71,MATCH(A2018,Ввод!$D$12:$D$71,1)),""))</f>
        <v/>
      </c>
      <c r="C2018">
        <f>IF(A2018="","",DATE(YEAR(A2018),12,31)-DATE(YEAR(A2018),1,1)+1)</f>
        <v/>
      </c>
      <c r="D2018">
        <f>IF(A2018="","",Ввод!$B$4-SUMIF(Оплаты!$A$6:$A$505,"&lt;"&amp;A2018,Оплаты!$B$6:$B$505))</f>
        <v/>
      </c>
      <c r="E2018">
        <f>IF(A2018="","",IF(SUMPRODUCT((Ввод!$F$12:$F$31&lt;&gt;"")*(Ввод!$F$12:$F$31&lt;=A2018)*(Ввод!$G$12:$G$31&gt;=A2018))&gt;0,1,0))</f>
        <v/>
      </c>
      <c r="F2018">
        <f>IF(OR(A2018="",B2018=""),"",IF(E2018=1,0,D2018*B2018/100/C2018))</f>
        <v/>
      </c>
      <c r="G2018">
        <f>IF(A2018="","",IF(OR(B2018&lt;&gt;B2017,C2018&lt;&gt;C2017,D2018&lt;&gt;D2017,E2018&lt;&gt;E2017),G2017+1,G2017))</f>
        <v/>
      </c>
    </row>
    <row r="2019">
      <c r="A2019" s="14">
        <f>IF(OR(NOT(ISNUMBER(Ввод!$B$5)),NOT(ISNUMBER(Ввод!$B$6))),"",IF(Ввод!$B$5+2017&gt;Ввод!$B$6,"",Ввод!$B$5+2017))</f>
        <v/>
      </c>
      <c r="B2019">
        <f>IF(A2019="","",IFERROR(INDEX(Ввод!$B$12:$B$71,MATCH(A2019,Ввод!$D$12:$D$71,1)),""))</f>
        <v/>
      </c>
      <c r="C2019">
        <f>IF(A2019="","",DATE(YEAR(A2019),12,31)-DATE(YEAR(A2019),1,1)+1)</f>
        <v/>
      </c>
      <c r="D2019">
        <f>IF(A2019="","",Ввод!$B$4-SUMIF(Оплаты!$A$6:$A$505,"&lt;"&amp;A2019,Оплаты!$B$6:$B$505))</f>
        <v/>
      </c>
      <c r="E2019">
        <f>IF(A2019="","",IF(SUMPRODUCT((Ввод!$F$12:$F$31&lt;&gt;"")*(Ввод!$F$12:$F$31&lt;=A2019)*(Ввод!$G$12:$G$31&gt;=A2019))&gt;0,1,0))</f>
        <v/>
      </c>
      <c r="F2019">
        <f>IF(OR(A2019="",B2019=""),"",IF(E2019=1,0,D2019*B2019/100/C2019))</f>
        <v/>
      </c>
      <c r="G2019">
        <f>IF(A2019="","",IF(OR(B2019&lt;&gt;B2018,C2019&lt;&gt;C2018,D2019&lt;&gt;D2018,E2019&lt;&gt;E2018),G2018+1,G2018))</f>
        <v/>
      </c>
    </row>
    <row r="2020">
      <c r="A2020" s="14">
        <f>IF(OR(NOT(ISNUMBER(Ввод!$B$5)),NOT(ISNUMBER(Ввод!$B$6))),"",IF(Ввод!$B$5+2018&gt;Ввод!$B$6,"",Ввод!$B$5+2018))</f>
        <v/>
      </c>
      <c r="B2020">
        <f>IF(A2020="","",IFERROR(INDEX(Ввод!$B$12:$B$71,MATCH(A2020,Ввод!$D$12:$D$71,1)),""))</f>
        <v/>
      </c>
      <c r="C2020">
        <f>IF(A2020="","",DATE(YEAR(A2020),12,31)-DATE(YEAR(A2020),1,1)+1)</f>
        <v/>
      </c>
      <c r="D2020">
        <f>IF(A2020="","",Ввод!$B$4-SUMIF(Оплаты!$A$6:$A$505,"&lt;"&amp;A2020,Оплаты!$B$6:$B$505))</f>
        <v/>
      </c>
      <c r="E2020">
        <f>IF(A2020="","",IF(SUMPRODUCT((Ввод!$F$12:$F$31&lt;&gt;"")*(Ввод!$F$12:$F$31&lt;=A2020)*(Ввод!$G$12:$G$31&gt;=A2020))&gt;0,1,0))</f>
        <v/>
      </c>
      <c r="F2020">
        <f>IF(OR(A2020="",B2020=""),"",IF(E2020=1,0,D2020*B2020/100/C2020))</f>
        <v/>
      </c>
      <c r="G2020">
        <f>IF(A2020="","",IF(OR(B2020&lt;&gt;B2019,C2020&lt;&gt;C2019,D2020&lt;&gt;D2019,E2020&lt;&gt;E2019),G2019+1,G2019))</f>
        <v/>
      </c>
    </row>
    <row r="2021">
      <c r="A2021" s="14">
        <f>IF(OR(NOT(ISNUMBER(Ввод!$B$5)),NOT(ISNUMBER(Ввод!$B$6))),"",IF(Ввод!$B$5+2019&gt;Ввод!$B$6,"",Ввод!$B$5+2019))</f>
        <v/>
      </c>
      <c r="B2021">
        <f>IF(A2021="","",IFERROR(INDEX(Ввод!$B$12:$B$71,MATCH(A2021,Ввод!$D$12:$D$71,1)),""))</f>
        <v/>
      </c>
      <c r="C2021">
        <f>IF(A2021="","",DATE(YEAR(A2021),12,31)-DATE(YEAR(A2021),1,1)+1)</f>
        <v/>
      </c>
      <c r="D2021">
        <f>IF(A2021="","",Ввод!$B$4-SUMIF(Оплаты!$A$6:$A$505,"&lt;"&amp;A2021,Оплаты!$B$6:$B$505))</f>
        <v/>
      </c>
      <c r="E2021">
        <f>IF(A2021="","",IF(SUMPRODUCT((Ввод!$F$12:$F$31&lt;&gt;"")*(Ввод!$F$12:$F$31&lt;=A2021)*(Ввод!$G$12:$G$31&gt;=A2021))&gt;0,1,0))</f>
        <v/>
      </c>
      <c r="F2021">
        <f>IF(OR(A2021="",B2021=""),"",IF(E2021=1,0,D2021*B2021/100/C2021))</f>
        <v/>
      </c>
      <c r="G2021">
        <f>IF(A2021="","",IF(OR(B2021&lt;&gt;B2020,C2021&lt;&gt;C2020,D2021&lt;&gt;D2020,E2021&lt;&gt;E2020),G2020+1,G2020))</f>
        <v/>
      </c>
    </row>
    <row r="2022">
      <c r="A2022" s="14">
        <f>IF(OR(NOT(ISNUMBER(Ввод!$B$5)),NOT(ISNUMBER(Ввод!$B$6))),"",IF(Ввод!$B$5+2020&gt;Ввод!$B$6,"",Ввод!$B$5+2020))</f>
        <v/>
      </c>
      <c r="B2022">
        <f>IF(A2022="","",IFERROR(INDEX(Ввод!$B$12:$B$71,MATCH(A2022,Ввод!$D$12:$D$71,1)),""))</f>
        <v/>
      </c>
      <c r="C2022">
        <f>IF(A2022="","",DATE(YEAR(A2022),12,31)-DATE(YEAR(A2022),1,1)+1)</f>
        <v/>
      </c>
      <c r="D2022">
        <f>IF(A2022="","",Ввод!$B$4-SUMIF(Оплаты!$A$6:$A$505,"&lt;"&amp;A2022,Оплаты!$B$6:$B$505))</f>
        <v/>
      </c>
      <c r="E2022">
        <f>IF(A2022="","",IF(SUMPRODUCT((Ввод!$F$12:$F$31&lt;&gt;"")*(Ввод!$F$12:$F$31&lt;=A2022)*(Ввод!$G$12:$G$31&gt;=A2022))&gt;0,1,0))</f>
        <v/>
      </c>
      <c r="F2022">
        <f>IF(OR(A2022="",B2022=""),"",IF(E2022=1,0,D2022*B2022/100/C2022))</f>
        <v/>
      </c>
      <c r="G2022">
        <f>IF(A2022="","",IF(OR(B2022&lt;&gt;B2021,C2022&lt;&gt;C2021,D2022&lt;&gt;D2021,E2022&lt;&gt;E2021),G2021+1,G2021))</f>
        <v/>
      </c>
    </row>
    <row r="2023">
      <c r="A2023" s="14">
        <f>IF(OR(NOT(ISNUMBER(Ввод!$B$5)),NOT(ISNUMBER(Ввод!$B$6))),"",IF(Ввод!$B$5+2021&gt;Ввод!$B$6,"",Ввод!$B$5+2021))</f>
        <v/>
      </c>
      <c r="B2023">
        <f>IF(A2023="","",IFERROR(INDEX(Ввод!$B$12:$B$71,MATCH(A2023,Ввод!$D$12:$D$71,1)),""))</f>
        <v/>
      </c>
      <c r="C2023">
        <f>IF(A2023="","",DATE(YEAR(A2023),12,31)-DATE(YEAR(A2023),1,1)+1)</f>
        <v/>
      </c>
      <c r="D2023">
        <f>IF(A2023="","",Ввод!$B$4-SUMIF(Оплаты!$A$6:$A$505,"&lt;"&amp;A2023,Оплаты!$B$6:$B$505))</f>
        <v/>
      </c>
      <c r="E2023">
        <f>IF(A2023="","",IF(SUMPRODUCT((Ввод!$F$12:$F$31&lt;&gt;"")*(Ввод!$F$12:$F$31&lt;=A2023)*(Ввод!$G$12:$G$31&gt;=A2023))&gt;0,1,0))</f>
        <v/>
      </c>
      <c r="F2023">
        <f>IF(OR(A2023="",B2023=""),"",IF(E2023=1,0,D2023*B2023/100/C2023))</f>
        <v/>
      </c>
      <c r="G2023">
        <f>IF(A2023="","",IF(OR(B2023&lt;&gt;B2022,C2023&lt;&gt;C2022,D2023&lt;&gt;D2022,E2023&lt;&gt;E2022),G2022+1,G2022))</f>
        <v/>
      </c>
    </row>
    <row r="2024">
      <c r="A2024" s="14">
        <f>IF(OR(NOT(ISNUMBER(Ввод!$B$5)),NOT(ISNUMBER(Ввод!$B$6))),"",IF(Ввод!$B$5+2022&gt;Ввод!$B$6,"",Ввод!$B$5+2022))</f>
        <v/>
      </c>
      <c r="B2024">
        <f>IF(A2024="","",IFERROR(INDEX(Ввод!$B$12:$B$71,MATCH(A2024,Ввод!$D$12:$D$71,1)),""))</f>
        <v/>
      </c>
      <c r="C2024">
        <f>IF(A2024="","",DATE(YEAR(A2024),12,31)-DATE(YEAR(A2024),1,1)+1)</f>
        <v/>
      </c>
      <c r="D2024">
        <f>IF(A2024="","",Ввод!$B$4-SUMIF(Оплаты!$A$6:$A$505,"&lt;"&amp;A2024,Оплаты!$B$6:$B$505))</f>
        <v/>
      </c>
      <c r="E2024">
        <f>IF(A2024="","",IF(SUMPRODUCT((Ввод!$F$12:$F$31&lt;&gt;"")*(Ввод!$F$12:$F$31&lt;=A2024)*(Ввод!$G$12:$G$31&gt;=A2024))&gt;0,1,0))</f>
        <v/>
      </c>
      <c r="F2024">
        <f>IF(OR(A2024="",B2024=""),"",IF(E2024=1,0,D2024*B2024/100/C2024))</f>
        <v/>
      </c>
      <c r="G2024">
        <f>IF(A2024="","",IF(OR(B2024&lt;&gt;B2023,C2024&lt;&gt;C2023,D2024&lt;&gt;D2023,E2024&lt;&gt;E2023),G2023+1,G2023))</f>
        <v/>
      </c>
    </row>
    <row r="2025">
      <c r="A2025" s="14">
        <f>IF(OR(NOT(ISNUMBER(Ввод!$B$5)),NOT(ISNUMBER(Ввод!$B$6))),"",IF(Ввод!$B$5+2023&gt;Ввод!$B$6,"",Ввод!$B$5+2023))</f>
        <v/>
      </c>
      <c r="B2025">
        <f>IF(A2025="","",IFERROR(INDEX(Ввод!$B$12:$B$71,MATCH(A2025,Ввод!$D$12:$D$71,1)),""))</f>
        <v/>
      </c>
      <c r="C2025">
        <f>IF(A2025="","",DATE(YEAR(A2025),12,31)-DATE(YEAR(A2025),1,1)+1)</f>
        <v/>
      </c>
      <c r="D2025">
        <f>IF(A2025="","",Ввод!$B$4-SUMIF(Оплаты!$A$6:$A$505,"&lt;"&amp;A2025,Оплаты!$B$6:$B$505))</f>
        <v/>
      </c>
      <c r="E2025">
        <f>IF(A2025="","",IF(SUMPRODUCT((Ввод!$F$12:$F$31&lt;&gt;"")*(Ввод!$F$12:$F$31&lt;=A2025)*(Ввод!$G$12:$G$31&gt;=A2025))&gt;0,1,0))</f>
        <v/>
      </c>
      <c r="F2025">
        <f>IF(OR(A2025="",B2025=""),"",IF(E2025=1,0,D2025*B2025/100/C2025))</f>
        <v/>
      </c>
      <c r="G2025">
        <f>IF(A2025="","",IF(OR(B2025&lt;&gt;B2024,C2025&lt;&gt;C2024,D2025&lt;&gt;D2024,E2025&lt;&gt;E2024),G2024+1,G2024))</f>
        <v/>
      </c>
    </row>
    <row r="2026">
      <c r="A2026" s="14">
        <f>IF(OR(NOT(ISNUMBER(Ввод!$B$5)),NOT(ISNUMBER(Ввод!$B$6))),"",IF(Ввод!$B$5+2024&gt;Ввод!$B$6,"",Ввод!$B$5+2024))</f>
        <v/>
      </c>
      <c r="B2026">
        <f>IF(A2026="","",IFERROR(INDEX(Ввод!$B$12:$B$71,MATCH(A2026,Ввод!$D$12:$D$71,1)),""))</f>
        <v/>
      </c>
      <c r="C2026">
        <f>IF(A2026="","",DATE(YEAR(A2026),12,31)-DATE(YEAR(A2026),1,1)+1)</f>
        <v/>
      </c>
      <c r="D2026">
        <f>IF(A2026="","",Ввод!$B$4-SUMIF(Оплаты!$A$6:$A$505,"&lt;"&amp;A2026,Оплаты!$B$6:$B$505))</f>
        <v/>
      </c>
      <c r="E2026">
        <f>IF(A2026="","",IF(SUMPRODUCT((Ввод!$F$12:$F$31&lt;&gt;"")*(Ввод!$F$12:$F$31&lt;=A2026)*(Ввод!$G$12:$G$31&gt;=A2026))&gt;0,1,0))</f>
        <v/>
      </c>
      <c r="F2026">
        <f>IF(OR(A2026="",B2026=""),"",IF(E2026=1,0,D2026*B2026/100/C2026))</f>
        <v/>
      </c>
      <c r="G2026">
        <f>IF(A2026="","",IF(OR(B2026&lt;&gt;B2025,C2026&lt;&gt;C2025,D2026&lt;&gt;D2025,E2026&lt;&gt;E2025),G2025+1,G2025))</f>
        <v/>
      </c>
    </row>
    <row r="2027">
      <c r="A2027" s="14">
        <f>IF(OR(NOT(ISNUMBER(Ввод!$B$5)),NOT(ISNUMBER(Ввод!$B$6))),"",IF(Ввод!$B$5+2025&gt;Ввод!$B$6,"",Ввод!$B$5+2025))</f>
        <v/>
      </c>
      <c r="B2027">
        <f>IF(A2027="","",IFERROR(INDEX(Ввод!$B$12:$B$71,MATCH(A2027,Ввод!$D$12:$D$71,1)),""))</f>
        <v/>
      </c>
      <c r="C2027">
        <f>IF(A2027="","",DATE(YEAR(A2027),12,31)-DATE(YEAR(A2027),1,1)+1)</f>
        <v/>
      </c>
      <c r="D2027">
        <f>IF(A2027="","",Ввод!$B$4-SUMIF(Оплаты!$A$6:$A$505,"&lt;"&amp;A2027,Оплаты!$B$6:$B$505))</f>
        <v/>
      </c>
      <c r="E2027">
        <f>IF(A2027="","",IF(SUMPRODUCT((Ввод!$F$12:$F$31&lt;&gt;"")*(Ввод!$F$12:$F$31&lt;=A2027)*(Ввод!$G$12:$G$31&gt;=A2027))&gt;0,1,0))</f>
        <v/>
      </c>
      <c r="F2027">
        <f>IF(OR(A2027="",B2027=""),"",IF(E2027=1,0,D2027*B2027/100/C2027))</f>
        <v/>
      </c>
      <c r="G2027">
        <f>IF(A2027="","",IF(OR(B2027&lt;&gt;B2026,C2027&lt;&gt;C2026,D2027&lt;&gt;D2026,E2027&lt;&gt;E2026),G2026+1,G2026))</f>
        <v/>
      </c>
    </row>
    <row r="2028">
      <c r="A2028" s="14">
        <f>IF(OR(NOT(ISNUMBER(Ввод!$B$5)),NOT(ISNUMBER(Ввод!$B$6))),"",IF(Ввод!$B$5+2026&gt;Ввод!$B$6,"",Ввод!$B$5+2026))</f>
        <v/>
      </c>
      <c r="B2028">
        <f>IF(A2028="","",IFERROR(INDEX(Ввод!$B$12:$B$71,MATCH(A2028,Ввод!$D$12:$D$71,1)),""))</f>
        <v/>
      </c>
      <c r="C2028">
        <f>IF(A2028="","",DATE(YEAR(A2028),12,31)-DATE(YEAR(A2028),1,1)+1)</f>
        <v/>
      </c>
      <c r="D2028">
        <f>IF(A2028="","",Ввод!$B$4-SUMIF(Оплаты!$A$6:$A$505,"&lt;"&amp;A2028,Оплаты!$B$6:$B$505))</f>
        <v/>
      </c>
      <c r="E2028">
        <f>IF(A2028="","",IF(SUMPRODUCT((Ввод!$F$12:$F$31&lt;&gt;"")*(Ввод!$F$12:$F$31&lt;=A2028)*(Ввод!$G$12:$G$31&gt;=A2028))&gt;0,1,0))</f>
        <v/>
      </c>
      <c r="F2028">
        <f>IF(OR(A2028="",B2028=""),"",IF(E2028=1,0,D2028*B2028/100/C2028))</f>
        <v/>
      </c>
      <c r="G2028">
        <f>IF(A2028="","",IF(OR(B2028&lt;&gt;B2027,C2028&lt;&gt;C2027,D2028&lt;&gt;D2027,E2028&lt;&gt;E2027),G2027+1,G2027))</f>
        <v/>
      </c>
    </row>
    <row r="2029">
      <c r="A2029" s="14">
        <f>IF(OR(NOT(ISNUMBER(Ввод!$B$5)),NOT(ISNUMBER(Ввод!$B$6))),"",IF(Ввод!$B$5+2027&gt;Ввод!$B$6,"",Ввод!$B$5+2027))</f>
        <v/>
      </c>
      <c r="B2029">
        <f>IF(A2029="","",IFERROR(INDEX(Ввод!$B$12:$B$71,MATCH(A2029,Ввод!$D$12:$D$71,1)),""))</f>
        <v/>
      </c>
      <c r="C2029">
        <f>IF(A2029="","",DATE(YEAR(A2029),12,31)-DATE(YEAR(A2029),1,1)+1)</f>
        <v/>
      </c>
      <c r="D2029">
        <f>IF(A2029="","",Ввод!$B$4-SUMIF(Оплаты!$A$6:$A$505,"&lt;"&amp;A2029,Оплаты!$B$6:$B$505))</f>
        <v/>
      </c>
      <c r="E2029">
        <f>IF(A2029="","",IF(SUMPRODUCT((Ввод!$F$12:$F$31&lt;&gt;"")*(Ввод!$F$12:$F$31&lt;=A2029)*(Ввод!$G$12:$G$31&gt;=A2029))&gt;0,1,0))</f>
        <v/>
      </c>
      <c r="F2029">
        <f>IF(OR(A2029="",B2029=""),"",IF(E2029=1,0,D2029*B2029/100/C2029))</f>
        <v/>
      </c>
      <c r="G2029">
        <f>IF(A2029="","",IF(OR(B2029&lt;&gt;B2028,C2029&lt;&gt;C2028,D2029&lt;&gt;D2028,E2029&lt;&gt;E2028),G2028+1,G2028))</f>
        <v/>
      </c>
    </row>
    <row r="2030">
      <c r="A2030" s="14">
        <f>IF(OR(NOT(ISNUMBER(Ввод!$B$5)),NOT(ISNUMBER(Ввод!$B$6))),"",IF(Ввод!$B$5+2028&gt;Ввод!$B$6,"",Ввод!$B$5+2028))</f>
        <v/>
      </c>
      <c r="B2030">
        <f>IF(A2030="","",IFERROR(INDEX(Ввод!$B$12:$B$71,MATCH(A2030,Ввод!$D$12:$D$71,1)),""))</f>
        <v/>
      </c>
      <c r="C2030">
        <f>IF(A2030="","",DATE(YEAR(A2030),12,31)-DATE(YEAR(A2030),1,1)+1)</f>
        <v/>
      </c>
      <c r="D2030">
        <f>IF(A2030="","",Ввод!$B$4-SUMIF(Оплаты!$A$6:$A$505,"&lt;"&amp;A2030,Оплаты!$B$6:$B$505))</f>
        <v/>
      </c>
      <c r="E2030">
        <f>IF(A2030="","",IF(SUMPRODUCT((Ввод!$F$12:$F$31&lt;&gt;"")*(Ввод!$F$12:$F$31&lt;=A2030)*(Ввод!$G$12:$G$31&gt;=A2030))&gt;0,1,0))</f>
        <v/>
      </c>
      <c r="F2030">
        <f>IF(OR(A2030="",B2030=""),"",IF(E2030=1,0,D2030*B2030/100/C2030))</f>
        <v/>
      </c>
      <c r="G2030">
        <f>IF(A2030="","",IF(OR(B2030&lt;&gt;B2029,C2030&lt;&gt;C2029,D2030&lt;&gt;D2029,E2030&lt;&gt;E2029),G2029+1,G2029))</f>
        <v/>
      </c>
    </row>
    <row r="2031">
      <c r="A2031" s="14">
        <f>IF(OR(NOT(ISNUMBER(Ввод!$B$5)),NOT(ISNUMBER(Ввод!$B$6))),"",IF(Ввод!$B$5+2029&gt;Ввод!$B$6,"",Ввод!$B$5+2029))</f>
        <v/>
      </c>
      <c r="B2031">
        <f>IF(A2031="","",IFERROR(INDEX(Ввод!$B$12:$B$71,MATCH(A2031,Ввод!$D$12:$D$71,1)),""))</f>
        <v/>
      </c>
      <c r="C2031">
        <f>IF(A2031="","",DATE(YEAR(A2031),12,31)-DATE(YEAR(A2031),1,1)+1)</f>
        <v/>
      </c>
      <c r="D2031">
        <f>IF(A2031="","",Ввод!$B$4-SUMIF(Оплаты!$A$6:$A$505,"&lt;"&amp;A2031,Оплаты!$B$6:$B$505))</f>
        <v/>
      </c>
      <c r="E2031">
        <f>IF(A2031="","",IF(SUMPRODUCT((Ввод!$F$12:$F$31&lt;&gt;"")*(Ввод!$F$12:$F$31&lt;=A2031)*(Ввод!$G$12:$G$31&gt;=A2031))&gt;0,1,0))</f>
        <v/>
      </c>
      <c r="F2031">
        <f>IF(OR(A2031="",B2031=""),"",IF(E2031=1,0,D2031*B2031/100/C2031))</f>
        <v/>
      </c>
      <c r="G2031">
        <f>IF(A2031="","",IF(OR(B2031&lt;&gt;B2030,C2031&lt;&gt;C2030,D2031&lt;&gt;D2030,E2031&lt;&gt;E2030),G2030+1,G2030))</f>
        <v/>
      </c>
    </row>
    <row r="2032">
      <c r="A2032" s="14">
        <f>IF(OR(NOT(ISNUMBER(Ввод!$B$5)),NOT(ISNUMBER(Ввод!$B$6))),"",IF(Ввод!$B$5+2030&gt;Ввод!$B$6,"",Ввод!$B$5+2030))</f>
        <v/>
      </c>
      <c r="B2032">
        <f>IF(A2032="","",IFERROR(INDEX(Ввод!$B$12:$B$71,MATCH(A2032,Ввод!$D$12:$D$71,1)),""))</f>
        <v/>
      </c>
      <c r="C2032">
        <f>IF(A2032="","",DATE(YEAR(A2032),12,31)-DATE(YEAR(A2032),1,1)+1)</f>
        <v/>
      </c>
      <c r="D2032">
        <f>IF(A2032="","",Ввод!$B$4-SUMIF(Оплаты!$A$6:$A$505,"&lt;"&amp;A2032,Оплаты!$B$6:$B$505))</f>
        <v/>
      </c>
      <c r="E2032">
        <f>IF(A2032="","",IF(SUMPRODUCT((Ввод!$F$12:$F$31&lt;&gt;"")*(Ввод!$F$12:$F$31&lt;=A2032)*(Ввод!$G$12:$G$31&gt;=A2032))&gt;0,1,0))</f>
        <v/>
      </c>
      <c r="F2032">
        <f>IF(OR(A2032="",B2032=""),"",IF(E2032=1,0,D2032*B2032/100/C2032))</f>
        <v/>
      </c>
      <c r="G2032">
        <f>IF(A2032="","",IF(OR(B2032&lt;&gt;B2031,C2032&lt;&gt;C2031,D2032&lt;&gt;D2031,E2032&lt;&gt;E2031),G2031+1,G2031))</f>
        <v/>
      </c>
    </row>
    <row r="2033">
      <c r="A2033" s="14">
        <f>IF(OR(NOT(ISNUMBER(Ввод!$B$5)),NOT(ISNUMBER(Ввод!$B$6))),"",IF(Ввод!$B$5+2031&gt;Ввод!$B$6,"",Ввод!$B$5+2031))</f>
        <v/>
      </c>
      <c r="B2033">
        <f>IF(A2033="","",IFERROR(INDEX(Ввод!$B$12:$B$71,MATCH(A2033,Ввод!$D$12:$D$71,1)),""))</f>
        <v/>
      </c>
      <c r="C2033">
        <f>IF(A2033="","",DATE(YEAR(A2033),12,31)-DATE(YEAR(A2033),1,1)+1)</f>
        <v/>
      </c>
      <c r="D2033">
        <f>IF(A2033="","",Ввод!$B$4-SUMIF(Оплаты!$A$6:$A$505,"&lt;"&amp;A2033,Оплаты!$B$6:$B$505))</f>
        <v/>
      </c>
      <c r="E2033">
        <f>IF(A2033="","",IF(SUMPRODUCT((Ввод!$F$12:$F$31&lt;&gt;"")*(Ввод!$F$12:$F$31&lt;=A2033)*(Ввод!$G$12:$G$31&gt;=A2033))&gt;0,1,0))</f>
        <v/>
      </c>
      <c r="F2033">
        <f>IF(OR(A2033="",B2033=""),"",IF(E2033=1,0,D2033*B2033/100/C2033))</f>
        <v/>
      </c>
      <c r="G2033">
        <f>IF(A2033="","",IF(OR(B2033&lt;&gt;B2032,C2033&lt;&gt;C2032,D2033&lt;&gt;D2032,E2033&lt;&gt;E2032),G2032+1,G2032))</f>
        <v/>
      </c>
    </row>
    <row r="2034">
      <c r="A2034" s="14">
        <f>IF(OR(NOT(ISNUMBER(Ввод!$B$5)),NOT(ISNUMBER(Ввод!$B$6))),"",IF(Ввод!$B$5+2032&gt;Ввод!$B$6,"",Ввод!$B$5+2032))</f>
        <v/>
      </c>
      <c r="B2034">
        <f>IF(A2034="","",IFERROR(INDEX(Ввод!$B$12:$B$71,MATCH(A2034,Ввод!$D$12:$D$71,1)),""))</f>
        <v/>
      </c>
      <c r="C2034">
        <f>IF(A2034="","",DATE(YEAR(A2034),12,31)-DATE(YEAR(A2034),1,1)+1)</f>
        <v/>
      </c>
      <c r="D2034">
        <f>IF(A2034="","",Ввод!$B$4-SUMIF(Оплаты!$A$6:$A$505,"&lt;"&amp;A2034,Оплаты!$B$6:$B$505))</f>
        <v/>
      </c>
      <c r="E2034">
        <f>IF(A2034="","",IF(SUMPRODUCT((Ввод!$F$12:$F$31&lt;&gt;"")*(Ввод!$F$12:$F$31&lt;=A2034)*(Ввод!$G$12:$G$31&gt;=A2034))&gt;0,1,0))</f>
        <v/>
      </c>
      <c r="F2034">
        <f>IF(OR(A2034="",B2034=""),"",IF(E2034=1,0,D2034*B2034/100/C2034))</f>
        <v/>
      </c>
      <c r="G2034">
        <f>IF(A2034="","",IF(OR(B2034&lt;&gt;B2033,C2034&lt;&gt;C2033,D2034&lt;&gt;D2033,E2034&lt;&gt;E2033),G2033+1,G2033))</f>
        <v/>
      </c>
    </row>
    <row r="2035">
      <c r="A2035" s="14">
        <f>IF(OR(NOT(ISNUMBER(Ввод!$B$5)),NOT(ISNUMBER(Ввод!$B$6))),"",IF(Ввод!$B$5+2033&gt;Ввод!$B$6,"",Ввод!$B$5+2033))</f>
        <v/>
      </c>
      <c r="B2035">
        <f>IF(A2035="","",IFERROR(INDEX(Ввод!$B$12:$B$71,MATCH(A2035,Ввод!$D$12:$D$71,1)),""))</f>
        <v/>
      </c>
      <c r="C2035">
        <f>IF(A2035="","",DATE(YEAR(A2035),12,31)-DATE(YEAR(A2035),1,1)+1)</f>
        <v/>
      </c>
      <c r="D2035">
        <f>IF(A2035="","",Ввод!$B$4-SUMIF(Оплаты!$A$6:$A$505,"&lt;"&amp;A2035,Оплаты!$B$6:$B$505))</f>
        <v/>
      </c>
      <c r="E2035">
        <f>IF(A2035="","",IF(SUMPRODUCT((Ввод!$F$12:$F$31&lt;&gt;"")*(Ввод!$F$12:$F$31&lt;=A2035)*(Ввод!$G$12:$G$31&gt;=A2035))&gt;0,1,0))</f>
        <v/>
      </c>
      <c r="F2035">
        <f>IF(OR(A2035="",B2035=""),"",IF(E2035=1,0,D2035*B2035/100/C2035))</f>
        <v/>
      </c>
      <c r="G2035">
        <f>IF(A2035="","",IF(OR(B2035&lt;&gt;B2034,C2035&lt;&gt;C2034,D2035&lt;&gt;D2034,E2035&lt;&gt;E2034),G2034+1,G2034))</f>
        <v/>
      </c>
    </row>
    <row r="2036">
      <c r="A2036" s="14">
        <f>IF(OR(NOT(ISNUMBER(Ввод!$B$5)),NOT(ISNUMBER(Ввод!$B$6))),"",IF(Ввод!$B$5+2034&gt;Ввод!$B$6,"",Ввод!$B$5+2034))</f>
        <v/>
      </c>
      <c r="B2036">
        <f>IF(A2036="","",IFERROR(INDEX(Ввод!$B$12:$B$71,MATCH(A2036,Ввод!$D$12:$D$71,1)),""))</f>
        <v/>
      </c>
      <c r="C2036">
        <f>IF(A2036="","",DATE(YEAR(A2036),12,31)-DATE(YEAR(A2036),1,1)+1)</f>
        <v/>
      </c>
      <c r="D2036">
        <f>IF(A2036="","",Ввод!$B$4-SUMIF(Оплаты!$A$6:$A$505,"&lt;"&amp;A2036,Оплаты!$B$6:$B$505))</f>
        <v/>
      </c>
      <c r="E2036">
        <f>IF(A2036="","",IF(SUMPRODUCT((Ввод!$F$12:$F$31&lt;&gt;"")*(Ввод!$F$12:$F$31&lt;=A2036)*(Ввод!$G$12:$G$31&gt;=A2036))&gt;0,1,0))</f>
        <v/>
      </c>
      <c r="F2036">
        <f>IF(OR(A2036="",B2036=""),"",IF(E2036=1,0,D2036*B2036/100/C2036))</f>
        <v/>
      </c>
      <c r="G2036">
        <f>IF(A2036="","",IF(OR(B2036&lt;&gt;B2035,C2036&lt;&gt;C2035,D2036&lt;&gt;D2035,E2036&lt;&gt;E2035),G2035+1,G2035))</f>
        <v/>
      </c>
    </row>
    <row r="2037">
      <c r="A2037" s="14">
        <f>IF(OR(NOT(ISNUMBER(Ввод!$B$5)),NOT(ISNUMBER(Ввод!$B$6))),"",IF(Ввод!$B$5+2035&gt;Ввод!$B$6,"",Ввод!$B$5+2035))</f>
        <v/>
      </c>
      <c r="B2037">
        <f>IF(A2037="","",IFERROR(INDEX(Ввод!$B$12:$B$71,MATCH(A2037,Ввод!$D$12:$D$71,1)),""))</f>
        <v/>
      </c>
      <c r="C2037">
        <f>IF(A2037="","",DATE(YEAR(A2037),12,31)-DATE(YEAR(A2037),1,1)+1)</f>
        <v/>
      </c>
      <c r="D2037">
        <f>IF(A2037="","",Ввод!$B$4-SUMIF(Оплаты!$A$6:$A$505,"&lt;"&amp;A2037,Оплаты!$B$6:$B$505))</f>
        <v/>
      </c>
      <c r="E2037">
        <f>IF(A2037="","",IF(SUMPRODUCT((Ввод!$F$12:$F$31&lt;&gt;"")*(Ввод!$F$12:$F$31&lt;=A2037)*(Ввод!$G$12:$G$31&gt;=A2037))&gt;0,1,0))</f>
        <v/>
      </c>
      <c r="F2037">
        <f>IF(OR(A2037="",B2037=""),"",IF(E2037=1,0,D2037*B2037/100/C2037))</f>
        <v/>
      </c>
      <c r="G2037">
        <f>IF(A2037="","",IF(OR(B2037&lt;&gt;B2036,C2037&lt;&gt;C2036,D2037&lt;&gt;D2036,E2037&lt;&gt;E2036),G2036+1,G2036))</f>
        <v/>
      </c>
    </row>
    <row r="2038">
      <c r="A2038" s="14">
        <f>IF(OR(NOT(ISNUMBER(Ввод!$B$5)),NOT(ISNUMBER(Ввод!$B$6))),"",IF(Ввод!$B$5+2036&gt;Ввод!$B$6,"",Ввод!$B$5+2036))</f>
        <v/>
      </c>
      <c r="B2038">
        <f>IF(A2038="","",IFERROR(INDEX(Ввод!$B$12:$B$71,MATCH(A2038,Ввод!$D$12:$D$71,1)),""))</f>
        <v/>
      </c>
      <c r="C2038">
        <f>IF(A2038="","",DATE(YEAR(A2038),12,31)-DATE(YEAR(A2038),1,1)+1)</f>
        <v/>
      </c>
      <c r="D2038">
        <f>IF(A2038="","",Ввод!$B$4-SUMIF(Оплаты!$A$6:$A$505,"&lt;"&amp;A2038,Оплаты!$B$6:$B$505))</f>
        <v/>
      </c>
      <c r="E2038">
        <f>IF(A2038="","",IF(SUMPRODUCT((Ввод!$F$12:$F$31&lt;&gt;"")*(Ввод!$F$12:$F$31&lt;=A2038)*(Ввод!$G$12:$G$31&gt;=A2038))&gt;0,1,0))</f>
        <v/>
      </c>
      <c r="F2038">
        <f>IF(OR(A2038="",B2038=""),"",IF(E2038=1,0,D2038*B2038/100/C2038))</f>
        <v/>
      </c>
      <c r="G2038">
        <f>IF(A2038="","",IF(OR(B2038&lt;&gt;B2037,C2038&lt;&gt;C2037,D2038&lt;&gt;D2037,E2038&lt;&gt;E2037),G2037+1,G2037))</f>
        <v/>
      </c>
    </row>
    <row r="2039">
      <c r="A2039" s="14">
        <f>IF(OR(NOT(ISNUMBER(Ввод!$B$5)),NOT(ISNUMBER(Ввод!$B$6))),"",IF(Ввод!$B$5+2037&gt;Ввод!$B$6,"",Ввод!$B$5+2037))</f>
        <v/>
      </c>
      <c r="B2039">
        <f>IF(A2039="","",IFERROR(INDEX(Ввод!$B$12:$B$71,MATCH(A2039,Ввод!$D$12:$D$71,1)),""))</f>
        <v/>
      </c>
      <c r="C2039">
        <f>IF(A2039="","",DATE(YEAR(A2039),12,31)-DATE(YEAR(A2039),1,1)+1)</f>
        <v/>
      </c>
      <c r="D2039">
        <f>IF(A2039="","",Ввод!$B$4-SUMIF(Оплаты!$A$6:$A$505,"&lt;"&amp;A2039,Оплаты!$B$6:$B$505))</f>
        <v/>
      </c>
      <c r="E2039">
        <f>IF(A2039="","",IF(SUMPRODUCT((Ввод!$F$12:$F$31&lt;&gt;"")*(Ввод!$F$12:$F$31&lt;=A2039)*(Ввод!$G$12:$G$31&gt;=A2039))&gt;0,1,0))</f>
        <v/>
      </c>
      <c r="F2039">
        <f>IF(OR(A2039="",B2039=""),"",IF(E2039=1,0,D2039*B2039/100/C2039))</f>
        <v/>
      </c>
      <c r="G2039">
        <f>IF(A2039="","",IF(OR(B2039&lt;&gt;B2038,C2039&lt;&gt;C2038,D2039&lt;&gt;D2038,E2039&lt;&gt;E2038),G2038+1,G2038))</f>
        <v/>
      </c>
    </row>
    <row r="2040">
      <c r="A2040" s="14">
        <f>IF(OR(NOT(ISNUMBER(Ввод!$B$5)),NOT(ISNUMBER(Ввод!$B$6))),"",IF(Ввод!$B$5+2038&gt;Ввод!$B$6,"",Ввод!$B$5+2038))</f>
        <v/>
      </c>
      <c r="B2040">
        <f>IF(A2040="","",IFERROR(INDEX(Ввод!$B$12:$B$71,MATCH(A2040,Ввод!$D$12:$D$71,1)),""))</f>
        <v/>
      </c>
      <c r="C2040">
        <f>IF(A2040="","",DATE(YEAR(A2040),12,31)-DATE(YEAR(A2040),1,1)+1)</f>
        <v/>
      </c>
      <c r="D2040">
        <f>IF(A2040="","",Ввод!$B$4-SUMIF(Оплаты!$A$6:$A$505,"&lt;"&amp;A2040,Оплаты!$B$6:$B$505))</f>
        <v/>
      </c>
      <c r="E2040">
        <f>IF(A2040="","",IF(SUMPRODUCT((Ввод!$F$12:$F$31&lt;&gt;"")*(Ввод!$F$12:$F$31&lt;=A2040)*(Ввод!$G$12:$G$31&gt;=A2040))&gt;0,1,0))</f>
        <v/>
      </c>
      <c r="F2040">
        <f>IF(OR(A2040="",B2040=""),"",IF(E2040=1,0,D2040*B2040/100/C2040))</f>
        <v/>
      </c>
      <c r="G2040">
        <f>IF(A2040="","",IF(OR(B2040&lt;&gt;B2039,C2040&lt;&gt;C2039,D2040&lt;&gt;D2039,E2040&lt;&gt;E2039),G2039+1,G2039))</f>
        <v/>
      </c>
    </row>
    <row r="2041">
      <c r="A2041" s="14">
        <f>IF(OR(NOT(ISNUMBER(Ввод!$B$5)),NOT(ISNUMBER(Ввод!$B$6))),"",IF(Ввод!$B$5+2039&gt;Ввод!$B$6,"",Ввод!$B$5+2039))</f>
        <v/>
      </c>
      <c r="B2041">
        <f>IF(A2041="","",IFERROR(INDEX(Ввод!$B$12:$B$71,MATCH(A2041,Ввод!$D$12:$D$71,1)),""))</f>
        <v/>
      </c>
      <c r="C2041">
        <f>IF(A2041="","",DATE(YEAR(A2041),12,31)-DATE(YEAR(A2041),1,1)+1)</f>
        <v/>
      </c>
      <c r="D2041">
        <f>IF(A2041="","",Ввод!$B$4-SUMIF(Оплаты!$A$6:$A$505,"&lt;"&amp;A2041,Оплаты!$B$6:$B$505))</f>
        <v/>
      </c>
      <c r="E2041">
        <f>IF(A2041="","",IF(SUMPRODUCT((Ввод!$F$12:$F$31&lt;&gt;"")*(Ввод!$F$12:$F$31&lt;=A2041)*(Ввод!$G$12:$G$31&gt;=A2041))&gt;0,1,0))</f>
        <v/>
      </c>
      <c r="F2041">
        <f>IF(OR(A2041="",B2041=""),"",IF(E2041=1,0,D2041*B2041/100/C2041))</f>
        <v/>
      </c>
      <c r="G2041">
        <f>IF(A2041="","",IF(OR(B2041&lt;&gt;B2040,C2041&lt;&gt;C2040,D2041&lt;&gt;D2040,E2041&lt;&gt;E2040),G2040+1,G2040))</f>
        <v/>
      </c>
    </row>
    <row r="2042">
      <c r="A2042" s="14">
        <f>IF(OR(NOT(ISNUMBER(Ввод!$B$5)),NOT(ISNUMBER(Ввод!$B$6))),"",IF(Ввод!$B$5+2040&gt;Ввод!$B$6,"",Ввод!$B$5+2040))</f>
        <v/>
      </c>
      <c r="B2042">
        <f>IF(A2042="","",IFERROR(INDEX(Ввод!$B$12:$B$71,MATCH(A2042,Ввод!$D$12:$D$71,1)),""))</f>
        <v/>
      </c>
      <c r="C2042">
        <f>IF(A2042="","",DATE(YEAR(A2042),12,31)-DATE(YEAR(A2042),1,1)+1)</f>
        <v/>
      </c>
      <c r="D2042">
        <f>IF(A2042="","",Ввод!$B$4-SUMIF(Оплаты!$A$6:$A$505,"&lt;"&amp;A2042,Оплаты!$B$6:$B$505))</f>
        <v/>
      </c>
      <c r="E2042">
        <f>IF(A2042="","",IF(SUMPRODUCT((Ввод!$F$12:$F$31&lt;&gt;"")*(Ввод!$F$12:$F$31&lt;=A2042)*(Ввод!$G$12:$G$31&gt;=A2042))&gt;0,1,0))</f>
        <v/>
      </c>
      <c r="F2042">
        <f>IF(OR(A2042="",B2042=""),"",IF(E2042=1,0,D2042*B2042/100/C2042))</f>
        <v/>
      </c>
      <c r="G2042">
        <f>IF(A2042="","",IF(OR(B2042&lt;&gt;B2041,C2042&lt;&gt;C2041,D2042&lt;&gt;D2041,E2042&lt;&gt;E2041),G2041+1,G2041))</f>
        <v/>
      </c>
    </row>
    <row r="2043">
      <c r="A2043" s="14">
        <f>IF(OR(NOT(ISNUMBER(Ввод!$B$5)),NOT(ISNUMBER(Ввод!$B$6))),"",IF(Ввод!$B$5+2041&gt;Ввод!$B$6,"",Ввод!$B$5+2041))</f>
        <v/>
      </c>
      <c r="B2043">
        <f>IF(A2043="","",IFERROR(INDEX(Ввод!$B$12:$B$71,MATCH(A2043,Ввод!$D$12:$D$71,1)),""))</f>
        <v/>
      </c>
      <c r="C2043">
        <f>IF(A2043="","",DATE(YEAR(A2043),12,31)-DATE(YEAR(A2043),1,1)+1)</f>
        <v/>
      </c>
      <c r="D2043">
        <f>IF(A2043="","",Ввод!$B$4-SUMIF(Оплаты!$A$6:$A$505,"&lt;"&amp;A2043,Оплаты!$B$6:$B$505))</f>
        <v/>
      </c>
      <c r="E2043">
        <f>IF(A2043="","",IF(SUMPRODUCT((Ввод!$F$12:$F$31&lt;&gt;"")*(Ввод!$F$12:$F$31&lt;=A2043)*(Ввод!$G$12:$G$31&gt;=A2043))&gt;0,1,0))</f>
        <v/>
      </c>
      <c r="F2043">
        <f>IF(OR(A2043="",B2043=""),"",IF(E2043=1,0,D2043*B2043/100/C2043))</f>
        <v/>
      </c>
      <c r="G2043">
        <f>IF(A2043="","",IF(OR(B2043&lt;&gt;B2042,C2043&lt;&gt;C2042,D2043&lt;&gt;D2042,E2043&lt;&gt;E2042),G2042+1,G2042))</f>
        <v/>
      </c>
    </row>
    <row r="2044">
      <c r="A2044" s="14">
        <f>IF(OR(NOT(ISNUMBER(Ввод!$B$5)),NOT(ISNUMBER(Ввод!$B$6))),"",IF(Ввод!$B$5+2042&gt;Ввод!$B$6,"",Ввод!$B$5+2042))</f>
        <v/>
      </c>
      <c r="B2044">
        <f>IF(A2044="","",IFERROR(INDEX(Ввод!$B$12:$B$71,MATCH(A2044,Ввод!$D$12:$D$71,1)),""))</f>
        <v/>
      </c>
      <c r="C2044">
        <f>IF(A2044="","",DATE(YEAR(A2044),12,31)-DATE(YEAR(A2044),1,1)+1)</f>
        <v/>
      </c>
      <c r="D2044">
        <f>IF(A2044="","",Ввод!$B$4-SUMIF(Оплаты!$A$6:$A$505,"&lt;"&amp;A2044,Оплаты!$B$6:$B$505))</f>
        <v/>
      </c>
      <c r="E2044">
        <f>IF(A2044="","",IF(SUMPRODUCT((Ввод!$F$12:$F$31&lt;&gt;"")*(Ввод!$F$12:$F$31&lt;=A2044)*(Ввод!$G$12:$G$31&gt;=A2044))&gt;0,1,0))</f>
        <v/>
      </c>
      <c r="F2044">
        <f>IF(OR(A2044="",B2044=""),"",IF(E2044=1,0,D2044*B2044/100/C2044))</f>
        <v/>
      </c>
      <c r="G2044">
        <f>IF(A2044="","",IF(OR(B2044&lt;&gt;B2043,C2044&lt;&gt;C2043,D2044&lt;&gt;D2043,E2044&lt;&gt;E2043),G2043+1,G2043))</f>
        <v/>
      </c>
    </row>
    <row r="2045">
      <c r="A2045" s="14">
        <f>IF(OR(NOT(ISNUMBER(Ввод!$B$5)),NOT(ISNUMBER(Ввод!$B$6))),"",IF(Ввод!$B$5+2043&gt;Ввод!$B$6,"",Ввод!$B$5+2043))</f>
        <v/>
      </c>
      <c r="B2045">
        <f>IF(A2045="","",IFERROR(INDEX(Ввод!$B$12:$B$71,MATCH(A2045,Ввод!$D$12:$D$71,1)),""))</f>
        <v/>
      </c>
      <c r="C2045">
        <f>IF(A2045="","",DATE(YEAR(A2045),12,31)-DATE(YEAR(A2045),1,1)+1)</f>
        <v/>
      </c>
      <c r="D2045">
        <f>IF(A2045="","",Ввод!$B$4-SUMIF(Оплаты!$A$6:$A$505,"&lt;"&amp;A2045,Оплаты!$B$6:$B$505))</f>
        <v/>
      </c>
      <c r="E2045">
        <f>IF(A2045="","",IF(SUMPRODUCT((Ввод!$F$12:$F$31&lt;&gt;"")*(Ввод!$F$12:$F$31&lt;=A2045)*(Ввод!$G$12:$G$31&gt;=A2045))&gt;0,1,0))</f>
        <v/>
      </c>
      <c r="F2045">
        <f>IF(OR(A2045="",B2045=""),"",IF(E2045=1,0,D2045*B2045/100/C2045))</f>
        <v/>
      </c>
      <c r="G2045">
        <f>IF(A2045="","",IF(OR(B2045&lt;&gt;B2044,C2045&lt;&gt;C2044,D2045&lt;&gt;D2044,E2045&lt;&gt;E2044),G2044+1,G2044))</f>
        <v/>
      </c>
    </row>
    <row r="2046">
      <c r="A2046" s="14">
        <f>IF(OR(NOT(ISNUMBER(Ввод!$B$5)),NOT(ISNUMBER(Ввод!$B$6))),"",IF(Ввод!$B$5+2044&gt;Ввод!$B$6,"",Ввод!$B$5+2044))</f>
        <v/>
      </c>
      <c r="B2046">
        <f>IF(A2046="","",IFERROR(INDEX(Ввод!$B$12:$B$71,MATCH(A2046,Ввод!$D$12:$D$71,1)),""))</f>
        <v/>
      </c>
      <c r="C2046">
        <f>IF(A2046="","",DATE(YEAR(A2046),12,31)-DATE(YEAR(A2046),1,1)+1)</f>
        <v/>
      </c>
      <c r="D2046">
        <f>IF(A2046="","",Ввод!$B$4-SUMIF(Оплаты!$A$6:$A$505,"&lt;"&amp;A2046,Оплаты!$B$6:$B$505))</f>
        <v/>
      </c>
      <c r="E2046">
        <f>IF(A2046="","",IF(SUMPRODUCT((Ввод!$F$12:$F$31&lt;&gt;"")*(Ввод!$F$12:$F$31&lt;=A2046)*(Ввод!$G$12:$G$31&gt;=A2046))&gt;0,1,0))</f>
        <v/>
      </c>
      <c r="F2046">
        <f>IF(OR(A2046="",B2046=""),"",IF(E2046=1,0,D2046*B2046/100/C2046))</f>
        <v/>
      </c>
      <c r="G2046">
        <f>IF(A2046="","",IF(OR(B2046&lt;&gt;B2045,C2046&lt;&gt;C2045,D2046&lt;&gt;D2045,E2046&lt;&gt;E2045),G2045+1,G2045))</f>
        <v/>
      </c>
    </row>
    <row r="2047">
      <c r="A2047" s="14">
        <f>IF(OR(NOT(ISNUMBER(Ввод!$B$5)),NOT(ISNUMBER(Ввод!$B$6))),"",IF(Ввод!$B$5+2045&gt;Ввод!$B$6,"",Ввод!$B$5+2045))</f>
        <v/>
      </c>
      <c r="B2047">
        <f>IF(A2047="","",IFERROR(INDEX(Ввод!$B$12:$B$71,MATCH(A2047,Ввод!$D$12:$D$71,1)),""))</f>
        <v/>
      </c>
      <c r="C2047">
        <f>IF(A2047="","",DATE(YEAR(A2047),12,31)-DATE(YEAR(A2047),1,1)+1)</f>
        <v/>
      </c>
      <c r="D2047">
        <f>IF(A2047="","",Ввод!$B$4-SUMIF(Оплаты!$A$6:$A$505,"&lt;"&amp;A2047,Оплаты!$B$6:$B$505))</f>
        <v/>
      </c>
      <c r="E2047">
        <f>IF(A2047="","",IF(SUMPRODUCT((Ввод!$F$12:$F$31&lt;&gt;"")*(Ввод!$F$12:$F$31&lt;=A2047)*(Ввод!$G$12:$G$31&gt;=A2047))&gt;0,1,0))</f>
        <v/>
      </c>
      <c r="F2047">
        <f>IF(OR(A2047="",B2047=""),"",IF(E2047=1,0,D2047*B2047/100/C2047))</f>
        <v/>
      </c>
      <c r="G2047">
        <f>IF(A2047="","",IF(OR(B2047&lt;&gt;B2046,C2047&lt;&gt;C2046,D2047&lt;&gt;D2046,E2047&lt;&gt;E2046),G2046+1,G2046))</f>
        <v/>
      </c>
    </row>
    <row r="2048">
      <c r="A2048" s="14">
        <f>IF(OR(NOT(ISNUMBER(Ввод!$B$5)),NOT(ISNUMBER(Ввод!$B$6))),"",IF(Ввод!$B$5+2046&gt;Ввод!$B$6,"",Ввод!$B$5+2046))</f>
        <v/>
      </c>
      <c r="B2048">
        <f>IF(A2048="","",IFERROR(INDEX(Ввод!$B$12:$B$71,MATCH(A2048,Ввод!$D$12:$D$71,1)),""))</f>
        <v/>
      </c>
      <c r="C2048">
        <f>IF(A2048="","",DATE(YEAR(A2048),12,31)-DATE(YEAR(A2048),1,1)+1)</f>
        <v/>
      </c>
      <c r="D2048">
        <f>IF(A2048="","",Ввод!$B$4-SUMIF(Оплаты!$A$6:$A$505,"&lt;"&amp;A2048,Оплаты!$B$6:$B$505))</f>
        <v/>
      </c>
      <c r="E2048">
        <f>IF(A2048="","",IF(SUMPRODUCT((Ввод!$F$12:$F$31&lt;&gt;"")*(Ввод!$F$12:$F$31&lt;=A2048)*(Ввод!$G$12:$G$31&gt;=A2048))&gt;0,1,0))</f>
        <v/>
      </c>
      <c r="F2048">
        <f>IF(OR(A2048="",B2048=""),"",IF(E2048=1,0,D2048*B2048/100/C2048))</f>
        <v/>
      </c>
      <c r="G2048">
        <f>IF(A2048="","",IF(OR(B2048&lt;&gt;B2047,C2048&lt;&gt;C2047,D2048&lt;&gt;D2047,E2048&lt;&gt;E2047),G2047+1,G2047))</f>
        <v/>
      </c>
    </row>
    <row r="2049">
      <c r="A2049" s="14">
        <f>IF(OR(NOT(ISNUMBER(Ввод!$B$5)),NOT(ISNUMBER(Ввод!$B$6))),"",IF(Ввод!$B$5+2047&gt;Ввод!$B$6,"",Ввод!$B$5+2047))</f>
        <v/>
      </c>
      <c r="B2049">
        <f>IF(A2049="","",IFERROR(INDEX(Ввод!$B$12:$B$71,MATCH(A2049,Ввод!$D$12:$D$71,1)),""))</f>
        <v/>
      </c>
      <c r="C2049">
        <f>IF(A2049="","",DATE(YEAR(A2049),12,31)-DATE(YEAR(A2049),1,1)+1)</f>
        <v/>
      </c>
      <c r="D2049">
        <f>IF(A2049="","",Ввод!$B$4-SUMIF(Оплаты!$A$6:$A$505,"&lt;"&amp;A2049,Оплаты!$B$6:$B$505))</f>
        <v/>
      </c>
      <c r="E2049">
        <f>IF(A2049="","",IF(SUMPRODUCT((Ввод!$F$12:$F$31&lt;&gt;"")*(Ввод!$F$12:$F$31&lt;=A2049)*(Ввод!$G$12:$G$31&gt;=A2049))&gt;0,1,0))</f>
        <v/>
      </c>
      <c r="F2049">
        <f>IF(OR(A2049="",B2049=""),"",IF(E2049=1,0,D2049*B2049/100/C2049))</f>
        <v/>
      </c>
      <c r="G2049">
        <f>IF(A2049="","",IF(OR(B2049&lt;&gt;B2048,C2049&lt;&gt;C2048,D2049&lt;&gt;D2048,E2049&lt;&gt;E2048),G2048+1,G2048))</f>
        <v/>
      </c>
    </row>
    <row r="2050">
      <c r="A2050" s="14">
        <f>IF(OR(NOT(ISNUMBER(Ввод!$B$5)),NOT(ISNUMBER(Ввод!$B$6))),"",IF(Ввод!$B$5+2048&gt;Ввод!$B$6,"",Ввод!$B$5+2048))</f>
        <v/>
      </c>
      <c r="B2050">
        <f>IF(A2050="","",IFERROR(INDEX(Ввод!$B$12:$B$71,MATCH(A2050,Ввод!$D$12:$D$71,1)),""))</f>
        <v/>
      </c>
      <c r="C2050">
        <f>IF(A2050="","",DATE(YEAR(A2050),12,31)-DATE(YEAR(A2050),1,1)+1)</f>
        <v/>
      </c>
      <c r="D2050">
        <f>IF(A2050="","",Ввод!$B$4-SUMIF(Оплаты!$A$6:$A$505,"&lt;"&amp;A2050,Оплаты!$B$6:$B$505))</f>
        <v/>
      </c>
      <c r="E2050">
        <f>IF(A2050="","",IF(SUMPRODUCT((Ввод!$F$12:$F$31&lt;&gt;"")*(Ввод!$F$12:$F$31&lt;=A2050)*(Ввод!$G$12:$G$31&gt;=A2050))&gt;0,1,0))</f>
        <v/>
      </c>
      <c r="F2050">
        <f>IF(OR(A2050="",B2050=""),"",IF(E2050=1,0,D2050*B2050/100/C2050))</f>
        <v/>
      </c>
      <c r="G2050">
        <f>IF(A2050="","",IF(OR(B2050&lt;&gt;B2049,C2050&lt;&gt;C2049,D2050&lt;&gt;D2049,E2050&lt;&gt;E2049),G2049+1,G2049))</f>
        <v/>
      </c>
    </row>
    <row r="2051">
      <c r="A2051" s="14">
        <f>IF(OR(NOT(ISNUMBER(Ввод!$B$5)),NOT(ISNUMBER(Ввод!$B$6))),"",IF(Ввод!$B$5+2049&gt;Ввод!$B$6,"",Ввод!$B$5+2049))</f>
        <v/>
      </c>
      <c r="B2051">
        <f>IF(A2051="","",IFERROR(INDEX(Ввод!$B$12:$B$71,MATCH(A2051,Ввод!$D$12:$D$71,1)),""))</f>
        <v/>
      </c>
      <c r="C2051">
        <f>IF(A2051="","",DATE(YEAR(A2051),12,31)-DATE(YEAR(A2051),1,1)+1)</f>
        <v/>
      </c>
      <c r="D2051">
        <f>IF(A2051="","",Ввод!$B$4-SUMIF(Оплаты!$A$6:$A$505,"&lt;"&amp;A2051,Оплаты!$B$6:$B$505))</f>
        <v/>
      </c>
      <c r="E2051">
        <f>IF(A2051="","",IF(SUMPRODUCT((Ввод!$F$12:$F$31&lt;&gt;"")*(Ввод!$F$12:$F$31&lt;=A2051)*(Ввод!$G$12:$G$31&gt;=A2051))&gt;0,1,0))</f>
        <v/>
      </c>
      <c r="F2051">
        <f>IF(OR(A2051="",B2051=""),"",IF(E2051=1,0,D2051*B2051/100/C2051))</f>
        <v/>
      </c>
      <c r="G2051">
        <f>IF(A2051="","",IF(OR(B2051&lt;&gt;B2050,C2051&lt;&gt;C2050,D2051&lt;&gt;D2050,E2051&lt;&gt;E2050),G2050+1,G2050))</f>
        <v/>
      </c>
    </row>
    <row r="2052">
      <c r="A2052" s="14">
        <f>IF(OR(NOT(ISNUMBER(Ввод!$B$5)),NOT(ISNUMBER(Ввод!$B$6))),"",IF(Ввод!$B$5+2050&gt;Ввод!$B$6,"",Ввод!$B$5+2050))</f>
        <v/>
      </c>
      <c r="B2052">
        <f>IF(A2052="","",IFERROR(INDEX(Ввод!$B$12:$B$71,MATCH(A2052,Ввод!$D$12:$D$71,1)),""))</f>
        <v/>
      </c>
      <c r="C2052">
        <f>IF(A2052="","",DATE(YEAR(A2052),12,31)-DATE(YEAR(A2052),1,1)+1)</f>
        <v/>
      </c>
      <c r="D2052">
        <f>IF(A2052="","",Ввод!$B$4-SUMIF(Оплаты!$A$6:$A$505,"&lt;"&amp;A2052,Оплаты!$B$6:$B$505))</f>
        <v/>
      </c>
      <c r="E2052">
        <f>IF(A2052="","",IF(SUMPRODUCT((Ввод!$F$12:$F$31&lt;&gt;"")*(Ввод!$F$12:$F$31&lt;=A2052)*(Ввод!$G$12:$G$31&gt;=A2052))&gt;0,1,0))</f>
        <v/>
      </c>
      <c r="F2052">
        <f>IF(OR(A2052="",B2052=""),"",IF(E2052=1,0,D2052*B2052/100/C2052))</f>
        <v/>
      </c>
      <c r="G2052">
        <f>IF(A2052="","",IF(OR(B2052&lt;&gt;B2051,C2052&lt;&gt;C2051,D2052&lt;&gt;D2051,E2052&lt;&gt;E2051),G2051+1,G2051))</f>
        <v/>
      </c>
    </row>
    <row r="2053">
      <c r="A2053" s="14">
        <f>IF(OR(NOT(ISNUMBER(Ввод!$B$5)),NOT(ISNUMBER(Ввод!$B$6))),"",IF(Ввод!$B$5+2051&gt;Ввод!$B$6,"",Ввод!$B$5+2051))</f>
        <v/>
      </c>
      <c r="B2053">
        <f>IF(A2053="","",IFERROR(INDEX(Ввод!$B$12:$B$71,MATCH(A2053,Ввод!$D$12:$D$71,1)),""))</f>
        <v/>
      </c>
      <c r="C2053">
        <f>IF(A2053="","",DATE(YEAR(A2053),12,31)-DATE(YEAR(A2053),1,1)+1)</f>
        <v/>
      </c>
      <c r="D2053">
        <f>IF(A2053="","",Ввод!$B$4-SUMIF(Оплаты!$A$6:$A$505,"&lt;"&amp;A2053,Оплаты!$B$6:$B$505))</f>
        <v/>
      </c>
      <c r="E2053">
        <f>IF(A2053="","",IF(SUMPRODUCT((Ввод!$F$12:$F$31&lt;&gt;"")*(Ввод!$F$12:$F$31&lt;=A2053)*(Ввод!$G$12:$G$31&gt;=A2053))&gt;0,1,0))</f>
        <v/>
      </c>
      <c r="F2053">
        <f>IF(OR(A2053="",B2053=""),"",IF(E2053=1,0,D2053*B2053/100/C2053))</f>
        <v/>
      </c>
      <c r="G2053">
        <f>IF(A2053="","",IF(OR(B2053&lt;&gt;B2052,C2053&lt;&gt;C2052,D2053&lt;&gt;D2052,E2053&lt;&gt;E2052),G2052+1,G2052))</f>
        <v/>
      </c>
    </row>
    <row r="2054">
      <c r="A2054" s="14">
        <f>IF(OR(NOT(ISNUMBER(Ввод!$B$5)),NOT(ISNUMBER(Ввод!$B$6))),"",IF(Ввод!$B$5+2052&gt;Ввод!$B$6,"",Ввод!$B$5+2052))</f>
        <v/>
      </c>
      <c r="B2054">
        <f>IF(A2054="","",IFERROR(INDEX(Ввод!$B$12:$B$71,MATCH(A2054,Ввод!$D$12:$D$71,1)),""))</f>
        <v/>
      </c>
      <c r="C2054">
        <f>IF(A2054="","",DATE(YEAR(A2054),12,31)-DATE(YEAR(A2054),1,1)+1)</f>
        <v/>
      </c>
      <c r="D2054">
        <f>IF(A2054="","",Ввод!$B$4-SUMIF(Оплаты!$A$6:$A$505,"&lt;"&amp;A2054,Оплаты!$B$6:$B$505))</f>
        <v/>
      </c>
      <c r="E2054">
        <f>IF(A2054="","",IF(SUMPRODUCT((Ввод!$F$12:$F$31&lt;&gt;"")*(Ввод!$F$12:$F$31&lt;=A2054)*(Ввод!$G$12:$G$31&gt;=A2054))&gt;0,1,0))</f>
        <v/>
      </c>
      <c r="F2054">
        <f>IF(OR(A2054="",B2054=""),"",IF(E2054=1,0,D2054*B2054/100/C2054))</f>
        <v/>
      </c>
      <c r="G2054">
        <f>IF(A2054="","",IF(OR(B2054&lt;&gt;B2053,C2054&lt;&gt;C2053,D2054&lt;&gt;D2053,E2054&lt;&gt;E2053),G2053+1,G2053))</f>
        <v/>
      </c>
    </row>
    <row r="2055">
      <c r="A2055" s="14">
        <f>IF(OR(NOT(ISNUMBER(Ввод!$B$5)),NOT(ISNUMBER(Ввод!$B$6))),"",IF(Ввод!$B$5+2053&gt;Ввод!$B$6,"",Ввод!$B$5+2053))</f>
        <v/>
      </c>
      <c r="B2055">
        <f>IF(A2055="","",IFERROR(INDEX(Ввод!$B$12:$B$71,MATCH(A2055,Ввод!$D$12:$D$71,1)),""))</f>
        <v/>
      </c>
      <c r="C2055">
        <f>IF(A2055="","",DATE(YEAR(A2055),12,31)-DATE(YEAR(A2055),1,1)+1)</f>
        <v/>
      </c>
      <c r="D2055">
        <f>IF(A2055="","",Ввод!$B$4-SUMIF(Оплаты!$A$6:$A$505,"&lt;"&amp;A2055,Оплаты!$B$6:$B$505))</f>
        <v/>
      </c>
      <c r="E2055">
        <f>IF(A2055="","",IF(SUMPRODUCT((Ввод!$F$12:$F$31&lt;&gt;"")*(Ввод!$F$12:$F$31&lt;=A2055)*(Ввод!$G$12:$G$31&gt;=A2055))&gt;0,1,0))</f>
        <v/>
      </c>
      <c r="F2055">
        <f>IF(OR(A2055="",B2055=""),"",IF(E2055=1,0,D2055*B2055/100/C2055))</f>
        <v/>
      </c>
      <c r="G2055">
        <f>IF(A2055="","",IF(OR(B2055&lt;&gt;B2054,C2055&lt;&gt;C2054,D2055&lt;&gt;D2054,E2055&lt;&gt;E2054),G2054+1,G2054))</f>
        <v/>
      </c>
    </row>
    <row r="2056">
      <c r="A2056" s="14">
        <f>IF(OR(NOT(ISNUMBER(Ввод!$B$5)),NOT(ISNUMBER(Ввод!$B$6))),"",IF(Ввод!$B$5+2054&gt;Ввод!$B$6,"",Ввод!$B$5+2054))</f>
        <v/>
      </c>
      <c r="B2056">
        <f>IF(A2056="","",IFERROR(INDEX(Ввод!$B$12:$B$71,MATCH(A2056,Ввод!$D$12:$D$71,1)),""))</f>
        <v/>
      </c>
      <c r="C2056">
        <f>IF(A2056="","",DATE(YEAR(A2056),12,31)-DATE(YEAR(A2056),1,1)+1)</f>
        <v/>
      </c>
      <c r="D2056">
        <f>IF(A2056="","",Ввод!$B$4-SUMIF(Оплаты!$A$6:$A$505,"&lt;"&amp;A2056,Оплаты!$B$6:$B$505))</f>
        <v/>
      </c>
      <c r="E2056">
        <f>IF(A2056="","",IF(SUMPRODUCT((Ввод!$F$12:$F$31&lt;&gt;"")*(Ввод!$F$12:$F$31&lt;=A2056)*(Ввод!$G$12:$G$31&gt;=A2056))&gt;0,1,0))</f>
        <v/>
      </c>
      <c r="F2056">
        <f>IF(OR(A2056="",B2056=""),"",IF(E2056=1,0,D2056*B2056/100/C2056))</f>
        <v/>
      </c>
      <c r="G2056">
        <f>IF(A2056="","",IF(OR(B2056&lt;&gt;B2055,C2056&lt;&gt;C2055,D2056&lt;&gt;D2055,E2056&lt;&gt;E2055),G2055+1,G2055))</f>
        <v/>
      </c>
    </row>
    <row r="2057">
      <c r="A2057" s="14">
        <f>IF(OR(NOT(ISNUMBER(Ввод!$B$5)),NOT(ISNUMBER(Ввод!$B$6))),"",IF(Ввод!$B$5+2055&gt;Ввод!$B$6,"",Ввод!$B$5+2055))</f>
        <v/>
      </c>
      <c r="B2057">
        <f>IF(A2057="","",IFERROR(INDEX(Ввод!$B$12:$B$71,MATCH(A2057,Ввод!$D$12:$D$71,1)),""))</f>
        <v/>
      </c>
      <c r="C2057">
        <f>IF(A2057="","",DATE(YEAR(A2057),12,31)-DATE(YEAR(A2057),1,1)+1)</f>
        <v/>
      </c>
      <c r="D2057">
        <f>IF(A2057="","",Ввод!$B$4-SUMIF(Оплаты!$A$6:$A$505,"&lt;"&amp;A2057,Оплаты!$B$6:$B$505))</f>
        <v/>
      </c>
      <c r="E2057">
        <f>IF(A2057="","",IF(SUMPRODUCT((Ввод!$F$12:$F$31&lt;&gt;"")*(Ввод!$F$12:$F$31&lt;=A2057)*(Ввод!$G$12:$G$31&gt;=A2057))&gt;0,1,0))</f>
        <v/>
      </c>
      <c r="F2057">
        <f>IF(OR(A2057="",B2057=""),"",IF(E2057=1,0,D2057*B2057/100/C2057))</f>
        <v/>
      </c>
      <c r="G2057">
        <f>IF(A2057="","",IF(OR(B2057&lt;&gt;B2056,C2057&lt;&gt;C2056,D2057&lt;&gt;D2056,E2057&lt;&gt;E2056),G2056+1,G2056))</f>
        <v/>
      </c>
    </row>
    <row r="2058">
      <c r="A2058" s="14">
        <f>IF(OR(NOT(ISNUMBER(Ввод!$B$5)),NOT(ISNUMBER(Ввод!$B$6))),"",IF(Ввод!$B$5+2056&gt;Ввод!$B$6,"",Ввод!$B$5+2056))</f>
        <v/>
      </c>
      <c r="B2058">
        <f>IF(A2058="","",IFERROR(INDEX(Ввод!$B$12:$B$71,MATCH(A2058,Ввод!$D$12:$D$71,1)),""))</f>
        <v/>
      </c>
      <c r="C2058">
        <f>IF(A2058="","",DATE(YEAR(A2058),12,31)-DATE(YEAR(A2058),1,1)+1)</f>
        <v/>
      </c>
      <c r="D2058">
        <f>IF(A2058="","",Ввод!$B$4-SUMIF(Оплаты!$A$6:$A$505,"&lt;"&amp;A2058,Оплаты!$B$6:$B$505))</f>
        <v/>
      </c>
      <c r="E2058">
        <f>IF(A2058="","",IF(SUMPRODUCT((Ввод!$F$12:$F$31&lt;&gt;"")*(Ввод!$F$12:$F$31&lt;=A2058)*(Ввод!$G$12:$G$31&gt;=A2058))&gt;0,1,0))</f>
        <v/>
      </c>
      <c r="F2058">
        <f>IF(OR(A2058="",B2058=""),"",IF(E2058=1,0,D2058*B2058/100/C2058))</f>
        <v/>
      </c>
      <c r="G2058">
        <f>IF(A2058="","",IF(OR(B2058&lt;&gt;B2057,C2058&lt;&gt;C2057,D2058&lt;&gt;D2057,E2058&lt;&gt;E2057),G2057+1,G2057))</f>
        <v/>
      </c>
    </row>
    <row r="2059">
      <c r="A2059" s="14">
        <f>IF(OR(NOT(ISNUMBER(Ввод!$B$5)),NOT(ISNUMBER(Ввод!$B$6))),"",IF(Ввод!$B$5+2057&gt;Ввод!$B$6,"",Ввод!$B$5+2057))</f>
        <v/>
      </c>
      <c r="B2059">
        <f>IF(A2059="","",IFERROR(INDEX(Ввод!$B$12:$B$71,MATCH(A2059,Ввод!$D$12:$D$71,1)),""))</f>
        <v/>
      </c>
      <c r="C2059">
        <f>IF(A2059="","",DATE(YEAR(A2059),12,31)-DATE(YEAR(A2059),1,1)+1)</f>
        <v/>
      </c>
      <c r="D2059">
        <f>IF(A2059="","",Ввод!$B$4-SUMIF(Оплаты!$A$6:$A$505,"&lt;"&amp;A2059,Оплаты!$B$6:$B$505))</f>
        <v/>
      </c>
      <c r="E2059">
        <f>IF(A2059="","",IF(SUMPRODUCT((Ввод!$F$12:$F$31&lt;&gt;"")*(Ввод!$F$12:$F$31&lt;=A2059)*(Ввод!$G$12:$G$31&gt;=A2059))&gt;0,1,0))</f>
        <v/>
      </c>
      <c r="F2059">
        <f>IF(OR(A2059="",B2059=""),"",IF(E2059=1,0,D2059*B2059/100/C2059))</f>
        <v/>
      </c>
      <c r="G2059">
        <f>IF(A2059="","",IF(OR(B2059&lt;&gt;B2058,C2059&lt;&gt;C2058,D2059&lt;&gt;D2058,E2059&lt;&gt;E2058),G2058+1,G2058))</f>
        <v/>
      </c>
    </row>
    <row r="2060">
      <c r="A2060" s="14">
        <f>IF(OR(NOT(ISNUMBER(Ввод!$B$5)),NOT(ISNUMBER(Ввод!$B$6))),"",IF(Ввод!$B$5+2058&gt;Ввод!$B$6,"",Ввод!$B$5+2058))</f>
        <v/>
      </c>
      <c r="B2060">
        <f>IF(A2060="","",IFERROR(INDEX(Ввод!$B$12:$B$71,MATCH(A2060,Ввод!$D$12:$D$71,1)),""))</f>
        <v/>
      </c>
      <c r="C2060">
        <f>IF(A2060="","",DATE(YEAR(A2060),12,31)-DATE(YEAR(A2060),1,1)+1)</f>
        <v/>
      </c>
      <c r="D2060">
        <f>IF(A2060="","",Ввод!$B$4-SUMIF(Оплаты!$A$6:$A$505,"&lt;"&amp;A2060,Оплаты!$B$6:$B$505))</f>
        <v/>
      </c>
      <c r="E2060">
        <f>IF(A2060="","",IF(SUMPRODUCT((Ввод!$F$12:$F$31&lt;&gt;"")*(Ввод!$F$12:$F$31&lt;=A2060)*(Ввод!$G$12:$G$31&gt;=A2060))&gt;0,1,0))</f>
        <v/>
      </c>
      <c r="F2060">
        <f>IF(OR(A2060="",B2060=""),"",IF(E2060=1,0,D2060*B2060/100/C2060))</f>
        <v/>
      </c>
      <c r="G2060">
        <f>IF(A2060="","",IF(OR(B2060&lt;&gt;B2059,C2060&lt;&gt;C2059,D2060&lt;&gt;D2059,E2060&lt;&gt;E2059),G2059+1,G2059))</f>
        <v/>
      </c>
    </row>
    <row r="2061">
      <c r="A2061" s="14">
        <f>IF(OR(NOT(ISNUMBER(Ввод!$B$5)),NOT(ISNUMBER(Ввод!$B$6))),"",IF(Ввод!$B$5+2059&gt;Ввод!$B$6,"",Ввод!$B$5+2059))</f>
        <v/>
      </c>
      <c r="B2061">
        <f>IF(A2061="","",IFERROR(INDEX(Ввод!$B$12:$B$71,MATCH(A2061,Ввод!$D$12:$D$71,1)),""))</f>
        <v/>
      </c>
      <c r="C2061">
        <f>IF(A2061="","",DATE(YEAR(A2061),12,31)-DATE(YEAR(A2061),1,1)+1)</f>
        <v/>
      </c>
      <c r="D2061">
        <f>IF(A2061="","",Ввод!$B$4-SUMIF(Оплаты!$A$6:$A$505,"&lt;"&amp;A2061,Оплаты!$B$6:$B$505))</f>
        <v/>
      </c>
      <c r="E2061">
        <f>IF(A2061="","",IF(SUMPRODUCT((Ввод!$F$12:$F$31&lt;&gt;"")*(Ввод!$F$12:$F$31&lt;=A2061)*(Ввод!$G$12:$G$31&gt;=A2061))&gt;0,1,0))</f>
        <v/>
      </c>
      <c r="F2061">
        <f>IF(OR(A2061="",B2061=""),"",IF(E2061=1,0,D2061*B2061/100/C2061))</f>
        <v/>
      </c>
      <c r="G2061">
        <f>IF(A2061="","",IF(OR(B2061&lt;&gt;B2060,C2061&lt;&gt;C2060,D2061&lt;&gt;D2060,E2061&lt;&gt;E2060),G2060+1,G2060))</f>
        <v/>
      </c>
    </row>
    <row r="2062">
      <c r="A2062" s="14">
        <f>IF(OR(NOT(ISNUMBER(Ввод!$B$5)),NOT(ISNUMBER(Ввод!$B$6))),"",IF(Ввод!$B$5+2060&gt;Ввод!$B$6,"",Ввод!$B$5+2060))</f>
        <v/>
      </c>
      <c r="B2062">
        <f>IF(A2062="","",IFERROR(INDEX(Ввод!$B$12:$B$71,MATCH(A2062,Ввод!$D$12:$D$71,1)),""))</f>
        <v/>
      </c>
      <c r="C2062">
        <f>IF(A2062="","",DATE(YEAR(A2062),12,31)-DATE(YEAR(A2062),1,1)+1)</f>
        <v/>
      </c>
      <c r="D2062">
        <f>IF(A2062="","",Ввод!$B$4-SUMIF(Оплаты!$A$6:$A$505,"&lt;"&amp;A2062,Оплаты!$B$6:$B$505))</f>
        <v/>
      </c>
      <c r="E2062">
        <f>IF(A2062="","",IF(SUMPRODUCT((Ввод!$F$12:$F$31&lt;&gt;"")*(Ввод!$F$12:$F$31&lt;=A2062)*(Ввод!$G$12:$G$31&gt;=A2062))&gt;0,1,0))</f>
        <v/>
      </c>
      <c r="F2062">
        <f>IF(OR(A2062="",B2062=""),"",IF(E2062=1,0,D2062*B2062/100/C2062))</f>
        <v/>
      </c>
      <c r="G2062">
        <f>IF(A2062="","",IF(OR(B2062&lt;&gt;B2061,C2062&lt;&gt;C2061,D2062&lt;&gt;D2061,E2062&lt;&gt;E2061),G2061+1,G2061))</f>
        <v/>
      </c>
    </row>
    <row r="2063">
      <c r="A2063" s="14">
        <f>IF(OR(NOT(ISNUMBER(Ввод!$B$5)),NOT(ISNUMBER(Ввод!$B$6))),"",IF(Ввод!$B$5+2061&gt;Ввод!$B$6,"",Ввод!$B$5+2061))</f>
        <v/>
      </c>
      <c r="B2063">
        <f>IF(A2063="","",IFERROR(INDEX(Ввод!$B$12:$B$71,MATCH(A2063,Ввод!$D$12:$D$71,1)),""))</f>
        <v/>
      </c>
      <c r="C2063">
        <f>IF(A2063="","",DATE(YEAR(A2063),12,31)-DATE(YEAR(A2063),1,1)+1)</f>
        <v/>
      </c>
      <c r="D2063">
        <f>IF(A2063="","",Ввод!$B$4-SUMIF(Оплаты!$A$6:$A$505,"&lt;"&amp;A2063,Оплаты!$B$6:$B$505))</f>
        <v/>
      </c>
      <c r="E2063">
        <f>IF(A2063="","",IF(SUMPRODUCT((Ввод!$F$12:$F$31&lt;&gt;"")*(Ввод!$F$12:$F$31&lt;=A2063)*(Ввод!$G$12:$G$31&gt;=A2063))&gt;0,1,0))</f>
        <v/>
      </c>
      <c r="F2063">
        <f>IF(OR(A2063="",B2063=""),"",IF(E2063=1,0,D2063*B2063/100/C2063))</f>
        <v/>
      </c>
      <c r="G2063">
        <f>IF(A2063="","",IF(OR(B2063&lt;&gt;B2062,C2063&lt;&gt;C2062,D2063&lt;&gt;D2062,E2063&lt;&gt;E2062),G2062+1,G2062))</f>
        <v/>
      </c>
    </row>
    <row r="2064">
      <c r="A2064" s="14">
        <f>IF(OR(NOT(ISNUMBER(Ввод!$B$5)),NOT(ISNUMBER(Ввод!$B$6))),"",IF(Ввод!$B$5+2062&gt;Ввод!$B$6,"",Ввод!$B$5+2062))</f>
        <v/>
      </c>
      <c r="B2064">
        <f>IF(A2064="","",IFERROR(INDEX(Ввод!$B$12:$B$71,MATCH(A2064,Ввод!$D$12:$D$71,1)),""))</f>
        <v/>
      </c>
      <c r="C2064">
        <f>IF(A2064="","",DATE(YEAR(A2064),12,31)-DATE(YEAR(A2064),1,1)+1)</f>
        <v/>
      </c>
      <c r="D2064">
        <f>IF(A2064="","",Ввод!$B$4-SUMIF(Оплаты!$A$6:$A$505,"&lt;"&amp;A2064,Оплаты!$B$6:$B$505))</f>
        <v/>
      </c>
      <c r="E2064">
        <f>IF(A2064="","",IF(SUMPRODUCT((Ввод!$F$12:$F$31&lt;&gt;"")*(Ввод!$F$12:$F$31&lt;=A2064)*(Ввод!$G$12:$G$31&gt;=A2064))&gt;0,1,0))</f>
        <v/>
      </c>
      <c r="F2064">
        <f>IF(OR(A2064="",B2064=""),"",IF(E2064=1,0,D2064*B2064/100/C2064))</f>
        <v/>
      </c>
      <c r="G2064">
        <f>IF(A2064="","",IF(OR(B2064&lt;&gt;B2063,C2064&lt;&gt;C2063,D2064&lt;&gt;D2063,E2064&lt;&gt;E2063),G2063+1,G2063))</f>
        <v/>
      </c>
    </row>
    <row r="2065">
      <c r="A2065" s="14">
        <f>IF(OR(NOT(ISNUMBER(Ввод!$B$5)),NOT(ISNUMBER(Ввод!$B$6))),"",IF(Ввод!$B$5+2063&gt;Ввод!$B$6,"",Ввод!$B$5+2063))</f>
        <v/>
      </c>
      <c r="B2065">
        <f>IF(A2065="","",IFERROR(INDEX(Ввод!$B$12:$B$71,MATCH(A2065,Ввод!$D$12:$D$71,1)),""))</f>
        <v/>
      </c>
      <c r="C2065">
        <f>IF(A2065="","",DATE(YEAR(A2065),12,31)-DATE(YEAR(A2065),1,1)+1)</f>
        <v/>
      </c>
      <c r="D2065">
        <f>IF(A2065="","",Ввод!$B$4-SUMIF(Оплаты!$A$6:$A$505,"&lt;"&amp;A2065,Оплаты!$B$6:$B$505))</f>
        <v/>
      </c>
      <c r="E2065">
        <f>IF(A2065="","",IF(SUMPRODUCT((Ввод!$F$12:$F$31&lt;&gt;"")*(Ввод!$F$12:$F$31&lt;=A2065)*(Ввод!$G$12:$G$31&gt;=A2065))&gt;0,1,0))</f>
        <v/>
      </c>
      <c r="F2065">
        <f>IF(OR(A2065="",B2065=""),"",IF(E2065=1,0,D2065*B2065/100/C2065))</f>
        <v/>
      </c>
      <c r="G2065">
        <f>IF(A2065="","",IF(OR(B2065&lt;&gt;B2064,C2065&lt;&gt;C2064,D2065&lt;&gt;D2064,E2065&lt;&gt;E2064),G2064+1,G2064))</f>
        <v/>
      </c>
    </row>
    <row r="2066">
      <c r="A2066" s="14">
        <f>IF(OR(NOT(ISNUMBER(Ввод!$B$5)),NOT(ISNUMBER(Ввод!$B$6))),"",IF(Ввод!$B$5+2064&gt;Ввод!$B$6,"",Ввод!$B$5+2064))</f>
        <v/>
      </c>
      <c r="B2066">
        <f>IF(A2066="","",IFERROR(INDEX(Ввод!$B$12:$B$71,MATCH(A2066,Ввод!$D$12:$D$71,1)),""))</f>
        <v/>
      </c>
      <c r="C2066">
        <f>IF(A2066="","",DATE(YEAR(A2066),12,31)-DATE(YEAR(A2066),1,1)+1)</f>
        <v/>
      </c>
      <c r="D2066">
        <f>IF(A2066="","",Ввод!$B$4-SUMIF(Оплаты!$A$6:$A$505,"&lt;"&amp;A2066,Оплаты!$B$6:$B$505))</f>
        <v/>
      </c>
      <c r="E2066">
        <f>IF(A2066="","",IF(SUMPRODUCT((Ввод!$F$12:$F$31&lt;&gt;"")*(Ввод!$F$12:$F$31&lt;=A2066)*(Ввод!$G$12:$G$31&gt;=A2066))&gt;0,1,0))</f>
        <v/>
      </c>
      <c r="F2066">
        <f>IF(OR(A2066="",B2066=""),"",IF(E2066=1,0,D2066*B2066/100/C2066))</f>
        <v/>
      </c>
      <c r="G2066">
        <f>IF(A2066="","",IF(OR(B2066&lt;&gt;B2065,C2066&lt;&gt;C2065,D2066&lt;&gt;D2065,E2066&lt;&gt;E2065),G2065+1,G2065))</f>
        <v/>
      </c>
    </row>
    <row r="2067">
      <c r="A2067" s="14">
        <f>IF(OR(NOT(ISNUMBER(Ввод!$B$5)),NOT(ISNUMBER(Ввод!$B$6))),"",IF(Ввод!$B$5+2065&gt;Ввод!$B$6,"",Ввод!$B$5+2065))</f>
        <v/>
      </c>
      <c r="B2067">
        <f>IF(A2067="","",IFERROR(INDEX(Ввод!$B$12:$B$71,MATCH(A2067,Ввод!$D$12:$D$71,1)),""))</f>
        <v/>
      </c>
      <c r="C2067">
        <f>IF(A2067="","",DATE(YEAR(A2067),12,31)-DATE(YEAR(A2067),1,1)+1)</f>
        <v/>
      </c>
      <c r="D2067">
        <f>IF(A2067="","",Ввод!$B$4-SUMIF(Оплаты!$A$6:$A$505,"&lt;"&amp;A2067,Оплаты!$B$6:$B$505))</f>
        <v/>
      </c>
      <c r="E2067">
        <f>IF(A2067="","",IF(SUMPRODUCT((Ввод!$F$12:$F$31&lt;&gt;"")*(Ввод!$F$12:$F$31&lt;=A2067)*(Ввод!$G$12:$G$31&gt;=A2067))&gt;0,1,0))</f>
        <v/>
      </c>
      <c r="F2067">
        <f>IF(OR(A2067="",B2067=""),"",IF(E2067=1,0,D2067*B2067/100/C2067))</f>
        <v/>
      </c>
      <c r="G2067">
        <f>IF(A2067="","",IF(OR(B2067&lt;&gt;B2066,C2067&lt;&gt;C2066,D2067&lt;&gt;D2066,E2067&lt;&gt;E2066),G2066+1,G2066))</f>
        <v/>
      </c>
    </row>
    <row r="2068">
      <c r="A2068" s="14">
        <f>IF(OR(NOT(ISNUMBER(Ввод!$B$5)),NOT(ISNUMBER(Ввод!$B$6))),"",IF(Ввод!$B$5+2066&gt;Ввод!$B$6,"",Ввод!$B$5+2066))</f>
        <v/>
      </c>
      <c r="B2068">
        <f>IF(A2068="","",IFERROR(INDEX(Ввод!$B$12:$B$71,MATCH(A2068,Ввод!$D$12:$D$71,1)),""))</f>
        <v/>
      </c>
      <c r="C2068">
        <f>IF(A2068="","",DATE(YEAR(A2068),12,31)-DATE(YEAR(A2068),1,1)+1)</f>
        <v/>
      </c>
      <c r="D2068">
        <f>IF(A2068="","",Ввод!$B$4-SUMIF(Оплаты!$A$6:$A$505,"&lt;"&amp;A2068,Оплаты!$B$6:$B$505))</f>
        <v/>
      </c>
      <c r="E2068">
        <f>IF(A2068="","",IF(SUMPRODUCT((Ввод!$F$12:$F$31&lt;&gt;"")*(Ввод!$F$12:$F$31&lt;=A2068)*(Ввод!$G$12:$G$31&gt;=A2068))&gt;0,1,0))</f>
        <v/>
      </c>
      <c r="F2068">
        <f>IF(OR(A2068="",B2068=""),"",IF(E2068=1,0,D2068*B2068/100/C2068))</f>
        <v/>
      </c>
      <c r="G2068">
        <f>IF(A2068="","",IF(OR(B2068&lt;&gt;B2067,C2068&lt;&gt;C2067,D2068&lt;&gt;D2067,E2068&lt;&gt;E2067),G2067+1,G2067))</f>
        <v/>
      </c>
    </row>
    <row r="2069">
      <c r="A2069" s="14">
        <f>IF(OR(NOT(ISNUMBER(Ввод!$B$5)),NOT(ISNUMBER(Ввод!$B$6))),"",IF(Ввод!$B$5+2067&gt;Ввод!$B$6,"",Ввод!$B$5+2067))</f>
        <v/>
      </c>
      <c r="B2069">
        <f>IF(A2069="","",IFERROR(INDEX(Ввод!$B$12:$B$71,MATCH(A2069,Ввод!$D$12:$D$71,1)),""))</f>
        <v/>
      </c>
      <c r="C2069">
        <f>IF(A2069="","",DATE(YEAR(A2069),12,31)-DATE(YEAR(A2069),1,1)+1)</f>
        <v/>
      </c>
      <c r="D2069">
        <f>IF(A2069="","",Ввод!$B$4-SUMIF(Оплаты!$A$6:$A$505,"&lt;"&amp;A2069,Оплаты!$B$6:$B$505))</f>
        <v/>
      </c>
      <c r="E2069">
        <f>IF(A2069="","",IF(SUMPRODUCT((Ввод!$F$12:$F$31&lt;&gt;"")*(Ввод!$F$12:$F$31&lt;=A2069)*(Ввод!$G$12:$G$31&gt;=A2069))&gt;0,1,0))</f>
        <v/>
      </c>
      <c r="F2069">
        <f>IF(OR(A2069="",B2069=""),"",IF(E2069=1,0,D2069*B2069/100/C2069))</f>
        <v/>
      </c>
      <c r="G2069">
        <f>IF(A2069="","",IF(OR(B2069&lt;&gt;B2068,C2069&lt;&gt;C2068,D2069&lt;&gt;D2068,E2069&lt;&gt;E2068),G2068+1,G2068))</f>
        <v/>
      </c>
    </row>
    <row r="2070">
      <c r="A2070" s="14">
        <f>IF(OR(NOT(ISNUMBER(Ввод!$B$5)),NOT(ISNUMBER(Ввод!$B$6))),"",IF(Ввод!$B$5+2068&gt;Ввод!$B$6,"",Ввод!$B$5+2068))</f>
        <v/>
      </c>
      <c r="B2070">
        <f>IF(A2070="","",IFERROR(INDEX(Ввод!$B$12:$B$71,MATCH(A2070,Ввод!$D$12:$D$71,1)),""))</f>
        <v/>
      </c>
      <c r="C2070">
        <f>IF(A2070="","",DATE(YEAR(A2070),12,31)-DATE(YEAR(A2070),1,1)+1)</f>
        <v/>
      </c>
      <c r="D2070">
        <f>IF(A2070="","",Ввод!$B$4-SUMIF(Оплаты!$A$6:$A$505,"&lt;"&amp;A2070,Оплаты!$B$6:$B$505))</f>
        <v/>
      </c>
      <c r="E2070">
        <f>IF(A2070="","",IF(SUMPRODUCT((Ввод!$F$12:$F$31&lt;&gt;"")*(Ввод!$F$12:$F$31&lt;=A2070)*(Ввод!$G$12:$G$31&gt;=A2070))&gt;0,1,0))</f>
        <v/>
      </c>
      <c r="F2070">
        <f>IF(OR(A2070="",B2070=""),"",IF(E2070=1,0,D2070*B2070/100/C2070))</f>
        <v/>
      </c>
      <c r="G2070">
        <f>IF(A2070="","",IF(OR(B2070&lt;&gt;B2069,C2070&lt;&gt;C2069,D2070&lt;&gt;D2069,E2070&lt;&gt;E2069),G2069+1,G2069))</f>
        <v/>
      </c>
    </row>
    <row r="2071">
      <c r="A2071" s="14">
        <f>IF(OR(NOT(ISNUMBER(Ввод!$B$5)),NOT(ISNUMBER(Ввод!$B$6))),"",IF(Ввод!$B$5+2069&gt;Ввод!$B$6,"",Ввод!$B$5+2069))</f>
        <v/>
      </c>
      <c r="B2071">
        <f>IF(A2071="","",IFERROR(INDEX(Ввод!$B$12:$B$71,MATCH(A2071,Ввод!$D$12:$D$71,1)),""))</f>
        <v/>
      </c>
      <c r="C2071">
        <f>IF(A2071="","",DATE(YEAR(A2071),12,31)-DATE(YEAR(A2071),1,1)+1)</f>
        <v/>
      </c>
      <c r="D2071">
        <f>IF(A2071="","",Ввод!$B$4-SUMIF(Оплаты!$A$6:$A$505,"&lt;"&amp;A2071,Оплаты!$B$6:$B$505))</f>
        <v/>
      </c>
      <c r="E2071">
        <f>IF(A2071="","",IF(SUMPRODUCT((Ввод!$F$12:$F$31&lt;&gt;"")*(Ввод!$F$12:$F$31&lt;=A2071)*(Ввод!$G$12:$G$31&gt;=A2071))&gt;0,1,0))</f>
        <v/>
      </c>
      <c r="F2071">
        <f>IF(OR(A2071="",B2071=""),"",IF(E2071=1,0,D2071*B2071/100/C2071))</f>
        <v/>
      </c>
      <c r="G2071">
        <f>IF(A2071="","",IF(OR(B2071&lt;&gt;B2070,C2071&lt;&gt;C2070,D2071&lt;&gt;D2070,E2071&lt;&gt;E2070),G2070+1,G2070))</f>
        <v/>
      </c>
    </row>
    <row r="2072">
      <c r="A2072" s="14">
        <f>IF(OR(NOT(ISNUMBER(Ввод!$B$5)),NOT(ISNUMBER(Ввод!$B$6))),"",IF(Ввод!$B$5+2070&gt;Ввод!$B$6,"",Ввод!$B$5+2070))</f>
        <v/>
      </c>
      <c r="B2072">
        <f>IF(A2072="","",IFERROR(INDEX(Ввод!$B$12:$B$71,MATCH(A2072,Ввод!$D$12:$D$71,1)),""))</f>
        <v/>
      </c>
      <c r="C2072">
        <f>IF(A2072="","",DATE(YEAR(A2072),12,31)-DATE(YEAR(A2072),1,1)+1)</f>
        <v/>
      </c>
      <c r="D2072">
        <f>IF(A2072="","",Ввод!$B$4-SUMIF(Оплаты!$A$6:$A$505,"&lt;"&amp;A2072,Оплаты!$B$6:$B$505))</f>
        <v/>
      </c>
      <c r="E2072">
        <f>IF(A2072="","",IF(SUMPRODUCT((Ввод!$F$12:$F$31&lt;&gt;"")*(Ввод!$F$12:$F$31&lt;=A2072)*(Ввод!$G$12:$G$31&gt;=A2072))&gt;0,1,0))</f>
        <v/>
      </c>
      <c r="F2072">
        <f>IF(OR(A2072="",B2072=""),"",IF(E2072=1,0,D2072*B2072/100/C2072))</f>
        <v/>
      </c>
      <c r="G2072">
        <f>IF(A2072="","",IF(OR(B2072&lt;&gt;B2071,C2072&lt;&gt;C2071,D2072&lt;&gt;D2071,E2072&lt;&gt;E2071),G2071+1,G2071))</f>
        <v/>
      </c>
    </row>
    <row r="2073">
      <c r="A2073" s="14">
        <f>IF(OR(NOT(ISNUMBER(Ввод!$B$5)),NOT(ISNUMBER(Ввод!$B$6))),"",IF(Ввод!$B$5+2071&gt;Ввод!$B$6,"",Ввод!$B$5+2071))</f>
        <v/>
      </c>
      <c r="B2073">
        <f>IF(A2073="","",IFERROR(INDEX(Ввод!$B$12:$B$71,MATCH(A2073,Ввод!$D$12:$D$71,1)),""))</f>
        <v/>
      </c>
      <c r="C2073">
        <f>IF(A2073="","",DATE(YEAR(A2073),12,31)-DATE(YEAR(A2073),1,1)+1)</f>
        <v/>
      </c>
      <c r="D2073">
        <f>IF(A2073="","",Ввод!$B$4-SUMIF(Оплаты!$A$6:$A$505,"&lt;"&amp;A2073,Оплаты!$B$6:$B$505))</f>
        <v/>
      </c>
      <c r="E2073">
        <f>IF(A2073="","",IF(SUMPRODUCT((Ввод!$F$12:$F$31&lt;&gt;"")*(Ввод!$F$12:$F$31&lt;=A2073)*(Ввод!$G$12:$G$31&gt;=A2073))&gt;0,1,0))</f>
        <v/>
      </c>
      <c r="F2073">
        <f>IF(OR(A2073="",B2073=""),"",IF(E2073=1,0,D2073*B2073/100/C2073))</f>
        <v/>
      </c>
      <c r="G2073">
        <f>IF(A2073="","",IF(OR(B2073&lt;&gt;B2072,C2073&lt;&gt;C2072,D2073&lt;&gt;D2072,E2073&lt;&gt;E2072),G2072+1,G2072))</f>
        <v/>
      </c>
    </row>
    <row r="2074">
      <c r="A2074" s="14">
        <f>IF(OR(NOT(ISNUMBER(Ввод!$B$5)),NOT(ISNUMBER(Ввод!$B$6))),"",IF(Ввод!$B$5+2072&gt;Ввод!$B$6,"",Ввод!$B$5+2072))</f>
        <v/>
      </c>
      <c r="B2074">
        <f>IF(A2074="","",IFERROR(INDEX(Ввод!$B$12:$B$71,MATCH(A2074,Ввод!$D$12:$D$71,1)),""))</f>
        <v/>
      </c>
      <c r="C2074">
        <f>IF(A2074="","",DATE(YEAR(A2074),12,31)-DATE(YEAR(A2074),1,1)+1)</f>
        <v/>
      </c>
      <c r="D2074">
        <f>IF(A2074="","",Ввод!$B$4-SUMIF(Оплаты!$A$6:$A$505,"&lt;"&amp;A2074,Оплаты!$B$6:$B$505))</f>
        <v/>
      </c>
      <c r="E2074">
        <f>IF(A2074="","",IF(SUMPRODUCT((Ввод!$F$12:$F$31&lt;&gt;"")*(Ввод!$F$12:$F$31&lt;=A2074)*(Ввод!$G$12:$G$31&gt;=A2074))&gt;0,1,0))</f>
        <v/>
      </c>
      <c r="F2074">
        <f>IF(OR(A2074="",B2074=""),"",IF(E2074=1,0,D2074*B2074/100/C2074))</f>
        <v/>
      </c>
      <c r="G2074">
        <f>IF(A2074="","",IF(OR(B2074&lt;&gt;B2073,C2074&lt;&gt;C2073,D2074&lt;&gt;D2073,E2074&lt;&gt;E2073),G2073+1,G2073))</f>
        <v/>
      </c>
    </row>
    <row r="2075">
      <c r="A2075" s="14">
        <f>IF(OR(NOT(ISNUMBER(Ввод!$B$5)),NOT(ISNUMBER(Ввод!$B$6))),"",IF(Ввод!$B$5+2073&gt;Ввод!$B$6,"",Ввод!$B$5+2073))</f>
        <v/>
      </c>
      <c r="B2075">
        <f>IF(A2075="","",IFERROR(INDEX(Ввод!$B$12:$B$71,MATCH(A2075,Ввод!$D$12:$D$71,1)),""))</f>
        <v/>
      </c>
      <c r="C2075">
        <f>IF(A2075="","",DATE(YEAR(A2075),12,31)-DATE(YEAR(A2075),1,1)+1)</f>
        <v/>
      </c>
      <c r="D2075">
        <f>IF(A2075="","",Ввод!$B$4-SUMIF(Оплаты!$A$6:$A$505,"&lt;"&amp;A2075,Оплаты!$B$6:$B$505))</f>
        <v/>
      </c>
      <c r="E2075">
        <f>IF(A2075="","",IF(SUMPRODUCT((Ввод!$F$12:$F$31&lt;&gt;"")*(Ввод!$F$12:$F$31&lt;=A2075)*(Ввод!$G$12:$G$31&gt;=A2075))&gt;0,1,0))</f>
        <v/>
      </c>
      <c r="F2075">
        <f>IF(OR(A2075="",B2075=""),"",IF(E2075=1,0,D2075*B2075/100/C2075))</f>
        <v/>
      </c>
      <c r="G2075">
        <f>IF(A2075="","",IF(OR(B2075&lt;&gt;B2074,C2075&lt;&gt;C2074,D2075&lt;&gt;D2074,E2075&lt;&gt;E2074),G2074+1,G2074))</f>
        <v/>
      </c>
    </row>
    <row r="2076">
      <c r="A2076" s="14">
        <f>IF(OR(NOT(ISNUMBER(Ввод!$B$5)),NOT(ISNUMBER(Ввод!$B$6))),"",IF(Ввод!$B$5+2074&gt;Ввод!$B$6,"",Ввод!$B$5+2074))</f>
        <v/>
      </c>
      <c r="B2076">
        <f>IF(A2076="","",IFERROR(INDEX(Ввод!$B$12:$B$71,MATCH(A2076,Ввод!$D$12:$D$71,1)),""))</f>
        <v/>
      </c>
      <c r="C2076">
        <f>IF(A2076="","",DATE(YEAR(A2076),12,31)-DATE(YEAR(A2076),1,1)+1)</f>
        <v/>
      </c>
      <c r="D2076">
        <f>IF(A2076="","",Ввод!$B$4-SUMIF(Оплаты!$A$6:$A$505,"&lt;"&amp;A2076,Оплаты!$B$6:$B$505))</f>
        <v/>
      </c>
      <c r="E2076">
        <f>IF(A2076="","",IF(SUMPRODUCT((Ввод!$F$12:$F$31&lt;&gt;"")*(Ввод!$F$12:$F$31&lt;=A2076)*(Ввод!$G$12:$G$31&gt;=A2076))&gt;0,1,0))</f>
        <v/>
      </c>
      <c r="F2076">
        <f>IF(OR(A2076="",B2076=""),"",IF(E2076=1,0,D2076*B2076/100/C2076))</f>
        <v/>
      </c>
      <c r="G2076">
        <f>IF(A2076="","",IF(OR(B2076&lt;&gt;B2075,C2076&lt;&gt;C2075,D2076&lt;&gt;D2075,E2076&lt;&gt;E2075),G2075+1,G2075))</f>
        <v/>
      </c>
    </row>
    <row r="2077">
      <c r="A2077" s="14">
        <f>IF(OR(NOT(ISNUMBER(Ввод!$B$5)),NOT(ISNUMBER(Ввод!$B$6))),"",IF(Ввод!$B$5+2075&gt;Ввод!$B$6,"",Ввод!$B$5+2075))</f>
        <v/>
      </c>
      <c r="B2077">
        <f>IF(A2077="","",IFERROR(INDEX(Ввод!$B$12:$B$71,MATCH(A2077,Ввод!$D$12:$D$71,1)),""))</f>
        <v/>
      </c>
      <c r="C2077">
        <f>IF(A2077="","",DATE(YEAR(A2077),12,31)-DATE(YEAR(A2077),1,1)+1)</f>
        <v/>
      </c>
      <c r="D2077">
        <f>IF(A2077="","",Ввод!$B$4-SUMIF(Оплаты!$A$6:$A$505,"&lt;"&amp;A2077,Оплаты!$B$6:$B$505))</f>
        <v/>
      </c>
      <c r="E2077">
        <f>IF(A2077="","",IF(SUMPRODUCT((Ввод!$F$12:$F$31&lt;&gt;"")*(Ввод!$F$12:$F$31&lt;=A2077)*(Ввод!$G$12:$G$31&gt;=A2077))&gt;0,1,0))</f>
        <v/>
      </c>
      <c r="F2077">
        <f>IF(OR(A2077="",B2077=""),"",IF(E2077=1,0,D2077*B2077/100/C2077))</f>
        <v/>
      </c>
      <c r="G2077">
        <f>IF(A2077="","",IF(OR(B2077&lt;&gt;B2076,C2077&lt;&gt;C2076,D2077&lt;&gt;D2076,E2077&lt;&gt;E2076),G2076+1,G2076))</f>
        <v/>
      </c>
    </row>
    <row r="2078">
      <c r="A2078" s="14">
        <f>IF(OR(NOT(ISNUMBER(Ввод!$B$5)),NOT(ISNUMBER(Ввод!$B$6))),"",IF(Ввод!$B$5+2076&gt;Ввод!$B$6,"",Ввод!$B$5+2076))</f>
        <v/>
      </c>
      <c r="B2078">
        <f>IF(A2078="","",IFERROR(INDEX(Ввод!$B$12:$B$71,MATCH(A2078,Ввод!$D$12:$D$71,1)),""))</f>
        <v/>
      </c>
      <c r="C2078">
        <f>IF(A2078="","",DATE(YEAR(A2078),12,31)-DATE(YEAR(A2078),1,1)+1)</f>
        <v/>
      </c>
      <c r="D2078">
        <f>IF(A2078="","",Ввод!$B$4-SUMIF(Оплаты!$A$6:$A$505,"&lt;"&amp;A2078,Оплаты!$B$6:$B$505))</f>
        <v/>
      </c>
      <c r="E2078">
        <f>IF(A2078="","",IF(SUMPRODUCT((Ввод!$F$12:$F$31&lt;&gt;"")*(Ввод!$F$12:$F$31&lt;=A2078)*(Ввод!$G$12:$G$31&gt;=A2078))&gt;0,1,0))</f>
        <v/>
      </c>
      <c r="F2078">
        <f>IF(OR(A2078="",B2078=""),"",IF(E2078=1,0,D2078*B2078/100/C2078))</f>
        <v/>
      </c>
      <c r="G2078">
        <f>IF(A2078="","",IF(OR(B2078&lt;&gt;B2077,C2078&lt;&gt;C2077,D2078&lt;&gt;D2077,E2078&lt;&gt;E2077),G2077+1,G2077))</f>
        <v/>
      </c>
    </row>
    <row r="2079">
      <c r="A2079" s="14">
        <f>IF(OR(NOT(ISNUMBER(Ввод!$B$5)),NOT(ISNUMBER(Ввод!$B$6))),"",IF(Ввод!$B$5+2077&gt;Ввод!$B$6,"",Ввод!$B$5+2077))</f>
        <v/>
      </c>
      <c r="B2079">
        <f>IF(A2079="","",IFERROR(INDEX(Ввод!$B$12:$B$71,MATCH(A2079,Ввод!$D$12:$D$71,1)),""))</f>
        <v/>
      </c>
      <c r="C2079">
        <f>IF(A2079="","",DATE(YEAR(A2079),12,31)-DATE(YEAR(A2079),1,1)+1)</f>
        <v/>
      </c>
      <c r="D2079">
        <f>IF(A2079="","",Ввод!$B$4-SUMIF(Оплаты!$A$6:$A$505,"&lt;"&amp;A2079,Оплаты!$B$6:$B$505))</f>
        <v/>
      </c>
      <c r="E2079">
        <f>IF(A2079="","",IF(SUMPRODUCT((Ввод!$F$12:$F$31&lt;&gt;"")*(Ввод!$F$12:$F$31&lt;=A2079)*(Ввод!$G$12:$G$31&gt;=A2079))&gt;0,1,0))</f>
        <v/>
      </c>
      <c r="F2079">
        <f>IF(OR(A2079="",B2079=""),"",IF(E2079=1,0,D2079*B2079/100/C2079))</f>
        <v/>
      </c>
      <c r="G2079">
        <f>IF(A2079="","",IF(OR(B2079&lt;&gt;B2078,C2079&lt;&gt;C2078,D2079&lt;&gt;D2078,E2079&lt;&gt;E2078),G2078+1,G2078))</f>
        <v/>
      </c>
    </row>
    <row r="2080">
      <c r="A2080" s="14">
        <f>IF(OR(NOT(ISNUMBER(Ввод!$B$5)),NOT(ISNUMBER(Ввод!$B$6))),"",IF(Ввод!$B$5+2078&gt;Ввод!$B$6,"",Ввод!$B$5+2078))</f>
        <v/>
      </c>
      <c r="B2080">
        <f>IF(A2080="","",IFERROR(INDEX(Ввод!$B$12:$B$71,MATCH(A2080,Ввод!$D$12:$D$71,1)),""))</f>
        <v/>
      </c>
      <c r="C2080">
        <f>IF(A2080="","",DATE(YEAR(A2080),12,31)-DATE(YEAR(A2080),1,1)+1)</f>
        <v/>
      </c>
      <c r="D2080">
        <f>IF(A2080="","",Ввод!$B$4-SUMIF(Оплаты!$A$6:$A$505,"&lt;"&amp;A2080,Оплаты!$B$6:$B$505))</f>
        <v/>
      </c>
      <c r="E2080">
        <f>IF(A2080="","",IF(SUMPRODUCT((Ввод!$F$12:$F$31&lt;&gt;"")*(Ввод!$F$12:$F$31&lt;=A2080)*(Ввод!$G$12:$G$31&gt;=A2080))&gt;0,1,0))</f>
        <v/>
      </c>
      <c r="F2080">
        <f>IF(OR(A2080="",B2080=""),"",IF(E2080=1,0,D2080*B2080/100/C2080))</f>
        <v/>
      </c>
      <c r="G2080">
        <f>IF(A2080="","",IF(OR(B2080&lt;&gt;B2079,C2080&lt;&gt;C2079,D2080&lt;&gt;D2079,E2080&lt;&gt;E2079),G2079+1,G2079))</f>
        <v/>
      </c>
    </row>
    <row r="2081">
      <c r="A2081" s="14">
        <f>IF(OR(NOT(ISNUMBER(Ввод!$B$5)),NOT(ISNUMBER(Ввод!$B$6))),"",IF(Ввод!$B$5+2079&gt;Ввод!$B$6,"",Ввод!$B$5+2079))</f>
        <v/>
      </c>
      <c r="B2081">
        <f>IF(A2081="","",IFERROR(INDEX(Ввод!$B$12:$B$71,MATCH(A2081,Ввод!$D$12:$D$71,1)),""))</f>
        <v/>
      </c>
      <c r="C2081">
        <f>IF(A2081="","",DATE(YEAR(A2081),12,31)-DATE(YEAR(A2081),1,1)+1)</f>
        <v/>
      </c>
      <c r="D2081">
        <f>IF(A2081="","",Ввод!$B$4-SUMIF(Оплаты!$A$6:$A$505,"&lt;"&amp;A2081,Оплаты!$B$6:$B$505))</f>
        <v/>
      </c>
      <c r="E2081">
        <f>IF(A2081="","",IF(SUMPRODUCT((Ввод!$F$12:$F$31&lt;&gt;"")*(Ввод!$F$12:$F$31&lt;=A2081)*(Ввод!$G$12:$G$31&gt;=A2081))&gt;0,1,0))</f>
        <v/>
      </c>
      <c r="F2081">
        <f>IF(OR(A2081="",B2081=""),"",IF(E2081=1,0,D2081*B2081/100/C2081))</f>
        <v/>
      </c>
      <c r="G2081">
        <f>IF(A2081="","",IF(OR(B2081&lt;&gt;B2080,C2081&lt;&gt;C2080,D2081&lt;&gt;D2080,E2081&lt;&gt;E2080),G2080+1,G2080))</f>
        <v/>
      </c>
    </row>
    <row r="2082">
      <c r="A2082" s="14">
        <f>IF(OR(NOT(ISNUMBER(Ввод!$B$5)),NOT(ISNUMBER(Ввод!$B$6))),"",IF(Ввод!$B$5+2080&gt;Ввод!$B$6,"",Ввод!$B$5+2080))</f>
        <v/>
      </c>
      <c r="B2082">
        <f>IF(A2082="","",IFERROR(INDEX(Ввод!$B$12:$B$71,MATCH(A2082,Ввод!$D$12:$D$71,1)),""))</f>
        <v/>
      </c>
      <c r="C2082">
        <f>IF(A2082="","",DATE(YEAR(A2082),12,31)-DATE(YEAR(A2082),1,1)+1)</f>
        <v/>
      </c>
      <c r="D2082">
        <f>IF(A2082="","",Ввод!$B$4-SUMIF(Оплаты!$A$6:$A$505,"&lt;"&amp;A2082,Оплаты!$B$6:$B$505))</f>
        <v/>
      </c>
      <c r="E2082">
        <f>IF(A2082="","",IF(SUMPRODUCT((Ввод!$F$12:$F$31&lt;&gt;"")*(Ввод!$F$12:$F$31&lt;=A2082)*(Ввод!$G$12:$G$31&gt;=A2082))&gt;0,1,0))</f>
        <v/>
      </c>
      <c r="F2082">
        <f>IF(OR(A2082="",B2082=""),"",IF(E2082=1,0,D2082*B2082/100/C2082))</f>
        <v/>
      </c>
      <c r="G2082">
        <f>IF(A2082="","",IF(OR(B2082&lt;&gt;B2081,C2082&lt;&gt;C2081,D2082&lt;&gt;D2081,E2082&lt;&gt;E2081),G2081+1,G2081))</f>
        <v/>
      </c>
    </row>
    <row r="2083">
      <c r="A2083" s="14">
        <f>IF(OR(NOT(ISNUMBER(Ввод!$B$5)),NOT(ISNUMBER(Ввод!$B$6))),"",IF(Ввод!$B$5+2081&gt;Ввод!$B$6,"",Ввод!$B$5+2081))</f>
        <v/>
      </c>
      <c r="B2083">
        <f>IF(A2083="","",IFERROR(INDEX(Ввод!$B$12:$B$71,MATCH(A2083,Ввод!$D$12:$D$71,1)),""))</f>
        <v/>
      </c>
      <c r="C2083">
        <f>IF(A2083="","",DATE(YEAR(A2083),12,31)-DATE(YEAR(A2083),1,1)+1)</f>
        <v/>
      </c>
      <c r="D2083">
        <f>IF(A2083="","",Ввод!$B$4-SUMIF(Оплаты!$A$6:$A$505,"&lt;"&amp;A2083,Оплаты!$B$6:$B$505))</f>
        <v/>
      </c>
      <c r="E2083">
        <f>IF(A2083="","",IF(SUMPRODUCT((Ввод!$F$12:$F$31&lt;&gt;"")*(Ввод!$F$12:$F$31&lt;=A2083)*(Ввод!$G$12:$G$31&gt;=A2083))&gt;0,1,0))</f>
        <v/>
      </c>
      <c r="F2083">
        <f>IF(OR(A2083="",B2083=""),"",IF(E2083=1,0,D2083*B2083/100/C2083))</f>
        <v/>
      </c>
      <c r="G2083">
        <f>IF(A2083="","",IF(OR(B2083&lt;&gt;B2082,C2083&lt;&gt;C2082,D2083&lt;&gt;D2082,E2083&lt;&gt;E2082),G2082+1,G2082))</f>
        <v/>
      </c>
    </row>
    <row r="2084">
      <c r="A2084" s="14">
        <f>IF(OR(NOT(ISNUMBER(Ввод!$B$5)),NOT(ISNUMBER(Ввод!$B$6))),"",IF(Ввод!$B$5+2082&gt;Ввод!$B$6,"",Ввод!$B$5+2082))</f>
        <v/>
      </c>
      <c r="B2084">
        <f>IF(A2084="","",IFERROR(INDEX(Ввод!$B$12:$B$71,MATCH(A2084,Ввод!$D$12:$D$71,1)),""))</f>
        <v/>
      </c>
      <c r="C2084">
        <f>IF(A2084="","",DATE(YEAR(A2084),12,31)-DATE(YEAR(A2084),1,1)+1)</f>
        <v/>
      </c>
      <c r="D2084">
        <f>IF(A2084="","",Ввод!$B$4-SUMIF(Оплаты!$A$6:$A$505,"&lt;"&amp;A2084,Оплаты!$B$6:$B$505))</f>
        <v/>
      </c>
      <c r="E2084">
        <f>IF(A2084="","",IF(SUMPRODUCT((Ввод!$F$12:$F$31&lt;&gt;"")*(Ввод!$F$12:$F$31&lt;=A2084)*(Ввод!$G$12:$G$31&gt;=A2084))&gt;0,1,0))</f>
        <v/>
      </c>
      <c r="F2084">
        <f>IF(OR(A2084="",B2084=""),"",IF(E2084=1,0,D2084*B2084/100/C2084))</f>
        <v/>
      </c>
      <c r="G2084">
        <f>IF(A2084="","",IF(OR(B2084&lt;&gt;B2083,C2084&lt;&gt;C2083,D2084&lt;&gt;D2083,E2084&lt;&gt;E2083),G2083+1,G2083))</f>
        <v/>
      </c>
    </row>
    <row r="2085">
      <c r="A2085" s="14">
        <f>IF(OR(NOT(ISNUMBER(Ввод!$B$5)),NOT(ISNUMBER(Ввод!$B$6))),"",IF(Ввод!$B$5+2083&gt;Ввод!$B$6,"",Ввод!$B$5+2083))</f>
        <v/>
      </c>
      <c r="B2085">
        <f>IF(A2085="","",IFERROR(INDEX(Ввод!$B$12:$B$71,MATCH(A2085,Ввод!$D$12:$D$71,1)),""))</f>
        <v/>
      </c>
      <c r="C2085">
        <f>IF(A2085="","",DATE(YEAR(A2085),12,31)-DATE(YEAR(A2085),1,1)+1)</f>
        <v/>
      </c>
      <c r="D2085">
        <f>IF(A2085="","",Ввод!$B$4-SUMIF(Оплаты!$A$6:$A$505,"&lt;"&amp;A2085,Оплаты!$B$6:$B$505))</f>
        <v/>
      </c>
      <c r="E2085">
        <f>IF(A2085="","",IF(SUMPRODUCT((Ввод!$F$12:$F$31&lt;&gt;"")*(Ввод!$F$12:$F$31&lt;=A2085)*(Ввод!$G$12:$G$31&gt;=A2085))&gt;0,1,0))</f>
        <v/>
      </c>
      <c r="F2085">
        <f>IF(OR(A2085="",B2085=""),"",IF(E2085=1,0,D2085*B2085/100/C2085))</f>
        <v/>
      </c>
      <c r="G2085">
        <f>IF(A2085="","",IF(OR(B2085&lt;&gt;B2084,C2085&lt;&gt;C2084,D2085&lt;&gt;D2084,E2085&lt;&gt;E2084),G2084+1,G2084))</f>
        <v/>
      </c>
    </row>
    <row r="2086">
      <c r="A2086" s="14">
        <f>IF(OR(NOT(ISNUMBER(Ввод!$B$5)),NOT(ISNUMBER(Ввод!$B$6))),"",IF(Ввод!$B$5+2084&gt;Ввод!$B$6,"",Ввод!$B$5+2084))</f>
        <v/>
      </c>
      <c r="B2086">
        <f>IF(A2086="","",IFERROR(INDEX(Ввод!$B$12:$B$71,MATCH(A2086,Ввод!$D$12:$D$71,1)),""))</f>
        <v/>
      </c>
      <c r="C2086">
        <f>IF(A2086="","",DATE(YEAR(A2086),12,31)-DATE(YEAR(A2086),1,1)+1)</f>
        <v/>
      </c>
      <c r="D2086">
        <f>IF(A2086="","",Ввод!$B$4-SUMIF(Оплаты!$A$6:$A$505,"&lt;"&amp;A2086,Оплаты!$B$6:$B$505))</f>
        <v/>
      </c>
      <c r="E2086">
        <f>IF(A2086="","",IF(SUMPRODUCT((Ввод!$F$12:$F$31&lt;&gt;"")*(Ввод!$F$12:$F$31&lt;=A2086)*(Ввод!$G$12:$G$31&gt;=A2086))&gt;0,1,0))</f>
        <v/>
      </c>
      <c r="F2086">
        <f>IF(OR(A2086="",B2086=""),"",IF(E2086=1,0,D2086*B2086/100/C2086))</f>
        <v/>
      </c>
      <c r="G2086">
        <f>IF(A2086="","",IF(OR(B2086&lt;&gt;B2085,C2086&lt;&gt;C2085,D2086&lt;&gt;D2085,E2086&lt;&gt;E2085),G2085+1,G2085))</f>
        <v/>
      </c>
    </row>
    <row r="2087">
      <c r="A2087" s="14">
        <f>IF(OR(NOT(ISNUMBER(Ввод!$B$5)),NOT(ISNUMBER(Ввод!$B$6))),"",IF(Ввод!$B$5+2085&gt;Ввод!$B$6,"",Ввод!$B$5+2085))</f>
        <v/>
      </c>
      <c r="B2087">
        <f>IF(A2087="","",IFERROR(INDEX(Ввод!$B$12:$B$71,MATCH(A2087,Ввод!$D$12:$D$71,1)),""))</f>
        <v/>
      </c>
      <c r="C2087">
        <f>IF(A2087="","",DATE(YEAR(A2087),12,31)-DATE(YEAR(A2087),1,1)+1)</f>
        <v/>
      </c>
      <c r="D2087">
        <f>IF(A2087="","",Ввод!$B$4-SUMIF(Оплаты!$A$6:$A$505,"&lt;"&amp;A2087,Оплаты!$B$6:$B$505))</f>
        <v/>
      </c>
      <c r="E2087">
        <f>IF(A2087="","",IF(SUMPRODUCT((Ввод!$F$12:$F$31&lt;&gt;"")*(Ввод!$F$12:$F$31&lt;=A2087)*(Ввод!$G$12:$G$31&gt;=A2087))&gt;0,1,0))</f>
        <v/>
      </c>
      <c r="F2087">
        <f>IF(OR(A2087="",B2087=""),"",IF(E2087=1,0,D2087*B2087/100/C2087))</f>
        <v/>
      </c>
      <c r="G2087">
        <f>IF(A2087="","",IF(OR(B2087&lt;&gt;B2086,C2087&lt;&gt;C2086,D2087&lt;&gt;D2086,E2087&lt;&gt;E2086),G2086+1,G2086))</f>
        <v/>
      </c>
    </row>
    <row r="2088">
      <c r="A2088" s="14">
        <f>IF(OR(NOT(ISNUMBER(Ввод!$B$5)),NOT(ISNUMBER(Ввод!$B$6))),"",IF(Ввод!$B$5+2086&gt;Ввод!$B$6,"",Ввод!$B$5+2086))</f>
        <v/>
      </c>
      <c r="B2088">
        <f>IF(A2088="","",IFERROR(INDEX(Ввод!$B$12:$B$71,MATCH(A2088,Ввод!$D$12:$D$71,1)),""))</f>
        <v/>
      </c>
      <c r="C2088">
        <f>IF(A2088="","",DATE(YEAR(A2088),12,31)-DATE(YEAR(A2088),1,1)+1)</f>
        <v/>
      </c>
      <c r="D2088">
        <f>IF(A2088="","",Ввод!$B$4-SUMIF(Оплаты!$A$6:$A$505,"&lt;"&amp;A2088,Оплаты!$B$6:$B$505))</f>
        <v/>
      </c>
      <c r="E2088">
        <f>IF(A2088="","",IF(SUMPRODUCT((Ввод!$F$12:$F$31&lt;&gt;"")*(Ввод!$F$12:$F$31&lt;=A2088)*(Ввод!$G$12:$G$31&gt;=A2088))&gt;0,1,0))</f>
        <v/>
      </c>
      <c r="F2088">
        <f>IF(OR(A2088="",B2088=""),"",IF(E2088=1,0,D2088*B2088/100/C2088))</f>
        <v/>
      </c>
      <c r="G2088">
        <f>IF(A2088="","",IF(OR(B2088&lt;&gt;B2087,C2088&lt;&gt;C2087,D2088&lt;&gt;D2087,E2088&lt;&gt;E2087),G2087+1,G2087))</f>
        <v/>
      </c>
    </row>
    <row r="2089">
      <c r="A2089" s="14">
        <f>IF(OR(NOT(ISNUMBER(Ввод!$B$5)),NOT(ISNUMBER(Ввод!$B$6))),"",IF(Ввод!$B$5+2087&gt;Ввод!$B$6,"",Ввод!$B$5+2087))</f>
        <v/>
      </c>
      <c r="B2089">
        <f>IF(A2089="","",IFERROR(INDEX(Ввод!$B$12:$B$71,MATCH(A2089,Ввод!$D$12:$D$71,1)),""))</f>
        <v/>
      </c>
      <c r="C2089">
        <f>IF(A2089="","",DATE(YEAR(A2089),12,31)-DATE(YEAR(A2089),1,1)+1)</f>
        <v/>
      </c>
      <c r="D2089">
        <f>IF(A2089="","",Ввод!$B$4-SUMIF(Оплаты!$A$6:$A$505,"&lt;"&amp;A2089,Оплаты!$B$6:$B$505))</f>
        <v/>
      </c>
      <c r="E2089">
        <f>IF(A2089="","",IF(SUMPRODUCT((Ввод!$F$12:$F$31&lt;&gt;"")*(Ввод!$F$12:$F$31&lt;=A2089)*(Ввод!$G$12:$G$31&gt;=A2089))&gt;0,1,0))</f>
        <v/>
      </c>
      <c r="F2089">
        <f>IF(OR(A2089="",B2089=""),"",IF(E2089=1,0,D2089*B2089/100/C2089))</f>
        <v/>
      </c>
      <c r="G2089">
        <f>IF(A2089="","",IF(OR(B2089&lt;&gt;B2088,C2089&lt;&gt;C2088,D2089&lt;&gt;D2088,E2089&lt;&gt;E2088),G2088+1,G2088))</f>
        <v/>
      </c>
    </row>
    <row r="2090">
      <c r="A2090" s="14">
        <f>IF(OR(NOT(ISNUMBER(Ввод!$B$5)),NOT(ISNUMBER(Ввод!$B$6))),"",IF(Ввод!$B$5+2088&gt;Ввод!$B$6,"",Ввод!$B$5+2088))</f>
        <v/>
      </c>
      <c r="B2090">
        <f>IF(A2090="","",IFERROR(INDEX(Ввод!$B$12:$B$71,MATCH(A2090,Ввод!$D$12:$D$71,1)),""))</f>
        <v/>
      </c>
      <c r="C2090">
        <f>IF(A2090="","",DATE(YEAR(A2090),12,31)-DATE(YEAR(A2090),1,1)+1)</f>
        <v/>
      </c>
      <c r="D2090">
        <f>IF(A2090="","",Ввод!$B$4-SUMIF(Оплаты!$A$6:$A$505,"&lt;"&amp;A2090,Оплаты!$B$6:$B$505))</f>
        <v/>
      </c>
      <c r="E2090">
        <f>IF(A2090="","",IF(SUMPRODUCT((Ввод!$F$12:$F$31&lt;&gt;"")*(Ввод!$F$12:$F$31&lt;=A2090)*(Ввод!$G$12:$G$31&gt;=A2090))&gt;0,1,0))</f>
        <v/>
      </c>
      <c r="F2090">
        <f>IF(OR(A2090="",B2090=""),"",IF(E2090=1,0,D2090*B2090/100/C2090))</f>
        <v/>
      </c>
      <c r="G2090">
        <f>IF(A2090="","",IF(OR(B2090&lt;&gt;B2089,C2090&lt;&gt;C2089,D2090&lt;&gt;D2089,E2090&lt;&gt;E2089),G2089+1,G2089))</f>
        <v/>
      </c>
    </row>
    <row r="2091">
      <c r="A2091" s="14">
        <f>IF(OR(NOT(ISNUMBER(Ввод!$B$5)),NOT(ISNUMBER(Ввод!$B$6))),"",IF(Ввод!$B$5+2089&gt;Ввод!$B$6,"",Ввод!$B$5+2089))</f>
        <v/>
      </c>
      <c r="B2091">
        <f>IF(A2091="","",IFERROR(INDEX(Ввод!$B$12:$B$71,MATCH(A2091,Ввод!$D$12:$D$71,1)),""))</f>
        <v/>
      </c>
      <c r="C2091">
        <f>IF(A2091="","",DATE(YEAR(A2091),12,31)-DATE(YEAR(A2091),1,1)+1)</f>
        <v/>
      </c>
      <c r="D2091">
        <f>IF(A2091="","",Ввод!$B$4-SUMIF(Оплаты!$A$6:$A$505,"&lt;"&amp;A2091,Оплаты!$B$6:$B$505))</f>
        <v/>
      </c>
      <c r="E2091">
        <f>IF(A2091="","",IF(SUMPRODUCT((Ввод!$F$12:$F$31&lt;&gt;"")*(Ввод!$F$12:$F$31&lt;=A2091)*(Ввод!$G$12:$G$31&gt;=A2091))&gt;0,1,0))</f>
        <v/>
      </c>
      <c r="F2091">
        <f>IF(OR(A2091="",B2091=""),"",IF(E2091=1,0,D2091*B2091/100/C2091))</f>
        <v/>
      </c>
      <c r="G2091">
        <f>IF(A2091="","",IF(OR(B2091&lt;&gt;B2090,C2091&lt;&gt;C2090,D2091&lt;&gt;D2090,E2091&lt;&gt;E2090),G2090+1,G2090))</f>
        <v/>
      </c>
    </row>
    <row r="2092">
      <c r="A2092" s="14">
        <f>IF(OR(NOT(ISNUMBER(Ввод!$B$5)),NOT(ISNUMBER(Ввод!$B$6))),"",IF(Ввод!$B$5+2090&gt;Ввод!$B$6,"",Ввод!$B$5+2090))</f>
        <v/>
      </c>
      <c r="B2092">
        <f>IF(A2092="","",IFERROR(INDEX(Ввод!$B$12:$B$71,MATCH(A2092,Ввод!$D$12:$D$71,1)),""))</f>
        <v/>
      </c>
      <c r="C2092">
        <f>IF(A2092="","",DATE(YEAR(A2092),12,31)-DATE(YEAR(A2092),1,1)+1)</f>
        <v/>
      </c>
      <c r="D2092">
        <f>IF(A2092="","",Ввод!$B$4-SUMIF(Оплаты!$A$6:$A$505,"&lt;"&amp;A2092,Оплаты!$B$6:$B$505))</f>
        <v/>
      </c>
      <c r="E2092">
        <f>IF(A2092="","",IF(SUMPRODUCT((Ввод!$F$12:$F$31&lt;&gt;"")*(Ввод!$F$12:$F$31&lt;=A2092)*(Ввод!$G$12:$G$31&gt;=A2092))&gt;0,1,0))</f>
        <v/>
      </c>
      <c r="F2092">
        <f>IF(OR(A2092="",B2092=""),"",IF(E2092=1,0,D2092*B2092/100/C2092))</f>
        <v/>
      </c>
      <c r="G2092">
        <f>IF(A2092="","",IF(OR(B2092&lt;&gt;B2091,C2092&lt;&gt;C2091,D2092&lt;&gt;D2091,E2092&lt;&gt;E2091),G2091+1,G2091))</f>
        <v/>
      </c>
    </row>
    <row r="2093">
      <c r="A2093" s="14">
        <f>IF(OR(NOT(ISNUMBER(Ввод!$B$5)),NOT(ISNUMBER(Ввод!$B$6))),"",IF(Ввод!$B$5+2091&gt;Ввод!$B$6,"",Ввод!$B$5+2091))</f>
        <v/>
      </c>
      <c r="B2093">
        <f>IF(A2093="","",IFERROR(INDEX(Ввод!$B$12:$B$71,MATCH(A2093,Ввод!$D$12:$D$71,1)),""))</f>
        <v/>
      </c>
      <c r="C2093">
        <f>IF(A2093="","",DATE(YEAR(A2093),12,31)-DATE(YEAR(A2093),1,1)+1)</f>
        <v/>
      </c>
      <c r="D2093">
        <f>IF(A2093="","",Ввод!$B$4-SUMIF(Оплаты!$A$6:$A$505,"&lt;"&amp;A2093,Оплаты!$B$6:$B$505))</f>
        <v/>
      </c>
      <c r="E2093">
        <f>IF(A2093="","",IF(SUMPRODUCT((Ввод!$F$12:$F$31&lt;&gt;"")*(Ввод!$F$12:$F$31&lt;=A2093)*(Ввод!$G$12:$G$31&gt;=A2093))&gt;0,1,0))</f>
        <v/>
      </c>
      <c r="F2093">
        <f>IF(OR(A2093="",B2093=""),"",IF(E2093=1,0,D2093*B2093/100/C2093))</f>
        <v/>
      </c>
      <c r="G2093">
        <f>IF(A2093="","",IF(OR(B2093&lt;&gt;B2092,C2093&lt;&gt;C2092,D2093&lt;&gt;D2092,E2093&lt;&gt;E2092),G2092+1,G2092))</f>
        <v/>
      </c>
    </row>
    <row r="2094">
      <c r="A2094" s="14">
        <f>IF(OR(NOT(ISNUMBER(Ввод!$B$5)),NOT(ISNUMBER(Ввод!$B$6))),"",IF(Ввод!$B$5+2092&gt;Ввод!$B$6,"",Ввод!$B$5+2092))</f>
        <v/>
      </c>
      <c r="B2094">
        <f>IF(A2094="","",IFERROR(INDEX(Ввод!$B$12:$B$71,MATCH(A2094,Ввод!$D$12:$D$71,1)),""))</f>
        <v/>
      </c>
      <c r="C2094">
        <f>IF(A2094="","",DATE(YEAR(A2094),12,31)-DATE(YEAR(A2094),1,1)+1)</f>
        <v/>
      </c>
      <c r="D2094">
        <f>IF(A2094="","",Ввод!$B$4-SUMIF(Оплаты!$A$6:$A$505,"&lt;"&amp;A2094,Оплаты!$B$6:$B$505))</f>
        <v/>
      </c>
      <c r="E2094">
        <f>IF(A2094="","",IF(SUMPRODUCT((Ввод!$F$12:$F$31&lt;&gt;"")*(Ввод!$F$12:$F$31&lt;=A2094)*(Ввод!$G$12:$G$31&gt;=A2094))&gt;0,1,0))</f>
        <v/>
      </c>
      <c r="F2094">
        <f>IF(OR(A2094="",B2094=""),"",IF(E2094=1,0,D2094*B2094/100/C2094))</f>
        <v/>
      </c>
      <c r="G2094">
        <f>IF(A2094="","",IF(OR(B2094&lt;&gt;B2093,C2094&lt;&gt;C2093,D2094&lt;&gt;D2093,E2094&lt;&gt;E2093),G2093+1,G2093))</f>
        <v/>
      </c>
    </row>
    <row r="2095">
      <c r="A2095" s="14">
        <f>IF(OR(NOT(ISNUMBER(Ввод!$B$5)),NOT(ISNUMBER(Ввод!$B$6))),"",IF(Ввод!$B$5+2093&gt;Ввод!$B$6,"",Ввод!$B$5+2093))</f>
        <v/>
      </c>
      <c r="B2095">
        <f>IF(A2095="","",IFERROR(INDEX(Ввод!$B$12:$B$71,MATCH(A2095,Ввод!$D$12:$D$71,1)),""))</f>
        <v/>
      </c>
      <c r="C2095">
        <f>IF(A2095="","",DATE(YEAR(A2095),12,31)-DATE(YEAR(A2095),1,1)+1)</f>
        <v/>
      </c>
      <c r="D2095">
        <f>IF(A2095="","",Ввод!$B$4-SUMIF(Оплаты!$A$6:$A$505,"&lt;"&amp;A2095,Оплаты!$B$6:$B$505))</f>
        <v/>
      </c>
      <c r="E2095">
        <f>IF(A2095="","",IF(SUMPRODUCT((Ввод!$F$12:$F$31&lt;&gt;"")*(Ввод!$F$12:$F$31&lt;=A2095)*(Ввод!$G$12:$G$31&gt;=A2095))&gt;0,1,0))</f>
        <v/>
      </c>
      <c r="F2095">
        <f>IF(OR(A2095="",B2095=""),"",IF(E2095=1,0,D2095*B2095/100/C2095))</f>
        <v/>
      </c>
      <c r="G2095">
        <f>IF(A2095="","",IF(OR(B2095&lt;&gt;B2094,C2095&lt;&gt;C2094,D2095&lt;&gt;D2094,E2095&lt;&gt;E2094),G2094+1,G2094))</f>
        <v/>
      </c>
    </row>
    <row r="2096">
      <c r="A2096" s="14">
        <f>IF(OR(NOT(ISNUMBER(Ввод!$B$5)),NOT(ISNUMBER(Ввод!$B$6))),"",IF(Ввод!$B$5+2094&gt;Ввод!$B$6,"",Ввод!$B$5+2094))</f>
        <v/>
      </c>
      <c r="B2096">
        <f>IF(A2096="","",IFERROR(INDEX(Ввод!$B$12:$B$71,MATCH(A2096,Ввод!$D$12:$D$71,1)),""))</f>
        <v/>
      </c>
      <c r="C2096">
        <f>IF(A2096="","",DATE(YEAR(A2096),12,31)-DATE(YEAR(A2096),1,1)+1)</f>
        <v/>
      </c>
      <c r="D2096">
        <f>IF(A2096="","",Ввод!$B$4-SUMIF(Оплаты!$A$6:$A$505,"&lt;"&amp;A2096,Оплаты!$B$6:$B$505))</f>
        <v/>
      </c>
      <c r="E2096">
        <f>IF(A2096="","",IF(SUMPRODUCT((Ввод!$F$12:$F$31&lt;&gt;"")*(Ввод!$F$12:$F$31&lt;=A2096)*(Ввод!$G$12:$G$31&gt;=A2096))&gt;0,1,0))</f>
        <v/>
      </c>
      <c r="F2096">
        <f>IF(OR(A2096="",B2096=""),"",IF(E2096=1,0,D2096*B2096/100/C2096))</f>
        <v/>
      </c>
      <c r="G2096">
        <f>IF(A2096="","",IF(OR(B2096&lt;&gt;B2095,C2096&lt;&gt;C2095,D2096&lt;&gt;D2095,E2096&lt;&gt;E2095),G2095+1,G2095))</f>
        <v/>
      </c>
    </row>
    <row r="2097">
      <c r="A2097" s="14">
        <f>IF(OR(NOT(ISNUMBER(Ввод!$B$5)),NOT(ISNUMBER(Ввод!$B$6))),"",IF(Ввод!$B$5+2095&gt;Ввод!$B$6,"",Ввод!$B$5+2095))</f>
        <v/>
      </c>
      <c r="B2097">
        <f>IF(A2097="","",IFERROR(INDEX(Ввод!$B$12:$B$71,MATCH(A2097,Ввод!$D$12:$D$71,1)),""))</f>
        <v/>
      </c>
      <c r="C2097">
        <f>IF(A2097="","",DATE(YEAR(A2097),12,31)-DATE(YEAR(A2097),1,1)+1)</f>
        <v/>
      </c>
      <c r="D2097">
        <f>IF(A2097="","",Ввод!$B$4-SUMIF(Оплаты!$A$6:$A$505,"&lt;"&amp;A2097,Оплаты!$B$6:$B$505))</f>
        <v/>
      </c>
      <c r="E2097">
        <f>IF(A2097="","",IF(SUMPRODUCT((Ввод!$F$12:$F$31&lt;&gt;"")*(Ввод!$F$12:$F$31&lt;=A2097)*(Ввод!$G$12:$G$31&gt;=A2097))&gt;0,1,0))</f>
        <v/>
      </c>
      <c r="F2097">
        <f>IF(OR(A2097="",B2097=""),"",IF(E2097=1,0,D2097*B2097/100/C2097))</f>
        <v/>
      </c>
      <c r="G2097">
        <f>IF(A2097="","",IF(OR(B2097&lt;&gt;B2096,C2097&lt;&gt;C2096,D2097&lt;&gt;D2096,E2097&lt;&gt;E2096),G2096+1,G2096))</f>
        <v/>
      </c>
    </row>
    <row r="2098">
      <c r="A2098" s="14">
        <f>IF(OR(NOT(ISNUMBER(Ввод!$B$5)),NOT(ISNUMBER(Ввод!$B$6))),"",IF(Ввод!$B$5+2096&gt;Ввод!$B$6,"",Ввод!$B$5+2096))</f>
        <v/>
      </c>
      <c r="B2098">
        <f>IF(A2098="","",IFERROR(INDEX(Ввод!$B$12:$B$71,MATCH(A2098,Ввод!$D$12:$D$71,1)),""))</f>
        <v/>
      </c>
      <c r="C2098">
        <f>IF(A2098="","",DATE(YEAR(A2098),12,31)-DATE(YEAR(A2098),1,1)+1)</f>
        <v/>
      </c>
      <c r="D2098">
        <f>IF(A2098="","",Ввод!$B$4-SUMIF(Оплаты!$A$6:$A$505,"&lt;"&amp;A2098,Оплаты!$B$6:$B$505))</f>
        <v/>
      </c>
      <c r="E2098">
        <f>IF(A2098="","",IF(SUMPRODUCT((Ввод!$F$12:$F$31&lt;&gt;"")*(Ввод!$F$12:$F$31&lt;=A2098)*(Ввод!$G$12:$G$31&gt;=A2098))&gt;0,1,0))</f>
        <v/>
      </c>
      <c r="F2098">
        <f>IF(OR(A2098="",B2098=""),"",IF(E2098=1,0,D2098*B2098/100/C2098))</f>
        <v/>
      </c>
      <c r="G2098">
        <f>IF(A2098="","",IF(OR(B2098&lt;&gt;B2097,C2098&lt;&gt;C2097,D2098&lt;&gt;D2097,E2098&lt;&gt;E2097),G2097+1,G2097))</f>
        <v/>
      </c>
    </row>
    <row r="2099">
      <c r="A2099" s="14">
        <f>IF(OR(NOT(ISNUMBER(Ввод!$B$5)),NOT(ISNUMBER(Ввод!$B$6))),"",IF(Ввод!$B$5+2097&gt;Ввод!$B$6,"",Ввод!$B$5+2097))</f>
        <v/>
      </c>
      <c r="B2099">
        <f>IF(A2099="","",IFERROR(INDEX(Ввод!$B$12:$B$71,MATCH(A2099,Ввод!$D$12:$D$71,1)),""))</f>
        <v/>
      </c>
      <c r="C2099">
        <f>IF(A2099="","",DATE(YEAR(A2099),12,31)-DATE(YEAR(A2099),1,1)+1)</f>
        <v/>
      </c>
      <c r="D2099">
        <f>IF(A2099="","",Ввод!$B$4-SUMIF(Оплаты!$A$6:$A$505,"&lt;"&amp;A2099,Оплаты!$B$6:$B$505))</f>
        <v/>
      </c>
      <c r="E2099">
        <f>IF(A2099="","",IF(SUMPRODUCT((Ввод!$F$12:$F$31&lt;&gt;"")*(Ввод!$F$12:$F$31&lt;=A2099)*(Ввод!$G$12:$G$31&gt;=A2099))&gt;0,1,0))</f>
        <v/>
      </c>
      <c r="F2099">
        <f>IF(OR(A2099="",B2099=""),"",IF(E2099=1,0,D2099*B2099/100/C2099))</f>
        <v/>
      </c>
      <c r="G2099">
        <f>IF(A2099="","",IF(OR(B2099&lt;&gt;B2098,C2099&lt;&gt;C2098,D2099&lt;&gt;D2098,E2099&lt;&gt;E2098),G2098+1,G2098))</f>
        <v/>
      </c>
    </row>
    <row r="2100">
      <c r="A2100" s="14">
        <f>IF(OR(NOT(ISNUMBER(Ввод!$B$5)),NOT(ISNUMBER(Ввод!$B$6))),"",IF(Ввод!$B$5+2098&gt;Ввод!$B$6,"",Ввод!$B$5+2098))</f>
        <v/>
      </c>
      <c r="B2100">
        <f>IF(A2100="","",IFERROR(INDEX(Ввод!$B$12:$B$71,MATCH(A2100,Ввод!$D$12:$D$71,1)),""))</f>
        <v/>
      </c>
      <c r="C2100">
        <f>IF(A2100="","",DATE(YEAR(A2100),12,31)-DATE(YEAR(A2100),1,1)+1)</f>
        <v/>
      </c>
      <c r="D2100">
        <f>IF(A2100="","",Ввод!$B$4-SUMIF(Оплаты!$A$6:$A$505,"&lt;"&amp;A2100,Оплаты!$B$6:$B$505))</f>
        <v/>
      </c>
      <c r="E2100">
        <f>IF(A2100="","",IF(SUMPRODUCT((Ввод!$F$12:$F$31&lt;&gt;"")*(Ввод!$F$12:$F$31&lt;=A2100)*(Ввод!$G$12:$G$31&gt;=A2100))&gt;0,1,0))</f>
        <v/>
      </c>
      <c r="F2100">
        <f>IF(OR(A2100="",B2100=""),"",IF(E2100=1,0,D2100*B2100/100/C2100))</f>
        <v/>
      </c>
      <c r="G2100">
        <f>IF(A2100="","",IF(OR(B2100&lt;&gt;B2099,C2100&lt;&gt;C2099,D2100&lt;&gt;D2099,E2100&lt;&gt;E2099),G2099+1,G2099))</f>
        <v/>
      </c>
    </row>
    <row r="2101">
      <c r="A2101" s="14">
        <f>IF(OR(NOT(ISNUMBER(Ввод!$B$5)),NOT(ISNUMBER(Ввод!$B$6))),"",IF(Ввод!$B$5+2099&gt;Ввод!$B$6,"",Ввод!$B$5+2099))</f>
        <v/>
      </c>
      <c r="B2101">
        <f>IF(A2101="","",IFERROR(INDEX(Ввод!$B$12:$B$71,MATCH(A2101,Ввод!$D$12:$D$71,1)),""))</f>
        <v/>
      </c>
      <c r="C2101">
        <f>IF(A2101="","",DATE(YEAR(A2101),12,31)-DATE(YEAR(A2101),1,1)+1)</f>
        <v/>
      </c>
      <c r="D2101">
        <f>IF(A2101="","",Ввод!$B$4-SUMIF(Оплаты!$A$6:$A$505,"&lt;"&amp;A2101,Оплаты!$B$6:$B$505))</f>
        <v/>
      </c>
      <c r="E2101">
        <f>IF(A2101="","",IF(SUMPRODUCT((Ввод!$F$12:$F$31&lt;&gt;"")*(Ввод!$F$12:$F$31&lt;=A2101)*(Ввод!$G$12:$G$31&gt;=A2101))&gt;0,1,0))</f>
        <v/>
      </c>
      <c r="F2101">
        <f>IF(OR(A2101="",B2101=""),"",IF(E2101=1,0,D2101*B2101/100/C2101))</f>
        <v/>
      </c>
      <c r="G2101">
        <f>IF(A2101="","",IF(OR(B2101&lt;&gt;B2100,C2101&lt;&gt;C2100,D2101&lt;&gt;D2100,E2101&lt;&gt;E2100),G2100+1,G2100))</f>
        <v/>
      </c>
    </row>
    <row r="2102">
      <c r="A2102" s="14">
        <f>IF(OR(NOT(ISNUMBER(Ввод!$B$5)),NOT(ISNUMBER(Ввод!$B$6))),"",IF(Ввод!$B$5+2100&gt;Ввод!$B$6,"",Ввод!$B$5+2100))</f>
        <v/>
      </c>
      <c r="B2102">
        <f>IF(A2102="","",IFERROR(INDEX(Ввод!$B$12:$B$71,MATCH(A2102,Ввод!$D$12:$D$71,1)),""))</f>
        <v/>
      </c>
      <c r="C2102">
        <f>IF(A2102="","",DATE(YEAR(A2102),12,31)-DATE(YEAR(A2102),1,1)+1)</f>
        <v/>
      </c>
      <c r="D2102">
        <f>IF(A2102="","",Ввод!$B$4-SUMIF(Оплаты!$A$6:$A$505,"&lt;"&amp;A2102,Оплаты!$B$6:$B$505))</f>
        <v/>
      </c>
      <c r="E2102">
        <f>IF(A2102="","",IF(SUMPRODUCT((Ввод!$F$12:$F$31&lt;&gt;"")*(Ввод!$F$12:$F$31&lt;=A2102)*(Ввод!$G$12:$G$31&gt;=A2102))&gt;0,1,0))</f>
        <v/>
      </c>
      <c r="F2102">
        <f>IF(OR(A2102="",B2102=""),"",IF(E2102=1,0,D2102*B2102/100/C2102))</f>
        <v/>
      </c>
      <c r="G2102">
        <f>IF(A2102="","",IF(OR(B2102&lt;&gt;B2101,C2102&lt;&gt;C2101,D2102&lt;&gt;D2101,E2102&lt;&gt;E2101),G2101+1,G2101))</f>
        <v/>
      </c>
    </row>
    <row r="2103">
      <c r="A2103" s="14">
        <f>IF(OR(NOT(ISNUMBER(Ввод!$B$5)),NOT(ISNUMBER(Ввод!$B$6))),"",IF(Ввод!$B$5+2101&gt;Ввод!$B$6,"",Ввод!$B$5+2101))</f>
        <v/>
      </c>
      <c r="B2103">
        <f>IF(A2103="","",IFERROR(INDEX(Ввод!$B$12:$B$71,MATCH(A2103,Ввод!$D$12:$D$71,1)),""))</f>
        <v/>
      </c>
      <c r="C2103">
        <f>IF(A2103="","",DATE(YEAR(A2103),12,31)-DATE(YEAR(A2103),1,1)+1)</f>
        <v/>
      </c>
      <c r="D2103">
        <f>IF(A2103="","",Ввод!$B$4-SUMIF(Оплаты!$A$6:$A$505,"&lt;"&amp;A2103,Оплаты!$B$6:$B$505))</f>
        <v/>
      </c>
      <c r="E2103">
        <f>IF(A2103="","",IF(SUMPRODUCT((Ввод!$F$12:$F$31&lt;&gt;"")*(Ввод!$F$12:$F$31&lt;=A2103)*(Ввод!$G$12:$G$31&gt;=A2103))&gt;0,1,0))</f>
        <v/>
      </c>
      <c r="F2103">
        <f>IF(OR(A2103="",B2103=""),"",IF(E2103=1,0,D2103*B2103/100/C2103))</f>
        <v/>
      </c>
      <c r="G2103">
        <f>IF(A2103="","",IF(OR(B2103&lt;&gt;B2102,C2103&lt;&gt;C2102,D2103&lt;&gt;D2102,E2103&lt;&gt;E2102),G2102+1,G2102))</f>
        <v/>
      </c>
    </row>
    <row r="2104">
      <c r="A2104" s="14">
        <f>IF(OR(NOT(ISNUMBER(Ввод!$B$5)),NOT(ISNUMBER(Ввод!$B$6))),"",IF(Ввод!$B$5+2102&gt;Ввод!$B$6,"",Ввод!$B$5+2102))</f>
        <v/>
      </c>
      <c r="B2104">
        <f>IF(A2104="","",IFERROR(INDEX(Ввод!$B$12:$B$71,MATCH(A2104,Ввод!$D$12:$D$71,1)),""))</f>
        <v/>
      </c>
      <c r="C2104">
        <f>IF(A2104="","",DATE(YEAR(A2104),12,31)-DATE(YEAR(A2104),1,1)+1)</f>
        <v/>
      </c>
      <c r="D2104">
        <f>IF(A2104="","",Ввод!$B$4-SUMIF(Оплаты!$A$6:$A$505,"&lt;"&amp;A2104,Оплаты!$B$6:$B$505))</f>
        <v/>
      </c>
      <c r="E2104">
        <f>IF(A2104="","",IF(SUMPRODUCT((Ввод!$F$12:$F$31&lt;&gt;"")*(Ввод!$F$12:$F$31&lt;=A2104)*(Ввод!$G$12:$G$31&gt;=A2104))&gt;0,1,0))</f>
        <v/>
      </c>
      <c r="F2104">
        <f>IF(OR(A2104="",B2104=""),"",IF(E2104=1,0,D2104*B2104/100/C2104))</f>
        <v/>
      </c>
      <c r="G2104">
        <f>IF(A2104="","",IF(OR(B2104&lt;&gt;B2103,C2104&lt;&gt;C2103,D2104&lt;&gt;D2103,E2104&lt;&gt;E2103),G2103+1,G2103))</f>
        <v/>
      </c>
    </row>
    <row r="2105">
      <c r="A2105" s="14">
        <f>IF(OR(NOT(ISNUMBER(Ввод!$B$5)),NOT(ISNUMBER(Ввод!$B$6))),"",IF(Ввод!$B$5+2103&gt;Ввод!$B$6,"",Ввод!$B$5+2103))</f>
        <v/>
      </c>
      <c r="B2105">
        <f>IF(A2105="","",IFERROR(INDEX(Ввод!$B$12:$B$71,MATCH(A2105,Ввод!$D$12:$D$71,1)),""))</f>
        <v/>
      </c>
      <c r="C2105">
        <f>IF(A2105="","",DATE(YEAR(A2105),12,31)-DATE(YEAR(A2105),1,1)+1)</f>
        <v/>
      </c>
      <c r="D2105">
        <f>IF(A2105="","",Ввод!$B$4-SUMIF(Оплаты!$A$6:$A$505,"&lt;"&amp;A2105,Оплаты!$B$6:$B$505))</f>
        <v/>
      </c>
      <c r="E2105">
        <f>IF(A2105="","",IF(SUMPRODUCT((Ввод!$F$12:$F$31&lt;&gt;"")*(Ввод!$F$12:$F$31&lt;=A2105)*(Ввод!$G$12:$G$31&gt;=A2105))&gt;0,1,0))</f>
        <v/>
      </c>
      <c r="F2105">
        <f>IF(OR(A2105="",B2105=""),"",IF(E2105=1,0,D2105*B2105/100/C2105))</f>
        <v/>
      </c>
      <c r="G2105">
        <f>IF(A2105="","",IF(OR(B2105&lt;&gt;B2104,C2105&lt;&gt;C2104,D2105&lt;&gt;D2104,E2105&lt;&gt;E2104),G2104+1,G2104))</f>
        <v/>
      </c>
    </row>
    <row r="2106">
      <c r="A2106" s="14">
        <f>IF(OR(NOT(ISNUMBER(Ввод!$B$5)),NOT(ISNUMBER(Ввод!$B$6))),"",IF(Ввод!$B$5+2104&gt;Ввод!$B$6,"",Ввод!$B$5+2104))</f>
        <v/>
      </c>
      <c r="B2106">
        <f>IF(A2106="","",IFERROR(INDEX(Ввод!$B$12:$B$71,MATCH(A2106,Ввод!$D$12:$D$71,1)),""))</f>
        <v/>
      </c>
      <c r="C2106">
        <f>IF(A2106="","",DATE(YEAR(A2106),12,31)-DATE(YEAR(A2106),1,1)+1)</f>
        <v/>
      </c>
      <c r="D2106">
        <f>IF(A2106="","",Ввод!$B$4-SUMIF(Оплаты!$A$6:$A$505,"&lt;"&amp;A2106,Оплаты!$B$6:$B$505))</f>
        <v/>
      </c>
      <c r="E2106">
        <f>IF(A2106="","",IF(SUMPRODUCT((Ввод!$F$12:$F$31&lt;&gt;"")*(Ввод!$F$12:$F$31&lt;=A2106)*(Ввод!$G$12:$G$31&gt;=A2106))&gt;0,1,0))</f>
        <v/>
      </c>
      <c r="F2106">
        <f>IF(OR(A2106="",B2106=""),"",IF(E2106=1,0,D2106*B2106/100/C2106))</f>
        <v/>
      </c>
      <c r="G2106">
        <f>IF(A2106="","",IF(OR(B2106&lt;&gt;B2105,C2106&lt;&gt;C2105,D2106&lt;&gt;D2105,E2106&lt;&gt;E2105),G2105+1,G2105))</f>
        <v/>
      </c>
    </row>
    <row r="2107">
      <c r="A2107" s="14">
        <f>IF(OR(NOT(ISNUMBER(Ввод!$B$5)),NOT(ISNUMBER(Ввод!$B$6))),"",IF(Ввод!$B$5+2105&gt;Ввод!$B$6,"",Ввод!$B$5+2105))</f>
        <v/>
      </c>
      <c r="B2107">
        <f>IF(A2107="","",IFERROR(INDEX(Ввод!$B$12:$B$71,MATCH(A2107,Ввод!$D$12:$D$71,1)),""))</f>
        <v/>
      </c>
      <c r="C2107">
        <f>IF(A2107="","",DATE(YEAR(A2107),12,31)-DATE(YEAR(A2107),1,1)+1)</f>
        <v/>
      </c>
      <c r="D2107">
        <f>IF(A2107="","",Ввод!$B$4-SUMIF(Оплаты!$A$6:$A$505,"&lt;"&amp;A2107,Оплаты!$B$6:$B$505))</f>
        <v/>
      </c>
      <c r="E2107">
        <f>IF(A2107="","",IF(SUMPRODUCT((Ввод!$F$12:$F$31&lt;&gt;"")*(Ввод!$F$12:$F$31&lt;=A2107)*(Ввод!$G$12:$G$31&gt;=A2107))&gt;0,1,0))</f>
        <v/>
      </c>
      <c r="F2107">
        <f>IF(OR(A2107="",B2107=""),"",IF(E2107=1,0,D2107*B2107/100/C2107))</f>
        <v/>
      </c>
      <c r="G2107">
        <f>IF(A2107="","",IF(OR(B2107&lt;&gt;B2106,C2107&lt;&gt;C2106,D2107&lt;&gt;D2106,E2107&lt;&gt;E2106),G2106+1,G2106))</f>
        <v/>
      </c>
    </row>
    <row r="2108">
      <c r="A2108" s="14">
        <f>IF(OR(NOT(ISNUMBER(Ввод!$B$5)),NOT(ISNUMBER(Ввод!$B$6))),"",IF(Ввод!$B$5+2106&gt;Ввод!$B$6,"",Ввод!$B$5+2106))</f>
        <v/>
      </c>
      <c r="B2108">
        <f>IF(A2108="","",IFERROR(INDEX(Ввод!$B$12:$B$71,MATCH(A2108,Ввод!$D$12:$D$71,1)),""))</f>
        <v/>
      </c>
      <c r="C2108">
        <f>IF(A2108="","",DATE(YEAR(A2108),12,31)-DATE(YEAR(A2108),1,1)+1)</f>
        <v/>
      </c>
      <c r="D2108">
        <f>IF(A2108="","",Ввод!$B$4-SUMIF(Оплаты!$A$6:$A$505,"&lt;"&amp;A2108,Оплаты!$B$6:$B$505))</f>
        <v/>
      </c>
      <c r="E2108">
        <f>IF(A2108="","",IF(SUMPRODUCT((Ввод!$F$12:$F$31&lt;&gt;"")*(Ввод!$F$12:$F$31&lt;=A2108)*(Ввод!$G$12:$G$31&gt;=A2108))&gt;0,1,0))</f>
        <v/>
      </c>
      <c r="F2108">
        <f>IF(OR(A2108="",B2108=""),"",IF(E2108=1,0,D2108*B2108/100/C2108))</f>
        <v/>
      </c>
      <c r="G2108">
        <f>IF(A2108="","",IF(OR(B2108&lt;&gt;B2107,C2108&lt;&gt;C2107,D2108&lt;&gt;D2107,E2108&lt;&gt;E2107),G2107+1,G2107))</f>
        <v/>
      </c>
    </row>
    <row r="2109">
      <c r="A2109" s="14">
        <f>IF(OR(NOT(ISNUMBER(Ввод!$B$5)),NOT(ISNUMBER(Ввод!$B$6))),"",IF(Ввод!$B$5+2107&gt;Ввод!$B$6,"",Ввод!$B$5+2107))</f>
        <v/>
      </c>
      <c r="B2109">
        <f>IF(A2109="","",IFERROR(INDEX(Ввод!$B$12:$B$71,MATCH(A2109,Ввод!$D$12:$D$71,1)),""))</f>
        <v/>
      </c>
      <c r="C2109">
        <f>IF(A2109="","",DATE(YEAR(A2109),12,31)-DATE(YEAR(A2109),1,1)+1)</f>
        <v/>
      </c>
      <c r="D2109">
        <f>IF(A2109="","",Ввод!$B$4-SUMIF(Оплаты!$A$6:$A$505,"&lt;"&amp;A2109,Оплаты!$B$6:$B$505))</f>
        <v/>
      </c>
      <c r="E2109">
        <f>IF(A2109="","",IF(SUMPRODUCT((Ввод!$F$12:$F$31&lt;&gt;"")*(Ввод!$F$12:$F$31&lt;=A2109)*(Ввод!$G$12:$G$31&gt;=A2109))&gt;0,1,0))</f>
        <v/>
      </c>
      <c r="F2109">
        <f>IF(OR(A2109="",B2109=""),"",IF(E2109=1,0,D2109*B2109/100/C2109))</f>
        <v/>
      </c>
      <c r="G2109">
        <f>IF(A2109="","",IF(OR(B2109&lt;&gt;B2108,C2109&lt;&gt;C2108,D2109&lt;&gt;D2108,E2109&lt;&gt;E2108),G2108+1,G2108))</f>
        <v/>
      </c>
    </row>
    <row r="2110">
      <c r="A2110" s="14">
        <f>IF(OR(NOT(ISNUMBER(Ввод!$B$5)),NOT(ISNUMBER(Ввод!$B$6))),"",IF(Ввод!$B$5+2108&gt;Ввод!$B$6,"",Ввод!$B$5+2108))</f>
        <v/>
      </c>
      <c r="B2110">
        <f>IF(A2110="","",IFERROR(INDEX(Ввод!$B$12:$B$71,MATCH(A2110,Ввод!$D$12:$D$71,1)),""))</f>
        <v/>
      </c>
      <c r="C2110">
        <f>IF(A2110="","",DATE(YEAR(A2110),12,31)-DATE(YEAR(A2110),1,1)+1)</f>
        <v/>
      </c>
      <c r="D2110">
        <f>IF(A2110="","",Ввод!$B$4-SUMIF(Оплаты!$A$6:$A$505,"&lt;"&amp;A2110,Оплаты!$B$6:$B$505))</f>
        <v/>
      </c>
      <c r="E2110">
        <f>IF(A2110="","",IF(SUMPRODUCT((Ввод!$F$12:$F$31&lt;&gt;"")*(Ввод!$F$12:$F$31&lt;=A2110)*(Ввод!$G$12:$G$31&gt;=A2110))&gt;0,1,0))</f>
        <v/>
      </c>
      <c r="F2110">
        <f>IF(OR(A2110="",B2110=""),"",IF(E2110=1,0,D2110*B2110/100/C2110))</f>
        <v/>
      </c>
      <c r="G2110">
        <f>IF(A2110="","",IF(OR(B2110&lt;&gt;B2109,C2110&lt;&gt;C2109,D2110&lt;&gt;D2109,E2110&lt;&gt;E2109),G2109+1,G2109))</f>
        <v/>
      </c>
    </row>
    <row r="2111">
      <c r="A2111" s="14">
        <f>IF(OR(NOT(ISNUMBER(Ввод!$B$5)),NOT(ISNUMBER(Ввод!$B$6))),"",IF(Ввод!$B$5+2109&gt;Ввод!$B$6,"",Ввод!$B$5+2109))</f>
        <v/>
      </c>
      <c r="B2111">
        <f>IF(A2111="","",IFERROR(INDEX(Ввод!$B$12:$B$71,MATCH(A2111,Ввод!$D$12:$D$71,1)),""))</f>
        <v/>
      </c>
      <c r="C2111">
        <f>IF(A2111="","",DATE(YEAR(A2111),12,31)-DATE(YEAR(A2111),1,1)+1)</f>
        <v/>
      </c>
      <c r="D2111">
        <f>IF(A2111="","",Ввод!$B$4-SUMIF(Оплаты!$A$6:$A$505,"&lt;"&amp;A2111,Оплаты!$B$6:$B$505))</f>
        <v/>
      </c>
      <c r="E2111">
        <f>IF(A2111="","",IF(SUMPRODUCT((Ввод!$F$12:$F$31&lt;&gt;"")*(Ввод!$F$12:$F$31&lt;=A2111)*(Ввод!$G$12:$G$31&gt;=A2111))&gt;0,1,0))</f>
        <v/>
      </c>
      <c r="F2111">
        <f>IF(OR(A2111="",B2111=""),"",IF(E2111=1,0,D2111*B2111/100/C2111))</f>
        <v/>
      </c>
      <c r="G2111">
        <f>IF(A2111="","",IF(OR(B2111&lt;&gt;B2110,C2111&lt;&gt;C2110,D2111&lt;&gt;D2110,E2111&lt;&gt;E2110),G2110+1,G2110))</f>
        <v/>
      </c>
    </row>
    <row r="2112">
      <c r="A2112" s="14">
        <f>IF(OR(NOT(ISNUMBER(Ввод!$B$5)),NOT(ISNUMBER(Ввод!$B$6))),"",IF(Ввод!$B$5+2110&gt;Ввод!$B$6,"",Ввод!$B$5+2110))</f>
        <v/>
      </c>
      <c r="B2112">
        <f>IF(A2112="","",IFERROR(INDEX(Ввод!$B$12:$B$71,MATCH(A2112,Ввод!$D$12:$D$71,1)),""))</f>
        <v/>
      </c>
      <c r="C2112">
        <f>IF(A2112="","",DATE(YEAR(A2112),12,31)-DATE(YEAR(A2112),1,1)+1)</f>
        <v/>
      </c>
      <c r="D2112">
        <f>IF(A2112="","",Ввод!$B$4-SUMIF(Оплаты!$A$6:$A$505,"&lt;"&amp;A2112,Оплаты!$B$6:$B$505))</f>
        <v/>
      </c>
      <c r="E2112">
        <f>IF(A2112="","",IF(SUMPRODUCT((Ввод!$F$12:$F$31&lt;&gt;"")*(Ввод!$F$12:$F$31&lt;=A2112)*(Ввод!$G$12:$G$31&gt;=A2112))&gt;0,1,0))</f>
        <v/>
      </c>
      <c r="F2112">
        <f>IF(OR(A2112="",B2112=""),"",IF(E2112=1,0,D2112*B2112/100/C2112))</f>
        <v/>
      </c>
      <c r="G2112">
        <f>IF(A2112="","",IF(OR(B2112&lt;&gt;B2111,C2112&lt;&gt;C2111,D2112&lt;&gt;D2111,E2112&lt;&gt;E2111),G2111+1,G2111))</f>
        <v/>
      </c>
    </row>
    <row r="2113">
      <c r="A2113" s="14">
        <f>IF(OR(NOT(ISNUMBER(Ввод!$B$5)),NOT(ISNUMBER(Ввод!$B$6))),"",IF(Ввод!$B$5+2111&gt;Ввод!$B$6,"",Ввод!$B$5+2111))</f>
        <v/>
      </c>
      <c r="B2113">
        <f>IF(A2113="","",IFERROR(INDEX(Ввод!$B$12:$B$71,MATCH(A2113,Ввод!$D$12:$D$71,1)),""))</f>
        <v/>
      </c>
      <c r="C2113">
        <f>IF(A2113="","",DATE(YEAR(A2113),12,31)-DATE(YEAR(A2113),1,1)+1)</f>
        <v/>
      </c>
      <c r="D2113">
        <f>IF(A2113="","",Ввод!$B$4-SUMIF(Оплаты!$A$6:$A$505,"&lt;"&amp;A2113,Оплаты!$B$6:$B$505))</f>
        <v/>
      </c>
      <c r="E2113">
        <f>IF(A2113="","",IF(SUMPRODUCT((Ввод!$F$12:$F$31&lt;&gt;"")*(Ввод!$F$12:$F$31&lt;=A2113)*(Ввод!$G$12:$G$31&gt;=A2113))&gt;0,1,0))</f>
        <v/>
      </c>
      <c r="F2113">
        <f>IF(OR(A2113="",B2113=""),"",IF(E2113=1,0,D2113*B2113/100/C2113))</f>
        <v/>
      </c>
      <c r="G2113">
        <f>IF(A2113="","",IF(OR(B2113&lt;&gt;B2112,C2113&lt;&gt;C2112,D2113&lt;&gt;D2112,E2113&lt;&gt;E2112),G2112+1,G2112))</f>
        <v/>
      </c>
    </row>
    <row r="2114">
      <c r="A2114" s="14">
        <f>IF(OR(NOT(ISNUMBER(Ввод!$B$5)),NOT(ISNUMBER(Ввод!$B$6))),"",IF(Ввод!$B$5+2112&gt;Ввод!$B$6,"",Ввод!$B$5+2112))</f>
        <v/>
      </c>
      <c r="B2114">
        <f>IF(A2114="","",IFERROR(INDEX(Ввод!$B$12:$B$71,MATCH(A2114,Ввод!$D$12:$D$71,1)),""))</f>
        <v/>
      </c>
      <c r="C2114">
        <f>IF(A2114="","",DATE(YEAR(A2114),12,31)-DATE(YEAR(A2114),1,1)+1)</f>
        <v/>
      </c>
      <c r="D2114">
        <f>IF(A2114="","",Ввод!$B$4-SUMIF(Оплаты!$A$6:$A$505,"&lt;"&amp;A2114,Оплаты!$B$6:$B$505))</f>
        <v/>
      </c>
      <c r="E2114">
        <f>IF(A2114="","",IF(SUMPRODUCT((Ввод!$F$12:$F$31&lt;&gt;"")*(Ввод!$F$12:$F$31&lt;=A2114)*(Ввод!$G$12:$G$31&gt;=A2114))&gt;0,1,0))</f>
        <v/>
      </c>
      <c r="F2114">
        <f>IF(OR(A2114="",B2114=""),"",IF(E2114=1,0,D2114*B2114/100/C2114))</f>
        <v/>
      </c>
      <c r="G2114">
        <f>IF(A2114="","",IF(OR(B2114&lt;&gt;B2113,C2114&lt;&gt;C2113,D2114&lt;&gt;D2113,E2114&lt;&gt;E2113),G2113+1,G2113))</f>
        <v/>
      </c>
    </row>
    <row r="2115">
      <c r="A2115" s="14">
        <f>IF(OR(NOT(ISNUMBER(Ввод!$B$5)),NOT(ISNUMBER(Ввод!$B$6))),"",IF(Ввод!$B$5+2113&gt;Ввод!$B$6,"",Ввод!$B$5+2113))</f>
        <v/>
      </c>
      <c r="B2115">
        <f>IF(A2115="","",IFERROR(INDEX(Ввод!$B$12:$B$71,MATCH(A2115,Ввод!$D$12:$D$71,1)),""))</f>
        <v/>
      </c>
      <c r="C2115">
        <f>IF(A2115="","",DATE(YEAR(A2115),12,31)-DATE(YEAR(A2115),1,1)+1)</f>
        <v/>
      </c>
      <c r="D2115">
        <f>IF(A2115="","",Ввод!$B$4-SUMIF(Оплаты!$A$6:$A$505,"&lt;"&amp;A2115,Оплаты!$B$6:$B$505))</f>
        <v/>
      </c>
      <c r="E2115">
        <f>IF(A2115="","",IF(SUMPRODUCT((Ввод!$F$12:$F$31&lt;&gt;"")*(Ввод!$F$12:$F$31&lt;=A2115)*(Ввод!$G$12:$G$31&gt;=A2115))&gt;0,1,0))</f>
        <v/>
      </c>
      <c r="F2115">
        <f>IF(OR(A2115="",B2115=""),"",IF(E2115=1,0,D2115*B2115/100/C2115))</f>
        <v/>
      </c>
      <c r="G2115">
        <f>IF(A2115="","",IF(OR(B2115&lt;&gt;B2114,C2115&lt;&gt;C2114,D2115&lt;&gt;D2114,E2115&lt;&gt;E2114),G2114+1,G2114))</f>
        <v/>
      </c>
    </row>
    <row r="2116">
      <c r="A2116" s="14">
        <f>IF(OR(NOT(ISNUMBER(Ввод!$B$5)),NOT(ISNUMBER(Ввод!$B$6))),"",IF(Ввод!$B$5+2114&gt;Ввод!$B$6,"",Ввод!$B$5+2114))</f>
        <v/>
      </c>
      <c r="B2116">
        <f>IF(A2116="","",IFERROR(INDEX(Ввод!$B$12:$B$71,MATCH(A2116,Ввод!$D$12:$D$71,1)),""))</f>
        <v/>
      </c>
      <c r="C2116">
        <f>IF(A2116="","",DATE(YEAR(A2116),12,31)-DATE(YEAR(A2116),1,1)+1)</f>
        <v/>
      </c>
      <c r="D2116">
        <f>IF(A2116="","",Ввод!$B$4-SUMIF(Оплаты!$A$6:$A$505,"&lt;"&amp;A2116,Оплаты!$B$6:$B$505))</f>
        <v/>
      </c>
      <c r="E2116">
        <f>IF(A2116="","",IF(SUMPRODUCT((Ввод!$F$12:$F$31&lt;&gt;"")*(Ввод!$F$12:$F$31&lt;=A2116)*(Ввод!$G$12:$G$31&gt;=A2116))&gt;0,1,0))</f>
        <v/>
      </c>
      <c r="F2116">
        <f>IF(OR(A2116="",B2116=""),"",IF(E2116=1,0,D2116*B2116/100/C2116))</f>
        <v/>
      </c>
      <c r="G2116">
        <f>IF(A2116="","",IF(OR(B2116&lt;&gt;B2115,C2116&lt;&gt;C2115,D2116&lt;&gt;D2115,E2116&lt;&gt;E2115),G2115+1,G2115))</f>
        <v/>
      </c>
    </row>
    <row r="2117">
      <c r="A2117" s="14">
        <f>IF(OR(NOT(ISNUMBER(Ввод!$B$5)),NOT(ISNUMBER(Ввод!$B$6))),"",IF(Ввод!$B$5+2115&gt;Ввод!$B$6,"",Ввод!$B$5+2115))</f>
        <v/>
      </c>
      <c r="B2117">
        <f>IF(A2117="","",IFERROR(INDEX(Ввод!$B$12:$B$71,MATCH(A2117,Ввод!$D$12:$D$71,1)),""))</f>
        <v/>
      </c>
      <c r="C2117">
        <f>IF(A2117="","",DATE(YEAR(A2117),12,31)-DATE(YEAR(A2117),1,1)+1)</f>
        <v/>
      </c>
      <c r="D2117">
        <f>IF(A2117="","",Ввод!$B$4-SUMIF(Оплаты!$A$6:$A$505,"&lt;"&amp;A2117,Оплаты!$B$6:$B$505))</f>
        <v/>
      </c>
      <c r="E2117">
        <f>IF(A2117="","",IF(SUMPRODUCT((Ввод!$F$12:$F$31&lt;&gt;"")*(Ввод!$F$12:$F$31&lt;=A2117)*(Ввод!$G$12:$G$31&gt;=A2117))&gt;0,1,0))</f>
        <v/>
      </c>
      <c r="F2117">
        <f>IF(OR(A2117="",B2117=""),"",IF(E2117=1,0,D2117*B2117/100/C2117))</f>
        <v/>
      </c>
      <c r="G2117">
        <f>IF(A2117="","",IF(OR(B2117&lt;&gt;B2116,C2117&lt;&gt;C2116,D2117&lt;&gt;D2116,E2117&lt;&gt;E2116),G2116+1,G2116))</f>
        <v/>
      </c>
    </row>
    <row r="2118">
      <c r="A2118" s="14">
        <f>IF(OR(NOT(ISNUMBER(Ввод!$B$5)),NOT(ISNUMBER(Ввод!$B$6))),"",IF(Ввод!$B$5+2116&gt;Ввод!$B$6,"",Ввод!$B$5+2116))</f>
        <v/>
      </c>
      <c r="B2118">
        <f>IF(A2118="","",IFERROR(INDEX(Ввод!$B$12:$B$71,MATCH(A2118,Ввод!$D$12:$D$71,1)),""))</f>
        <v/>
      </c>
      <c r="C2118">
        <f>IF(A2118="","",DATE(YEAR(A2118),12,31)-DATE(YEAR(A2118),1,1)+1)</f>
        <v/>
      </c>
      <c r="D2118">
        <f>IF(A2118="","",Ввод!$B$4-SUMIF(Оплаты!$A$6:$A$505,"&lt;"&amp;A2118,Оплаты!$B$6:$B$505))</f>
        <v/>
      </c>
      <c r="E2118">
        <f>IF(A2118="","",IF(SUMPRODUCT((Ввод!$F$12:$F$31&lt;&gt;"")*(Ввод!$F$12:$F$31&lt;=A2118)*(Ввод!$G$12:$G$31&gt;=A2118))&gt;0,1,0))</f>
        <v/>
      </c>
      <c r="F2118">
        <f>IF(OR(A2118="",B2118=""),"",IF(E2118=1,0,D2118*B2118/100/C2118))</f>
        <v/>
      </c>
      <c r="G2118">
        <f>IF(A2118="","",IF(OR(B2118&lt;&gt;B2117,C2118&lt;&gt;C2117,D2118&lt;&gt;D2117,E2118&lt;&gt;E2117),G2117+1,G2117))</f>
        <v/>
      </c>
    </row>
    <row r="2119">
      <c r="A2119" s="14">
        <f>IF(OR(NOT(ISNUMBER(Ввод!$B$5)),NOT(ISNUMBER(Ввод!$B$6))),"",IF(Ввод!$B$5+2117&gt;Ввод!$B$6,"",Ввод!$B$5+2117))</f>
        <v/>
      </c>
      <c r="B2119">
        <f>IF(A2119="","",IFERROR(INDEX(Ввод!$B$12:$B$71,MATCH(A2119,Ввод!$D$12:$D$71,1)),""))</f>
        <v/>
      </c>
      <c r="C2119">
        <f>IF(A2119="","",DATE(YEAR(A2119),12,31)-DATE(YEAR(A2119),1,1)+1)</f>
        <v/>
      </c>
      <c r="D2119">
        <f>IF(A2119="","",Ввод!$B$4-SUMIF(Оплаты!$A$6:$A$505,"&lt;"&amp;A2119,Оплаты!$B$6:$B$505))</f>
        <v/>
      </c>
      <c r="E2119">
        <f>IF(A2119="","",IF(SUMPRODUCT((Ввод!$F$12:$F$31&lt;&gt;"")*(Ввод!$F$12:$F$31&lt;=A2119)*(Ввод!$G$12:$G$31&gt;=A2119))&gt;0,1,0))</f>
        <v/>
      </c>
      <c r="F2119">
        <f>IF(OR(A2119="",B2119=""),"",IF(E2119=1,0,D2119*B2119/100/C2119))</f>
        <v/>
      </c>
      <c r="G2119">
        <f>IF(A2119="","",IF(OR(B2119&lt;&gt;B2118,C2119&lt;&gt;C2118,D2119&lt;&gt;D2118,E2119&lt;&gt;E2118),G2118+1,G2118))</f>
        <v/>
      </c>
    </row>
    <row r="2120">
      <c r="A2120" s="14">
        <f>IF(OR(NOT(ISNUMBER(Ввод!$B$5)),NOT(ISNUMBER(Ввод!$B$6))),"",IF(Ввод!$B$5+2118&gt;Ввод!$B$6,"",Ввод!$B$5+2118))</f>
        <v/>
      </c>
      <c r="B2120">
        <f>IF(A2120="","",IFERROR(INDEX(Ввод!$B$12:$B$71,MATCH(A2120,Ввод!$D$12:$D$71,1)),""))</f>
        <v/>
      </c>
      <c r="C2120">
        <f>IF(A2120="","",DATE(YEAR(A2120),12,31)-DATE(YEAR(A2120),1,1)+1)</f>
        <v/>
      </c>
      <c r="D2120">
        <f>IF(A2120="","",Ввод!$B$4-SUMIF(Оплаты!$A$6:$A$505,"&lt;"&amp;A2120,Оплаты!$B$6:$B$505))</f>
        <v/>
      </c>
      <c r="E2120">
        <f>IF(A2120="","",IF(SUMPRODUCT((Ввод!$F$12:$F$31&lt;&gt;"")*(Ввод!$F$12:$F$31&lt;=A2120)*(Ввод!$G$12:$G$31&gt;=A2120))&gt;0,1,0))</f>
        <v/>
      </c>
      <c r="F2120">
        <f>IF(OR(A2120="",B2120=""),"",IF(E2120=1,0,D2120*B2120/100/C2120))</f>
        <v/>
      </c>
      <c r="G2120">
        <f>IF(A2120="","",IF(OR(B2120&lt;&gt;B2119,C2120&lt;&gt;C2119,D2120&lt;&gt;D2119,E2120&lt;&gt;E2119),G2119+1,G2119))</f>
        <v/>
      </c>
    </row>
    <row r="2121">
      <c r="A2121" s="14">
        <f>IF(OR(NOT(ISNUMBER(Ввод!$B$5)),NOT(ISNUMBER(Ввод!$B$6))),"",IF(Ввод!$B$5+2119&gt;Ввод!$B$6,"",Ввод!$B$5+2119))</f>
        <v/>
      </c>
      <c r="B2121">
        <f>IF(A2121="","",IFERROR(INDEX(Ввод!$B$12:$B$71,MATCH(A2121,Ввод!$D$12:$D$71,1)),""))</f>
        <v/>
      </c>
      <c r="C2121">
        <f>IF(A2121="","",DATE(YEAR(A2121),12,31)-DATE(YEAR(A2121),1,1)+1)</f>
        <v/>
      </c>
      <c r="D2121">
        <f>IF(A2121="","",Ввод!$B$4-SUMIF(Оплаты!$A$6:$A$505,"&lt;"&amp;A2121,Оплаты!$B$6:$B$505))</f>
        <v/>
      </c>
      <c r="E2121">
        <f>IF(A2121="","",IF(SUMPRODUCT((Ввод!$F$12:$F$31&lt;&gt;"")*(Ввод!$F$12:$F$31&lt;=A2121)*(Ввод!$G$12:$G$31&gt;=A2121))&gt;0,1,0))</f>
        <v/>
      </c>
      <c r="F2121">
        <f>IF(OR(A2121="",B2121=""),"",IF(E2121=1,0,D2121*B2121/100/C2121))</f>
        <v/>
      </c>
      <c r="G2121">
        <f>IF(A2121="","",IF(OR(B2121&lt;&gt;B2120,C2121&lt;&gt;C2120,D2121&lt;&gt;D2120,E2121&lt;&gt;E2120),G2120+1,G2120))</f>
        <v/>
      </c>
    </row>
    <row r="2122">
      <c r="A2122" s="14">
        <f>IF(OR(NOT(ISNUMBER(Ввод!$B$5)),NOT(ISNUMBER(Ввод!$B$6))),"",IF(Ввод!$B$5+2120&gt;Ввод!$B$6,"",Ввод!$B$5+2120))</f>
        <v/>
      </c>
      <c r="B2122">
        <f>IF(A2122="","",IFERROR(INDEX(Ввод!$B$12:$B$71,MATCH(A2122,Ввод!$D$12:$D$71,1)),""))</f>
        <v/>
      </c>
      <c r="C2122">
        <f>IF(A2122="","",DATE(YEAR(A2122),12,31)-DATE(YEAR(A2122),1,1)+1)</f>
        <v/>
      </c>
      <c r="D2122">
        <f>IF(A2122="","",Ввод!$B$4-SUMIF(Оплаты!$A$6:$A$505,"&lt;"&amp;A2122,Оплаты!$B$6:$B$505))</f>
        <v/>
      </c>
      <c r="E2122">
        <f>IF(A2122="","",IF(SUMPRODUCT((Ввод!$F$12:$F$31&lt;&gt;"")*(Ввод!$F$12:$F$31&lt;=A2122)*(Ввод!$G$12:$G$31&gt;=A2122))&gt;0,1,0))</f>
        <v/>
      </c>
      <c r="F2122">
        <f>IF(OR(A2122="",B2122=""),"",IF(E2122=1,0,D2122*B2122/100/C2122))</f>
        <v/>
      </c>
      <c r="G2122">
        <f>IF(A2122="","",IF(OR(B2122&lt;&gt;B2121,C2122&lt;&gt;C2121,D2122&lt;&gt;D2121,E2122&lt;&gt;E2121),G2121+1,G2121))</f>
        <v/>
      </c>
    </row>
    <row r="2123">
      <c r="A2123" s="14">
        <f>IF(OR(NOT(ISNUMBER(Ввод!$B$5)),NOT(ISNUMBER(Ввод!$B$6))),"",IF(Ввод!$B$5+2121&gt;Ввод!$B$6,"",Ввод!$B$5+2121))</f>
        <v/>
      </c>
      <c r="B2123">
        <f>IF(A2123="","",IFERROR(INDEX(Ввод!$B$12:$B$71,MATCH(A2123,Ввод!$D$12:$D$71,1)),""))</f>
        <v/>
      </c>
      <c r="C2123">
        <f>IF(A2123="","",DATE(YEAR(A2123),12,31)-DATE(YEAR(A2123),1,1)+1)</f>
        <v/>
      </c>
      <c r="D2123">
        <f>IF(A2123="","",Ввод!$B$4-SUMIF(Оплаты!$A$6:$A$505,"&lt;"&amp;A2123,Оплаты!$B$6:$B$505))</f>
        <v/>
      </c>
      <c r="E2123">
        <f>IF(A2123="","",IF(SUMPRODUCT((Ввод!$F$12:$F$31&lt;&gt;"")*(Ввод!$F$12:$F$31&lt;=A2123)*(Ввод!$G$12:$G$31&gt;=A2123))&gt;0,1,0))</f>
        <v/>
      </c>
      <c r="F2123">
        <f>IF(OR(A2123="",B2123=""),"",IF(E2123=1,0,D2123*B2123/100/C2123))</f>
        <v/>
      </c>
      <c r="G2123">
        <f>IF(A2123="","",IF(OR(B2123&lt;&gt;B2122,C2123&lt;&gt;C2122,D2123&lt;&gt;D2122,E2123&lt;&gt;E2122),G2122+1,G2122))</f>
        <v/>
      </c>
    </row>
    <row r="2124">
      <c r="A2124" s="14">
        <f>IF(OR(NOT(ISNUMBER(Ввод!$B$5)),NOT(ISNUMBER(Ввод!$B$6))),"",IF(Ввод!$B$5+2122&gt;Ввод!$B$6,"",Ввод!$B$5+2122))</f>
        <v/>
      </c>
      <c r="B2124">
        <f>IF(A2124="","",IFERROR(INDEX(Ввод!$B$12:$B$71,MATCH(A2124,Ввод!$D$12:$D$71,1)),""))</f>
        <v/>
      </c>
      <c r="C2124">
        <f>IF(A2124="","",DATE(YEAR(A2124),12,31)-DATE(YEAR(A2124),1,1)+1)</f>
        <v/>
      </c>
      <c r="D2124">
        <f>IF(A2124="","",Ввод!$B$4-SUMIF(Оплаты!$A$6:$A$505,"&lt;"&amp;A2124,Оплаты!$B$6:$B$505))</f>
        <v/>
      </c>
      <c r="E2124">
        <f>IF(A2124="","",IF(SUMPRODUCT((Ввод!$F$12:$F$31&lt;&gt;"")*(Ввод!$F$12:$F$31&lt;=A2124)*(Ввод!$G$12:$G$31&gt;=A2124))&gt;0,1,0))</f>
        <v/>
      </c>
      <c r="F2124">
        <f>IF(OR(A2124="",B2124=""),"",IF(E2124=1,0,D2124*B2124/100/C2124))</f>
        <v/>
      </c>
      <c r="G2124">
        <f>IF(A2124="","",IF(OR(B2124&lt;&gt;B2123,C2124&lt;&gt;C2123,D2124&lt;&gt;D2123,E2124&lt;&gt;E2123),G2123+1,G2123))</f>
        <v/>
      </c>
    </row>
    <row r="2125">
      <c r="A2125" s="14">
        <f>IF(OR(NOT(ISNUMBER(Ввод!$B$5)),NOT(ISNUMBER(Ввод!$B$6))),"",IF(Ввод!$B$5+2123&gt;Ввод!$B$6,"",Ввод!$B$5+2123))</f>
        <v/>
      </c>
      <c r="B2125">
        <f>IF(A2125="","",IFERROR(INDEX(Ввод!$B$12:$B$71,MATCH(A2125,Ввод!$D$12:$D$71,1)),""))</f>
        <v/>
      </c>
      <c r="C2125">
        <f>IF(A2125="","",DATE(YEAR(A2125),12,31)-DATE(YEAR(A2125),1,1)+1)</f>
        <v/>
      </c>
      <c r="D2125">
        <f>IF(A2125="","",Ввод!$B$4-SUMIF(Оплаты!$A$6:$A$505,"&lt;"&amp;A2125,Оплаты!$B$6:$B$505))</f>
        <v/>
      </c>
      <c r="E2125">
        <f>IF(A2125="","",IF(SUMPRODUCT((Ввод!$F$12:$F$31&lt;&gt;"")*(Ввод!$F$12:$F$31&lt;=A2125)*(Ввод!$G$12:$G$31&gt;=A2125))&gt;0,1,0))</f>
        <v/>
      </c>
      <c r="F2125">
        <f>IF(OR(A2125="",B2125=""),"",IF(E2125=1,0,D2125*B2125/100/C2125))</f>
        <v/>
      </c>
      <c r="G2125">
        <f>IF(A2125="","",IF(OR(B2125&lt;&gt;B2124,C2125&lt;&gt;C2124,D2125&lt;&gt;D2124,E2125&lt;&gt;E2124),G2124+1,G2124))</f>
        <v/>
      </c>
    </row>
    <row r="2126">
      <c r="A2126" s="14">
        <f>IF(OR(NOT(ISNUMBER(Ввод!$B$5)),NOT(ISNUMBER(Ввод!$B$6))),"",IF(Ввод!$B$5+2124&gt;Ввод!$B$6,"",Ввод!$B$5+2124))</f>
        <v/>
      </c>
      <c r="B2126">
        <f>IF(A2126="","",IFERROR(INDEX(Ввод!$B$12:$B$71,MATCH(A2126,Ввод!$D$12:$D$71,1)),""))</f>
        <v/>
      </c>
      <c r="C2126">
        <f>IF(A2126="","",DATE(YEAR(A2126),12,31)-DATE(YEAR(A2126),1,1)+1)</f>
        <v/>
      </c>
      <c r="D2126">
        <f>IF(A2126="","",Ввод!$B$4-SUMIF(Оплаты!$A$6:$A$505,"&lt;"&amp;A2126,Оплаты!$B$6:$B$505))</f>
        <v/>
      </c>
      <c r="E2126">
        <f>IF(A2126="","",IF(SUMPRODUCT((Ввод!$F$12:$F$31&lt;&gt;"")*(Ввод!$F$12:$F$31&lt;=A2126)*(Ввод!$G$12:$G$31&gt;=A2126))&gt;0,1,0))</f>
        <v/>
      </c>
      <c r="F2126">
        <f>IF(OR(A2126="",B2126=""),"",IF(E2126=1,0,D2126*B2126/100/C2126))</f>
        <v/>
      </c>
      <c r="G2126">
        <f>IF(A2126="","",IF(OR(B2126&lt;&gt;B2125,C2126&lt;&gt;C2125,D2126&lt;&gt;D2125,E2126&lt;&gt;E2125),G2125+1,G2125))</f>
        <v/>
      </c>
    </row>
    <row r="2127">
      <c r="A2127" s="14">
        <f>IF(OR(NOT(ISNUMBER(Ввод!$B$5)),NOT(ISNUMBER(Ввод!$B$6))),"",IF(Ввод!$B$5+2125&gt;Ввод!$B$6,"",Ввод!$B$5+2125))</f>
        <v/>
      </c>
      <c r="B2127">
        <f>IF(A2127="","",IFERROR(INDEX(Ввод!$B$12:$B$71,MATCH(A2127,Ввод!$D$12:$D$71,1)),""))</f>
        <v/>
      </c>
      <c r="C2127">
        <f>IF(A2127="","",DATE(YEAR(A2127),12,31)-DATE(YEAR(A2127),1,1)+1)</f>
        <v/>
      </c>
      <c r="D2127">
        <f>IF(A2127="","",Ввод!$B$4-SUMIF(Оплаты!$A$6:$A$505,"&lt;"&amp;A2127,Оплаты!$B$6:$B$505))</f>
        <v/>
      </c>
      <c r="E2127">
        <f>IF(A2127="","",IF(SUMPRODUCT((Ввод!$F$12:$F$31&lt;&gt;"")*(Ввод!$F$12:$F$31&lt;=A2127)*(Ввод!$G$12:$G$31&gt;=A2127))&gt;0,1,0))</f>
        <v/>
      </c>
      <c r="F2127">
        <f>IF(OR(A2127="",B2127=""),"",IF(E2127=1,0,D2127*B2127/100/C2127))</f>
        <v/>
      </c>
      <c r="G2127">
        <f>IF(A2127="","",IF(OR(B2127&lt;&gt;B2126,C2127&lt;&gt;C2126,D2127&lt;&gt;D2126,E2127&lt;&gt;E2126),G2126+1,G2126))</f>
        <v/>
      </c>
    </row>
    <row r="2128">
      <c r="A2128" s="14">
        <f>IF(OR(NOT(ISNUMBER(Ввод!$B$5)),NOT(ISNUMBER(Ввод!$B$6))),"",IF(Ввод!$B$5+2126&gt;Ввод!$B$6,"",Ввод!$B$5+2126))</f>
        <v/>
      </c>
      <c r="B2128">
        <f>IF(A2128="","",IFERROR(INDEX(Ввод!$B$12:$B$71,MATCH(A2128,Ввод!$D$12:$D$71,1)),""))</f>
        <v/>
      </c>
      <c r="C2128">
        <f>IF(A2128="","",DATE(YEAR(A2128),12,31)-DATE(YEAR(A2128),1,1)+1)</f>
        <v/>
      </c>
      <c r="D2128">
        <f>IF(A2128="","",Ввод!$B$4-SUMIF(Оплаты!$A$6:$A$505,"&lt;"&amp;A2128,Оплаты!$B$6:$B$505))</f>
        <v/>
      </c>
      <c r="E2128">
        <f>IF(A2128="","",IF(SUMPRODUCT((Ввод!$F$12:$F$31&lt;&gt;"")*(Ввод!$F$12:$F$31&lt;=A2128)*(Ввод!$G$12:$G$31&gt;=A2128))&gt;0,1,0))</f>
        <v/>
      </c>
      <c r="F2128">
        <f>IF(OR(A2128="",B2128=""),"",IF(E2128=1,0,D2128*B2128/100/C2128))</f>
        <v/>
      </c>
      <c r="G2128">
        <f>IF(A2128="","",IF(OR(B2128&lt;&gt;B2127,C2128&lt;&gt;C2127,D2128&lt;&gt;D2127,E2128&lt;&gt;E2127),G2127+1,G2127))</f>
        <v/>
      </c>
    </row>
    <row r="2129">
      <c r="A2129" s="14">
        <f>IF(OR(NOT(ISNUMBER(Ввод!$B$5)),NOT(ISNUMBER(Ввод!$B$6))),"",IF(Ввод!$B$5+2127&gt;Ввод!$B$6,"",Ввод!$B$5+2127))</f>
        <v/>
      </c>
      <c r="B2129">
        <f>IF(A2129="","",IFERROR(INDEX(Ввод!$B$12:$B$71,MATCH(A2129,Ввод!$D$12:$D$71,1)),""))</f>
        <v/>
      </c>
      <c r="C2129">
        <f>IF(A2129="","",DATE(YEAR(A2129),12,31)-DATE(YEAR(A2129),1,1)+1)</f>
        <v/>
      </c>
      <c r="D2129">
        <f>IF(A2129="","",Ввод!$B$4-SUMIF(Оплаты!$A$6:$A$505,"&lt;"&amp;A2129,Оплаты!$B$6:$B$505))</f>
        <v/>
      </c>
      <c r="E2129">
        <f>IF(A2129="","",IF(SUMPRODUCT((Ввод!$F$12:$F$31&lt;&gt;"")*(Ввод!$F$12:$F$31&lt;=A2129)*(Ввод!$G$12:$G$31&gt;=A2129))&gt;0,1,0))</f>
        <v/>
      </c>
      <c r="F2129">
        <f>IF(OR(A2129="",B2129=""),"",IF(E2129=1,0,D2129*B2129/100/C2129))</f>
        <v/>
      </c>
      <c r="G2129">
        <f>IF(A2129="","",IF(OR(B2129&lt;&gt;B2128,C2129&lt;&gt;C2128,D2129&lt;&gt;D2128,E2129&lt;&gt;E2128),G2128+1,G2128))</f>
        <v/>
      </c>
    </row>
    <row r="2130">
      <c r="A2130" s="14">
        <f>IF(OR(NOT(ISNUMBER(Ввод!$B$5)),NOT(ISNUMBER(Ввод!$B$6))),"",IF(Ввод!$B$5+2128&gt;Ввод!$B$6,"",Ввод!$B$5+2128))</f>
        <v/>
      </c>
      <c r="B2130">
        <f>IF(A2130="","",IFERROR(INDEX(Ввод!$B$12:$B$71,MATCH(A2130,Ввод!$D$12:$D$71,1)),""))</f>
        <v/>
      </c>
      <c r="C2130">
        <f>IF(A2130="","",DATE(YEAR(A2130),12,31)-DATE(YEAR(A2130),1,1)+1)</f>
        <v/>
      </c>
      <c r="D2130">
        <f>IF(A2130="","",Ввод!$B$4-SUMIF(Оплаты!$A$6:$A$505,"&lt;"&amp;A2130,Оплаты!$B$6:$B$505))</f>
        <v/>
      </c>
      <c r="E2130">
        <f>IF(A2130="","",IF(SUMPRODUCT((Ввод!$F$12:$F$31&lt;&gt;"")*(Ввод!$F$12:$F$31&lt;=A2130)*(Ввод!$G$12:$G$31&gt;=A2130))&gt;0,1,0))</f>
        <v/>
      </c>
      <c r="F2130">
        <f>IF(OR(A2130="",B2130=""),"",IF(E2130=1,0,D2130*B2130/100/C2130))</f>
        <v/>
      </c>
      <c r="G2130">
        <f>IF(A2130="","",IF(OR(B2130&lt;&gt;B2129,C2130&lt;&gt;C2129,D2130&lt;&gt;D2129,E2130&lt;&gt;E2129),G2129+1,G2129))</f>
        <v/>
      </c>
    </row>
    <row r="2131">
      <c r="A2131" s="14">
        <f>IF(OR(NOT(ISNUMBER(Ввод!$B$5)),NOT(ISNUMBER(Ввод!$B$6))),"",IF(Ввод!$B$5+2129&gt;Ввод!$B$6,"",Ввод!$B$5+2129))</f>
        <v/>
      </c>
      <c r="B2131">
        <f>IF(A2131="","",IFERROR(INDEX(Ввод!$B$12:$B$71,MATCH(A2131,Ввод!$D$12:$D$71,1)),""))</f>
        <v/>
      </c>
      <c r="C2131">
        <f>IF(A2131="","",DATE(YEAR(A2131),12,31)-DATE(YEAR(A2131),1,1)+1)</f>
        <v/>
      </c>
      <c r="D2131">
        <f>IF(A2131="","",Ввод!$B$4-SUMIF(Оплаты!$A$6:$A$505,"&lt;"&amp;A2131,Оплаты!$B$6:$B$505))</f>
        <v/>
      </c>
      <c r="E2131">
        <f>IF(A2131="","",IF(SUMPRODUCT((Ввод!$F$12:$F$31&lt;&gt;"")*(Ввод!$F$12:$F$31&lt;=A2131)*(Ввод!$G$12:$G$31&gt;=A2131))&gt;0,1,0))</f>
        <v/>
      </c>
      <c r="F2131">
        <f>IF(OR(A2131="",B2131=""),"",IF(E2131=1,0,D2131*B2131/100/C2131))</f>
        <v/>
      </c>
      <c r="G2131">
        <f>IF(A2131="","",IF(OR(B2131&lt;&gt;B2130,C2131&lt;&gt;C2130,D2131&lt;&gt;D2130,E2131&lt;&gt;E2130),G2130+1,G2130))</f>
        <v/>
      </c>
    </row>
    <row r="2132">
      <c r="A2132" s="14">
        <f>IF(OR(NOT(ISNUMBER(Ввод!$B$5)),NOT(ISNUMBER(Ввод!$B$6))),"",IF(Ввод!$B$5+2130&gt;Ввод!$B$6,"",Ввод!$B$5+2130))</f>
        <v/>
      </c>
      <c r="B2132">
        <f>IF(A2132="","",IFERROR(INDEX(Ввод!$B$12:$B$71,MATCH(A2132,Ввод!$D$12:$D$71,1)),""))</f>
        <v/>
      </c>
      <c r="C2132">
        <f>IF(A2132="","",DATE(YEAR(A2132),12,31)-DATE(YEAR(A2132),1,1)+1)</f>
        <v/>
      </c>
      <c r="D2132">
        <f>IF(A2132="","",Ввод!$B$4-SUMIF(Оплаты!$A$6:$A$505,"&lt;"&amp;A2132,Оплаты!$B$6:$B$505))</f>
        <v/>
      </c>
      <c r="E2132">
        <f>IF(A2132="","",IF(SUMPRODUCT((Ввод!$F$12:$F$31&lt;&gt;"")*(Ввод!$F$12:$F$31&lt;=A2132)*(Ввод!$G$12:$G$31&gt;=A2132))&gt;0,1,0))</f>
        <v/>
      </c>
      <c r="F2132">
        <f>IF(OR(A2132="",B2132=""),"",IF(E2132=1,0,D2132*B2132/100/C2132))</f>
        <v/>
      </c>
      <c r="G2132">
        <f>IF(A2132="","",IF(OR(B2132&lt;&gt;B2131,C2132&lt;&gt;C2131,D2132&lt;&gt;D2131,E2132&lt;&gt;E2131),G2131+1,G2131))</f>
        <v/>
      </c>
    </row>
    <row r="2133">
      <c r="A2133" s="14">
        <f>IF(OR(NOT(ISNUMBER(Ввод!$B$5)),NOT(ISNUMBER(Ввод!$B$6))),"",IF(Ввод!$B$5+2131&gt;Ввод!$B$6,"",Ввод!$B$5+2131))</f>
        <v/>
      </c>
      <c r="B2133">
        <f>IF(A2133="","",IFERROR(INDEX(Ввод!$B$12:$B$71,MATCH(A2133,Ввод!$D$12:$D$71,1)),""))</f>
        <v/>
      </c>
      <c r="C2133">
        <f>IF(A2133="","",DATE(YEAR(A2133),12,31)-DATE(YEAR(A2133),1,1)+1)</f>
        <v/>
      </c>
      <c r="D2133">
        <f>IF(A2133="","",Ввод!$B$4-SUMIF(Оплаты!$A$6:$A$505,"&lt;"&amp;A2133,Оплаты!$B$6:$B$505))</f>
        <v/>
      </c>
      <c r="E2133">
        <f>IF(A2133="","",IF(SUMPRODUCT((Ввод!$F$12:$F$31&lt;&gt;"")*(Ввод!$F$12:$F$31&lt;=A2133)*(Ввод!$G$12:$G$31&gt;=A2133))&gt;0,1,0))</f>
        <v/>
      </c>
      <c r="F2133">
        <f>IF(OR(A2133="",B2133=""),"",IF(E2133=1,0,D2133*B2133/100/C2133))</f>
        <v/>
      </c>
      <c r="G2133">
        <f>IF(A2133="","",IF(OR(B2133&lt;&gt;B2132,C2133&lt;&gt;C2132,D2133&lt;&gt;D2132,E2133&lt;&gt;E2132),G2132+1,G2132))</f>
        <v/>
      </c>
    </row>
    <row r="2134">
      <c r="A2134" s="14">
        <f>IF(OR(NOT(ISNUMBER(Ввод!$B$5)),NOT(ISNUMBER(Ввод!$B$6))),"",IF(Ввод!$B$5+2132&gt;Ввод!$B$6,"",Ввод!$B$5+2132))</f>
        <v/>
      </c>
      <c r="B2134">
        <f>IF(A2134="","",IFERROR(INDEX(Ввод!$B$12:$B$71,MATCH(A2134,Ввод!$D$12:$D$71,1)),""))</f>
        <v/>
      </c>
      <c r="C2134">
        <f>IF(A2134="","",DATE(YEAR(A2134),12,31)-DATE(YEAR(A2134),1,1)+1)</f>
        <v/>
      </c>
      <c r="D2134">
        <f>IF(A2134="","",Ввод!$B$4-SUMIF(Оплаты!$A$6:$A$505,"&lt;"&amp;A2134,Оплаты!$B$6:$B$505))</f>
        <v/>
      </c>
      <c r="E2134">
        <f>IF(A2134="","",IF(SUMPRODUCT((Ввод!$F$12:$F$31&lt;&gt;"")*(Ввод!$F$12:$F$31&lt;=A2134)*(Ввод!$G$12:$G$31&gt;=A2134))&gt;0,1,0))</f>
        <v/>
      </c>
      <c r="F2134">
        <f>IF(OR(A2134="",B2134=""),"",IF(E2134=1,0,D2134*B2134/100/C2134))</f>
        <v/>
      </c>
      <c r="G2134">
        <f>IF(A2134="","",IF(OR(B2134&lt;&gt;B2133,C2134&lt;&gt;C2133,D2134&lt;&gt;D2133,E2134&lt;&gt;E2133),G2133+1,G2133))</f>
        <v/>
      </c>
    </row>
    <row r="2135">
      <c r="A2135" s="14">
        <f>IF(OR(NOT(ISNUMBER(Ввод!$B$5)),NOT(ISNUMBER(Ввод!$B$6))),"",IF(Ввод!$B$5+2133&gt;Ввод!$B$6,"",Ввод!$B$5+2133))</f>
        <v/>
      </c>
      <c r="B2135">
        <f>IF(A2135="","",IFERROR(INDEX(Ввод!$B$12:$B$71,MATCH(A2135,Ввод!$D$12:$D$71,1)),""))</f>
        <v/>
      </c>
      <c r="C2135">
        <f>IF(A2135="","",DATE(YEAR(A2135),12,31)-DATE(YEAR(A2135),1,1)+1)</f>
        <v/>
      </c>
      <c r="D2135">
        <f>IF(A2135="","",Ввод!$B$4-SUMIF(Оплаты!$A$6:$A$505,"&lt;"&amp;A2135,Оплаты!$B$6:$B$505))</f>
        <v/>
      </c>
      <c r="E2135">
        <f>IF(A2135="","",IF(SUMPRODUCT((Ввод!$F$12:$F$31&lt;&gt;"")*(Ввод!$F$12:$F$31&lt;=A2135)*(Ввод!$G$12:$G$31&gt;=A2135))&gt;0,1,0))</f>
        <v/>
      </c>
      <c r="F2135">
        <f>IF(OR(A2135="",B2135=""),"",IF(E2135=1,0,D2135*B2135/100/C2135))</f>
        <v/>
      </c>
      <c r="G2135">
        <f>IF(A2135="","",IF(OR(B2135&lt;&gt;B2134,C2135&lt;&gt;C2134,D2135&lt;&gt;D2134,E2135&lt;&gt;E2134),G2134+1,G2134))</f>
        <v/>
      </c>
    </row>
    <row r="2136">
      <c r="A2136" s="14">
        <f>IF(OR(NOT(ISNUMBER(Ввод!$B$5)),NOT(ISNUMBER(Ввод!$B$6))),"",IF(Ввод!$B$5+2134&gt;Ввод!$B$6,"",Ввод!$B$5+2134))</f>
        <v/>
      </c>
      <c r="B2136">
        <f>IF(A2136="","",IFERROR(INDEX(Ввод!$B$12:$B$71,MATCH(A2136,Ввод!$D$12:$D$71,1)),""))</f>
        <v/>
      </c>
      <c r="C2136">
        <f>IF(A2136="","",DATE(YEAR(A2136),12,31)-DATE(YEAR(A2136),1,1)+1)</f>
        <v/>
      </c>
      <c r="D2136">
        <f>IF(A2136="","",Ввод!$B$4-SUMIF(Оплаты!$A$6:$A$505,"&lt;"&amp;A2136,Оплаты!$B$6:$B$505))</f>
        <v/>
      </c>
      <c r="E2136">
        <f>IF(A2136="","",IF(SUMPRODUCT((Ввод!$F$12:$F$31&lt;&gt;"")*(Ввод!$F$12:$F$31&lt;=A2136)*(Ввод!$G$12:$G$31&gt;=A2136))&gt;0,1,0))</f>
        <v/>
      </c>
      <c r="F2136">
        <f>IF(OR(A2136="",B2136=""),"",IF(E2136=1,0,D2136*B2136/100/C2136))</f>
        <v/>
      </c>
      <c r="G2136">
        <f>IF(A2136="","",IF(OR(B2136&lt;&gt;B2135,C2136&lt;&gt;C2135,D2136&lt;&gt;D2135,E2136&lt;&gt;E2135),G2135+1,G2135))</f>
        <v/>
      </c>
    </row>
    <row r="2137">
      <c r="A2137" s="14">
        <f>IF(OR(NOT(ISNUMBER(Ввод!$B$5)),NOT(ISNUMBER(Ввод!$B$6))),"",IF(Ввод!$B$5+2135&gt;Ввод!$B$6,"",Ввод!$B$5+2135))</f>
        <v/>
      </c>
      <c r="B2137">
        <f>IF(A2137="","",IFERROR(INDEX(Ввод!$B$12:$B$71,MATCH(A2137,Ввод!$D$12:$D$71,1)),""))</f>
        <v/>
      </c>
      <c r="C2137">
        <f>IF(A2137="","",DATE(YEAR(A2137),12,31)-DATE(YEAR(A2137),1,1)+1)</f>
        <v/>
      </c>
      <c r="D2137">
        <f>IF(A2137="","",Ввод!$B$4-SUMIF(Оплаты!$A$6:$A$505,"&lt;"&amp;A2137,Оплаты!$B$6:$B$505))</f>
        <v/>
      </c>
      <c r="E2137">
        <f>IF(A2137="","",IF(SUMPRODUCT((Ввод!$F$12:$F$31&lt;&gt;"")*(Ввод!$F$12:$F$31&lt;=A2137)*(Ввод!$G$12:$G$31&gt;=A2137))&gt;0,1,0))</f>
        <v/>
      </c>
      <c r="F2137">
        <f>IF(OR(A2137="",B2137=""),"",IF(E2137=1,0,D2137*B2137/100/C2137))</f>
        <v/>
      </c>
      <c r="G2137">
        <f>IF(A2137="","",IF(OR(B2137&lt;&gt;B2136,C2137&lt;&gt;C2136,D2137&lt;&gt;D2136,E2137&lt;&gt;E2136),G2136+1,G2136))</f>
        <v/>
      </c>
    </row>
    <row r="2138">
      <c r="A2138" s="14">
        <f>IF(OR(NOT(ISNUMBER(Ввод!$B$5)),NOT(ISNUMBER(Ввод!$B$6))),"",IF(Ввод!$B$5+2136&gt;Ввод!$B$6,"",Ввод!$B$5+2136))</f>
        <v/>
      </c>
      <c r="B2138">
        <f>IF(A2138="","",IFERROR(INDEX(Ввод!$B$12:$B$71,MATCH(A2138,Ввод!$D$12:$D$71,1)),""))</f>
        <v/>
      </c>
      <c r="C2138">
        <f>IF(A2138="","",DATE(YEAR(A2138),12,31)-DATE(YEAR(A2138),1,1)+1)</f>
        <v/>
      </c>
      <c r="D2138">
        <f>IF(A2138="","",Ввод!$B$4-SUMIF(Оплаты!$A$6:$A$505,"&lt;"&amp;A2138,Оплаты!$B$6:$B$505))</f>
        <v/>
      </c>
      <c r="E2138">
        <f>IF(A2138="","",IF(SUMPRODUCT((Ввод!$F$12:$F$31&lt;&gt;"")*(Ввод!$F$12:$F$31&lt;=A2138)*(Ввод!$G$12:$G$31&gt;=A2138))&gt;0,1,0))</f>
        <v/>
      </c>
      <c r="F2138">
        <f>IF(OR(A2138="",B2138=""),"",IF(E2138=1,0,D2138*B2138/100/C2138))</f>
        <v/>
      </c>
      <c r="G2138">
        <f>IF(A2138="","",IF(OR(B2138&lt;&gt;B2137,C2138&lt;&gt;C2137,D2138&lt;&gt;D2137,E2138&lt;&gt;E2137),G2137+1,G2137))</f>
        <v/>
      </c>
    </row>
    <row r="2139">
      <c r="A2139" s="14">
        <f>IF(OR(NOT(ISNUMBER(Ввод!$B$5)),NOT(ISNUMBER(Ввод!$B$6))),"",IF(Ввод!$B$5+2137&gt;Ввод!$B$6,"",Ввод!$B$5+2137))</f>
        <v/>
      </c>
      <c r="B2139">
        <f>IF(A2139="","",IFERROR(INDEX(Ввод!$B$12:$B$71,MATCH(A2139,Ввод!$D$12:$D$71,1)),""))</f>
        <v/>
      </c>
      <c r="C2139">
        <f>IF(A2139="","",DATE(YEAR(A2139),12,31)-DATE(YEAR(A2139),1,1)+1)</f>
        <v/>
      </c>
      <c r="D2139">
        <f>IF(A2139="","",Ввод!$B$4-SUMIF(Оплаты!$A$6:$A$505,"&lt;"&amp;A2139,Оплаты!$B$6:$B$505))</f>
        <v/>
      </c>
      <c r="E2139">
        <f>IF(A2139="","",IF(SUMPRODUCT((Ввод!$F$12:$F$31&lt;&gt;"")*(Ввод!$F$12:$F$31&lt;=A2139)*(Ввод!$G$12:$G$31&gt;=A2139))&gt;0,1,0))</f>
        <v/>
      </c>
      <c r="F2139">
        <f>IF(OR(A2139="",B2139=""),"",IF(E2139=1,0,D2139*B2139/100/C2139))</f>
        <v/>
      </c>
      <c r="G2139">
        <f>IF(A2139="","",IF(OR(B2139&lt;&gt;B2138,C2139&lt;&gt;C2138,D2139&lt;&gt;D2138,E2139&lt;&gt;E2138),G2138+1,G2138))</f>
        <v/>
      </c>
    </row>
    <row r="2140">
      <c r="A2140" s="14">
        <f>IF(OR(NOT(ISNUMBER(Ввод!$B$5)),NOT(ISNUMBER(Ввод!$B$6))),"",IF(Ввод!$B$5+2138&gt;Ввод!$B$6,"",Ввод!$B$5+2138))</f>
        <v/>
      </c>
      <c r="B2140">
        <f>IF(A2140="","",IFERROR(INDEX(Ввод!$B$12:$B$71,MATCH(A2140,Ввод!$D$12:$D$71,1)),""))</f>
        <v/>
      </c>
      <c r="C2140">
        <f>IF(A2140="","",DATE(YEAR(A2140),12,31)-DATE(YEAR(A2140),1,1)+1)</f>
        <v/>
      </c>
      <c r="D2140">
        <f>IF(A2140="","",Ввод!$B$4-SUMIF(Оплаты!$A$6:$A$505,"&lt;"&amp;A2140,Оплаты!$B$6:$B$505))</f>
        <v/>
      </c>
      <c r="E2140">
        <f>IF(A2140="","",IF(SUMPRODUCT((Ввод!$F$12:$F$31&lt;&gt;"")*(Ввод!$F$12:$F$31&lt;=A2140)*(Ввод!$G$12:$G$31&gt;=A2140))&gt;0,1,0))</f>
        <v/>
      </c>
      <c r="F2140">
        <f>IF(OR(A2140="",B2140=""),"",IF(E2140=1,0,D2140*B2140/100/C2140))</f>
        <v/>
      </c>
      <c r="G2140">
        <f>IF(A2140="","",IF(OR(B2140&lt;&gt;B2139,C2140&lt;&gt;C2139,D2140&lt;&gt;D2139,E2140&lt;&gt;E2139),G2139+1,G2139))</f>
        <v/>
      </c>
    </row>
    <row r="2141">
      <c r="A2141" s="14">
        <f>IF(OR(NOT(ISNUMBER(Ввод!$B$5)),NOT(ISNUMBER(Ввод!$B$6))),"",IF(Ввод!$B$5+2139&gt;Ввод!$B$6,"",Ввод!$B$5+2139))</f>
        <v/>
      </c>
      <c r="B2141">
        <f>IF(A2141="","",IFERROR(INDEX(Ввод!$B$12:$B$71,MATCH(A2141,Ввод!$D$12:$D$71,1)),""))</f>
        <v/>
      </c>
      <c r="C2141">
        <f>IF(A2141="","",DATE(YEAR(A2141),12,31)-DATE(YEAR(A2141),1,1)+1)</f>
        <v/>
      </c>
      <c r="D2141">
        <f>IF(A2141="","",Ввод!$B$4-SUMIF(Оплаты!$A$6:$A$505,"&lt;"&amp;A2141,Оплаты!$B$6:$B$505))</f>
        <v/>
      </c>
      <c r="E2141">
        <f>IF(A2141="","",IF(SUMPRODUCT((Ввод!$F$12:$F$31&lt;&gt;"")*(Ввод!$F$12:$F$31&lt;=A2141)*(Ввод!$G$12:$G$31&gt;=A2141))&gt;0,1,0))</f>
        <v/>
      </c>
      <c r="F2141">
        <f>IF(OR(A2141="",B2141=""),"",IF(E2141=1,0,D2141*B2141/100/C2141))</f>
        <v/>
      </c>
      <c r="G2141">
        <f>IF(A2141="","",IF(OR(B2141&lt;&gt;B2140,C2141&lt;&gt;C2140,D2141&lt;&gt;D2140,E2141&lt;&gt;E2140),G2140+1,G2140))</f>
        <v/>
      </c>
    </row>
    <row r="2142">
      <c r="A2142" s="14">
        <f>IF(OR(NOT(ISNUMBER(Ввод!$B$5)),NOT(ISNUMBER(Ввод!$B$6))),"",IF(Ввод!$B$5+2140&gt;Ввод!$B$6,"",Ввод!$B$5+2140))</f>
        <v/>
      </c>
      <c r="B2142">
        <f>IF(A2142="","",IFERROR(INDEX(Ввод!$B$12:$B$71,MATCH(A2142,Ввод!$D$12:$D$71,1)),""))</f>
        <v/>
      </c>
      <c r="C2142">
        <f>IF(A2142="","",DATE(YEAR(A2142),12,31)-DATE(YEAR(A2142),1,1)+1)</f>
        <v/>
      </c>
      <c r="D2142">
        <f>IF(A2142="","",Ввод!$B$4-SUMIF(Оплаты!$A$6:$A$505,"&lt;"&amp;A2142,Оплаты!$B$6:$B$505))</f>
        <v/>
      </c>
      <c r="E2142">
        <f>IF(A2142="","",IF(SUMPRODUCT((Ввод!$F$12:$F$31&lt;&gt;"")*(Ввод!$F$12:$F$31&lt;=A2142)*(Ввод!$G$12:$G$31&gt;=A2142))&gt;0,1,0))</f>
        <v/>
      </c>
      <c r="F2142">
        <f>IF(OR(A2142="",B2142=""),"",IF(E2142=1,0,D2142*B2142/100/C2142))</f>
        <v/>
      </c>
      <c r="G2142">
        <f>IF(A2142="","",IF(OR(B2142&lt;&gt;B2141,C2142&lt;&gt;C2141,D2142&lt;&gt;D2141,E2142&lt;&gt;E2141),G2141+1,G2141))</f>
        <v/>
      </c>
    </row>
    <row r="2143">
      <c r="A2143" s="14">
        <f>IF(OR(NOT(ISNUMBER(Ввод!$B$5)),NOT(ISNUMBER(Ввод!$B$6))),"",IF(Ввод!$B$5+2141&gt;Ввод!$B$6,"",Ввод!$B$5+2141))</f>
        <v/>
      </c>
      <c r="B2143">
        <f>IF(A2143="","",IFERROR(INDEX(Ввод!$B$12:$B$71,MATCH(A2143,Ввод!$D$12:$D$71,1)),""))</f>
        <v/>
      </c>
      <c r="C2143">
        <f>IF(A2143="","",DATE(YEAR(A2143),12,31)-DATE(YEAR(A2143),1,1)+1)</f>
        <v/>
      </c>
      <c r="D2143">
        <f>IF(A2143="","",Ввод!$B$4-SUMIF(Оплаты!$A$6:$A$505,"&lt;"&amp;A2143,Оплаты!$B$6:$B$505))</f>
        <v/>
      </c>
      <c r="E2143">
        <f>IF(A2143="","",IF(SUMPRODUCT((Ввод!$F$12:$F$31&lt;&gt;"")*(Ввод!$F$12:$F$31&lt;=A2143)*(Ввод!$G$12:$G$31&gt;=A2143))&gt;0,1,0))</f>
        <v/>
      </c>
      <c r="F2143">
        <f>IF(OR(A2143="",B2143=""),"",IF(E2143=1,0,D2143*B2143/100/C2143))</f>
        <v/>
      </c>
      <c r="G2143">
        <f>IF(A2143="","",IF(OR(B2143&lt;&gt;B2142,C2143&lt;&gt;C2142,D2143&lt;&gt;D2142,E2143&lt;&gt;E2142),G2142+1,G2142))</f>
        <v/>
      </c>
    </row>
    <row r="2144">
      <c r="A2144" s="14">
        <f>IF(OR(NOT(ISNUMBER(Ввод!$B$5)),NOT(ISNUMBER(Ввод!$B$6))),"",IF(Ввод!$B$5+2142&gt;Ввод!$B$6,"",Ввод!$B$5+2142))</f>
        <v/>
      </c>
      <c r="B2144">
        <f>IF(A2144="","",IFERROR(INDEX(Ввод!$B$12:$B$71,MATCH(A2144,Ввод!$D$12:$D$71,1)),""))</f>
        <v/>
      </c>
      <c r="C2144">
        <f>IF(A2144="","",DATE(YEAR(A2144),12,31)-DATE(YEAR(A2144),1,1)+1)</f>
        <v/>
      </c>
      <c r="D2144">
        <f>IF(A2144="","",Ввод!$B$4-SUMIF(Оплаты!$A$6:$A$505,"&lt;"&amp;A2144,Оплаты!$B$6:$B$505))</f>
        <v/>
      </c>
      <c r="E2144">
        <f>IF(A2144="","",IF(SUMPRODUCT((Ввод!$F$12:$F$31&lt;&gt;"")*(Ввод!$F$12:$F$31&lt;=A2144)*(Ввод!$G$12:$G$31&gt;=A2144))&gt;0,1,0))</f>
        <v/>
      </c>
      <c r="F2144">
        <f>IF(OR(A2144="",B2144=""),"",IF(E2144=1,0,D2144*B2144/100/C2144))</f>
        <v/>
      </c>
      <c r="G2144">
        <f>IF(A2144="","",IF(OR(B2144&lt;&gt;B2143,C2144&lt;&gt;C2143,D2144&lt;&gt;D2143,E2144&lt;&gt;E2143),G2143+1,G2143))</f>
        <v/>
      </c>
    </row>
    <row r="2145">
      <c r="A2145" s="14">
        <f>IF(OR(NOT(ISNUMBER(Ввод!$B$5)),NOT(ISNUMBER(Ввод!$B$6))),"",IF(Ввод!$B$5+2143&gt;Ввод!$B$6,"",Ввод!$B$5+2143))</f>
        <v/>
      </c>
      <c r="B2145">
        <f>IF(A2145="","",IFERROR(INDEX(Ввод!$B$12:$B$71,MATCH(A2145,Ввод!$D$12:$D$71,1)),""))</f>
        <v/>
      </c>
      <c r="C2145">
        <f>IF(A2145="","",DATE(YEAR(A2145),12,31)-DATE(YEAR(A2145),1,1)+1)</f>
        <v/>
      </c>
      <c r="D2145">
        <f>IF(A2145="","",Ввод!$B$4-SUMIF(Оплаты!$A$6:$A$505,"&lt;"&amp;A2145,Оплаты!$B$6:$B$505))</f>
        <v/>
      </c>
      <c r="E2145">
        <f>IF(A2145="","",IF(SUMPRODUCT((Ввод!$F$12:$F$31&lt;&gt;"")*(Ввод!$F$12:$F$31&lt;=A2145)*(Ввод!$G$12:$G$31&gt;=A2145))&gt;0,1,0))</f>
        <v/>
      </c>
      <c r="F2145">
        <f>IF(OR(A2145="",B2145=""),"",IF(E2145=1,0,D2145*B2145/100/C2145))</f>
        <v/>
      </c>
      <c r="G2145">
        <f>IF(A2145="","",IF(OR(B2145&lt;&gt;B2144,C2145&lt;&gt;C2144,D2145&lt;&gt;D2144,E2145&lt;&gt;E2144),G2144+1,G2144))</f>
        <v/>
      </c>
    </row>
    <row r="2146">
      <c r="A2146" s="14">
        <f>IF(OR(NOT(ISNUMBER(Ввод!$B$5)),NOT(ISNUMBER(Ввод!$B$6))),"",IF(Ввод!$B$5+2144&gt;Ввод!$B$6,"",Ввод!$B$5+2144))</f>
        <v/>
      </c>
      <c r="B2146">
        <f>IF(A2146="","",IFERROR(INDEX(Ввод!$B$12:$B$71,MATCH(A2146,Ввод!$D$12:$D$71,1)),""))</f>
        <v/>
      </c>
      <c r="C2146">
        <f>IF(A2146="","",DATE(YEAR(A2146),12,31)-DATE(YEAR(A2146),1,1)+1)</f>
        <v/>
      </c>
      <c r="D2146">
        <f>IF(A2146="","",Ввод!$B$4-SUMIF(Оплаты!$A$6:$A$505,"&lt;"&amp;A2146,Оплаты!$B$6:$B$505))</f>
        <v/>
      </c>
      <c r="E2146">
        <f>IF(A2146="","",IF(SUMPRODUCT((Ввод!$F$12:$F$31&lt;&gt;"")*(Ввод!$F$12:$F$31&lt;=A2146)*(Ввод!$G$12:$G$31&gt;=A2146))&gt;0,1,0))</f>
        <v/>
      </c>
      <c r="F2146">
        <f>IF(OR(A2146="",B2146=""),"",IF(E2146=1,0,D2146*B2146/100/C2146))</f>
        <v/>
      </c>
      <c r="G2146">
        <f>IF(A2146="","",IF(OR(B2146&lt;&gt;B2145,C2146&lt;&gt;C2145,D2146&lt;&gt;D2145,E2146&lt;&gt;E2145),G2145+1,G2145))</f>
        <v/>
      </c>
    </row>
    <row r="2147">
      <c r="A2147" s="14">
        <f>IF(OR(NOT(ISNUMBER(Ввод!$B$5)),NOT(ISNUMBER(Ввод!$B$6))),"",IF(Ввод!$B$5+2145&gt;Ввод!$B$6,"",Ввод!$B$5+2145))</f>
        <v/>
      </c>
      <c r="B2147">
        <f>IF(A2147="","",IFERROR(INDEX(Ввод!$B$12:$B$71,MATCH(A2147,Ввод!$D$12:$D$71,1)),""))</f>
        <v/>
      </c>
      <c r="C2147">
        <f>IF(A2147="","",DATE(YEAR(A2147),12,31)-DATE(YEAR(A2147),1,1)+1)</f>
        <v/>
      </c>
      <c r="D2147">
        <f>IF(A2147="","",Ввод!$B$4-SUMIF(Оплаты!$A$6:$A$505,"&lt;"&amp;A2147,Оплаты!$B$6:$B$505))</f>
        <v/>
      </c>
      <c r="E2147">
        <f>IF(A2147="","",IF(SUMPRODUCT((Ввод!$F$12:$F$31&lt;&gt;"")*(Ввод!$F$12:$F$31&lt;=A2147)*(Ввод!$G$12:$G$31&gt;=A2147))&gt;0,1,0))</f>
        <v/>
      </c>
      <c r="F2147">
        <f>IF(OR(A2147="",B2147=""),"",IF(E2147=1,0,D2147*B2147/100/C2147))</f>
        <v/>
      </c>
      <c r="G2147">
        <f>IF(A2147="","",IF(OR(B2147&lt;&gt;B2146,C2147&lt;&gt;C2146,D2147&lt;&gt;D2146,E2147&lt;&gt;E2146),G2146+1,G2146))</f>
        <v/>
      </c>
    </row>
    <row r="2148">
      <c r="A2148" s="14">
        <f>IF(OR(NOT(ISNUMBER(Ввод!$B$5)),NOT(ISNUMBER(Ввод!$B$6))),"",IF(Ввод!$B$5+2146&gt;Ввод!$B$6,"",Ввод!$B$5+2146))</f>
        <v/>
      </c>
      <c r="B2148">
        <f>IF(A2148="","",IFERROR(INDEX(Ввод!$B$12:$B$71,MATCH(A2148,Ввод!$D$12:$D$71,1)),""))</f>
        <v/>
      </c>
      <c r="C2148">
        <f>IF(A2148="","",DATE(YEAR(A2148),12,31)-DATE(YEAR(A2148),1,1)+1)</f>
        <v/>
      </c>
      <c r="D2148">
        <f>IF(A2148="","",Ввод!$B$4-SUMIF(Оплаты!$A$6:$A$505,"&lt;"&amp;A2148,Оплаты!$B$6:$B$505))</f>
        <v/>
      </c>
      <c r="E2148">
        <f>IF(A2148="","",IF(SUMPRODUCT((Ввод!$F$12:$F$31&lt;&gt;"")*(Ввод!$F$12:$F$31&lt;=A2148)*(Ввод!$G$12:$G$31&gt;=A2148))&gt;0,1,0))</f>
        <v/>
      </c>
      <c r="F2148">
        <f>IF(OR(A2148="",B2148=""),"",IF(E2148=1,0,D2148*B2148/100/C2148))</f>
        <v/>
      </c>
      <c r="G2148">
        <f>IF(A2148="","",IF(OR(B2148&lt;&gt;B2147,C2148&lt;&gt;C2147,D2148&lt;&gt;D2147,E2148&lt;&gt;E2147),G2147+1,G2147))</f>
        <v/>
      </c>
    </row>
    <row r="2149">
      <c r="A2149" s="14">
        <f>IF(OR(NOT(ISNUMBER(Ввод!$B$5)),NOT(ISNUMBER(Ввод!$B$6))),"",IF(Ввод!$B$5+2147&gt;Ввод!$B$6,"",Ввод!$B$5+2147))</f>
        <v/>
      </c>
      <c r="B2149">
        <f>IF(A2149="","",IFERROR(INDEX(Ввод!$B$12:$B$71,MATCH(A2149,Ввод!$D$12:$D$71,1)),""))</f>
        <v/>
      </c>
      <c r="C2149">
        <f>IF(A2149="","",DATE(YEAR(A2149),12,31)-DATE(YEAR(A2149),1,1)+1)</f>
        <v/>
      </c>
      <c r="D2149">
        <f>IF(A2149="","",Ввод!$B$4-SUMIF(Оплаты!$A$6:$A$505,"&lt;"&amp;A2149,Оплаты!$B$6:$B$505))</f>
        <v/>
      </c>
      <c r="E2149">
        <f>IF(A2149="","",IF(SUMPRODUCT((Ввод!$F$12:$F$31&lt;&gt;"")*(Ввод!$F$12:$F$31&lt;=A2149)*(Ввод!$G$12:$G$31&gt;=A2149))&gt;0,1,0))</f>
        <v/>
      </c>
      <c r="F2149">
        <f>IF(OR(A2149="",B2149=""),"",IF(E2149=1,0,D2149*B2149/100/C2149))</f>
        <v/>
      </c>
      <c r="G2149">
        <f>IF(A2149="","",IF(OR(B2149&lt;&gt;B2148,C2149&lt;&gt;C2148,D2149&lt;&gt;D2148,E2149&lt;&gt;E2148),G2148+1,G2148))</f>
        <v/>
      </c>
    </row>
    <row r="2150">
      <c r="A2150" s="14">
        <f>IF(OR(NOT(ISNUMBER(Ввод!$B$5)),NOT(ISNUMBER(Ввод!$B$6))),"",IF(Ввод!$B$5+2148&gt;Ввод!$B$6,"",Ввод!$B$5+2148))</f>
        <v/>
      </c>
      <c r="B2150">
        <f>IF(A2150="","",IFERROR(INDEX(Ввод!$B$12:$B$71,MATCH(A2150,Ввод!$D$12:$D$71,1)),""))</f>
        <v/>
      </c>
      <c r="C2150">
        <f>IF(A2150="","",DATE(YEAR(A2150),12,31)-DATE(YEAR(A2150),1,1)+1)</f>
        <v/>
      </c>
      <c r="D2150">
        <f>IF(A2150="","",Ввод!$B$4-SUMIF(Оплаты!$A$6:$A$505,"&lt;"&amp;A2150,Оплаты!$B$6:$B$505))</f>
        <v/>
      </c>
      <c r="E2150">
        <f>IF(A2150="","",IF(SUMPRODUCT((Ввод!$F$12:$F$31&lt;&gt;"")*(Ввод!$F$12:$F$31&lt;=A2150)*(Ввод!$G$12:$G$31&gt;=A2150))&gt;0,1,0))</f>
        <v/>
      </c>
      <c r="F2150">
        <f>IF(OR(A2150="",B2150=""),"",IF(E2150=1,0,D2150*B2150/100/C2150))</f>
        <v/>
      </c>
      <c r="G2150">
        <f>IF(A2150="","",IF(OR(B2150&lt;&gt;B2149,C2150&lt;&gt;C2149,D2150&lt;&gt;D2149,E2150&lt;&gt;E2149),G2149+1,G2149))</f>
        <v/>
      </c>
    </row>
    <row r="2151">
      <c r="A2151" s="14">
        <f>IF(OR(NOT(ISNUMBER(Ввод!$B$5)),NOT(ISNUMBER(Ввод!$B$6))),"",IF(Ввод!$B$5+2149&gt;Ввод!$B$6,"",Ввод!$B$5+2149))</f>
        <v/>
      </c>
      <c r="B2151">
        <f>IF(A2151="","",IFERROR(INDEX(Ввод!$B$12:$B$71,MATCH(A2151,Ввод!$D$12:$D$71,1)),""))</f>
        <v/>
      </c>
      <c r="C2151">
        <f>IF(A2151="","",DATE(YEAR(A2151),12,31)-DATE(YEAR(A2151),1,1)+1)</f>
        <v/>
      </c>
      <c r="D2151">
        <f>IF(A2151="","",Ввод!$B$4-SUMIF(Оплаты!$A$6:$A$505,"&lt;"&amp;A2151,Оплаты!$B$6:$B$505))</f>
        <v/>
      </c>
      <c r="E2151">
        <f>IF(A2151="","",IF(SUMPRODUCT((Ввод!$F$12:$F$31&lt;&gt;"")*(Ввод!$F$12:$F$31&lt;=A2151)*(Ввод!$G$12:$G$31&gt;=A2151))&gt;0,1,0))</f>
        <v/>
      </c>
      <c r="F2151">
        <f>IF(OR(A2151="",B2151=""),"",IF(E2151=1,0,D2151*B2151/100/C2151))</f>
        <v/>
      </c>
      <c r="G2151">
        <f>IF(A2151="","",IF(OR(B2151&lt;&gt;B2150,C2151&lt;&gt;C2150,D2151&lt;&gt;D2150,E2151&lt;&gt;E2150),G2150+1,G2150))</f>
        <v/>
      </c>
    </row>
    <row r="2152">
      <c r="A2152" s="14">
        <f>IF(OR(NOT(ISNUMBER(Ввод!$B$5)),NOT(ISNUMBER(Ввод!$B$6))),"",IF(Ввод!$B$5+2150&gt;Ввод!$B$6,"",Ввод!$B$5+2150))</f>
        <v/>
      </c>
      <c r="B2152">
        <f>IF(A2152="","",IFERROR(INDEX(Ввод!$B$12:$B$71,MATCH(A2152,Ввод!$D$12:$D$71,1)),""))</f>
        <v/>
      </c>
      <c r="C2152">
        <f>IF(A2152="","",DATE(YEAR(A2152),12,31)-DATE(YEAR(A2152),1,1)+1)</f>
        <v/>
      </c>
      <c r="D2152">
        <f>IF(A2152="","",Ввод!$B$4-SUMIF(Оплаты!$A$6:$A$505,"&lt;"&amp;A2152,Оплаты!$B$6:$B$505))</f>
        <v/>
      </c>
      <c r="E2152">
        <f>IF(A2152="","",IF(SUMPRODUCT((Ввод!$F$12:$F$31&lt;&gt;"")*(Ввод!$F$12:$F$31&lt;=A2152)*(Ввод!$G$12:$G$31&gt;=A2152))&gt;0,1,0))</f>
        <v/>
      </c>
      <c r="F2152">
        <f>IF(OR(A2152="",B2152=""),"",IF(E2152=1,0,D2152*B2152/100/C2152))</f>
        <v/>
      </c>
      <c r="G2152">
        <f>IF(A2152="","",IF(OR(B2152&lt;&gt;B2151,C2152&lt;&gt;C2151,D2152&lt;&gt;D2151,E2152&lt;&gt;E2151),G2151+1,G2151))</f>
        <v/>
      </c>
    </row>
    <row r="2153">
      <c r="A2153" s="14">
        <f>IF(OR(NOT(ISNUMBER(Ввод!$B$5)),NOT(ISNUMBER(Ввод!$B$6))),"",IF(Ввод!$B$5+2151&gt;Ввод!$B$6,"",Ввод!$B$5+2151))</f>
        <v/>
      </c>
      <c r="B2153">
        <f>IF(A2153="","",IFERROR(INDEX(Ввод!$B$12:$B$71,MATCH(A2153,Ввод!$D$12:$D$71,1)),""))</f>
        <v/>
      </c>
      <c r="C2153">
        <f>IF(A2153="","",DATE(YEAR(A2153),12,31)-DATE(YEAR(A2153),1,1)+1)</f>
        <v/>
      </c>
      <c r="D2153">
        <f>IF(A2153="","",Ввод!$B$4-SUMIF(Оплаты!$A$6:$A$505,"&lt;"&amp;A2153,Оплаты!$B$6:$B$505))</f>
        <v/>
      </c>
      <c r="E2153">
        <f>IF(A2153="","",IF(SUMPRODUCT((Ввод!$F$12:$F$31&lt;&gt;"")*(Ввод!$F$12:$F$31&lt;=A2153)*(Ввод!$G$12:$G$31&gt;=A2153))&gt;0,1,0))</f>
        <v/>
      </c>
      <c r="F2153">
        <f>IF(OR(A2153="",B2153=""),"",IF(E2153=1,0,D2153*B2153/100/C2153))</f>
        <v/>
      </c>
      <c r="G2153">
        <f>IF(A2153="","",IF(OR(B2153&lt;&gt;B2152,C2153&lt;&gt;C2152,D2153&lt;&gt;D2152,E2153&lt;&gt;E2152),G2152+1,G2152))</f>
        <v/>
      </c>
    </row>
    <row r="2154">
      <c r="A2154" s="14">
        <f>IF(OR(NOT(ISNUMBER(Ввод!$B$5)),NOT(ISNUMBER(Ввод!$B$6))),"",IF(Ввод!$B$5+2152&gt;Ввод!$B$6,"",Ввод!$B$5+2152))</f>
        <v/>
      </c>
      <c r="B2154">
        <f>IF(A2154="","",IFERROR(INDEX(Ввод!$B$12:$B$71,MATCH(A2154,Ввод!$D$12:$D$71,1)),""))</f>
        <v/>
      </c>
      <c r="C2154">
        <f>IF(A2154="","",DATE(YEAR(A2154),12,31)-DATE(YEAR(A2154),1,1)+1)</f>
        <v/>
      </c>
      <c r="D2154">
        <f>IF(A2154="","",Ввод!$B$4-SUMIF(Оплаты!$A$6:$A$505,"&lt;"&amp;A2154,Оплаты!$B$6:$B$505))</f>
        <v/>
      </c>
      <c r="E2154">
        <f>IF(A2154="","",IF(SUMPRODUCT((Ввод!$F$12:$F$31&lt;&gt;"")*(Ввод!$F$12:$F$31&lt;=A2154)*(Ввод!$G$12:$G$31&gt;=A2154))&gt;0,1,0))</f>
        <v/>
      </c>
      <c r="F2154">
        <f>IF(OR(A2154="",B2154=""),"",IF(E2154=1,0,D2154*B2154/100/C2154))</f>
        <v/>
      </c>
      <c r="G2154">
        <f>IF(A2154="","",IF(OR(B2154&lt;&gt;B2153,C2154&lt;&gt;C2153,D2154&lt;&gt;D2153,E2154&lt;&gt;E2153),G2153+1,G2153))</f>
        <v/>
      </c>
    </row>
    <row r="2155">
      <c r="A2155" s="14">
        <f>IF(OR(NOT(ISNUMBER(Ввод!$B$5)),NOT(ISNUMBER(Ввод!$B$6))),"",IF(Ввод!$B$5+2153&gt;Ввод!$B$6,"",Ввод!$B$5+2153))</f>
        <v/>
      </c>
      <c r="B2155">
        <f>IF(A2155="","",IFERROR(INDEX(Ввод!$B$12:$B$71,MATCH(A2155,Ввод!$D$12:$D$71,1)),""))</f>
        <v/>
      </c>
      <c r="C2155">
        <f>IF(A2155="","",DATE(YEAR(A2155),12,31)-DATE(YEAR(A2155),1,1)+1)</f>
        <v/>
      </c>
      <c r="D2155">
        <f>IF(A2155="","",Ввод!$B$4-SUMIF(Оплаты!$A$6:$A$505,"&lt;"&amp;A2155,Оплаты!$B$6:$B$505))</f>
        <v/>
      </c>
      <c r="E2155">
        <f>IF(A2155="","",IF(SUMPRODUCT((Ввод!$F$12:$F$31&lt;&gt;"")*(Ввод!$F$12:$F$31&lt;=A2155)*(Ввод!$G$12:$G$31&gt;=A2155))&gt;0,1,0))</f>
        <v/>
      </c>
      <c r="F2155">
        <f>IF(OR(A2155="",B2155=""),"",IF(E2155=1,0,D2155*B2155/100/C2155))</f>
        <v/>
      </c>
      <c r="G2155">
        <f>IF(A2155="","",IF(OR(B2155&lt;&gt;B2154,C2155&lt;&gt;C2154,D2155&lt;&gt;D2154,E2155&lt;&gt;E2154),G2154+1,G2154))</f>
        <v/>
      </c>
    </row>
    <row r="2156">
      <c r="A2156" s="14">
        <f>IF(OR(NOT(ISNUMBER(Ввод!$B$5)),NOT(ISNUMBER(Ввод!$B$6))),"",IF(Ввод!$B$5+2154&gt;Ввод!$B$6,"",Ввод!$B$5+2154))</f>
        <v/>
      </c>
      <c r="B2156">
        <f>IF(A2156="","",IFERROR(INDEX(Ввод!$B$12:$B$71,MATCH(A2156,Ввод!$D$12:$D$71,1)),""))</f>
        <v/>
      </c>
      <c r="C2156">
        <f>IF(A2156="","",DATE(YEAR(A2156),12,31)-DATE(YEAR(A2156),1,1)+1)</f>
        <v/>
      </c>
      <c r="D2156">
        <f>IF(A2156="","",Ввод!$B$4-SUMIF(Оплаты!$A$6:$A$505,"&lt;"&amp;A2156,Оплаты!$B$6:$B$505))</f>
        <v/>
      </c>
      <c r="E2156">
        <f>IF(A2156="","",IF(SUMPRODUCT((Ввод!$F$12:$F$31&lt;&gt;"")*(Ввод!$F$12:$F$31&lt;=A2156)*(Ввод!$G$12:$G$31&gt;=A2156))&gt;0,1,0))</f>
        <v/>
      </c>
      <c r="F2156">
        <f>IF(OR(A2156="",B2156=""),"",IF(E2156=1,0,D2156*B2156/100/C2156))</f>
        <v/>
      </c>
      <c r="G2156">
        <f>IF(A2156="","",IF(OR(B2156&lt;&gt;B2155,C2156&lt;&gt;C2155,D2156&lt;&gt;D2155,E2156&lt;&gt;E2155),G2155+1,G2155))</f>
        <v/>
      </c>
    </row>
    <row r="2157">
      <c r="A2157" s="14">
        <f>IF(OR(NOT(ISNUMBER(Ввод!$B$5)),NOT(ISNUMBER(Ввод!$B$6))),"",IF(Ввод!$B$5+2155&gt;Ввод!$B$6,"",Ввод!$B$5+2155))</f>
        <v/>
      </c>
      <c r="B2157">
        <f>IF(A2157="","",IFERROR(INDEX(Ввод!$B$12:$B$71,MATCH(A2157,Ввод!$D$12:$D$71,1)),""))</f>
        <v/>
      </c>
      <c r="C2157">
        <f>IF(A2157="","",DATE(YEAR(A2157),12,31)-DATE(YEAR(A2157),1,1)+1)</f>
        <v/>
      </c>
      <c r="D2157">
        <f>IF(A2157="","",Ввод!$B$4-SUMIF(Оплаты!$A$6:$A$505,"&lt;"&amp;A2157,Оплаты!$B$6:$B$505))</f>
        <v/>
      </c>
      <c r="E2157">
        <f>IF(A2157="","",IF(SUMPRODUCT((Ввод!$F$12:$F$31&lt;&gt;"")*(Ввод!$F$12:$F$31&lt;=A2157)*(Ввод!$G$12:$G$31&gt;=A2157))&gt;0,1,0))</f>
        <v/>
      </c>
      <c r="F2157">
        <f>IF(OR(A2157="",B2157=""),"",IF(E2157=1,0,D2157*B2157/100/C2157))</f>
        <v/>
      </c>
      <c r="G2157">
        <f>IF(A2157="","",IF(OR(B2157&lt;&gt;B2156,C2157&lt;&gt;C2156,D2157&lt;&gt;D2156,E2157&lt;&gt;E2156),G2156+1,G2156))</f>
        <v/>
      </c>
    </row>
    <row r="2158">
      <c r="A2158" s="14">
        <f>IF(OR(NOT(ISNUMBER(Ввод!$B$5)),NOT(ISNUMBER(Ввод!$B$6))),"",IF(Ввод!$B$5+2156&gt;Ввод!$B$6,"",Ввод!$B$5+2156))</f>
        <v/>
      </c>
      <c r="B2158">
        <f>IF(A2158="","",IFERROR(INDEX(Ввод!$B$12:$B$71,MATCH(A2158,Ввод!$D$12:$D$71,1)),""))</f>
        <v/>
      </c>
      <c r="C2158">
        <f>IF(A2158="","",DATE(YEAR(A2158),12,31)-DATE(YEAR(A2158),1,1)+1)</f>
        <v/>
      </c>
      <c r="D2158">
        <f>IF(A2158="","",Ввод!$B$4-SUMIF(Оплаты!$A$6:$A$505,"&lt;"&amp;A2158,Оплаты!$B$6:$B$505))</f>
        <v/>
      </c>
      <c r="E2158">
        <f>IF(A2158="","",IF(SUMPRODUCT((Ввод!$F$12:$F$31&lt;&gt;"")*(Ввод!$F$12:$F$31&lt;=A2158)*(Ввод!$G$12:$G$31&gt;=A2158))&gt;0,1,0))</f>
        <v/>
      </c>
      <c r="F2158">
        <f>IF(OR(A2158="",B2158=""),"",IF(E2158=1,0,D2158*B2158/100/C2158))</f>
        <v/>
      </c>
      <c r="G2158">
        <f>IF(A2158="","",IF(OR(B2158&lt;&gt;B2157,C2158&lt;&gt;C2157,D2158&lt;&gt;D2157,E2158&lt;&gt;E2157),G2157+1,G2157))</f>
        <v/>
      </c>
    </row>
    <row r="2159">
      <c r="A2159" s="14">
        <f>IF(OR(NOT(ISNUMBER(Ввод!$B$5)),NOT(ISNUMBER(Ввод!$B$6))),"",IF(Ввод!$B$5+2157&gt;Ввод!$B$6,"",Ввод!$B$5+2157))</f>
        <v/>
      </c>
      <c r="B2159">
        <f>IF(A2159="","",IFERROR(INDEX(Ввод!$B$12:$B$71,MATCH(A2159,Ввод!$D$12:$D$71,1)),""))</f>
        <v/>
      </c>
      <c r="C2159">
        <f>IF(A2159="","",DATE(YEAR(A2159),12,31)-DATE(YEAR(A2159),1,1)+1)</f>
        <v/>
      </c>
      <c r="D2159">
        <f>IF(A2159="","",Ввод!$B$4-SUMIF(Оплаты!$A$6:$A$505,"&lt;"&amp;A2159,Оплаты!$B$6:$B$505))</f>
        <v/>
      </c>
      <c r="E2159">
        <f>IF(A2159="","",IF(SUMPRODUCT((Ввод!$F$12:$F$31&lt;&gt;"")*(Ввод!$F$12:$F$31&lt;=A2159)*(Ввод!$G$12:$G$31&gt;=A2159))&gt;0,1,0))</f>
        <v/>
      </c>
      <c r="F2159">
        <f>IF(OR(A2159="",B2159=""),"",IF(E2159=1,0,D2159*B2159/100/C2159))</f>
        <v/>
      </c>
      <c r="G2159">
        <f>IF(A2159="","",IF(OR(B2159&lt;&gt;B2158,C2159&lt;&gt;C2158,D2159&lt;&gt;D2158,E2159&lt;&gt;E2158),G2158+1,G2158))</f>
        <v/>
      </c>
    </row>
    <row r="2160">
      <c r="A2160" s="14">
        <f>IF(OR(NOT(ISNUMBER(Ввод!$B$5)),NOT(ISNUMBER(Ввод!$B$6))),"",IF(Ввод!$B$5+2158&gt;Ввод!$B$6,"",Ввод!$B$5+2158))</f>
        <v/>
      </c>
      <c r="B2160">
        <f>IF(A2160="","",IFERROR(INDEX(Ввод!$B$12:$B$71,MATCH(A2160,Ввод!$D$12:$D$71,1)),""))</f>
        <v/>
      </c>
      <c r="C2160">
        <f>IF(A2160="","",DATE(YEAR(A2160),12,31)-DATE(YEAR(A2160),1,1)+1)</f>
        <v/>
      </c>
      <c r="D2160">
        <f>IF(A2160="","",Ввод!$B$4-SUMIF(Оплаты!$A$6:$A$505,"&lt;"&amp;A2160,Оплаты!$B$6:$B$505))</f>
        <v/>
      </c>
      <c r="E2160">
        <f>IF(A2160="","",IF(SUMPRODUCT((Ввод!$F$12:$F$31&lt;&gt;"")*(Ввод!$F$12:$F$31&lt;=A2160)*(Ввод!$G$12:$G$31&gt;=A2160))&gt;0,1,0))</f>
        <v/>
      </c>
      <c r="F2160">
        <f>IF(OR(A2160="",B2160=""),"",IF(E2160=1,0,D2160*B2160/100/C2160))</f>
        <v/>
      </c>
      <c r="G2160">
        <f>IF(A2160="","",IF(OR(B2160&lt;&gt;B2159,C2160&lt;&gt;C2159,D2160&lt;&gt;D2159,E2160&lt;&gt;E2159),G2159+1,G2159))</f>
        <v/>
      </c>
    </row>
    <row r="2161">
      <c r="A2161" s="14">
        <f>IF(OR(NOT(ISNUMBER(Ввод!$B$5)),NOT(ISNUMBER(Ввод!$B$6))),"",IF(Ввод!$B$5+2159&gt;Ввод!$B$6,"",Ввод!$B$5+2159))</f>
        <v/>
      </c>
      <c r="B2161">
        <f>IF(A2161="","",IFERROR(INDEX(Ввод!$B$12:$B$71,MATCH(A2161,Ввод!$D$12:$D$71,1)),""))</f>
        <v/>
      </c>
      <c r="C2161">
        <f>IF(A2161="","",DATE(YEAR(A2161),12,31)-DATE(YEAR(A2161),1,1)+1)</f>
        <v/>
      </c>
      <c r="D2161">
        <f>IF(A2161="","",Ввод!$B$4-SUMIF(Оплаты!$A$6:$A$505,"&lt;"&amp;A2161,Оплаты!$B$6:$B$505))</f>
        <v/>
      </c>
      <c r="E2161">
        <f>IF(A2161="","",IF(SUMPRODUCT((Ввод!$F$12:$F$31&lt;&gt;"")*(Ввод!$F$12:$F$31&lt;=A2161)*(Ввод!$G$12:$G$31&gt;=A2161))&gt;0,1,0))</f>
        <v/>
      </c>
      <c r="F2161">
        <f>IF(OR(A2161="",B2161=""),"",IF(E2161=1,0,D2161*B2161/100/C2161))</f>
        <v/>
      </c>
      <c r="G2161">
        <f>IF(A2161="","",IF(OR(B2161&lt;&gt;B2160,C2161&lt;&gt;C2160,D2161&lt;&gt;D2160,E2161&lt;&gt;E2160),G2160+1,G2160))</f>
        <v/>
      </c>
    </row>
    <row r="2162">
      <c r="A2162" s="14">
        <f>IF(OR(NOT(ISNUMBER(Ввод!$B$5)),NOT(ISNUMBER(Ввод!$B$6))),"",IF(Ввод!$B$5+2160&gt;Ввод!$B$6,"",Ввод!$B$5+2160))</f>
        <v/>
      </c>
      <c r="B2162">
        <f>IF(A2162="","",IFERROR(INDEX(Ввод!$B$12:$B$71,MATCH(A2162,Ввод!$D$12:$D$71,1)),""))</f>
        <v/>
      </c>
      <c r="C2162">
        <f>IF(A2162="","",DATE(YEAR(A2162),12,31)-DATE(YEAR(A2162),1,1)+1)</f>
        <v/>
      </c>
      <c r="D2162">
        <f>IF(A2162="","",Ввод!$B$4-SUMIF(Оплаты!$A$6:$A$505,"&lt;"&amp;A2162,Оплаты!$B$6:$B$505))</f>
        <v/>
      </c>
      <c r="E2162">
        <f>IF(A2162="","",IF(SUMPRODUCT((Ввод!$F$12:$F$31&lt;&gt;"")*(Ввод!$F$12:$F$31&lt;=A2162)*(Ввод!$G$12:$G$31&gt;=A2162))&gt;0,1,0))</f>
        <v/>
      </c>
      <c r="F2162">
        <f>IF(OR(A2162="",B2162=""),"",IF(E2162=1,0,D2162*B2162/100/C2162))</f>
        <v/>
      </c>
      <c r="G2162">
        <f>IF(A2162="","",IF(OR(B2162&lt;&gt;B2161,C2162&lt;&gt;C2161,D2162&lt;&gt;D2161,E2162&lt;&gt;E2161),G2161+1,G2161))</f>
        <v/>
      </c>
    </row>
    <row r="2163">
      <c r="A2163" s="14">
        <f>IF(OR(NOT(ISNUMBER(Ввод!$B$5)),NOT(ISNUMBER(Ввод!$B$6))),"",IF(Ввод!$B$5+2161&gt;Ввод!$B$6,"",Ввод!$B$5+2161))</f>
        <v/>
      </c>
      <c r="B2163">
        <f>IF(A2163="","",IFERROR(INDEX(Ввод!$B$12:$B$71,MATCH(A2163,Ввод!$D$12:$D$71,1)),""))</f>
        <v/>
      </c>
      <c r="C2163">
        <f>IF(A2163="","",DATE(YEAR(A2163),12,31)-DATE(YEAR(A2163),1,1)+1)</f>
        <v/>
      </c>
      <c r="D2163">
        <f>IF(A2163="","",Ввод!$B$4-SUMIF(Оплаты!$A$6:$A$505,"&lt;"&amp;A2163,Оплаты!$B$6:$B$505))</f>
        <v/>
      </c>
      <c r="E2163">
        <f>IF(A2163="","",IF(SUMPRODUCT((Ввод!$F$12:$F$31&lt;&gt;"")*(Ввод!$F$12:$F$31&lt;=A2163)*(Ввод!$G$12:$G$31&gt;=A2163))&gt;0,1,0))</f>
        <v/>
      </c>
      <c r="F2163">
        <f>IF(OR(A2163="",B2163=""),"",IF(E2163=1,0,D2163*B2163/100/C2163))</f>
        <v/>
      </c>
      <c r="G2163">
        <f>IF(A2163="","",IF(OR(B2163&lt;&gt;B2162,C2163&lt;&gt;C2162,D2163&lt;&gt;D2162,E2163&lt;&gt;E2162),G2162+1,G2162))</f>
        <v/>
      </c>
    </row>
    <row r="2164">
      <c r="A2164" s="14">
        <f>IF(OR(NOT(ISNUMBER(Ввод!$B$5)),NOT(ISNUMBER(Ввод!$B$6))),"",IF(Ввод!$B$5+2162&gt;Ввод!$B$6,"",Ввод!$B$5+2162))</f>
        <v/>
      </c>
      <c r="B2164">
        <f>IF(A2164="","",IFERROR(INDEX(Ввод!$B$12:$B$71,MATCH(A2164,Ввод!$D$12:$D$71,1)),""))</f>
        <v/>
      </c>
      <c r="C2164">
        <f>IF(A2164="","",DATE(YEAR(A2164),12,31)-DATE(YEAR(A2164),1,1)+1)</f>
        <v/>
      </c>
      <c r="D2164">
        <f>IF(A2164="","",Ввод!$B$4-SUMIF(Оплаты!$A$6:$A$505,"&lt;"&amp;A2164,Оплаты!$B$6:$B$505))</f>
        <v/>
      </c>
      <c r="E2164">
        <f>IF(A2164="","",IF(SUMPRODUCT((Ввод!$F$12:$F$31&lt;&gt;"")*(Ввод!$F$12:$F$31&lt;=A2164)*(Ввод!$G$12:$G$31&gt;=A2164))&gt;0,1,0))</f>
        <v/>
      </c>
      <c r="F2164">
        <f>IF(OR(A2164="",B2164=""),"",IF(E2164=1,0,D2164*B2164/100/C2164))</f>
        <v/>
      </c>
      <c r="G2164">
        <f>IF(A2164="","",IF(OR(B2164&lt;&gt;B2163,C2164&lt;&gt;C2163,D2164&lt;&gt;D2163,E2164&lt;&gt;E2163),G2163+1,G2163))</f>
        <v/>
      </c>
    </row>
    <row r="2165">
      <c r="A2165" s="14">
        <f>IF(OR(NOT(ISNUMBER(Ввод!$B$5)),NOT(ISNUMBER(Ввод!$B$6))),"",IF(Ввод!$B$5+2163&gt;Ввод!$B$6,"",Ввод!$B$5+2163))</f>
        <v/>
      </c>
      <c r="B2165">
        <f>IF(A2165="","",IFERROR(INDEX(Ввод!$B$12:$B$71,MATCH(A2165,Ввод!$D$12:$D$71,1)),""))</f>
        <v/>
      </c>
      <c r="C2165">
        <f>IF(A2165="","",DATE(YEAR(A2165),12,31)-DATE(YEAR(A2165),1,1)+1)</f>
        <v/>
      </c>
      <c r="D2165">
        <f>IF(A2165="","",Ввод!$B$4-SUMIF(Оплаты!$A$6:$A$505,"&lt;"&amp;A2165,Оплаты!$B$6:$B$505))</f>
        <v/>
      </c>
      <c r="E2165">
        <f>IF(A2165="","",IF(SUMPRODUCT((Ввод!$F$12:$F$31&lt;&gt;"")*(Ввод!$F$12:$F$31&lt;=A2165)*(Ввод!$G$12:$G$31&gt;=A2165))&gt;0,1,0))</f>
        <v/>
      </c>
      <c r="F2165">
        <f>IF(OR(A2165="",B2165=""),"",IF(E2165=1,0,D2165*B2165/100/C2165))</f>
        <v/>
      </c>
      <c r="G2165">
        <f>IF(A2165="","",IF(OR(B2165&lt;&gt;B2164,C2165&lt;&gt;C2164,D2165&lt;&gt;D2164,E2165&lt;&gt;E2164),G2164+1,G2164))</f>
        <v/>
      </c>
    </row>
    <row r="2166">
      <c r="A2166" s="14">
        <f>IF(OR(NOT(ISNUMBER(Ввод!$B$5)),NOT(ISNUMBER(Ввод!$B$6))),"",IF(Ввод!$B$5+2164&gt;Ввод!$B$6,"",Ввод!$B$5+2164))</f>
        <v/>
      </c>
      <c r="B2166">
        <f>IF(A2166="","",IFERROR(INDEX(Ввод!$B$12:$B$71,MATCH(A2166,Ввод!$D$12:$D$71,1)),""))</f>
        <v/>
      </c>
      <c r="C2166">
        <f>IF(A2166="","",DATE(YEAR(A2166),12,31)-DATE(YEAR(A2166),1,1)+1)</f>
        <v/>
      </c>
      <c r="D2166">
        <f>IF(A2166="","",Ввод!$B$4-SUMIF(Оплаты!$A$6:$A$505,"&lt;"&amp;A2166,Оплаты!$B$6:$B$505))</f>
        <v/>
      </c>
      <c r="E2166">
        <f>IF(A2166="","",IF(SUMPRODUCT((Ввод!$F$12:$F$31&lt;&gt;"")*(Ввод!$F$12:$F$31&lt;=A2166)*(Ввод!$G$12:$G$31&gt;=A2166))&gt;0,1,0))</f>
        <v/>
      </c>
      <c r="F2166">
        <f>IF(OR(A2166="",B2166=""),"",IF(E2166=1,0,D2166*B2166/100/C2166))</f>
        <v/>
      </c>
      <c r="G2166">
        <f>IF(A2166="","",IF(OR(B2166&lt;&gt;B2165,C2166&lt;&gt;C2165,D2166&lt;&gt;D2165,E2166&lt;&gt;E2165),G2165+1,G2165))</f>
        <v/>
      </c>
    </row>
    <row r="2167">
      <c r="A2167" s="14">
        <f>IF(OR(NOT(ISNUMBER(Ввод!$B$5)),NOT(ISNUMBER(Ввод!$B$6))),"",IF(Ввод!$B$5+2165&gt;Ввод!$B$6,"",Ввод!$B$5+2165))</f>
        <v/>
      </c>
      <c r="B2167">
        <f>IF(A2167="","",IFERROR(INDEX(Ввод!$B$12:$B$71,MATCH(A2167,Ввод!$D$12:$D$71,1)),""))</f>
        <v/>
      </c>
      <c r="C2167">
        <f>IF(A2167="","",DATE(YEAR(A2167),12,31)-DATE(YEAR(A2167),1,1)+1)</f>
        <v/>
      </c>
      <c r="D2167">
        <f>IF(A2167="","",Ввод!$B$4-SUMIF(Оплаты!$A$6:$A$505,"&lt;"&amp;A2167,Оплаты!$B$6:$B$505))</f>
        <v/>
      </c>
      <c r="E2167">
        <f>IF(A2167="","",IF(SUMPRODUCT((Ввод!$F$12:$F$31&lt;&gt;"")*(Ввод!$F$12:$F$31&lt;=A2167)*(Ввод!$G$12:$G$31&gt;=A2167))&gt;0,1,0))</f>
        <v/>
      </c>
      <c r="F2167">
        <f>IF(OR(A2167="",B2167=""),"",IF(E2167=1,0,D2167*B2167/100/C2167))</f>
        <v/>
      </c>
      <c r="G2167">
        <f>IF(A2167="","",IF(OR(B2167&lt;&gt;B2166,C2167&lt;&gt;C2166,D2167&lt;&gt;D2166,E2167&lt;&gt;E2166),G2166+1,G2166))</f>
        <v/>
      </c>
    </row>
    <row r="2168">
      <c r="A2168" s="14">
        <f>IF(OR(NOT(ISNUMBER(Ввод!$B$5)),NOT(ISNUMBER(Ввод!$B$6))),"",IF(Ввод!$B$5+2166&gt;Ввод!$B$6,"",Ввод!$B$5+2166))</f>
        <v/>
      </c>
      <c r="B2168">
        <f>IF(A2168="","",IFERROR(INDEX(Ввод!$B$12:$B$71,MATCH(A2168,Ввод!$D$12:$D$71,1)),""))</f>
        <v/>
      </c>
      <c r="C2168">
        <f>IF(A2168="","",DATE(YEAR(A2168),12,31)-DATE(YEAR(A2168),1,1)+1)</f>
        <v/>
      </c>
      <c r="D2168">
        <f>IF(A2168="","",Ввод!$B$4-SUMIF(Оплаты!$A$6:$A$505,"&lt;"&amp;A2168,Оплаты!$B$6:$B$505))</f>
        <v/>
      </c>
      <c r="E2168">
        <f>IF(A2168="","",IF(SUMPRODUCT((Ввод!$F$12:$F$31&lt;&gt;"")*(Ввод!$F$12:$F$31&lt;=A2168)*(Ввод!$G$12:$G$31&gt;=A2168))&gt;0,1,0))</f>
        <v/>
      </c>
      <c r="F2168">
        <f>IF(OR(A2168="",B2168=""),"",IF(E2168=1,0,D2168*B2168/100/C2168))</f>
        <v/>
      </c>
      <c r="G2168">
        <f>IF(A2168="","",IF(OR(B2168&lt;&gt;B2167,C2168&lt;&gt;C2167,D2168&lt;&gt;D2167,E2168&lt;&gt;E2167),G2167+1,G2167))</f>
        <v/>
      </c>
    </row>
    <row r="2169">
      <c r="A2169" s="14">
        <f>IF(OR(NOT(ISNUMBER(Ввод!$B$5)),NOT(ISNUMBER(Ввод!$B$6))),"",IF(Ввод!$B$5+2167&gt;Ввод!$B$6,"",Ввод!$B$5+2167))</f>
        <v/>
      </c>
      <c r="B2169">
        <f>IF(A2169="","",IFERROR(INDEX(Ввод!$B$12:$B$71,MATCH(A2169,Ввод!$D$12:$D$71,1)),""))</f>
        <v/>
      </c>
      <c r="C2169">
        <f>IF(A2169="","",DATE(YEAR(A2169),12,31)-DATE(YEAR(A2169),1,1)+1)</f>
        <v/>
      </c>
      <c r="D2169">
        <f>IF(A2169="","",Ввод!$B$4-SUMIF(Оплаты!$A$6:$A$505,"&lt;"&amp;A2169,Оплаты!$B$6:$B$505))</f>
        <v/>
      </c>
      <c r="E2169">
        <f>IF(A2169="","",IF(SUMPRODUCT((Ввод!$F$12:$F$31&lt;&gt;"")*(Ввод!$F$12:$F$31&lt;=A2169)*(Ввод!$G$12:$G$31&gt;=A2169))&gt;0,1,0))</f>
        <v/>
      </c>
      <c r="F2169">
        <f>IF(OR(A2169="",B2169=""),"",IF(E2169=1,0,D2169*B2169/100/C2169))</f>
        <v/>
      </c>
      <c r="G2169">
        <f>IF(A2169="","",IF(OR(B2169&lt;&gt;B2168,C2169&lt;&gt;C2168,D2169&lt;&gt;D2168,E2169&lt;&gt;E2168),G2168+1,G2168))</f>
        <v/>
      </c>
    </row>
    <row r="2170">
      <c r="A2170" s="14">
        <f>IF(OR(NOT(ISNUMBER(Ввод!$B$5)),NOT(ISNUMBER(Ввод!$B$6))),"",IF(Ввод!$B$5+2168&gt;Ввод!$B$6,"",Ввод!$B$5+2168))</f>
        <v/>
      </c>
      <c r="B2170">
        <f>IF(A2170="","",IFERROR(INDEX(Ввод!$B$12:$B$71,MATCH(A2170,Ввод!$D$12:$D$71,1)),""))</f>
        <v/>
      </c>
      <c r="C2170">
        <f>IF(A2170="","",DATE(YEAR(A2170),12,31)-DATE(YEAR(A2170),1,1)+1)</f>
        <v/>
      </c>
      <c r="D2170">
        <f>IF(A2170="","",Ввод!$B$4-SUMIF(Оплаты!$A$6:$A$505,"&lt;"&amp;A2170,Оплаты!$B$6:$B$505))</f>
        <v/>
      </c>
      <c r="E2170">
        <f>IF(A2170="","",IF(SUMPRODUCT((Ввод!$F$12:$F$31&lt;&gt;"")*(Ввод!$F$12:$F$31&lt;=A2170)*(Ввод!$G$12:$G$31&gt;=A2170))&gt;0,1,0))</f>
        <v/>
      </c>
      <c r="F2170">
        <f>IF(OR(A2170="",B2170=""),"",IF(E2170=1,0,D2170*B2170/100/C2170))</f>
        <v/>
      </c>
      <c r="G2170">
        <f>IF(A2170="","",IF(OR(B2170&lt;&gt;B2169,C2170&lt;&gt;C2169,D2170&lt;&gt;D2169,E2170&lt;&gt;E2169),G2169+1,G2169))</f>
        <v/>
      </c>
    </row>
    <row r="2171">
      <c r="A2171" s="14">
        <f>IF(OR(NOT(ISNUMBER(Ввод!$B$5)),NOT(ISNUMBER(Ввод!$B$6))),"",IF(Ввод!$B$5+2169&gt;Ввод!$B$6,"",Ввод!$B$5+2169))</f>
        <v/>
      </c>
      <c r="B2171">
        <f>IF(A2171="","",IFERROR(INDEX(Ввод!$B$12:$B$71,MATCH(A2171,Ввод!$D$12:$D$71,1)),""))</f>
        <v/>
      </c>
      <c r="C2171">
        <f>IF(A2171="","",DATE(YEAR(A2171),12,31)-DATE(YEAR(A2171),1,1)+1)</f>
        <v/>
      </c>
      <c r="D2171">
        <f>IF(A2171="","",Ввод!$B$4-SUMIF(Оплаты!$A$6:$A$505,"&lt;"&amp;A2171,Оплаты!$B$6:$B$505))</f>
        <v/>
      </c>
      <c r="E2171">
        <f>IF(A2171="","",IF(SUMPRODUCT((Ввод!$F$12:$F$31&lt;&gt;"")*(Ввод!$F$12:$F$31&lt;=A2171)*(Ввод!$G$12:$G$31&gt;=A2171))&gt;0,1,0))</f>
        <v/>
      </c>
      <c r="F2171">
        <f>IF(OR(A2171="",B2171=""),"",IF(E2171=1,0,D2171*B2171/100/C2171))</f>
        <v/>
      </c>
      <c r="G2171">
        <f>IF(A2171="","",IF(OR(B2171&lt;&gt;B2170,C2171&lt;&gt;C2170,D2171&lt;&gt;D2170,E2171&lt;&gt;E2170),G2170+1,G2170))</f>
        <v/>
      </c>
    </row>
    <row r="2172">
      <c r="A2172" s="14">
        <f>IF(OR(NOT(ISNUMBER(Ввод!$B$5)),NOT(ISNUMBER(Ввод!$B$6))),"",IF(Ввод!$B$5+2170&gt;Ввод!$B$6,"",Ввод!$B$5+2170))</f>
        <v/>
      </c>
      <c r="B2172">
        <f>IF(A2172="","",IFERROR(INDEX(Ввод!$B$12:$B$71,MATCH(A2172,Ввод!$D$12:$D$71,1)),""))</f>
        <v/>
      </c>
      <c r="C2172">
        <f>IF(A2172="","",DATE(YEAR(A2172),12,31)-DATE(YEAR(A2172),1,1)+1)</f>
        <v/>
      </c>
      <c r="D2172">
        <f>IF(A2172="","",Ввод!$B$4-SUMIF(Оплаты!$A$6:$A$505,"&lt;"&amp;A2172,Оплаты!$B$6:$B$505))</f>
        <v/>
      </c>
      <c r="E2172">
        <f>IF(A2172="","",IF(SUMPRODUCT((Ввод!$F$12:$F$31&lt;&gt;"")*(Ввод!$F$12:$F$31&lt;=A2172)*(Ввод!$G$12:$G$31&gt;=A2172))&gt;0,1,0))</f>
        <v/>
      </c>
      <c r="F2172">
        <f>IF(OR(A2172="",B2172=""),"",IF(E2172=1,0,D2172*B2172/100/C2172))</f>
        <v/>
      </c>
      <c r="G2172">
        <f>IF(A2172="","",IF(OR(B2172&lt;&gt;B2171,C2172&lt;&gt;C2171,D2172&lt;&gt;D2171,E2172&lt;&gt;E2171),G2171+1,G2171))</f>
        <v/>
      </c>
    </row>
    <row r="2173">
      <c r="A2173" s="14">
        <f>IF(OR(NOT(ISNUMBER(Ввод!$B$5)),NOT(ISNUMBER(Ввод!$B$6))),"",IF(Ввод!$B$5+2171&gt;Ввод!$B$6,"",Ввод!$B$5+2171))</f>
        <v/>
      </c>
      <c r="B2173">
        <f>IF(A2173="","",IFERROR(INDEX(Ввод!$B$12:$B$71,MATCH(A2173,Ввод!$D$12:$D$71,1)),""))</f>
        <v/>
      </c>
      <c r="C2173">
        <f>IF(A2173="","",DATE(YEAR(A2173),12,31)-DATE(YEAR(A2173),1,1)+1)</f>
        <v/>
      </c>
      <c r="D2173">
        <f>IF(A2173="","",Ввод!$B$4-SUMIF(Оплаты!$A$6:$A$505,"&lt;"&amp;A2173,Оплаты!$B$6:$B$505))</f>
        <v/>
      </c>
      <c r="E2173">
        <f>IF(A2173="","",IF(SUMPRODUCT((Ввод!$F$12:$F$31&lt;&gt;"")*(Ввод!$F$12:$F$31&lt;=A2173)*(Ввод!$G$12:$G$31&gt;=A2173))&gt;0,1,0))</f>
        <v/>
      </c>
      <c r="F2173">
        <f>IF(OR(A2173="",B2173=""),"",IF(E2173=1,0,D2173*B2173/100/C2173))</f>
        <v/>
      </c>
      <c r="G2173">
        <f>IF(A2173="","",IF(OR(B2173&lt;&gt;B2172,C2173&lt;&gt;C2172,D2173&lt;&gt;D2172,E2173&lt;&gt;E2172),G2172+1,G2172))</f>
        <v/>
      </c>
    </row>
    <row r="2174">
      <c r="A2174" s="14">
        <f>IF(OR(NOT(ISNUMBER(Ввод!$B$5)),NOT(ISNUMBER(Ввод!$B$6))),"",IF(Ввод!$B$5+2172&gt;Ввод!$B$6,"",Ввод!$B$5+2172))</f>
        <v/>
      </c>
      <c r="B2174">
        <f>IF(A2174="","",IFERROR(INDEX(Ввод!$B$12:$B$71,MATCH(A2174,Ввод!$D$12:$D$71,1)),""))</f>
        <v/>
      </c>
      <c r="C2174">
        <f>IF(A2174="","",DATE(YEAR(A2174),12,31)-DATE(YEAR(A2174),1,1)+1)</f>
        <v/>
      </c>
      <c r="D2174">
        <f>IF(A2174="","",Ввод!$B$4-SUMIF(Оплаты!$A$6:$A$505,"&lt;"&amp;A2174,Оплаты!$B$6:$B$505))</f>
        <v/>
      </c>
      <c r="E2174">
        <f>IF(A2174="","",IF(SUMPRODUCT((Ввод!$F$12:$F$31&lt;&gt;"")*(Ввод!$F$12:$F$31&lt;=A2174)*(Ввод!$G$12:$G$31&gt;=A2174))&gt;0,1,0))</f>
        <v/>
      </c>
      <c r="F2174">
        <f>IF(OR(A2174="",B2174=""),"",IF(E2174=1,0,D2174*B2174/100/C2174))</f>
        <v/>
      </c>
      <c r="G2174">
        <f>IF(A2174="","",IF(OR(B2174&lt;&gt;B2173,C2174&lt;&gt;C2173,D2174&lt;&gt;D2173,E2174&lt;&gt;E2173),G2173+1,G2173))</f>
        <v/>
      </c>
    </row>
    <row r="2175">
      <c r="A2175" s="14">
        <f>IF(OR(NOT(ISNUMBER(Ввод!$B$5)),NOT(ISNUMBER(Ввод!$B$6))),"",IF(Ввод!$B$5+2173&gt;Ввод!$B$6,"",Ввод!$B$5+2173))</f>
        <v/>
      </c>
      <c r="B2175">
        <f>IF(A2175="","",IFERROR(INDEX(Ввод!$B$12:$B$71,MATCH(A2175,Ввод!$D$12:$D$71,1)),""))</f>
        <v/>
      </c>
      <c r="C2175">
        <f>IF(A2175="","",DATE(YEAR(A2175),12,31)-DATE(YEAR(A2175),1,1)+1)</f>
        <v/>
      </c>
      <c r="D2175">
        <f>IF(A2175="","",Ввод!$B$4-SUMIF(Оплаты!$A$6:$A$505,"&lt;"&amp;A2175,Оплаты!$B$6:$B$505))</f>
        <v/>
      </c>
      <c r="E2175">
        <f>IF(A2175="","",IF(SUMPRODUCT((Ввод!$F$12:$F$31&lt;&gt;"")*(Ввод!$F$12:$F$31&lt;=A2175)*(Ввод!$G$12:$G$31&gt;=A2175))&gt;0,1,0))</f>
        <v/>
      </c>
      <c r="F2175">
        <f>IF(OR(A2175="",B2175=""),"",IF(E2175=1,0,D2175*B2175/100/C2175))</f>
        <v/>
      </c>
      <c r="G2175">
        <f>IF(A2175="","",IF(OR(B2175&lt;&gt;B2174,C2175&lt;&gt;C2174,D2175&lt;&gt;D2174,E2175&lt;&gt;E2174),G2174+1,G2174))</f>
        <v/>
      </c>
    </row>
    <row r="2176">
      <c r="A2176" s="14">
        <f>IF(OR(NOT(ISNUMBER(Ввод!$B$5)),NOT(ISNUMBER(Ввод!$B$6))),"",IF(Ввод!$B$5+2174&gt;Ввод!$B$6,"",Ввод!$B$5+2174))</f>
        <v/>
      </c>
      <c r="B2176">
        <f>IF(A2176="","",IFERROR(INDEX(Ввод!$B$12:$B$71,MATCH(A2176,Ввод!$D$12:$D$71,1)),""))</f>
        <v/>
      </c>
      <c r="C2176">
        <f>IF(A2176="","",DATE(YEAR(A2176),12,31)-DATE(YEAR(A2176),1,1)+1)</f>
        <v/>
      </c>
      <c r="D2176">
        <f>IF(A2176="","",Ввод!$B$4-SUMIF(Оплаты!$A$6:$A$505,"&lt;"&amp;A2176,Оплаты!$B$6:$B$505))</f>
        <v/>
      </c>
      <c r="E2176">
        <f>IF(A2176="","",IF(SUMPRODUCT((Ввод!$F$12:$F$31&lt;&gt;"")*(Ввод!$F$12:$F$31&lt;=A2176)*(Ввод!$G$12:$G$31&gt;=A2176))&gt;0,1,0))</f>
        <v/>
      </c>
      <c r="F2176">
        <f>IF(OR(A2176="",B2176=""),"",IF(E2176=1,0,D2176*B2176/100/C2176))</f>
        <v/>
      </c>
      <c r="G2176">
        <f>IF(A2176="","",IF(OR(B2176&lt;&gt;B2175,C2176&lt;&gt;C2175,D2176&lt;&gt;D2175,E2176&lt;&gt;E2175),G2175+1,G2175))</f>
        <v/>
      </c>
    </row>
    <row r="2177">
      <c r="A2177" s="14">
        <f>IF(OR(NOT(ISNUMBER(Ввод!$B$5)),NOT(ISNUMBER(Ввод!$B$6))),"",IF(Ввод!$B$5+2175&gt;Ввод!$B$6,"",Ввод!$B$5+2175))</f>
        <v/>
      </c>
      <c r="B2177">
        <f>IF(A2177="","",IFERROR(INDEX(Ввод!$B$12:$B$71,MATCH(A2177,Ввод!$D$12:$D$71,1)),""))</f>
        <v/>
      </c>
      <c r="C2177">
        <f>IF(A2177="","",DATE(YEAR(A2177),12,31)-DATE(YEAR(A2177),1,1)+1)</f>
        <v/>
      </c>
      <c r="D2177">
        <f>IF(A2177="","",Ввод!$B$4-SUMIF(Оплаты!$A$6:$A$505,"&lt;"&amp;A2177,Оплаты!$B$6:$B$505))</f>
        <v/>
      </c>
      <c r="E2177">
        <f>IF(A2177="","",IF(SUMPRODUCT((Ввод!$F$12:$F$31&lt;&gt;"")*(Ввод!$F$12:$F$31&lt;=A2177)*(Ввод!$G$12:$G$31&gt;=A2177))&gt;0,1,0))</f>
        <v/>
      </c>
      <c r="F2177">
        <f>IF(OR(A2177="",B2177=""),"",IF(E2177=1,0,D2177*B2177/100/C2177))</f>
        <v/>
      </c>
      <c r="G2177">
        <f>IF(A2177="","",IF(OR(B2177&lt;&gt;B2176,C2177&lt;&gt;C2176,D2177&lt;&gt;D2176,E2177&lt;&gt;E2176),G2176+1,G2176))</f>
        <v/>
      </c>
    </row>
    <row r="2178">
      <c r="A2178" s="14">
        <f>IF(OR(NOT(ISNUMBER(Ввод!$B$5)),NOT(ISNUMBER(Ввод!$B$6))),"",IF(Ввод!$B$5+2176&gt;Ввод!$B$6,"",Ввод!$B$5+2176))</f>
        <v/>
      </c>
      <c r="B2178">
        <f>IF(A2178="","",IFERROR(INDEX(Ввод!$B$12:$B$71,MATCH(A2178,Ввод!$D$12:$D$71,1)),""))</f>
        <v/>
      </c>
      <c r="C2178">
        <f>IF(A2178="","",DATE(YEAR(A2178),12,31)-DATE(YEAR(A2178),1,1)+1)</f>
        <v/>
      </c>
      <c r="D2178">
        <f>IF(A2178="","",Ввод!$B$4-SUMIF(Оплаты!$A$6:$A$505,"&lt;"&amp;A2178,Оплаты!$B$6:$B$505))</f>
        <v/>
      </c>
      <c r="E2178">
        <f>IF(A2178="","",IF(SUMPRODUCT((Ввод!$F$12:$F$31&lt;&gt;"")*(Ввод!$F$12:$F$31&lt;=A2178)*(Ввод!$G$12:$G$31&gt;=A2178))&gt;0,1,0))</f>
        <v/>
      </c>
      <c r="F2178">
        <f>IF(OR(A2178="",B2178=""),"",IF(E2178=1,0,D2178*B2178/100/C2178))</f>
        <v/>
      </c>
      <c r="G2178">
        <f>IF(A2178="","",IF(OR(B2178&lt;&gt;B2177,C2178&lt;&gt;C2177,D2178&lt;&gt;D2177,E2178&lt;&gt;E2177),G2177+1,G2177))</f>
        <v/>
      </c>
    </row>
    <row r="2179">
      <c r="A2179" s="14">
        <f>IF(OR(NOT(ISNUMBER(Ввод!$B$5)),NOT(ISNUMBER(Ввод!$B$6))),"",IF(Ввод!$B$5+2177&gt;Ввод!$B$6,"",Ввод!$B$5+2177))</f>
        <v/>
      </c>
      <c r="B2179">
        <f>IF(A2179="","",IFERROR(INDEX(Ввод!$B$12:$B$71,MATCH(A2179,Ввод!$D$12:$D$71,1)),""))</f>
        <v/>
      </c>
      <c r="C2179">
        <f>IF(A2179="","",DATE(YEAR(A2179),12,31)-DATE(YEAR(A2179),1,1)+1)</f>
        <v/>
      </c>
      <c r="D2179">
        <f>IF(A2179="","",Ввод!$B$4-SUMIF(Оплаты!$A$6:$A$505,"&lt;"&amp;A2179,Оплаты!$B$6:$B$505))</f>
        <v/>
      </c>
      <c r="E2179">
        <f>IF(A2179="","",IF(SUMPRODUCT((Ввод!$F$12:$F$31&lt;&gt;"")*(Ввод!$F$12:$F$31&lt;=A2179)*(Ввод!$G$12:$G$31&gt;=A2179))&gt;0,1,0))</f>
        <v/>
      </c>
      <c r="F2179">
        <f>IF(OR(A2179="",B2179=""),"",IF(E2179=1,0,D2179*B2179/100/C2179))</f>
        <v/>
      </c>
      <c r="G2179">
        <f>IF(A2179="","",IF(OR(B2179&lt;&gt;B2178,C2179&lt;&gt;C2178,D2179&lt;&gt;D2178,E2179&lt;&gt;E2178),G2178+1,G2178))</f>
        <v/>
      </c>
    </row>
    <row r="2180">
      <c r="A2180" s="14">
        <f>IF(OR(NOT(ISNUMBER(Ввод!$B$5)),NOT(ISNUMBER(Ввод!$B$6))),"",IF(Ввод!$B$5+2178&gt;Ввод!$B$6,"",Ввод!$B$5+2178))</f>
        <v/>
      </c>
      <c r="B2180">
        <f>IF(A2180="","",IFERROR(INDEX(Ввод!$B$12:$B$71,MATCH(A2180,Ввод!$D$12:$D$71,1)),""))</f>
        <v/>
      </c>
      <c r="C2180">
        <f>IF(A2180="","",DATE(YEAR(A2180),12,31)-DATE(YEAR(A2180),1,1)+1)</f>
        <v/>
      </c>
      <c r="D2180">
        <f>IF(A2180="","",Ввод!$B$4-SUMIF(Оплаты!$A$6:$A$505,"&lt;"&amp;A2180,Оплаты!$B$6:$B$505))</f>
        <v/>
      </c>
      <c r="E2180">
        <f>IF(A2180="","",IF(SUMPRODUCT((Ввод!$F$12:$F$31&lt;&gt;"")*(Ввод!$F$12:$F$31&lt;=A2180)*(Ввод!$G$12:$G$31&gt;=A2180))&gt;0,1,0))</f>
        <v/>
      </c>
      <c r="F2180">
        <f>IF(OR(A2180="",B2180=""),"",IF(E2180=1,0,D2180*B2180/100/C2180))</f>
        <v/>
      </c>
      <c r="G2180">
        <f>IF(A2180="","",IF(OR(B2180&lt;&gt;B2179,C2180&lt;&gt;C2179,D2180&lt;&gt;D2179,E2180&lt;&gt;E2179),G2179+1,G2179))</f>
        <v/>
      </c>
    </row>
    <row r="2181">
      <c r="A2181" s="14">
        <f>IF(OR(NOT(ISNUMBER(Ввод!$B$5)),NOT(ISNUMBER(Ввод!$B$6))),"",IF(Ввод!$B$5+2179&gt;Ввод!$B$6,"",Ввод!$B$5+2179))</f>
        <v/>
      </c>
      <c r="B2181">
        <f>IF(A2181="","",IFERROR(INDEX(Ввод!$B$12:$B$71,MATCH(A2181,Ввод!$D$12:$D$71,1)),""))</f>
        <v/>
      </c>
      <c r="C2181">
        <f>IF(A2181="","",DATE(YEAR(A2181),12,31)-DATE(YEAR(A2181),1,1)+1)</f>
        <v/>
      </c>
      <c r="D2181">
        <f>IF(A2181="","",Ввод!$B$4-SUMIF(Оплаты!$A$6:$A$505,"&lt;"&amp;A2181,Оплаты!$B$6:$B$505))</f>
        <v/>
      </c>
      <c r="E2181">
        <f>IF(A2181="","",IF(SUMPRODUCT((Ввод!$F$12:$F$31&lt;&gt;"")*(Ввод!$F$12:$F$31&lt;=A2181)*(Ввод!$G$12:$G$31&gt;=A2181))&gt;0,1,0))</f>
        <v/>
      </c>
      <c r="F2181">
        <f>IF(OR(A2181="",B2181=""),"",IF(E2181=1,0,D2181*B2181/100/C2181))</f>
        <v/>
      </c>
      <c r="G2181">
        <f>IF(A2181="","",IF(OR(B2181&lt;&gt;B2180,C2181&lt;&gt;C2180,D2181&lt;&gt;D2180,E2181&lt;&gt;E2180),G2180+1,G2180))</f>
        <v/>
      </c>
    </row>
    <row r="2182">
      <c r="A2182" s="14">
        <f>IF(OR(NOT(ISNUMBER(Ввод!$B$5)),NOT(ISNUMBER(Ввод!$B$6))),"",IF(Ввод!$B$5+2180&gt;Ввод!$B$6,"",Ввод!$B$5+2180))</f>
        <v/>
      </c>
      <c r="B2182">
        <f>IF(A2182="","",IFERROR(INDEX(Ввод!$B$12:$B$71,MATCH(A2182,Ввод!$D$12:$D$71,1)),""))</f>
        <v/>
      </c>
      <c r="C2182">
        <f>IF(A2182="","",DATE(YEAR(A2182),12,31)-DATE(YEAR(A2182),1,1)+1)</f>
        <v/>
      </c>
      <c r="D2182">
        <f>IF(A2182="","",Ввод!$B$4-SUMIF(Оплаты!$A$6:$A$505,"&lt;"&amp;A2182,Оплаты!$B$6:$B$505))</f>
        <v/>
      </c>
      <c r="E2182">
        <f>IF(A2182="","",IF(SUMPRODUCT((Ввод!$F$12:$F$31&lt;&gt;"")*(Ввод!$F$12:$F$31&lt;=A2182)*(Ввод!$G$12:$G$31&gt;=A2182))&gt;0,1,0))</f>
        <v/>
      </c>
      <c r="F2182">
        <f>IF(OR(A2182="",B2182=""),"",IF(E2182=1,0,D2182*B2182/100/C2182))</f>
        <v/>
      </c>
      <c r="G2182">
        <f>IF(A2182="","",IF(OR(B2182&lt;&gt;B2181,C2182&lt;&gt;C2181,D2182&lt;&gt;D2181,E2182&lt;&gt;E2181),G2181+1,G2181))</f>
        <v/>
      </c>
    </row>
    <row r="2183">
      <c r="A2183" s="14">
        <f>IF(OR(NOT(ISNUMBER(Ввод!$B$5)),NOT(ISNUMBER(Ввод!$B$6))),"",IF(Ввод!$B$5+2181&gt;Ввод!$B$6,"",Ввод!$B$5+2181))</f>
        <v/>
      </c>
      <c r="B2183">
        <f>IF(A2183="","",IFERROR(INDEX(Ввод!$B$12:$B$71,MATCH(A2183,Ввод!$D$12:$D$71,1)),""))</f>
        <v/>
      </c>
      <c r="C2183">
        <f>IF(A2183="","",DATE(YEAR(A2183),12,31)-DATE(YEAR(A2183),1,1)+1)</f>
        <v/>
      </c>
      <c r="D2183">
        <f>IF(A2183="","",Ввод!$B$4-SUMIF(Оплаты!$A$6:$A$505,"&lt;"&amp;A2183,Оплаты!$B$6:$B$505))</f>
        <v/>
      </c>
      <c r="E2183">
        <f>IF(A2183="","",IF(SUMPRODUCT((Ввод!$F$12:$F$31&lt;&gt;"")*(Ввод!$F$12:$F$31&lt;=A2183)*(Ввод!$G$12:$G$31&gt;=A2183))&gt;0,1,0))</f>
        <v/>
      </c>
      <c r="F2183">
        <f>IF(OR(A2183="",B2183=""),"",IF(E2183=1,0,D2183*B2183/100/C2183))</f>
        <v/>
      </c>
      <c r="G2183">
        <f>IF(A2183="","",IF(OR(B2183&lt;&gt;B2182,C2183&lt;&gt;C2182,D2183&lt;&gt;D2182,E2183&lt;&gt;E2182),G2182+1,G2182))</f>
        <v/>
      </c>
    </row>
    <row r="2184">
      <c r="A2184" s="14">
        <f>IF(OR(NOT(ISNUMBER(Ввод!$B$5)),NOT(ISNUMBER(Ввод!$B$6))),"",IF(Ввод!$B$5+2182&gt;Ввод!$B$6,"",Ввод!$B$5+2182))</f>
        <v/>
      </c>
      <c r="B2184">
        <f>IF(A2184="","",IFERROR(INDEX(Ввод!$B$12:$B$71,MATCH(A2184,Ввод!$D$12:$D$71,1)),""))</f>
        <v/>
      </c>
      <c r="C2184">
        <f>IF(A2184="","",DATE(YEAR(A2184),12,31)-DATE(YEAR(A2184),1,1)+1)</f>
        <v/>
      </c>
      <c r="D2184">
        <f>IF(A2184="","",Ввод!$B$4-SUMIF(Оплаты!$A$6:$A$505,"&lt;"&amp;A2184,Оплаты!$B$6:$B$505))</f>
        <v/>
      </c>
      <c r="E2184">
        <f>IF(A2184="","",IF(SUMPRODUCT((Ввод!$F$12:$F$31&lt;&gt;"")*(Ввод!$F$12:$F$31&lt;=A2184)*(Ввод!$G$12:$G$31&gt;=A2184))&gt;0,1,0))</f>
        <v/>
      </c>
      <c r="F2184">
        <f>IF(OR(A2184="",B2184=""),"",IF(E2184=1,0,D2184*B2184/100/C2184))</f>
        <v/>
      </c>
      <c r="G2184">
        <f>IF(A2184="","",IF(OR(B2184&lt;&gt;B2183,C2184&lt;&gt;C2183,D2184&lt;&gt;D2183,E2184&lt;&gt;E2183),G2183+1,G2183))</f>
        <v/>
      </c>
    </row>
    <row r="2185">
      <c r="A2185" s="14">
        <f>IF(OR(NOT(ISNUMBER(Ввод!$B$5)),NOT(ISNUMBER(Ввод!$B$6))),"",IF(Ввод!$B$5+2183&gt;Ввод!$B$6,"",Ввод!$B$5+2183))</f>
        <v/>
      </c>
      <c r="B2185">
        <f>IF(A2185="","",IFERROR(INDEX(Ввод!$B$12:$B$71,MATCH(A2185,Ввод!$D$12:$D$71,1)),""))</f>
        <v/>
      </c>
      <c r="C2185">
        <f>IF(A2185="","",DATE(YEAR(A2185),12,31)-DATE(YEAR(A2185),1,1)+1)</f>
        <v/>
      </c>
      <c r="D2185">
        <f>IF(A2185="","",Ввод!$B$4-SUMIF(Оплаты!$A$6:$A$505,"&lt;"&amp;A2185,Оплаты!$B$6:$B$505))</f>
        <v/>
      </c>
      <c r="E2185">
        <f>IF(A2185="","",IF(SUMPRODUCT((Ввод!$F$12:$F$31&lt;&gt;"")*(Ввод!$F$12:$F$31&lt;=A2185)*(Ввод!$G$12:$G$31&gt;=A2185))&gt;0,1,0))</f>
        <v/>
      </c>
      <c r="F2185">
        <f>IF(OR(A2185="",B2185=""),"",IF(E2185=1,0,D2185*B2185/100/C2185))</f>
        <v/>
      </c>
      <c r="G2185">
        <f>IF(A2185="","",IF(OR(B2185&lt;&gt;B2184,C2185&lt;&gt;C2184,D2185&lt;&gt;D2184,E2185&lt;&gt;E2184),G2184+1,G2184))</f>
        <v/>
      </c>
    </row>
    <row r="2186">
      <c r="A2186" s="14">
        <f>IF(OR(NOT(ISNUMBER(Ввод!$B$5)),NOT(ISNUMBER(Ввод!$B$6))),"",IF(Ввод!$B$5+2184&gt;Ввод!$B$6,"",Ввод!$B$5+2184))</f>
        <v/>
      </c>
      <c r="B2186">
        <f>IF(A2186="","",IFERROR(INDEX(Ввод!$B$12:$B$71,MATCH(A2186,Ввод!$D$12:$D$71,1)),""))</f>
        <v/>
      </c>
      <c r="C2186">
        <f>IF(A2186="","",DATE(YEAR(A2186),12,31)-DATE(YEAR(A2186),1,1)+1)</f>
        <v/>
      </c>
      <c r="D2186">
        <f>IF(A2186="","",Ввод!$B$4-SUMIF(Оплаты!$A$6:$A$505,"&lt;"&amp;A2186,Оплаты!$B$6:$B$505))</f>
        <v/>
      </c>
      <c r="E2186">
        <f>IF(A2186="","",IF(SUMPRODUCT((Ввод!$F$12:$F$31&lt;&gt;"")*(Ввод!$F$12:$F$31&lt;=A2186)*(Ввод!$G$12:$G$31&gt;=A2186))&gt;0,1,0))</f>
        <v/>
      </c>
      <c r="F2186">
        <f>IF(OR(A2186="",B2186=""),"",IF(E2186=1,0,D2186*B2186/100/C2186))</f>
        <v/>
      </c>
      <c r="G2186">
        <f>IF(A2186="","",IF(OR(B2186&lt;&gt;B2185,C2186&lt;&gt;C2185,D2186&lt;&gt;D2185,E2186&lt;&gt;E2185),G2185+1,G2185))</f>
        <v/>
      </c>
    </row>
    <row r="2187">
      <c r="A2187" s="14">
        <f>IF(OR(NOT(ISNUMBER(Ввод!$B$5)),NOT(ISNUMBER(Ввод!$B$6))),"",IF(Ввод!$B$5+2185&gt;Ввод!$B$6,"",Ввод!$B$5+2185))</f>
        <v/>
      </c>
      <c r="B2187">
        <f>IF(A2187="","",IFERROR(INDEX(Ввод!$B$12:$B$71,MATCH(A2187,Ввод!$D$12:$D$71,1)),""))</f>
        <v/>
      </c>
      <c r="C2187">
        <f>IF(A2187="","",DATE(YEAR(A2187),12,31)-DATE(YEAR(A2187),1,1)+1)</f>
        <v/>
      </c>
      <c r="D2187">
        <f>IF(A2187="","",Ввод!$B$4-SUMIF(Оплаты!$A$6:$A$505,"&lt;"&amp;A2187,Оплаты!$B$6:$B$505))</f>
        <v/>
      </c>
      <c r="E2187">
        <f>IF(A2187="","",IF(SUMPRODUCT((Ввод!$F$12:$F$31&lt;&gt;"")*(Ввод!$F$12:$F$31&lt;=A2187)*(Ввод!$G$12:$G$31&gt;=A2187))&gt;0,1,0))</f>
        <v/>
      </c>
      <c r="F2187">
        <f>IF(OR(A2187="",B2187=""),"",IF(E2187=1,0,D2187*B2187/100/C2187))</f>
        <v/>
      </c>
      <c r="G2187">
        <f>IF(A2187="","",IF(OR(B2187&lt;&gt;B2186,C2187&lt;&gt;C2186,D2187&lt;&gt;D2186,E2187&lt;&gt;E2186),G2186+1,G2186))</f>
        <v/>
      </c>
    </row>
    <row r="2188">
      <c r="A2188" s="14">
        <f>IF(OR(NOT(ISNUMBER(Ввод!$B$5)),NOT(ISNUMBER(Ввод!$B$6))),"",IF(Ввод!$B$5+2186&gt;Ввод!$B$6,"",Ввод!$B$5+2186))</f>
        <v/>
      </c>
      <c r="B2188">
        <f>IF(A2188="","",IFERROR(INDEX(Ввод!$B$12:$B$71,MATCH(A2188,Ввод!$D$12:$D$71,1)),""))</f>
        <v/>
      </c>
      <c r="C2188">
        <f>IF(A2188="","",DATE(YEAR(A2188),12,31)-DATE(YEAR(A2188),1,1)+1)</f>
        <v/>
      </c>
      <c r="D2188">
        <f>IF(A2188="","",Ввод!$B$4-SUMIF(Оплаты!$A$6:$A$505,"&lt;"&amp;A2188,Оплаты!$B$6:$B$505))</f>
        <v/>
      </c>
      <c r="E2188">
        <f>IF(A2188="","",IF(SUMPRODUCT((Ввод!$F$12:$F$31&lt;&gt;"")*(Ввод!$F$12:$F$31&lt;=A2188)*(Ввод!$G$12:$G$31&gt;=A2188))&gt;0,1,0))</f>
        <v/>
      </c>
      <c r="F2188">
        <f>IF(OR(A2188="",B2188=""),"",IF(E2188=1,0,D2188*B2188/100/C2188))</f>
        <v/>
      </c>
      <c r="G2188">
        <f>IF(A2188="","",IF(OR(B2188&lt;&gt;B2187,C2188&lt;&gt;C2187,D2188&lt;&gt;D2187,E2188&lt;&gt;E2187),G2187+1,G2187))</f>
        <v/>
      </c>
    </row>
    <row r="2189">
      <c r="A2189" s="14">
        <f>IF(OR(NOT(ISNUMBER(Ввод!$B$5)),NOT(ISNUMBER(Ввод!$B$6))),"",IF(Ввод!$B$5+2187&gt;Ввод!$B$6,"",Ввод!$B$5+2187))</f>
        <v/>
      </c>
      <c r="B2189">
        <f>IF(A2189="","",IFERROR(INDEX(Ввод!$B$12:$B$71,MATCH(A2189,Ввод!$D$12:$D$71,1)),""))</f>
        <v/>
      </c>
      <c r="C2189">
        <f>IF(A2189="","",DATE(YEAR(A2189),12,31)-DATE(YEAR(A2189),1,1)+1)</f>
        <v/>
      </c>
      <c r="D2189">
        <f>IF(A2189="","",Ввод!$B$4-SUMIF(Оплаты!$A$6:$A$505,"&lt;"&amp;A2189,Оплаты!$B$6:$B$505))</f>
        <v/>
      </c>
      <c r="E2189">
        <f>IF(A2189="","",IF(SUMPRODUCT((Ввод!$F$12:$F$31&lt;&gt;"")*(Ввод!$F$12:$F$31&lt;=A2189)*(Ввод!$G$12:$G$31&gt;=A2189))&gt;0,1,0))</f>
        <v/>
      </c>
      <c r="F2189">
        <f>IF(OR(A2189="",B2189=""),"",IF(E2189=1,0,D2189*B2189/100/C2189))</f>
        <v/>
      </c>
      <c r="G2189">
        <f>IF(A2189="","",IF(OR(B2189&lt;&gt;B2188,C2189&lt;&gt;C2188,D2189&lt;&gt;D2188,E2189&lt;&gt;E2188),G2188+1,G2188))</f>
        <v/>
      </c>
    </row>
    <row r="2190">
      <c r="A2190" s="14">
        <f>IF(OR(NOT(ISNUMBER(Ввод!$B$5)),NOT(ISNUMBER(Ввод!$B$6))),"",IF(Ввод!$B$5+2188&gt;Ввод!$B$6,"",Ввод!$B$5+2188))</f>
        <v/>
      </c>
      <c r="B2190">
        <f>IF(A2190="","",IFERROR(INDEX(Ввод!$B$12:$B$71,MATCH(A2190,Ввод!$D$12:$D$71,1)),""))</f>
        <v/>
      </c>
      <c r="C2190">
        <f>IF(A2190="","",DATE(YEAR(A2190),12,31)-DATE(YEAR(A2190),1,1)+1)</f>
        <v/>
      </c>
      <c r="D2190">
        <f>IF(A2190="","",Ввод!$B$4-SUMIF(Оплаты!$A$6:$A$505,"&lt;"&amp;A2190,Оплаты!$B$6:$B$505))</f>
        <v/>
      </c>
      <c r="E2190">
        <f>IF(A2190="","",IF(SUMPRODUCT((Ввод!$F$12:$F$31&lt;&gt;"")*(Ввод!$F$12:$F$31&lt;=A2190)*(Ввод!$G$12:$G$31&gt;=A2190))&gt;0,1,0))</f>
        <v/>
      </c>
      <c r="F2190">
        <f>IF(OR(A2190="",B2190=""),"",IF(E2190=1,0,D2190*B2190/100/C2190))</f>
        <v/>
      </c>
      <c r="G2190">
        <f>IF(A2190="","",IF(OR(B2190&lt;&gt;B2189,C2190&lt;&gt;C2189,D2190&lt;&gt;D2189,E2190&lt;&gt;E2189),G2189+1,G2189))</f>
        <v/>
      </c>
    </row>
    <row r="2191">
      <c r="A2191" s="14">
        <f>IF(OR(NOT(ISNUMBER(Ввод!$B$5)),NOT(ISNUMBER(Ввод!$B$6))),"",IF(Ввод!$B$5+2189&gt;Ввод!$B$6,"",Ввод!$B$5+2189))</f>
        <v/>
      </c>
      <c r="B2191">
        <f>IF(A2191="","",IFERROR(INDEX(Ввод!$B$12:$B$71,MATCH(A2191,Ввод!$D$12:$D$71,1)),""))</f>
        <v/>
      </c>
      <c r="C2191">
        <f>IF(A2191="","",DATE(YEAR(A2191),12,31)-DATE(YEAR(A2191),1,1)+1)</f>
        <v/>
      </c>
      <c r="D2191">
        <f>IF(A2191="","",Ввод!$B$4-SUMIF(Оплаты!$A$6:$A$505,"&lt;"&amp;A2191,Оплаты!$B$6:$B$505))</f>
        <v/>
      </c>
      <c r="E2191">
        <f>IF(A2191="","",IF(SUMPRODUCT((Ввод!$F$12:$F$31&lt;&gt;"")*(Ввод!$F$12:$F$31&lt;=A2191)*(Ввод!$G$12:$G$31&gt;=A2191))&gt;0,1,0))</f>
        <v/>
      </c>
      <c r="F2191">
        <f>IF(OR(A2191="",B2191=""),"",IF(E2191=1,0,D2191*B2191/100/C2191))</f>
        <v/>
      </c>
      <c r="G2191">
        <f>IF(A2191="","",IF(OR(B2191&lt;&gt;B2190,C2191&lt;&gt;C2190,D2191&lt;&gt;D2190,E2191&lt;&gt;E2190),G2190+1,G2190))</f>
        <v/>
      </c>
    </row>
    <row r="2192">
      <c r="A2192" s="14">
        <f>IF(OR(NOT(ISNUMBER(Ввод!$B$5)),NOT(ISNUMBER(Ввод!$B$6))),"",IF(Ввод!$B$5+2190&gt;Ввод!$B$6,"",Ввод!$B$5+2190))</f>
        <v/>
      </c>
      <c r="B2192">
        <f>IF(A2192="","",IFERROR(INDEX(Ввод!$B$12:$B$71,MATCH(A2192,Ввод!$D$12:$D$71,1)),""))</f>
        <v/>
      </c>
      <c r="C2192">
        <f>IF(A2192="","",DATE(YEAR(A2192),12,31)-DATE(YEAR(A2192),1,1)+1)</f>
        <v/>
      </c>
      <c r="D2192">
        <f>IF(A2192="","",Ввод!$B$4-SUMIF(Оплаты!$A$6:$A$505,"&lt;"&amp;A2192,Оплаты!$B$6:$B$505))</f>
        <v/>
      </c>
      <c r="E2192">
        <f>IF(A2192="","",IF(SUMPRODUCT((Ввод!$F$12:$F$31&lt;&gt;"")*(Ввод!$F$12:$F$31&lt;=A2192)*(Ввод!$G$12:$G$31&gt;=A2192))&gt;0,1,0))</f>
        <v/>
      </c>
      <c r="F2192">
        <f>IF(OR(A2192="",B2192=""),"",IF(E2192=1,0,D2192*B2192/100/C2192))</f>
        <v/>
      </c>
      <c r="G2192">
        <f>IF(A2192="","",IF(OR(B2192&lt;&gt;B2191,C2192&lt;&gt;C2191,D2192&lt;&gt;D2191,E2192&lt;&gt;E2191),G2191+1,G2191))</f>
        <v/>
      </c>
    </row>
    <row r="2193">
      <c r="A2193" s="14">
        <f>IF(OR(NOT(ISNUMBER(Ввод!$B$5)),NOT(ISNUMBER(Ввод!$B$6))),"",IF(Ввод!$B$5+2191&gt;Ввод!$B$6,"",Ввод!$B$5+2191))</f>
        <v/>
      </c>
      <c r="B2193">
        <f>IF(A2193="","",IFERROR(INDEX(Ввод!$B$12:$B$71,MATCH(A2193,Ввод!$D$12:$D$71,1)),""))</f>
        <v/>
      </c>
      <c r="C2193">
        <f>IF(A2193="","",DATE(YEAR(A2193),12,31)-DATE(YEAR(A2193),1,1)+1)</f>
        <v/>
      </c>
      <c r="D2193">
        <f>IF(A2193="","",Ввод!$B$4-SUMIF(Оплаты!$A$6:$A$505,"&lt;"&amp;A2193,Оплаты!$B$6:$B$505))</f>
        <v/>
      </c>
      <c r="E2193">
        <f>IF(A2193="","",IF(SUMPRODUCT((Ввод!$F$12:$F$31&lt;&gt;"")*(Ввод!$F$12:$F$31&lt;=A2193)*(Ввод!$G$12:$G$31&gt;=A2193))&gt;0,1,0))</f>
        <v/>
      </c>
      <c r="F2193">
        <f>IF(OR(A2193="",B2193=""),"",IF(E2193=1,0,D2193*B2193/100/C2193))</f>
        <v/>
      </c>
      <c r="G2193">
        <f>IF(A2193="","",IF(OR(B2193&lt;&gt;B2192,C2193&lt;&gt;C2192,D2193&lt;&gt;D2192,E2193&lt;&gt;E2192),G2192+1,G2192))</f>
        <v/>
      </c>
    </row>
    <row r="2194">
      <c r="A2194" s="14">
        <f>IF(OR(NOT(ISNUMBER(Ввод!$B$5)),NOT(ISNUMBER(Ввод!$B$6))),"",IF(Ввод!$B$5+2192&gt;Ввод!$B$6,"",Ввод!$B$5+2192))</f>
        <v/>
      </c>
      <c r="B2194">
        <f>IF(A2194="","",IFERROR(INDEX(Ввод!$B$12:$B$71,MATCH(A2194,Ввод!$D$12:$D$71,1)),""))</f>
        <v/>
      </c>
      <c r="C2194">
        <f>IF(A2194="","",DATE(YEAR(A2194),12,31)-DATE(YEAR(A2194),1,1)+1)</f>
        <v/>
      </c>
      <c r="D2194">
        <f>IF(A2194="","",Ввод!$B$4-SUMIF(Оплаты!$A$6:$A$505,"&lt;"&amp;A2194,Оплаты!$B$6:$B$505))</f>
        <v/>
      </c>
      <c r="E2194">
        <f>IF(A2194="","",IF(SUMPRODUCT((Ввод!$F$12:$F$31&lt;&gt;"")*(Ввод!$F$12:$F$31&lt;=A2194)*(Ввод!$G$12:$G$31&gt;=A2194))&gt;0,1,0))</f>
        <v/>
      </c>
      <c r="F2194">
        <f>IF(OR(A2194="",B2194=""),"",IF(E2194=1,0,D2194*B2194/100/C2194))</f>
        <v/>
      </c>
      <c r="G2194">
        <f>IF(A2194="","",IF(OR(B2194&lt;&gt;B2193,C2194&lt;&gt;C2193,D2194&lt;&gt;D2193,E2194&lt;&gt;E2193),G2193+1,G2193))</f>
        <v/>
      </c>
    </row>
    <row r="2195">
      <c r="A2195" s="14">
        <f>IF(OR(NOT(ISNUMBER(Ввод!$B$5)),NOT(ISNUMBER(Ввод!$B$6))),"",IF(Ввод!$B$5+2193&gt;Ввод!$B$6,"",Ввод!$B$5+2193))</f>
        <v/>
      </c>
      <c r="B2195">
        <f>IF(A2195="","",IFERROR(INDEX(Ввод!$B$12:$B$71,MATCH(A2195,Ввод!$D$12:$D$71,1)),""))</f>
        <v/>
      </c>
      <c r="C2195">
        <f>IF(A2195="","",DATE(YEAR(A2195),12,31)-DATE(YEAR(A2195),1,1)+1)</f>
        <v/>
      </c>
      <c r="D2195">
        <f>IF(A2195="","",Ввод!$B$4-SUMIF(Оплаты!$A$6:$A$505,"&lt;"&amp;A2195,Оплаты!$B$6:$B$505))</f>
        <v/>
      </c>
      <c r="E2195">
        <f>IF(A2195="","",IF(SUMPRODUCT((Ввод!$F$12:$F$31&lt;&gt;"")*(Ввод!$F$12:$F$31&lt;=A2195)*(Ввод!$G$12:$G$31&gt;=A2195))&gt;0,1,0))</f>
        <v/>
      </c>
      <c r="F2195">
        <f>IF(OR(A2195="",B2195=""),"",IF(E2195=1,0,D2195*B2195/100/C2195))</f>
        <v/>
      </c>
      <c r="G2195">
        <f>IF(A2195="","",IF(OR(B2195&lt;&gt;B2194,C2195&lt;&gt;C2194,D2195&lt;&gt;D2194,E2195&lt;&gt;E2194),G2194+1,G2194))</f>
        <v/>
      </c>
    </row>
    <row r="2196">
      <c r="A2196" s="14">
        <f>IF(OR(NOT(ISNUMBER(Ввод!$B$5)),NOT(ISNUMBER(Ввод!$B$6))),"",IF(Ввод!$B$5+2194&gt;Ввод!$B$6,"",Ввод!$B$5+2194))</f>
        <v/>
      </c>
      <c r="B2196">
        <f>IF(A2196="","",IFERROR(INDEX(Ввод!$B$12:$B$71,MATCH(A2196,Ввод!$D$12:$D$71,1)),""))</f>
        <v/>
      </c>
      <c r="C2196">
        <f>IF(A2196="","",DATE(YEAR(A2196),12,31)-DATE(YEAR(A2196),1,1)+1)</f>
        <v/>
      </c>
      <c r="D2196">
        <f>IF(A2196="","",Ввод!$B$4-SUMIF(Оплаты!$A$6:$A$505,"&lt;"&amp;A2196,Оплаты!$B$6:$B$505))</f>
        <v/>
      </c>
      <c r="E2196">
        <f>IF(A2196="","",IF(SUMPRODUCT((Ввод!$F$12:$F$31&lt;&gt;"")*(Ввод!$F$12:$F$31&lt;=A2196)*(Ввод!$G$12:$G$31&gt;=A2196))&gt;0,1,0))</f>
        <v/>
      </c>
      <c r="F2196">
        <f>IF(OR(A2196="",B2196=""),"",IF(E2196=1,0,D2196*B2196/100/C2196))</f>
        <v/>
      </c>
      <c r="G2196">
        <f>IF(A2196="","",IF(OR(B2196&lt;&gt;B2195,C2196&lt;&gt;C2195,D2196&lt;&gt;D2195,E2196&lt;&gt;E2195),G2195+1,G2195))</f>
        <v/>
      </c>
    </row>
    <row r="2197">
      <c r="A2197" s="14">
        <f>IF(OR(NOT(ISNUMBER(Ввод!$B$5)),NOT(ISNUMBER(Ввод!$B$6))),"",IF(Ввод!$B$5+2195&gt;Ввод!$B$6,"",Ввод!$B$5+2195))</f>
        <v/>
      </c>
      <c r="B2197">
        <f>IF(A2197="","",IFERROR(INDEX(Ввод!$B$12:$B$71,MATCH(A2197,Ввод!$D$12:$D$71,1)),""))</f>
        <v/>
      </c>
      <c r="C2197">
        <f>IF(A2197="","",DATE(YEAR(A2197),12,31)-DATE(YEAR(A2197),1,1)+1)</f>
        <v/>
      </c>
      <c r="D2197">
        <f>IF(A2197="","",Ввод!$B$4-SUMIF(Оплаты!$A$6:$A$505,"&lt;"&amp;A2197,Оплаты!$B$6:$B$505))</f>
        <v/>
      </c>
      <c r="E2197">
        <f>IF(A2197="","",IF(SUMPRODUCT((Ввод!$F$12:$F$31&lt;&gt;"")*(Ввод!$F$12:$F$31&lt;=A2197)*(Ввод!$G$12:$G$31&gt;=A2197))&gt;0,1,0))</f>
        <v/>
      </c>
      <c r="F2197">
        <f>IF(OR(A2197="",B2197=""),"",IF(E2197=1,0,D2197*B2197/100/C2197))</f>
        <v/>
      </c>
      <c r="G2197">
        <f>IF(A2197="","",IF(OR(B2197&lt;&gt;B2196,C2197&lt;&gt;C2196,D2197&lt;&gt;D2196,E2197&lt;&gt;E2196),G2196+1,G2196))</f>
        <v/>
      </c>
    </row>
    <row r="2198">
      <c r="A2198" s="14">
        <f>IF(OR(NOT(ISNUMBER(Ввод!$B$5)),NOT(ISNUMBER(Ввод!$B$6))),"",IF(Ввод!$B$5+2196&gt;Ввод!$B$6,"",Ввод!$B$5+2196))</f>
        <v/>
      </c>
      <c r="B2198">
        <f>IF(A2198="","",IFERROR(INDEX(Ввод!$B$12:$B$71,MATCH(A2198,Ввод!$D$12:$D$71,1)),""))</f>
        <v/>
      </c>
      <c r="C2198">
        <f>IF(A2198="","",DATE(YEAR(A2198),12,31)-DATE(YEAR(A2198),1,1)+1)</f>
        <v/>
      </c>
      <c r="D2198">
        <f>IF(A2198="","",Ввод!$B$4-SUMIF(Оплаты!$A$6:$A$505,"&lt;"&amp;A2198,Оплаты!$B$6:$B$505))</f>
        <v/>
      </c>
      <c r="E2198">
        <f>IF(A2198="","",IF(SUMPRODUCT((Ввод!$F$12:$F$31&lt;&gt;"")*(Ввод!$F$12:$F$31&lt;=A2198)*(Ввод!$G$12:$G$31&gt;=A2198))&gt;0,1,0))</f>
        <v/>
      </c>
      <c r="F2198">
        <f>IF(OR(A2198="",B2198=""),"",IF(E2198=1,0,D2198*B2198/100/C2198))</f>
        <v/>
      </c>
      <c r="G2198">
        <f>IF(A2198="","",IF(OR(B2198&lt;&gt;B2197,C2198&lt;&gt;C2197,D2198&lt;&gt;D2197,E2198&lt;&gt;E2197),G2197+1,G2197))</f>
        <v/>
      </c>
    </row>
    <row r="2199">
      <c r="A2199" s="14">
        <f>IF(OR(NOT(ISNUMBER(Ввод!$B$5)),NOT(ISNUMBER(Ввод!$B$6))),"",IF(Ввод!$B$5+2197&gt;Ввод!$B$6,"",Ввод!$B$5+2197))</f>
        <v/>
      </c>
      <c r="B2199">
        <f>IF(A2199="","",IFERROR(INDEX(Ввод!$B$12:$B$71,MATCH(A2199,Ввод!$D$12:$D$71,1)),""))</f>
        <v/>
      </c>
      <c r="C2199">
        <f>IF(A2199="","",DATE(YEAR(A2199),12,31)-DATE(YEAR(A2199),1,1)+1)</f>
        <v/>
      </c>
      <c r="D2199">
        <f>IF(A2199="","",Ввод!$B$4-SUMIF(Оплаты!$A$6:$A$505,"&lt;"&amp;A2199,Оплаты!$B$6:$B$505))</f>
        <v/>
      </c>
      <c r="E2199">
        <f>IF(A2199="","",IF(SUMPRODUCT((Ввод!$F$12:$F$31&lt;&gt;"")*(Ввод!$F$12:$F$31&lt;=A2199)*(Ввод!$G$12:$G$31&gt;=A2199))&gt;0,1,0))</f>
        <v/>
      </c>
      <c r="F2199">
        <f>IF(OR(A2199="",B2199=""),"",IF(E2199=1,0,D2199*B2199/100/C2199))</f>
        <v/>
      </c>
      <c r="G2199">
        <f>IF(A2199="","",IF(OR(B2199&lt;&gt;B2198,C2199&lt;&gt;C2198,D2199&lt;&gt;D2198,E2199&lt;&gt;E2198),G2198+1,G2198))</f>
        <v/>
      </c>
    </row>
    <row r="2200">
      <c r="A2200" s="14">
        <f>IF(OR(NOT(ISNUMBER(Ввод!$B$5)),NOT(ISNUMBER(Ввод!$B$6))),"",IF(Ввод!$B$5+2198&gt;Ввод!$B$6,"",Ввод!$B$5+2198))</f>
        <v/>
      </c>
      <c r="B2200">
        <f>IF(A2200="","",IFERROR(INDEX(Ввод!$B$12:$B$71,MATCH(A2200,Ввод!$D$12:$D$71,1)),""))</f>
        <v/>
      </c>
      <c r="C2200">
        <f>IF(A2200="","",DATE(YEAR(A2200),12,31)-DATE(YEAR(A2200),1,1)+1)</f>
        <v/>
      </c>
      <c r="D2200">
        <f>IF(A2200="","",Ввод!$B$4-SUMIF(Оплаты!$A$6:$A$505,"&lt;"&amp;A2200,Оплаты!$B$6:$B$505))</f>
        <v/>
      </c>
      <c r="E2200">
        <f>IF(A2200="","",IF(SUMPRODUCT((Ввод!$F$12:$F$31&lt;&gt;"")*(Ввод!$F$12:$F$31&lt;=A2200)*(Ввод!$G$12:$G$31&gt;=A2200))&gt;0,1,0))</f>
        <v/>
      </c>
      <c r="F2200">
        <f>IF(OR(A2200="",B2200=""),"",IF(E2200=1,0,D2200*B2200/100/C2200))</f>
        <v/>
      </c>
      <c r="G2200">
        <f>IF(A2200="","",IF(OR(B2200&lt;&gt;B2199,C2200&lt;&gt;C2199,D2200&lt;&gt;D2199,E2200&lt;&gt;E2199),G2199+1,G2199))</f>
        <v/>
      </c>
    </row>
    <row r="2201">
      <c r="A2201" s="14">
        <f>IF(OR(NOT(ISNUMBER(Ввод!$B$5)),NOT(ISNUMBER(Ввод!$B$6))),"",IF(Ввод!$B$5+2199&gt;Ввод!$B$6,"",Ввод!$B$5+2199))</f>
        <v/>
      </c>
      <c r="B2201">
        <f>IF(A2201="","",IFERROR(INDEX(Ввод!$B$12:$B$71,MATCH(A2201,Ввод!$D$12:$D$71,1)),""))</f>
        <v/>
      </c>
      <c r="C2201">
        <f>IF(A2201="","",DATE(YEAR(A2201),12,31)-DATE(YEAR(A2201),1,1)+1)</f>
        <v/>
      </c>
      <c r="D2201">
        <f>IF(A2201="","",Ввод!$B$4-SUMIF(Оплаты!$A$6:$A$505,"&lt;"&amp;A2201,Оплаты!$B$6:$B$505))</f>
        <v/>
      </c>
      <c r="E2201">
        <f>IF(A2201="","",IF(SUMPRODUCT((Ввод!$F$12:$F$31&lt;&gt;"")*(Ввод!$F$12:$F$31&lt;=A2201)*(Ввод!$G$12:$G$31&gt;=A2201))&gt;0,1,0))</f>
        <v/>
      </c>
      <c r="F2201">
        <f>IF(OR(A2201="",B2201=""),"",IF(E2201=1,0,D2201*B2201/100/C2201))</f>
        <v/>
      </c>
      <c r="G2201">
        <f>IF(A2201="","",IF(OR(B2201&lt;&gt;B2200,C2201&lt;&gt;C2200,D2201&lt;&gt;D2200,E2201&lt;&gt;E2200),G2200+1,G2200))</f>
        <v/>
      </c>
    </row>
    <row r="2202">
      <c r="A2202" s="14">
        <f>IF(OR(NOT(ISNUMBER(Ввод!$B$5)),NOT(ISNUMBER(Ввод!$B$6))),"",IF(Ввод!$B$5+2200&gt;Ввод!$B$6,"",Ввод!$B$5+2200))</f>
        <v/>
      </c>
      <c r="B2202">
        <f>IF(A2202="","",IFERROR(INDEX(Ввод!$B$12:$B$71,MATCH(A2202,Ввод!$D$12:$D$71,1)),""))</f>
        <v/>
      </c>
      <c r="C2202">
        <f>IF(A2202="","",DATE(YEAR(A2202),12,31)-DATE(YEAR(A2202),1,1)+1)</f>
        <v/>
      </c>
      <c r="D2202">
        <f>IF(A2202="","",Ввод!$B$4-SUMIF(Оплаты!$A$6:$A$505,"&lt;"&amp;A2202,Оплаты!$B$6:$B$505))</f>
        <v/>
      </c>
      <c r="E2202">
        <f>IF(A2202="","",IF(SUMPRODUCT((Ввод!$F$12:$F$31&lt;&gt;"")*(Ввод!$F$12:$F$31&lt;=A2202)*(Ввод!$G$12:$G$31&gt;=A2202))&gt;0,1,0))</f>
        <v/>
      </c>
      <c r="F2202">
        <f>IF(OR(A2202="",B2202=""),"",IF(E2202=1,0,D2202*B2202/100/C2202))</f>
        <v/>
      </c>
      <c r="G2202">
        <f>IF(A2202="","",IF(OR(B2202&lt;&gt;B2201,C2202&lt;&gt;C2201,D2202&lt;&gt;D2201,E2202&lt;&gt;E2201),G2201+1,G2201))</f>
        <v/>
      </c>
    </row>
    <row r="2203">
      <c r="A2203" s="14">
        <f>IF(OR(NOT(ISNUMBER(Ввод!$B$5)),NOT(ISNUMBER(Ввод!$B$6))),"",IF(Ввод!$B$5+2201&gt;Ввод!$B$6,"",Ввод!$B$5+2201))</f>
        <v/>
      </c>
      <c r="B2203">
        <f>IF(A2203="","",IFERROR(INDEX(Ввод!$B$12:$B$71,MATCH(A2203,Ввод!$D$12:$D$71,1)),""))</f>
        <v/>
      </c>
      <c r="C2203">
        <f>IF(A2203="","",DATE(YEAR(A2203),12,31)-DATE(YEAR(A2203),1,1)+1)</f>
        <v/>
      </c>
      <c r="D2203">
        <f>IF(A2203="","",Ввод!$B$4-SUMIF(Оплаты!$A$6:$A$505,"&lt;"&amp;A2203,Оплаты!$B$6:$B$505))</f>
        <v/>
      </c>
      <c r="E2203">
        <f>IF(A2203="","",IF(SUMPRODUCT((Ввод!$F$12:$F$31&lt;&gt;"")*(Ввод!$F$12:$F$31&lt;=A2203)*(Ввод!$G$12:$G$31&gt;=A2203))&gt;0,1,0))</f>
        <v/>
      </c>
      <c r="F2203">
        <f>IF(OR(A2203="",B2203=""),"",IF(E2203=1,0,D2203*B2203/100/C2203))</f>
        <v/>
      </c>
      <c r="G2203">
        <f>IF(A2203="","",IF(OR(B2203&lt;&gt;B2202,C2203&lt;&gt;C2202,D2203&lt;&gt;D2202,E2203&lt;&gt;E2202),G2202+1,G2202))</f>
        <v/>
      </c>
    </row>
    <row r="2204">
      <c r="A2204" s="14">
        <f>IF(OR(NOT(ISNUMBER(Ввод!$B$5)),NOT(ISNUMBER(Ввод!$B$6))),"",IF(Ввод!$B$5+2202&gt;Ввод!$B$6,"",Ввод!$B$5+2202))</f>
        <v/>
      </c>
      <c r="B2204">
        <f>IF(A2204="","",IFERROR(INDEX(Ввод!$B$12:$B$71,MATCH(A2204,Ввод!$D$12:$D$71,1)),""))</f>
        <v/>
      </c>
      <c r="C2204">
        <f>IF(A2204="","",DATE(YEAR(A2204),12,31)-DATE(YEAR(A2204),1,1)+1)</f>
        <v/>
      </c>
      <c r="D2204">
        <f>IF(A2204="","",Ввод!$B$4-SUMIF(Оплаты!$A$6:$A$505,"&lt;"&amp;A2204,Оплаты!$B$6:$B$505))</f>
        <v/>
      </c>
      <c r="E2204">
        <f>IF(A2204="","",IF(SUMPRODUCT((Ввод!$F$12:$F$31&lt;&gt;"")*(Ввод!$F$12:$F$31&lt;=A2204)*(Ввод!$G$12:$G$31&gt;=A2204))&gt;0,1,0))</f>
        <v/>
      </c>
      <c r="F2204">
        <f>IF(OR(A2204="",B2204=""),"",IF(E2204=1,0,D2204*B2204/100/C2204))</f>
        <v/>
      </c>
      <c r="G2204">
        <f>IF(A2204="","",IF(OR(B2204&lt;&gt;B2203,C2204&lt;&gt;C2203,D2204&lt;&gt;D2203,E2204&lt;&gt;E2203),G2203+1,G2203))</f>
        <v/>
      </c>
    </row>
    <row r="2205">
      <c r="A2205" s="14">
        <f>IF(OR(NOT(ISNUMBER(Ввод!$B$5)),NOT(ISNUMBER(Ввод!$B$6))),"",IF(Ввод!$B$5+2203&gt;Ввод!$B$6,"",Ввод!$B$5+2203))</f>
        <v/>
      </c>
      <c r="B2205">
        <f>IF(A2205="","",IFERROR(INDEX(Ввод!$B$12:$B$71,MATCH(A2205,Ввод!$D$12:$D$71,1)),""))</f>
        <v/>
      </c>
      <c r="C2205">
        <f>IF(A2205="","",DATE(YEAR(A2205),12,31)-DATE(YEAR(A2205),1,1)+1)</f>
        <v/>
      </c>
      <c r="D2205">
        <f>IF(A2205="","",Ввод!$B$4-SUMIF(Оплаты!$A$6:$A$505,"&lt;"&amp;A2205,Оплаты!$B$6:$B$505))</f>
        <v/>
      </c>
      <c r="E2205">
        <f>IF(A2205="","",IF(SUMPRODUCT((Ввод!$F$12:$F$31&lt;&gt;"")*(Ввод!$F$12:$F$31&lt;=A2205)*(Ввод!$G$12:$G$31&gt;=A2205))&gt;0,1,0))</f>
        <v/>
      </c>
      <c r="F2205">
        <f>IF(OR(A2205="",B2205=""),"",IF(E2205=1,0,D2205*B2205/100/C2205))</f>
        <v/>
      </c>
      <c r="G2205">
        <f>IF(A2205="","",IF(OR(B2205&lt;&gt;B2204,C2205&lt;&gt;C2204,D2205&lt;&gt;D2204,E2205&lt;&gt;E2204),G2204+1,G2204))</f>
        <v/>
      </c>
    </row>
    <row r="2206">
      <c r="A2206" s="14">
        <f>IF(OR(NOT(ISNUMBER(Ввод!$B$5)),NOT(ISNUMBER(Ввод!$B$6))),"",IF(Ввод!$B$5+2204&gt;Ввод!$B$6,"",Ввод!$B$5+2204))</f>
        <v/>
      </c>
      <c r="B2206">
        <f>IF(A2206="","",IFERROR(INDEX(Ввод!$B$12:$B$71,MATCH(A2206,Ввод!$D$12:$D$71,1)),""))</f>
        <v/>
      </c>
      <c r="C2206">
        <f>IF(A2206="","",DATE(YEAR(A2206),12,31)-DATE(YEAR(A2206),1,1)+1)</f>
        <v/>
      </c>
      <c r="D2206">
        <f>IF(A2206="","",Ввод!$B$4-SUMIF(Оплаты!$A$6:$A$505,"&lt;"&amp;A2206,Оплаты!$B$6:$B$505))</f>
        <v/>
      </c>
      <c r="E2206">
        <f>IF(A2206="","",IF(SUMPRODUCT((Ввод!$F$12:$F$31&lt;&gt;"")*(Ввод!$F$12:$F$31&lt;=A2206)*(Ввод!$G$12:$G$31&gt;=A2206))&gt;0,1,0))</f>
        <v/>
      </c>
      <c r="F2206">
        <f>IF(OR(A2206="",B2206=""),"",IF(E2206=1,0,D2206*B2206/100/C2206))</f>
        <v/>
      </c>
      <c r="G2206">
        <f>IF(A2206="","",IF(OR(B2206&lt;&gt;B2205,C2206&lt;&gt;C2205,D2206&lt;&gt;D2205,E2206&lt;&gt;E2205),G2205+1,G2205))</f>
        <v/>
      </c>
    </row>
    <row r="2207">
      <c r="A2207" s="14">
        <f>IF(OR(NOT(ISNUMBER(Ввод!$B$5)),NOT(ISNUMBER(Ввод!$B$6))),"",IF(Ввод!$B$5+2205&gt;Ввод!$B$6,"",Ввод!$B$5+2205))</f>
        <v/>
      </c>
      <c r="B2207">
        <f>IF(A2207="","",IFERROR(INDEX(Ввод!$B$12:$B$71,MATCH(A2207,Ввод!$D$12:$D$71,1)),""))</f>
        <v/>
      </c>
      <c r="C2207">
        <f>IF(A2207="","",DATE(YEAR(A2207),12,31)-DATE(YEAR(A2207),1,1)+1)</f>
        <v/>
      </c>
      <c r="D2207">
        <f>IF(A2207="","",Ввод!$B$4-SUMIF(Оплаты!$A$6:$A$505,"&lt;"&amp;A2207,Оплаты!$B$6:$B$505))</f>
        <v/>
      </c>
      <c r="E2207">
        <f>IF(A2207="","",IF(SUMPRODUCT((Ввод!$F$12:$F$31&lt;&gt;"")*(Ввод!$F$12:$F$31&lt;=A2207)*(Ввод!$G$12:$G$31&gt;=A2207))&gt;0,1,0))</f>
        <v/>
      </c>
      <c r="F2207">
        <f>IF(OR(A2207="",B2207=""),"",IF(E2207=1,0,D2207*B2207/100/C2207))</f>
        <v/>
      </c>
      <c r="G2207">
        <f>IF(A2207="","",IF(OR(B2207&lt;&gt;B2206,C2207&lt;&gt;C2206,D2207&lt;&gt;D2206,E2207&lt;&gt;E2206),G2206+1,G2206))</f>
        <v/>
      </c>
    </row>
    <row r="2208">
      <c r="A2208" s="14">
        <f>IF(OR(NOT(ISNUMBER(Ввод!$B$5)),NOT(ISNUMBER(Ввод!$B$6))),"",IF(Ввод!$B$5+2206&gt;Ввод!$B$6,"",Ввод!$B$5+2206))</f>
        <v/>
      </c>
      <c r="B2208">
        <f>IF(A2208="","",IFERROR(INDEX(Ввод!$B$12:$B$71,MATCH(A2208,Ввод!$D$12:$D$71,1)),""))</f>
        <v/>
      </c>
      <c r="C2208">
        <f>IF(A2208="","",DATE(YEAR(A2208),12,31)-DATE(YEAR(A2208),1,1)+1)</f>
        <v/>
      </c>
      <c r="D2208">
        <f>IF(A2208="","",Ввод!$B$4-SUMIF(Оплаты!$A$6:$A$505,"&lt;"&amp;A2208,Оплаты!$B$6:$B$505))</f>
        <v/>
      </c>
      <c r="E2208">
        <f>IF(A2208="","",IF(SUMPRODUCT((Ввод!$F$12:$F$31&lt;&gt;"")*(Ввод!$F$12:$F$31&lt;=A2208)*(Ввод!$G$12:$G$31&gt;=A2208))&gt;0,1,0))</f>
        <v/>
      </c>
      <c r="F2208">
        <f>IF(OR(A2208="",B2208=""),"",IF(E2208=1,0,D2208*B2208/100/C2208))</f>
        <v/>
      </c>
      <c r="G2208">
        <f>IF(A2208="","",IF(OR(B2208&lt;&gt;B2207,C2208&lt;&gt;C2207,D2208&lt;&gt;D2207,E2208&lt;&gt;E2207),G2207+1,G2207))</f>
        <v/>
      </c>
    </row>
    <row r="2209">
      <c r="A2209" s="14">
        <f>IF(OR(NOT(ISNUMBER(Ввод!$B$5)),NOT(ISNUMBER(Ввод!$B$6))),"",IF(Ввод!$B$5+2207&gt;Ввод!$B$6,"",Ввод!$B$5+2207))</f>
        <v/>
      </c>
      <c r="B2209">
        <f>IF(A2209="","",IFERROR(INDEX(Ввод!$B$12:$B$71,MATCH(A2209,Ввод!$D$12:$D$71,1)),""))</f>
        <v/>
      </c>
      <c r="C2209">
        <f>IF(A2209="","",DATE(YEAR(A2209),12,31)-DATE(YEAR(A2209),1,1)+1)</f>
        <v/>
      </c>
      <c r="D2209">
        <f>IF(A2209="","",Ввод!$B$4-SUMIF(Оплаты!$A$6:$A$505,"&lt;"&amp;A2209,Оплаты!$B$6:$B$505))</f>
        <v/>
      </c>
      <c r="E2209">
        <f>IF(A2209="","",IF(SUMPRODUCT((Ввод!$F$12:$F$31&lt;&gt;"")*(Ввод!$F$12:$F$31&lt;=A2209)*(Ввод!$G$12:$G$31&gt;=A2209))&gt;0,1,0))</f>
        <v/>
      </c>
      <c r="F2209">
        <f>IF(OR(A2209="",B2209=""),"",IF(E2209=1,0,D2209*B2209/100/C2209))</f>
        <v/>
      </c>
      <c r="G2209">
        <f>IF(A2209="","",IF(OR(B2209&lt;&gt;B2208,C2209&lt;&gt;C2208,D2209&lt;&gt;D2208,E2209&lt;&gt;E2208),G2208+1,G2208))</f>
        <v/>
      </c>
    </row>
    <row r="2210">
      <c r="A2210" s="14">
        <f>IF(OR(NOT(ISNUMBER(Ввод!$B$5)),NOT(ISNUMBER(Ввод!$B$6))),"",IF(Ввод!$B$5+2208&gt;Ввод!$B$6,"",Ввод!$B$5+2208))</f>
        <v/>
      </c>
      <c r="B2210">
        <f>IF(A2210="","",IFERROR(INDEX(Ввод!$B$12:$B$71,MATCH(A2210,Ввод!$D$12:$D$71,1)),""))</f>
        <v/>
      </c>
      <c r="C2210">
        <f>IF(A2210="","",DATE(YEAR(A2210),12,31)-DATE(YEAR(A2210),1,1)+1)</f>
        <v/>
      </c>
      <c r="D2210">
        <f>IF(A2210="","",Ввод!$B$4-SUMIF(Оплаты!$A$6:$A$505,"&lt;"&amp;A2210,Оплаты!$B$6:$B$505))</f>
        <v/>
      </c>
      <c r="E2210">
        <f>IF(A2210="","",IF(SUMPRODUCT((Ввод!$F$12:$F$31&lt;&gt;"")*(Ввод!$F$12:$F$31&lt;=A2210)*(Ввод!$G$12:$G$31&gt;=A2210))&gt;0,1,0))</f>
        <v/>
      </c>
      <c r="F2210">
        <f>IF(OR(A2210="",B2210=""),"",IF(E2210=1,0,D2210*B2210/100/C2210))</f>
        <v/>
      </c>
      <c r="G2210">
        <f>IF(A2210="","",IF(OR(B2210&lt;&gt;B2209,C2210&lt;&gt;C2209,D2210&lt;&gt;D2209,E2210&lt;&gt;E2209),G2209+1,G2209))</f>
        <v/>
      </c>
    </row>
    <row r="2211">
      <c r="A2211" s="14">
        <f>IF(OR(NOT(ISNUMBER(Ввод!$B$5)),NOT(ISNUMBER(Ввод!$B$6))),"",IF(Ввод!$B$5+2209&gt;Ввод!$B$6,"",Ввод!$B$5+2209))</f>
        <v/>
      </c>
      <c r="B2211">
        <f>IF(A2211="","",IFERROR(INDEX(Ввод!$B$12:$B$71,MATCH(A2211,Ввод!$D$12:$D$71,1)),""))</f>
        <v/>
      </c>
      <c r="C2211">
        <f>IF(A2211="","",DATE(YEAR(A2211),12,31)-DATE(YEAR(A2211),1,1)+1)</f>
        <v/>
      </c>
      <c r="D2211">
        <f>IF(A2211="","",Ввод!$B$4-SUMIF(Оплаты!$A$6:$A$505,"&lt;"&amp;A2211,Оплаты!$B$6:$B$505))</f>
        <v/>
      </c>
      <c r="E2211">
        <f>IF(A2211="","",IF(SUMPRODUCT((Ввод!$F$12:$F$31&lt;&gt;"")*(Ввод!$F$12:$F$31&lt;=A2211)*(Ввод!$G$12:$G$31&gt;=A2211))&gt;0,1,0))</f>
        <v/>
      </c>
      <c r="F2211">
        <f>IF(OR(A2211="",B2211=""),"",IF(E2211=1,0,D2211*B2211/100/C2211))</f>
        <v/>
      </c>
      <c r="G2211">
        <f>IF(A2211="","",IF(OR(B2211&lt;&gt;B2210,C2211&lt;&gt;C2210,D2211&lt;&gt;D2210,E2211&lt;&gt;E2210),G2210+1,G2210))</f>
        <v/>
      </c>
    </row>
    <row r="2212">
      <c r="A2212" s="14">
        <f>IF(OR(NOT(ISNUMBER(Ввод!$B$5)),NOT(ISNUMBER(Ввод!$B$6))),"",IF(Ввод!$B$5+2210&gt;Ввод!$B$6,"",Ввод!$B$5+2210))</f>
        <v/>
      </c>
      <c r="B2212">
        <f>IF(A2212="","",IFERROR(INDEX(Ввод!$B$12:$B$71,MATCH(A2212,Ввод!$D$12:$D$71,1)),""))</f>
        <v/>
      </c>
      <c r="C2212">
        <f>IF(A2212="","",DATE(YEAR(A2212),12,31)-DATE(YEAR(A2212),1,1)+1)</f>
        <v/>
      </c>
      <c r="D2212">
        <f>IF(A2212="","",Ввод!$B$4-SUMIF(Оплаты!$A$6:$A$505,"&lt;"&amp;A2212,Оплаты!$B$6:$B$505))</f>
        <v/>
      </c>
      <c r="E2212">
        <f>IF(A2212="","",IF(SUMPRODUCT((Ввод!$F$12:$F$31&lt;&gt;"")*(Ввод!$F$12:$F$31&lt;=A2212)*(Ввод!$G$12:$G$31&gt;=A2212))&gt;0,1,0))</f>
        <v/>
      </c>
      <c r="F2212">
        <f>IF(OR(A2212="",B2212=""),"",IF(E2212=1,0,D2212*B2212/100/C2212))</f>
        <v/>
      </c>
      <c r="G2212">
        <f>IF(A2212="","",IF(OR(B2212&lt;&gt;B2211,C2212&lt;&gt;C2211,D2212&lt;&gt;D2211,E2212&lt;&gt;E2211),G2211+1,G2211))</f>
        <v/>
      </c>
    </row>
    <row r="2213">
      <c r="A2213" s="14">
        <f>IF(OR(NOT(ISNUMBER(Ввод!$B$5)),NOT(ISNUMBER(Ввод!$B$6))),"",IF(Ввод!$B$5+2211&gt;Ввод!$B$6,"",Ввод!$B$5+2211))</f>
        <v/>
      </c>
      <c r="B2213">
        <f>IF(A2213="","",IFERROR(INDEX(Ввод!$B$12:$B$71,MATCH(A2213,Ввод!$D$12:$D$71,1)),""))</f>
        <v/>
      </c>
      <c r="C2213">
        <f>IF(A2213="","",DATE(YEAR(A2213),12,31)-DATE(YEAR(A2213),1,1)+1)</f>
        <v/>
      </c>
      <c r="D2213">
        <f>IF(A2213="","",Ввод!$B$4-SUMIF(Оплаты!$A$6:$A$505,"&lt;"&amp;A2213,Оплаты!$B$6:$B$505))</f>
        <v/>
      </c>
      <c r="E2213">
        <f>IF(A2213="","",IF(SUMPRODUCT((Ввод!$F$12:$F$31&lt;&gt;"")*(Ввод!$F$12:$F$31&lt;=A2213)*(Ввод!$G$12:$G$31&gt;=A2213))&gt;0,1,0))</f>
        <v/>
      </c>
      <c r="F2213">
        <f>IF(OR(A2213="",B2213=""),"",IF(E2213=1,0,D2213*B2213/100/C2213))</f>
        <v/>
      </c>
      <c r="G2213">
        <f>IF(A2213="","",IF(OR(B2213&lt;&gt;B2212,C2213&lt;&gt;C2212,D2213&lt;&gt;D2212,E2213&lt;&gt;E2212),G2212+1,G2212))</f>
        <v/>
      </c>
    </row>
    <row r="2214">
      <c r="A2214" s="14">
        <f>IF(OR(NOT(ISNUMBER(Ввод!$B$5)),NOT(ISNUMBER(Ввод!$B$6))),"",IF(Ввод!$B$5+2212&gt;Ввод!$B$6,"",Ввод!$B$5+2212))</f>
        <v/>
      </c>
      <c r="B2214">
        <f>IF(A2214="","",IFERROR(INDEX(Ввод!$B$12:$B$71,MATCH(A2214,Ввод!$D$12:$D$71,1)),""))</f>
        <v/>
      </c>
      <c r="C2214">
        <f>IF(A2214="","",DATE(YEAR(A2214),12,31)-DATE(YEAR(A2214),1,1)+1)</f>
        <v/>
      </c>
      <c r="D2214">
        <f>IF(A2214="","",Ввод!$B$4-SUMIF(Оплаты!$A$6:$A$505,"&lt;"&amp;A2214,Оплаты!$B$6:$B$505))</f>
        <v/>
      </c>
      <c r="E2214">
        <f>IF(A2214="","",IF(SUMPRODUCT((Ввод!$F$12:$F$31&lt;&gt;"")*(Ввод!$F$12:$F$31&lt;=A2214)*(Ввод!$G$12:$G$31&gt;=A2214))&gt;0,1,0))</f>
        <v/>
      </c>
      <c r="F2214">
        <f>IF(OR(A2214="",B2214=""),"",IF(E2214=1,0,D2214*B2214/100/C2214))</f>
        <v/>
      </c>
      <c r="G2214">
        <f>IF(A2214="","",IF(OR(B2214&lt;&gt;B2213,C2214&lt;&gt;C2213,D2214&lt;&gt;D2213,E2214&lt;&gt;E2213),G2213+1,G2213))</f>
        <v/>
      </c>
    </row>
    <row r="2215">
      <c r="A2215" s="14">
        <f>IF(OR(NOT(ISNUMBER(Ввод!$B$5)),NOT(ISNUMBER(Ввод!$B$6))),"",IF(Ввод!$B$5+2213&gt;Ввод!$B$6,"",Ввод!$B$5+2213))</f>
        <v/>
      </c>
      <c r="B2215">
        <f>IF(A2215="","",IFERROR(INDEX(Ввод!$B$12:$B$71,MATCH(A2215,Ввод!$D$12:$D$71,1)),""))</f>
        <v/>
      </c>
      <c r="C2215">
        <f>IF(A2215="","",DATE(YEAR(A2215),12,31)-DATE(YEAR(A2215),1,1)+1)</f>
        <v/>
      </c>
      <c r="D2215">
        <f>IF(A2215="","",Ввод!$B$4-SUMIF(Оплаты!$A$6:$A$505,"&lt;"&amp;A2215,Оплаты!$B$6:$B$505))</f>
        <v/>
      </c>
      <c r="E2215">
        <f>IF(A2215="","",IF(SUMPRODUCT((Ввод!$F$12:$F$31&lt;&gt;"")*(Ввод!$F$12:$F$31&lt;=A2215)*(Ввод!$G$12:$G$31&gt;=A2215))&gt;0,1,0))</f>
        <v/>
      </c>
      <c r="F2215">
        <f>IF(OR(A2215="",B2215=""),"",IF(E2215=1,0,D2215*B2215/100/C2215))</f>
        <v/>
      </c>
      <c r="G2215">
        <f>IF(A2215="","",IF(OR(B2215&lt;&gt;B2214,C2215&lt;&gt;C2214,D2215&lt;&gt;D2214,E2215&lt;&gt;E2214),G2214+1,G2214))</f>
        <v/>
      </c>
    </row>
    <row r="2216">
      <c r="A2216" s="14">
        <f>IF(OR(NOT(ISNUMBER(Ввод!$B$5)),NOT(ISNUMBER(Ввод!$B$6))),"",IF(Ввод!$B$5+2214&gt;Ввод!$B$6,"",Ввод!$B$5+2214))</f>
        <v/>
      </c>
      <c r="B2216">
        <f>IF(A2216="","",IFERROR(INDEX(Ввод!$B$12:$B$71,MATCH(A2216,Ввод!$D$12:$D$71,1)),""))</f>
        <v/>
      </c>
      <c r="C2216">
        <f>IF(A2216="","",DATE(YEAR(A2216),12,31)-DATE(YEAR(A2216),1,1)+1)</f>
        <v/>
      </c>
      <c r="D2216">
        <f>IF(A2216="","",Ввод!$B$4-SUMIF(Оплаты!$A$6:$A$505,"&lt;"&amp;A2216,Оплаты!$B$6:$B$505))</f>
        <v/>
      </c>
      <c r="E2216">
        <f>IF(A2216="","",IF(SUMPRODUCT((Ввод!$F$12:$F$31&lt;&gt;"")*(Ввод!$F$12:$F$31&lt;=A2216)*(Ввод!$G$12:$G$31&gt;=A2216))&gt;0,1,0))</f>
        <v/>
      </c>
      <c r="F2216">
        <f>IF(OR(A2216="",B2216=""),"",IF(E2216=1,0,D2216*B2216/100/C2216))</f>
        <v/>
      </c>
      <c r="G2216">
        <f>IF(A2216="","",IF(OR(B2216&lt;&gt;B2215,C2216&lt;&gt;C2215,D2216&lt;&gt;D2215,E2216&lt;&gt;E2215),G2215+1,G2215))</f>
        <v/>
      </c>
    </row>
    <row r="2217">
      <c r="A2217" s="14">
        <f>IF(OR(NOT(ISNUMBER(Ввод!$B$5)),NOT(ISNUMBER(Ввод!$B$6))),"",IF(Ввод!$B$5+2215&gt;Ввод!$B$6,"",Ввод!$B$5+2215))</f>
        <v/>
      </c>
      <c r="B2217">
        <f>IF(A2217="","",IFERROR(INDEX(Ввод!$B$12:$B$71,MATCH(A2217,Ввод!$D$12:$D$71,1)),""))</f>
        <v/>
      </c>
      <c r="C2217">
        <f>IF(A2217="","",DATE(YEAR(A2217),12,31)-DATE(YEAR(A2217),1,1)+1)</f>
        <v/>
      </c>
      <c r="D2217">
        <f>IF(A2217="","",Ввод!$B$4-SUMIF(Оплаты!$A$6:$A$505,"&lt;"&amp;A2217,Оплаты!$B$6:$B$505))</f>
        <v/>
      </c>
      <c r="E2217">
        <f>IF(A2217="","",IF(SUMPRODUCT((Ввод!$F$12:$F$31&lt;&gt;"")*(Ввод!$F$12:$F$31&lt;=A2217)*(Ввод!$G$12:$G$31&gt;=A2217))&gt;0,1,0))</f>
        <v/>
      </c>
      <c r="F2217">
        <f>IF(OR(A2217="",B2217=""),"",IF(E2217=1,0,D2217*B2217/100/C2217))</f>
        <v/>
      </c>
      <c r="G2217">
        <f>IF(A2217="","",IF(OR(B2217&lt;&gt;B2216,C2217&lt;&gt;C2216,D2217&lt;&gt;D2216,E2217&lt;&gt;E2216),G2216+1,G2216))</f>
        <v/>
      </c>
    </row>
    <row r="2218">
      <c r="A2218" s="14">
        <f>IF(OR(NOT(ISNUMBER(Ввод!$B$5)),NOT(ISNUMBER(Ввод!$B$6))),"",IF(Ввод!$B$5+2216&gt;Ввод!$B$6,"",Ввод!$B$5+2216))</f>
        <v/>
      </c>
      <c r="B2218">
        <f>IF(A2218="","",IFERROR(INDEX(Ввод!$B$12:$B$71,MATCH(A2218,Ввод!$D$12:$D$71,1)),""))</f>
        <v/>
      </c>
      <c r="C2218">
        <f>IF(A2218="","",DATE(YEAR(A2218),12,31)-DATE(YEAR(A2218),1,1)+1)</f>
        <v/>
      </c>
      <c r="D2218">
        <f>IF(A2218="","",Ввод!$B$4-SUMIF(Оплаты!$A$6:$A$505,"&lt;"&amp;A2218,Оплаты!$B$6:$B$505))</f>
        <v/>
      </c>
      <c r="E2218">
        <f>IF(A2218="","",IF(SUMPRODUCT((Ввод!$F$12:$F$31&lt;&gt;"")*(Ввод!$F$12:$F$31&lt;=A2218)*(Ввод!$G$12:$G$31&gt;=A2218))&gt;0,1,0))</f>
        <v/>
      </c>
      <c r="F2218">
        <f>IF(OR(A2218="",B2218=""),"",IF(E2218=1,0,D2218*B2218/100/C2218))</f>
        <v/>
      </c>
      <c r="G2218">
        <f>IF(A2218="","",IF(OR(B2218&lt;&gt;B2217,C2218&lt;&gt;C2217,D2218&lt;&gt;D2217,E2218&lt;&gt;E2217),G2217+1,G2217))</f>
        <v/>
      </c>
    </row>
    <row r="2219">
      <c r="A2219" s="14">
        <f>IF(OR(NOT(ISNUMBER(Ввод!$B$5)),NOT(ISNUMBER(Ввод!$B$6))),"",IF(Ввод!$B$5+2217&gt;Ввод!$B$6,"",Ввод!$B$5+2217))</f>
        <v/>
      </c>
      <c r="B2219">
        <f>IF(A2219="","",IFERROR(INDEX(Ввод!$B$12:$B$71,MATCH(A2219,Ввод!$D$12:$D$71,1)),""))</f>
        <v/>
      </c>
      <c r="C2219">
        <f>IF(A2219="","",DATE(YEAR(A2219),12,31)-DATE(YEAR(A2219),1,1)+1)</f>
        <v/>
      </c>
      <c r="D2219">
        <f>IF(A2219="","",Ввод!$B$4-SUMIF(Оплаты!$A$6:$A$505,"&lt;"&amp;A2219,Оплаты!$B$6:$B$505))</f>
        <v/>
      </c>
      <c r="E2219">
        <f>IF(A2219="","",IF(SUMPRODUCT((Ввод!$F$12:$F$31&lt;&gt;"")*(Ввод!$F$12:$F$31&lt;=A2219)*(Ввод!$G$12:$G$31&gt;=A2219))&gt;0,1,0))</f>
        <v/>
      </c>
      <c r="F2219">
        <f>IF(OR(A2219="",B2219=""),"",IF(E2219=1,0,D2219*B2219/100/C2219))</f>
        <v/>
      </c>
      <c r="G2219">
        <f>IF(A2219="","",IF(OR(B2219&lt;&gt;B2218,C2219&lt;&gt;C2218,D2219&lt;&gt;D2218,E2219&lt;&gt;E2218),G2218+1,G2218))</f>
        <v/>
      </c>
    </row>
    <row r="2220">
      <c r="A2220" s="14">
        <f>IF(OR(NOT(ISNUMBER(Ввод!$B$5)),NOT(ISNUMBER(Ввод!$B$6))),"",IF(Ввод!$B$5+2218&gt;Ввод!$B$6,"",Ввод!$B$5+2218))</f>
        <v/>
      </c>
      <c r="B2220">
        <f>IF(A2220="","",IFERROR(INDEX(Ввод!$B$12:$B$71,MATCH(A2220,Ввод!$D$12:$D$71,1)),""))</f>
        <v/>
      </c>
      <c r="C2220">
        <f>IF(A2220="","",DATE(YEAR(A2220),12,31)-DATE(YEAR(A2220),1,1)+1)</f>
        <v/>
      </c>
      <c r="D2220">
        <f>IF(A2220="","",Ввод!$B$4-SUMIF(Оплаты!$A$6:$A$505,"&lt;"&amp;A2220,Оплаты!$B$6:$B$505))</f>
        <v/>
      </c>
      <c r="E2220">
        <f>IF(A2220="","",IF(SUMPRODUCT((Ввод!$F$12:$F$31&lt;&gt;"")*(Ввод!$F$12:$F$31&lt;=A2220)*(Ввод!$G$12:$G$31&gt;=A2220))&gt;0,1,0))</f>
        <v/>
      </c>
      <c r="F2220">
        <f>IF(OR(A2220="",B2220=""),"",IF(E2220=1,0,D2220*B2220/100/C2220))</f>
        <v/>
      </c>
      <c r="G2220">
        <f>IF(A2220="","",IF(OR(B2220&lt;&gt;B2219,C2220&lt;&gt;C2219,D2220&lt;&gt;D2219,E2220&lt;&gt;E2219),G2219+1,G2219))</f>
        <v/>
      </c>
    </row>
    <row r="2221">
      <c r="A2221" s="14">
        <f>IF(OR(NOT(ISNUMBER(Ввод!$B$5)),NOT(ISNUMBER(Ввод!$B$6))),"",IF(Ввод!$B$5+2219&gt;Ввод!$B$6,"",Ввод!$B$5+2219))</f>
        <v/>
      </c>
      <c r="B2221">
        <f>IF(A2221="","",IFERROR(INDEX(Ввод!$B$12:$B$71,MATCH(A2221,Ввод!$D$12:$D$71,1)),""))</f>
        <v/>
      </c>
      <c r="C2221">
        <f>IF(A2221="","",DATE(YEAR(A2221),12,31)-DATE(YEAR(A2221),1,1)+1)</f>
        <v/>
      </c>
      <c r="D2221">
        <f>IF(A2221="","",Ввод!$B$4-SUMIF(Оплаты!$A$6:$A$505,"&lt;"&amp;A2221,Оплаты!$B$6:$B$505))</f>
        <v/>
      </c>
      <c r="E2221">
        <f>IF(A2221="","",IF(SUMPRODUCT((Ввод!$F$12:$F$31&lt;&gt;"")*(Ввод!$F$12:$F$31&lt;=A2221)*(Ввод!$G$12:$G$31&gt;=A2221))&gt;0,1,0))</f>
        <v/>
      </c>
      <c r="F2221">
        <f>IF(OR(A2221="",B2221=""),"",IF(E2221=1,0,D2221*B2221/100/C2221))</f>
        <v/>
      </c>
      <c r="G2221">
        <f>IF(A2221="","",IF(OR(B2221&lt;&gt;B2220,C2221&lt;&gt;C2220,D2221&lt;&gt;D2220,E2221&lt;&gt;E2220),G2220+1,G2220))</f>
        <v/>
      </c>
    </row>
    <row r="2222">
      <c r="A2222" s="14">
        <f>IF(OR(NOT(ISNUMBER(Ввод!$B$5)),NOT(ISNUMBER(Ввод!$B$6))),"",IF(Ввод!$B$5+2220&gt;Ввод!$B$6,"",Ввод!$B$5+2220))</f>
        <v/>
      </c>
      <c r="B2222">
        <f>IF(A2222="","",IFERROR(INDEX(Ввод!$B$12:$B$71,MATCH(A2222,Ввод!$D$12:$D$71,1)),""))</f>
        <v/>
      </c>
      <c r="C2222">
        <f>IF(A2222="","",DATE(YEAR(A2222),12,31)-DATE(YEAR(A2222),1,1)+1)</f>
        <v/>
      </c>
      <c r="D2222">
        <f>IF(A2222="","",Ввод!$B$4-SUMIF(Оплаты!$A$6:$A$505,"&lt;"&amp;A2222,Оплаты!$B$6:$B$505))</f>
        <v/>
      </c>
      <c r="E2222">
        <f>IF(A2222="","",IF(SUMPRODUCT((Ввод!$F$12:$F$31&lt;&gt;"")*(Ввод!$F$12:$F$31&lt;=A2222)*(Ввод!$G$12:$G$31&gt;=A2222))&gt;0,1,0))</f>
        <v/>
      </c>
      <c r="F2222">
        <f>IF(OR(A2222="",B2222=""),"",IF(E2222=1,0,D2222*B2222/100/C2222))</f>
        <v/>
      </c>
      <c r="G2222">
        <f>IF(A2222="","",IF(OR(B2222&lt;&gt;B2221,C2222&lt;&gt;C2221,D2222&lt;&gt;D2221,E2222&lt;&gt;E2221),G2221+1,G2221))</f>
        <v/>
      </c>
    </row>
    <row r="2223">
      <c r="A2223" s="14">
        <f>IF(OR(NOT(ISNUMBER(Ввод!$B$5)),NOT(ISNUMBER(Ввод!$B$6))),"",IF(Ввод!$B$5+2221&gt;Ввод!$B$6,"",Ввод!$B$5+2221))</f>
        <v/>
      </c>
      <c r="B2223">
        <f>IF(A2223="","",IFERROR(INDEX(Ввод!$B$12:$B$71,MATCH(A2223,Ввод!$D$12:$D$71,1)),""))</f>
        <v/>
      </c>
      <c r="C2223">
        <f>IF(A2223="","",DATE(YEAR(A2223),12,31)-DATE(YEAR(A2223),1,1)+1)</f>
        <v/>
      </c>
      <c r="D2223">
        <f>IF(A2223="","",Ввод!$B$4-SUMIF(Оплаты!$A$6:$A$505,"&lt;"&amp;A2223,Оплаты!$B$6:$B$505))</f>
        <v/>
      </c>
      <c r="E2223">
        <f>IF(A2223="","",IF(SUMPRODUCT((Ввод!$F$12:$F$31&lt;&gt;"")*(Ввод!$F$12:$F$31&lt;=A2223)*(Ввод!$G$12:$G$31&gt;=A2223))&gt;0,1,0))</f>
        <v/>
      </c>
      <c r="F2223">
        <f>IF(OR(A2223="",B2223=""),"",IF(E2223=1,0,D2223*B2223/100/C2223))</f>
        <v/>
      </c>
      <c r="G2223">
        <f>IF(A2223="","",IF(OR(B2223&lt;&gt;B2222,C2223&lt;&gt;C2222,D2223&lt;&gt;D2222,E2223&lt;&gt;E2222),G2222+1,G2222))</f>
        <v/>
      </c>
    </row>
    <row r="2224">
      <c r="A2224" s="14">
        <f>IF(OR(NOT(ISNUMBER(Ввод!$B$5)),NOT(ISNUMBER(Ввод!$B$6))),"",IF(Ввод!$B$5+2222&gt;Ввод!$B$6,"",Ввод!$B$5+2222))</f>
        <v/>
      </c>
      <c r="B2224">
        <f>IF(A2224="","",IFERROR(INDEX(Ввод!$B$12:$B$71,MATCH(A2224,Ввод!$D$12:$D$71,1)),""))</f>
        <v/>
      </c>
      <c r="C2224">
        <f>IF(A2224="","",DATE(YEAR(A2224),12,31)-DATE(YEAR(A2224),1,1)+1)</f>
        <v/>
      </c>
      <c r="D2224">
        <f>IF(A2224="","",Ввод!$B$4-SUMIF(Оплаты!$A$6:$A$505,"&lt;"&amp;A2224,Оплаты!$B$6:$B$505))</f>
        <v/>
      </c>
      <c r="E2224">
        <f>IF(A2224="","",IF(SUMPRODUCT((Ввод!$F$12:$F$31&lt;&gt;"")*(Ввод!$F$12:$F$31&lt;=A2224)*(Ввод!$G$12:$G$31&gt;=A2224))&gt;0,1,0))</f>
        <v/>
      </c>
      <c r="F2224">
        <f>IF(OR(A2224="",B2224=""),"",IF(E2224=1,0,D2224*B2224/100/C2224))</f>
        <v/>
      </c>
      <c r="G2224">
        <f>IF(A2224="","",IF(OR(B2224&lt;&gt;B2223,C2224&lt;&gt;C2223,D2224&lt;&gt;D2223,E2224&lt;&gt;E2223),G2223+1,G2223))</f>
        <v/>
      </c>
    </row>
    <row r="2225">
      <c r="A2225" s="14">
        <f>IF(OR(NOT(ISNUMBER(Ввод!$B$5)),NOT(ISNUMBER(Ввод!$B$6))),"",IF(Ввод!$B$5+2223&gt;Ввод!$B$6,"",Ввод!$B$5+2223))</f>
        <v/>
      </c>
      <c r="B2225">
        <f>IF(A2225="","",IFERROR(INDEX(Ввод!$B$12:$B$71,MATCH(A2225,Ввод!$D$12:$D$71,1)),""))</f>
        <v/>
      </c>
      <c r="C2225">
        <f>IF(A2225="","",DATE(YEAR(A2225),12,31)-DATE(YEAR(A2225),1,1)+1)</f>
        <v/>
      </c>
      <c r="D2225">
        <f>IF(A2225="","",Ввод!$B$4-SUMIF(Оплаты!$A$6:$A$505,"&lt;"&amp;A2225,Оплаты!$B$6:$B$505))</f>
        <v/>
      </c>
      <c r="E2225">
        <f>IF(A2225="","",IF(SUMPRODUCT((Ввод!$F$12:$F$31&lt;&gt;"")*(Ввод!$F$12:$F$31&lt;=A2225)*(Ввод!$G$12:$G$31&gt;=A2225))&gt;0,1,0))</f>
        <v/>
      </c>
      <c r="F2225">
        <f>IF(OR(A2225="",B2225=""),"",IF(E2225=1,0,D2225*B2225/100/C2225))</f>
        <v/>
      </c>
      <c r="G2225">
        <f>IF(A2225="","",IF(OR(B2225&lt;&gt;B2224,C2225&lt;&gt;C2224,D2225&lt;&gt;D2224,E2225&lt;&gt;E2224),G2224+1,G2224))</f>
        <v/>
      </c>
    </row>
    <row r="2226">
      <c r="A2226" s="14">
        <f>IF(OR(NOT(ISNUMBER(Ввод!$B$5)),NOT(ISNUMBER(Ввод!$B$6))),"",IF(Ввод!$B$5+2224&gt;Ввод!$B$6,"",Ввод!$B$5+2224))</f>
        <v/>
      </c>
      <c r="B2226">
        <f>IF(A2226="","",IFERROR(INDEX(Ввод!$B$12:$B$71,MATCH(A2226,Ввод!$D$12:$D$71,1)),""))</f>
        <v/>
      </c>
      <c r="C2226">
        <f>IF(A2226="","",DATE(YEAR(A2226),12,31)-DATE(YEAR(A2226),1,1)+1)</f>
        <v/>
      </c>
      <c r="D2226">
        <f>IF(A2226="","",Ввод!$B$4-SUMIF(Оплаты!$A$6:$A$505,"&lt;"&amp;A2226,Оплаты!$B$6:$B$505))</f>
        <v/>
      </c>
      <c r="E2226">
        <f>IF(A2226="","",IF(SUMPRODUCT((Ввод!$F$12:$F$31&lt;&gt;"")*(Ввод!$F$12:$F$31&lt;=A2226)*(Ввод!$G$12:$G$31&gt;=A2226))&gt;0,1,0))</f>
        <v/>
      </c>
      <c r="F2226">
        <f>IF(OR(A2226="",B2226=""),"",IF(E2226=1,0,D2226*B2226/100/C2226))</f>
        <v/>
      </c>
      <c r="G2226">
        <f>IF(A2226="","",IF(OR(B2226&lt;&gt;B2225,C2226&lt;&gt;C2225,D2226&lt;&gt;D2225,E2226&lt;&gt;E2225),G2225+1,G2225))</f>
        <v/>
      </c>
    </row>
    <row r="2227">
      <c r="A2227" s="14">
        <f>IF(OR(NOT(ISNUMBER(Ввод!$B$5)),NOT(ISNUMBER(Ввод!$B$6))),"",IF(Ввод!$B$5+2225&gt;Ввод!$B$6,"",Ввод!$B$5+2225))</f>
        <v/>
      </c>
      <c r="B2227">
        <f>IF(A2227="","",IFERROR(INDEX(Ввод!$B$12:$B$71,MATCH(A2227,Ввод!$D$12:$D$71,1)),""))</f>
        <v/>
      </c>
      <c r="C2227">
        <f>IF(A2227="","",DATE(YEAR(A2227),12,31)-DATE(YEAR(A2227),1,1)+1)</f>
        <v/>
      </c>
      <c r="D2227">
        <f>IF(A2227="","",Ввод!$B$4-SUMIF(Оплаты!$A$6:$A$505,"&lt;"&amp;A2227,Оплаты!$B$6:$B$505))</f>
        <v/>
      </c>
      <c r="E2227">
        <f>IF(A2227="","",IF(SUMPRODUCT((Ввод!$F$12:$F$31&lt;&gt;"")*(Ввод!$F$12:$F$31&lt;=A2227)*(Ввод!$G$12:$G$31&gt;=A2227))&gt;0,1,0))</f>
        <v/>
      </c>
      <c r="F2227">
        <f>IF(OR(A2227="",B2227=""),"",IF(E2227=1,0,D2227*B2227/100/C2227))</f>
        <v/>
      </c>
      <c r="G2227">
        <f>IF(A2227="","",IF(OR(B2227&lt;&gt;B2226,C2227&lt;&gt;C2226,D2227&lt;&gt;D2226,E2227&lt;&gt;E2226),G2226+1,G2226))</f>
        <v/>
      </c>
    </row>
    <row r="2228">
      <c r="A2228" s="14">
        <f>IF(OR(NOT(ISNUMBER(Ввод!$B$5)),NOT(ISNUMBER(Ввод!$B$6))),"",IF(Ввод!$B$5+2226&gt;Ввод!$B$6,"",Ввод!$B$5+2226))</f>
        <v/>
      </c>
      <c r="B2228">
        <f>IF(A2228="","",IFERROR(INDEX(Ввод!$B$12:$B$71,MATCH(A2228,Ввод!$D$12:$D$71,1)),""))</f>
        <v/>
      </c>
      <c r="C2228">
        <f>IF(A2228="","",DATE(YEAR(A2228),12,31)-DATE(YEAR(A2228),1,1)+1)</f>
        <v/>
      </c>
      <c r="D2228">
        <f>IF(A2228="","",Ввод!$B$4-SUMIF(Оплаты!$A$6:$A$505,"&lt;"&amp;A2228,Оплаты!$B$6:$B$505))</f>
        <v/>
      </c>
      <c r="E2228">
        <f>IF(A2228="","",IF(SUMPRODUCT((Ввод!$F$12:$F$31&lt;&gt;"")*(Ввод!$F$12:$F$31&lt;=A2228)*(Ввод!$G$12:$G$31&gt;=A2228))&gt;0,1,0))</f>
        <v/>
      </c>
      <c r="F2228">
        <f>IF(OR(A2228="",B2228=""),"",IF(E2228=1,0,D2228*B2228/100/C2228))</f>
        <v/>
      </c>
      <c r="G2228">
        <f>IF(A2228="","",IF(OR(B2228&lt;&gt;B2227,C2228&lt;&gt;C2227,D2228&lt;&gt;D2227,E2228&lt;&gt;E2227),G2227+1,G2227))</f>
        <v/>
      </c>
    </row>
    <row r="2229">
      <c r="A2229" s="14">
        <f>IF(OR(NOT(ISNUMBER(Ввод!$B$5)),NOT(ISNUMBER(Ввод!$B$6))),"",IF(Ввод!$B$5+2227&gt;Ввод!$B$6,"",Ввод!$B$5+2227))</f>
        <v/>
      </c>
      <c r="B2229">
        <f>IF(A2229="","",IFERROR(INDEX(Ввод!$B$12:$B$71,MATCH(A2229,Ввод!$D$12:$D$71,1)),""))</f>
        <v/>
      </c>
      <c r="C2229">
        <f>IF(A2229="","",DATE(YEAR(A2229),12,31)-DATE(YEAR(A2229),1,1)+1)</f>
        <v/>
      </c>
      <c r="D2229">
        <f>IF(A2229="","",Ввод!$B$4-SUMIF(Оплаты!$A$6:$A$505,"&lt;"&amp;A2229,Оплаты!$B$6:$B$505))</f>
        <v/>
      </c>
      <c r="E2229">
        <f>IF(A2229="","",IF(SUMPRODUCT((Ввод!$F$12:$F$31&lt;&gt;"")*(Ввод!$F$12:$F$31&lt;=A2229)*(Ввод!$G$12:$G$31&gt;=A2229))&gt;0,1,0))</f>
        <v/>
      </c>
      <c r="F2229">
        <f>IF(OR(A2229="",B2229=""),"",IF(E2229=1,0,D2229*B2229/100/C2229))</f>
        <v/>
      </c>
      <c r="G2229">
        <f>IF(A2229="","",IF(OR(B2229&lt;&gt;B2228,C2229&lt;&gt;C2228,D2229&lt;&gt;D2228,E2229&lt;&gt;E2228),G2228+1,G2228))</f>
        <v/>
      </c>
    </row>
    <row r="2230">
      <c r="A2230" s="14">
        <f>IF(OR(NOT(ISNUMBER(Ввод!$B$5)),NOT(ISNUMBER(Ввод!$B$6))),"",IF(Ввод!$B$5+2228&gt;Ввод!$B$6,"",Ввод!$B$5+2228))</f>
        <v/>
      </c>
      <c r="B2230">
        <f>IF(A2230="","",IFERROR(INDEX(Ввод!$B$12:$B$71,MATCH(A2230,Ввод!$D$12:$D$71,1)),""))</f>
        <v/>
      </c>
      <c r="C2230">
        <f>IF(A2230="","",DATE(YEAR(A2230),12,31)-DATE(YEAR(A2230),1,1)+1)</f>
        <v/>
      </c>
      <c r="D2230">
        <f>IF(A2230="","",Ввод!$B$4-SUMIF(Оплаты!$A$6:$A$505,"&lt;"&amp;A2230,Оплаты!$B$6:$B$505))</f>
        <v/>
      </c>
      <c r="E2230">
        <f>IF(A2230="","",IF(SUMPRODUCT((Ввод!$F$12:$F$31&lt;&gt;"")*(Ввод!$F$12:$F$31&lt;=A2230)*(Ввод!$G$12:$G$31&gt;=A2230))&gt;0,1,0))</f>
        <v/>
      </c>
      <c r="F2230">
        <f>IF(OR(A2230="",B2230=""),"",IF(E2230=1,0,D2230*B2230/100/C2230))</f>
        <v/>
      </c>
      <c r="G2230">
        <f>IF(A2230="","",IF(OR(B2230&lt;&gt;B2229,C2230&lt;&gt;C2229,D2230&lt;&gt;D2229,E2230&lt;&gt;E2229),G2229+1,G2229))</f>
        <v/>
      </c>
    </row>
    <row r="2231">
      <c r="A2231" s="14">
        <f>IF(OR(NOT(ISNUMBER(Ввод!$B$5)),NOT(ISNUMBER(Ввод!$B$6))),"",IF(Ввод!$B$5+2229&gt;Ввод!$B$6,"",Ввод!$B$5+2229))</f>
        <v/>
      </c>
      <c r="B2231">
        <f>IF(A2231="","",IFERROR(INDEX(Ввод!$B$12:$B$71,MATCH(A2231,Ввод!$D$12:$D$71,1)),""))</f>
        <v/>
      </c>
      <c r="C2231">
        <f>IF(A2231="","",DATE(YEAR(A2231),12,31)-DATE(YEAR(A2231),1,1)+1)</f>
        <v/>
      </c>
      <c r="D2231">
        <f>IF(A2231="","",Ввод!$B$4-SUMIF(Оплаты!$A$6:$A$505,"&lt;"&amp;A2231,Оплаты!$B$6:$B$505))</f>
        <v/>
      </c>
      <c r="E2231">
        <f>IF(A2231="","",IF(SUMPRODUCT((Ввод!$F$12:$F$31&lt;&gt;"")*(Ввод!$F$12:$F$31&lt;=A2231)*(Ввод!$G$12:$G$31&gt;=A2231))&gt;0,1,0))</f>
        <v/>
      </c>
      <c r="F2231">
        <f>IF(OR(A2231="",B2231=""),"",IF(E2231=1,0,D2231*B2231/100/C2231))</f>
        <v/>
      </c>
      <c r="G2231">
        <f>IF(A2231="","",IF(OR(B2231&lt;&gt;B2230,C2231&lt;&gt;C2230,D2231&lt;&gt;D2230,E2231&lt;&gt;E2230),G2230+1,G2230))</f>
        <v/>
      </c>
    </row>
    <row r="2232">
      <c r="A2232" s="14">
        <f>IF(OR(NOT(ISNUMBER(Ввод!$B$5)),NOT(ISNUMBER(Ввод!$B$6))),"",IF(Ввод!$B$5+2230&gt;Ввод!$B$6,"",Ввод!$B$5+2230))</f>
        <v/>
      </c>
      <c r="B2232">
        <f>IF(A2232="","",IFERROR(INDEX(Ввод!$B$12:$B$71,MATCH(A2232,Ввод!$D$12:$D$71,1)),""))</f>
        <v/>
      </c>
      <c r="C2232">
        <f>IF(A2232="","",DATE(YEAR(A2232),12,31)-DATE(YEAR(A2232),1,1)+1)</f>
        <v/>
      </c>
      <c r="D2232">
        <f>IF(A2232="","",Ввод!$B$4-SUMIF(Оплаты!$A$6:$A$505,"&lt;"&amp;A2232,Оплаты!$B$6:$B$505))</f>
        <v/>
      </c>
      <c r="E2232">
        <f>IF(A2232="","",IF(SUMPRODUCT((Ввод!$F$12:$F$31&lt;&gt;"")*(Ввод!$F$12:$F$31&lt;=A2232)*(Ввод!$G$12:$G$31&gt;=A2232))&gt;0,1,0))</f>
        <v/>
      </c>
      <c r="F2232">
        <f>IF(OR(A2232="",B2232=""),"",IF(E2232=1,0,D2232*B2232/100/C2232))</f>
        <v/>
      </c>
      <c r="G2232">
        <f>IF(A2232="","",IF(OR(B2232&lt;&gt;B2231,C2232&lt;&gt;C2231,D2232&lt;&gt;D2231,E2232&lt;&gt;E2231),G2231+1,G2231))</f>
        <v/>
      </c>
    </row>
    <row r="2233">
      <c r="A2233" s="14">
        <f>IF(OR(NOT(ISNUMBER(Ввод!$B$5)),NOT(ISNUMBER(Ввод!$B$6))),"",IF(Ввод!$B$5+2231&gt;Ввод!$B$6,"",Ввод!$B$5+2231))</f>
        <v/>
      </c>
      <c r="B2233">
        <f>IF(A2233="","",IFERROR(INDEX(Ввод!$B$12:$B$71,MATCH(A2233,Ввод!$D$12:$D$71,1)),""))</f>
        <v/>
      </c>
      <c r="C2233">
        <f>IF(A2233="","",DATE(YEAR(A2233),12,31)-DATE(YEAR(A2233),1,1)+1)</f>
        <v/>
      </c>
      <c r="D2233">
        <f>IF(A2233="","",Ввод!$B$4-SUMIF(Оплаты!$A$6:$A$505,"&lt;"&amp;A2233,Оплаты!$B$6:$B$505))</f>
        <v/>
      </c>
      <c r="E2233">
        <f>IF(A2233="","",IF(SUMPRODUCT((Ввод!$F$12:$F$31&lt;&gt;"")*(Ввод!$F$12:$F$31&lt;=A2233)*(Ввод!$G$12:$G$31&gt;=A2233))&gt;0,1,0))</f>
        <v/>
      </c>
      <c r="F2233">
        <f>IF(OR(A2233="",B2233=""),"",IF(E2233=1,0,D2233*B2233/100/C2233))</f>
        <v/>
      </c>
      <c r="G2233">
        <f>IF(A2233="","",IF(OR(B2233&lt;&gt;B2232,C2233&lt;&gt;C2232,D2233&lt;&gt;D2232,E2233&lt;&gt;E2232),G2232+1,G2232))</f>
        <v/>
      </c>
    </row>
    <row r="2234">
      <c r="A2234" s="14">
        <f>IF(OR(NOT(ISNUMBER(Ввод!$B$5)),NOT(ISNUMBER(Ввод!$B$6))),"",IF(Ввод!$B$5+2232&gt;Ввод!$B$6,"",Ввод!$B$5+2232))</f>
        <v/>
      </c>
      <c r="B2234">
        <f>IF(A2234="","",IFERROR(INDEX(Ввод!$B$12:$B$71,MATCH(A2234,Ввод!$D$12:$D$71,1)),""))</f>
        <v/>
      </c>
      <c r="C2234">
        <f>IF(A2234="","",DATE(YEAR(A2234),12,31)-DATE(YEAR(A2234),1,1)+1)</f>
        <v/>
      </c>
      <c r="D2234">
        <f>IF(A2234="","",Ввод!$B$4-SUMIF(Оплаты!$A$6:$A$505,"&lt;"&amp;A2234,Оплаты!$B$6:$B$505))</f>
        <v/>
      </c>
      <c r="E2234">
        <f>IF(A2234="","",IF(SUMPRODUCT((Ввод!$F$12:$F$31&lt;&gt;"")*(Ввод!$F$12:$F$31&lt;=A2234)*(Ввод!$G$12:$G$31&gt;=A2234))&gt;0,1,0))</f>
        <v/>
      </c>
      <c r="F2234">
        <f>IF(OR(A2234="",B2234=""),"",IF(E2234=1,0,D2234*B2234/100/C2234))</f>
        <v/>
      </c>
      <c r="G2234">
        <f>IF(A2234="","",IF(OR(B2234&lt;&gt;B2233,C2234&lt;&gt;C2233,D2234&lt;&gt;D2233,E2234&lt;&gt;E2233),G2233+1,G2233))</f>
        <v/>
      </c>
    </row>
    <row r="2235">
      <c r="A2235" s="14">
        <f>IF(OR(NOT(ISNUMBER(Ввод!$B$5)),NOT(ISNUMBER(Ввод!$B$6))),"",IF(Ввод!$B$5+2233&gt;Ввод!$B$6,"",Ввод!$B$5+2233))</f>
        <v/>
      </c>
      <c r="B2235">
        <f>IF(A2235="","",IFERROR(INDEX(Ввод!$B$12:$B$71,MATCH(A2235,Ввод!$D$12:$D$71,1)),""))</f>
        <v/>
      </c>
      <c r="C2235">
        <f>IF(A2235="","",DATE(YEAR(A2235),12,31)-DATE(YEAR(A2235),1,1)+1)</f>
        <v/>
      </c>
      <c r="D2235">
        <f>IF(A2235="","",Ввод!$B$4-SUMIF(Оплаты!$A$6:$A$505,"&lt;"&amp;A2235,Оплаты!$B$6:$B$505))</f>
        <v/>
      </c>
      <c r="E2235">
        <f>IF(A2235="","",IF(SUMPRODUCT((Ввод!$F$12:$F$31&lt;&gt;"")*(Ввод!$F$12:$F$31&lt;=A2235)*(Ввод!$G$12:$G$31&gt;=A2235))&gt;0,1,0))</f>
        <v/>
      </c>
      <c r="F2235">
        <f>IF(OR(A2235="",B2235=""),"",IF(E2235=1,0,D2235*B2235/100/C2235))</f>
        <v/>
      </c>
      <c r="G2235">
        <f>IF(A2235="","",IF(OR(B2235&lt;&gt;B2234,C2235&lt;&gt;C2234,D2235&lt;&gt;D2234,E2235&lt;&gt;E2234),G2234+1,G2234))</f>
        <v/>
      </c>
    </row>
    <row r="2236">
      <c r="A2236" s="14">
        <f>IF(OR(NOT(ISNUMBER(Ввод!$B$5)),NOT(ISNUMBER(Ввод!$B$6))),"",IF(Ввод!$B$5+2234&gt;Ввод!$B$6,"",Ввод!$B$5+2234))</f>
        <v/>
      </c>
      <c r="B2236">
        <f>IF(A2236="","",IFERROR(INDEX(Ввод!$B$12:$B$71,MATCH(A2236,Ввод!$D$12:$D$71,1)),""))</f>
        <v/>
      </c>
      <c r="C2236">
        <f>IF(A2236="","",DATE(YEAR(A2236),12,31)-DATE(YEAR(A2236),1,1)+1)</f>
        <v/>
      </c>
      <c r="D2236">
        <f>IF(A2236="","",Ввод!$B$4-SUMIF(Оплаты!$A$6:$A$505,"&lt;"&amp;A2236,Оплаты!$B$6:$B$505))</f>
        <v/>
      </c>
      <c r="E2236">
        <f>IF(A2236="","",IF(SUMPRODUCT((Ввод!$F$12:$F$31&lt;&gt;"")*(Ввод!$F$12:$F$31&lt;=A2236)*(Ввод!$G$12:$G$31&gt;=A2236))&gt;0,1,0))</f>
        <v/>
      </c>
      <c r="F2236">
        <f>IF(OR(A2236="",B2236=""),"",IF(E2236=1,0,D2236*B2236/100/C2236))</f>
        <v/>
      </c>
      <c r="G2236">
        <f>IF(A2236="","",IF(OR(B2236&lt;&gt;B2235,C2236&lt;&gt;C2235,D2236&lt;&gt;D2235,E2236&lt;&gt;E2235),G2235+1,G2235))</f>
        <v/>
      </c>
    </row>
    <row r="2237">
      <c r="A2237" s="14">
        <f>IF(OR(NOT(ISNUMBER(Ввод!$B$5)),NOT(ISNUMBER(Ввод!$B$6))),"",IF(Ввод!$B$5+2235&gt;Ввод!$B$6,"",Ввод!$B$5+2235))</f>
        <v/>
      </c>
      <c r="B2237">
        <f>IF(A2237="","",IFERROR(INDEX(Ввод!$B$12:$B$71,MATCH(A2237,Ввод!$D$12:$D$71,1)),""))</f>
        <v/>
      </c>
      <c r="C2237">
        <f>IF(A2237="","",DATE(YEAR(A2237),12,31)-DATE(YEAR(A2237),1,1)+1)</f>
        <v/>
      </c>
      <c r="D2237">
        <f>IF(A2237="","",Ввод!$B$4-SUMIF(Оплаты!$A$6:$A$505,"&lt;"&amp;A2237,Оплаты!$B$6:$B$505))</f>
        <v/>
      </c>
      <c r="E2237">
        <f>IF(A2237="","",IF(SUMPRODUCT((Ввод!$F$12:$F$31&lt;&gt;"")*(Ввод!$F$12:$F$31&lt;=A2237)*(Ввод!$G$12:$G$31&gt;=A2237))&gt;0,1,0))</f>
        <v/>
      </c>
      <c r="F2237">
        <f>IF(OR(A2237="",B2237=""),"",IF(E2237=1,0,D2237*B2237/100/C2237))</f>
        <v/>
      </c>
      <c r="G2237">
        <f>IF(A2237="","",IF(OR(B2237&lt;&gt;B2236,C2237&lt;&gt;C2236,D2237&lt;&gt;D2236,E2237&lt;&gt;E2236),G2236+1,G2236))</f>
        <v/>
      </c>
    </row>
    <row r="2238">
      <c r="A2238" s="14">
        <f>IF(OR(NOT(ISNUMBER(Ввод!$B$5)),NOT(ISNUMBER(Ввод!$B$6))),"",IF(Ввод!$B$5+2236&gt;Ввод!$B$6,"",Ввод!$B$5+2236))</f>
        <v/>
      </c>
      <c r="B2238">
        <f>IF(A2238="","",IFERROR(INDEX(Ввод!$B$12:$B$71,MATCH(A2238,Ввод!$D$12:$D$71,1)),""))</f>
        <v/>
      </c>
      <c r="C2238">
        <f>IF(A2238="","",DATE(YEAR(A2238),12,31)-DATE(YEAR(A2238),1,1)+1)</f>
        <v/>
      </c>
      <c r="D2238">
        <f>IF(A2238="","",Ввод!$B$4-SUMIF(Оплаты!$A$6:$A$505,"&lt;"&amp;A2238,Оплаты!$B$6:$B$505))</f>
        <v/>
      </c>
      <c r="E2238">
        <f>IF(A2238="","",IF(SUMPRODUCT((Ввод!$F$12:$F$31&lt;&gt;"")*(Ввод!$F$12:$F$31&lt;=A2238)*(Ввод!$G$12:$G$31&gt;=A2238))&gt;0,1,0))</f>
        <v/>
      </c>
      <c r="F2238">
        <f>IF(OR(A2238="",B2238=""),"",IF(E2238=1,0,D2238*B2238/100/C2238))</f>
        <v/>
      </c>
      <c r="G2238">
        <f>IF(A2238="","",IF(OR(B2238&lt;&gt;B2237,C2238&lt;&gt;C2237,D2238&lt;&gt;D2237,E2238&lt;&gt;E2237),G2237+1,G2237))</f>
        <v/>
      </c>
    </row>
    <row r="2239">
      <c r="A2239" s="14">
        <f>IF(OR(NOT(ISNUMBER(Ввод!$B$5)),NOT(ISNUMBER(Ввод!$B$6))),"",IF(Ввод!$B$5+2237&gt;Ввод!$B$6,"",Ввод!$B$5+2237))</f>
        <v/>
      </c>
      <c r="B2239">
        <f>IF(A2239="","",IFERROR(INDEX(Ввод!$B$12:$B$71,MATCH(A2239,Ввод!$D$12:$D$71,1)),""))</f>
        <v/>
      </c>
      <c r="C2239">
        <f>IF(A2239="","",DATE(YEAR(A2239),12,31)-DATE(YEAR(A2239),1,1)+1)</f>
        <v/>
      </c>
      <c r="D2239">
        <f>IF(A2239="","",Ввод!$B$4-SUMIF(Оплаты!$A$6:$A$505,"&lt;"&amp;A2239,Оплаты!$B$6:$B$505))</f>
        <v/>
      </c>
      <c r="E2239">
        <f>IF(A2239="","",IF(SUMPRODUCT((Ввод!$F$12:$F$31&lt;&gt;"")*(Ввод!$F$12:$F$31&lt;=A2239)*(Ввод!$G$12:$G$31&gt;=A2239))&gt;0,1,0))</f>
        <v/>
      </c>
      <c r="F2239">
        <f>IF(OR(A2239="",B2239=""),"",IF(E2239=1,0,D2239*B2239/100/C2239))</f>
        <v/>
      </c>
      <c r="G2239">
        <f>IF(A2239="","",IF(OR(B2239&lt;&gt;B2238,C2239&lt;&gt;C2238,D2239&lt;&gt;D2238,E2239&lt;&gt;E2238),G2238+1,G2238))</f>
        <v/>
      </c>
    </row>
    <row r="2240">
      <c r="A2240" s="14">
        <f>IF(OR(NOT(ISNUMBER(Ввод!$B$5)),NOT(ISNUMBER(Ввод!$B$6))),"",IF(Ввод!$B$5+2238&gt;Ввод!$B$6,"",Ввод!$B$5+2238))</f>
        <v/>
      </c>
      <c r="B2240">
        <f>IF(A2240="","",IFERROR(INDEX(Ввод!$B$12:$B$71,MATCH(A2240,Ввод!$D$12:$D$71,1)),""))</f>
        <v/>
      </c>
      <c r="C2240">
        <f>IF(A2240="","",DATE(YEAR(A2240),12,31)-DATE(YEAR(A2240),1,1)+1)</f>
        <v/>
      </c>
      <c r="D2240">
        <f>IF(A2240="","",Ввод!$B$4-SUMIF(Оплаты!$A$6:$A$505,"&lt;"&amp;A2240,Оплаты!$B$6:$B$505))</f>
        <v/>
      </c>
      <c r="E2240">
        <f>IF(A2240="","",IF(SUMPRODUCT((Ввод!$F$12:$F$31&lt;&gt;"")*(Ввод!$F$12:$F$31&lt;=A2240)*(Ввод!$G$12:$G$31&gt;=A2240))&gt;0,1,0))</f>
        <v/>
      </c>
      <c r="F2240">
        <f>IF(OR(A2240="",B2240=""),"",IF(E2240=1,0,D2240*B2240/100/C2240))</f>
        <v/>
      </c>
      <c r="G2240">
        <f>IF(A2240="","",IF(OR(B2240&lt;&gt;B2239,C2240&lt;&gt;C2239,D2240&lt;&gt;D2239,E2240&lt;&gt;E2239),G2239+1,G2239))</f>
        <v/>
      </c>
    </row>
    <row r="2241">
      <c r="A2241" s="14">
        <f>IF(OR(NOT(ISNUMBER(Ввод!$B$5)),NOT(ISNUMBER(Ввод!$B$6))),"",IF(Ввод!$B$5+2239&gt;Ввод!$B$6,"",Ввод!$B$5+2239))</f>
        <v/>
      </c>
      <c r="B2241">
        <f>IF(A2241="","",IFERROR(INDEX(Ввод!$B$12:$B$71,MATCH(A2241,Ввод!$D$12:$D$71,1)),""))</f>
        <v/>
      </c>
      <c r="C2241">
        <f>IF(A2241="","",DATE(YEAR(A2241),12,31)-DATE(YEAR(A2241),1,1)+1)</f>
        <v/>
      </c>
      <c r="D2241">
        <f>IF(A2241="","",Ввод!$B$4-SUMIF(Оплаты!$A$6:$A$505,"&lt;"&amp;A2241,Оплаты!$B$6:$B$505))</f>
        <v/>
      </c>
      <c r="E2241">
        <f>IF(A2241="","",IF(SUMPRODUCT((Ввод!$F$12:$F$31&lt;&gt;"")*(Ввод!$F$12:$F$31&lt;=A2241)*(Ввод!$G$12:$G$31&gt;=A2241))&gt;0,1,0))</f>
        <v/>
      </c>
      <c r="F2241">
        <f>IF(OR(A2241="",B2241=""),"",IF(E2241=1,0,D2241*B2241/100/C2241))</f>
        <v/>
      </c>
      <c r="G2241">
        <f>IF(A2241="","",IF(OR(B2241&lt;&gt;B2240,C2241&lt;&gt;C2240,D2241&lt;&gt;D2240,E2241&lt;&gt;E2240),G2240+1,G2240))</f>
        <v/>
      </c>
    </row>
    <row r="2242">
      <c r="A2242" s="14">
        <f>IF(OR(NOT(ISNUMBER(Ввод!$B$5)),NOT(ISNUMBER(Ввод!$B$6))),"",IF(Ввод!$B$5+2240&gt;Ввод!$B$6,"",Ввод!$B$5+2240))</f>
        <v/>
      </c>
      <c r="B2242">
        <f>IF(A2242="","",IFERROR(INDEX(Ввод!$B$12:$B$71,MATCH(A2242,Ввод!$D$12:$D$71,1)),""))</f>
        <v/>
      </c>
      <c r="C2242">
        <f>IF(A2242="","",DATE(YEAR(A2242),12,31)-DATE(YEAR(A2242),1,1)+1)</f>
        <v/>
      </c>
      <c r="D2242">
        <f>IF(A2242="","",Ввод!$B$4-SUMIF(Оплаты!$A$6:$A$505,"&lt;"&amp;A2242,Оплаты!$B$6:$B$505))</f>
        <v/>
      </c>
      <c r="E2242">
        <f>IF(A2242="","",IF(SUMPRODUCT((Ввод!$F$12:$F$31&lt;&gt;"")*(Ввод!$F$12:$F$31&lt;=A2242)*(Ввод!$G$12:$G$31&gt;=A2242))&gt;0,1,0))</f>
        <v/>
      </c>
      <c r="F2242">
        <f>IF(OR(A2242="",B2242=""),"",IF(E2242=1,0,D2242*B2242/100/C2242))</f>
        <v/>
      </c>
      <c r="G2242">
        <f>IF(A2242="","",IF(OR(B2242&lt;&gt;B2241,C2242&lt;&gt;C2241,D2242&lt;&gt;D2241,E2242&lt;&gt;E2241),G2241+1,G2241))</f>
        <v/>
      </c>
    </row>
    <row r="2243">
      <c r="A2243" s="14">
        <f>IF(OR(NOT(ISNUMBER(Ввод!$B$5)),NOT(ISNUMBER(Ввод!$B$6))),"",IF(Ввод!$B$5+2241&gt;Ввод!$B$6,"",Ввод!$B$5+2241))</f>
        <v/>
      </c>
      <c r="B2243">
        <f>IF(A2243="","",IFERROR(INDEX(Ввод!$B$12:$B$71,MATCH(A2243,Ввод!$D$12:$D$71,1)),""))</f>
        <v/>
      </c>
      <c r="C2243">
        <f>IF(A2243="","",DATE(YEAR(A2243),12,31)-DATE(YEAR(A2243),1,1)+1)</f>
        <v/>
      </c>
      <c r="D2243">
        <f>IF(A2243="","",Ввод!$B$4-SUMIF(Оплаты!$A$6:$A$505,"&lt;"&amp;A2243,Оплаты!$B$6:$B$505))</f>
        <v/>
      </c>
      <c r="E2243">
        <f>IF(A2243="","",IF(SUMPRODUCT((Ввод!$F$12:$F$31&lt;&gt;"")*(Ввод!$F$12:$F$31&lt;=A2243)*(Ввод!$G$12:$G$31&gt;=A2243))&gt;0,1,0))</f>
        <v/>
      </c>
      <c r="F2243">
        <f>IF(OR(A2243="",B2243=""),"",IF(E2243=1,0,D2243*B2243/100/C2243))</f>
        <v/>
      </c>
      <c r="G2243">
        <f>IF(A2243="","",IF(OR(B2243&lt;&gt;B2242,C2243&lt;&gt;C2242,D2243&lt;&gt;D2242,E2243&lt;&gt;E2242),G2242+1,G2242))</f>
        <v/>
      </c>
    </row>
    <row r="2244">
      <c r="A2244" s="14">
        <f>IF(OR(NOT(ISNUMBER(Ввод!$B$5)),NOT(ISNUMBER(Ввод!$B$6))),"",IF(Ввод!$B$5+2242&gt;Ввод!$B$6,"",Ввод!$B$5+2242))</f>
        <v/>
      </c>
      <c r="B2244">
        <f>IF(A2244="","",IFERROR(INDEX(Ввод!$B$12:$B$71,MATCH(A2244,Ввод!$D$12:$D$71,1)),""))</f>
        <v/>
      </c>
      <c r="C2244">
        <f>IF(A2244="","",DATE(YEAR(A2244),12,31)-DATE(YEAR(A2244),1,1)+1)</f>
        <v/>
      </c>
      <c r="D2244">
        <f>IF(A2244="","",Ввод!$B$4-SUMIF(Оплаты!$A$6:$A$505,"&lt;"&amp;A2244,Оплаты!$B$6:$B$505))</f>
        <v/>
      </c>
      <c r="E2244">
        <f>IF(A2244="","",IF(SUMPRODUCT((Ввод!$F$12:$F$31&lt;&gt;"")*(Ввод!$F$12:$F$31&lt;=A2244)*(Ввод!$G$12:$G$31&gt;=A2244))&gt;0,1,0))</f>
        <v/>
      </c>
      <c r="F2244">
        <f>IF(OR(A2244="",B2244=""),"",IF(E2244=1,0,D2244*B2244/100/C2244))</f>
        <v/>
      </c>
      <c r="G2244">
        <f>IF(A2244="","",IF(OR(B2244&lt;&gt;B2243,C2244&lt;&gt;C2243,D2244&lt;&gt;D2243,E2244&lt;&gt;E2243),G2243+1,G2243))</f>
        <v/>
      </c>
    </row>
    <row r="2245">
      <c r="A2245" s="14">
        <f>IF(OR(NOT(ISNUMBER(Ввод!$B$5)),NOT(ISNUMBER(Ввод!$B$6))),"",IF(Ввод!$B$5+2243&gt;Ввод!$B$6,"",Ввод!$B$5+2243))</f>
        <v/>
      </c>
      <c r="B2245">
        <f>IF(A2245="","",IFERROR(INDEX(Ввод!$B$12:$B$71,MATCH(A2245,Ввод!$D$12:$D$71,1)),""))</f>
        <v/>
      </c>
      <c r="C2245">
        <f>IF(A2245="","",DATE(YEAR(A2245),12,31)-DATE(YEAR(A2245),1,1)+1)</f>
        <v/>
      </c>
      <c r="D2245">
        <f>IF(A2245="","",Ввод!$B$4-SUMIF(Оплаты!$A$6:$A$505,"&lt;"&amp;A2245,Оплаты!$B$6:$B$505))</f>
        <v/>
      </c>
      <c r="E2245">
        <f>IF(A2245="","",IF(SUMPRODUCT((Ввод!$F$12:$F$31&lt;&gt;"")*(Ввод!$F$12:$F$31&lt;=A2245)*(Ввод!$G$12:$G$31&gt;=A2245))&gt;0,1,0))</f>
        <v/>
      </c>
      <c r="F2245">
        <f>IF(OR(A2245="",B2245=""),"",IF(E2245=1,0,D2245*B2245/100/C2245))</f>
        <v/>
      </c>
      <c r="G2245">
        <f>IF(A2245="","",IF(OR(B2245&lt;&gt;B2244,C2245&lt;&gt;C2244,D2245&lt;&gt;D2244,E2245&lt;&gt;E2244),G2244+1,G2244))</f>
        <v/>
      </c>
    </row>
    <row r="2246">
      <c r="A2246" s="14">
        <f>IF(OR(NOT(ISNUMBER(Ввод!$B$5)),NOT(ISNUMBER(Ввод!$B$6))),"",IF(Ввод!$B$5+2244&gt;Ввод!$B$6,"",Ввод!$B$5+2244))</f>
        <v/>
      </c>
      <c r="B2246">
        <f>IF(A2246="","",IFERROR(INDEX(Ввод!$B$12:$B$71,MATCH(A2246,Ввод!$D$12:$D$71,1)),""))</f>
        <v/>
      </c>
      <c r="C2246">
        <f>IF(A2246="","",DATE(YEAR(A2246),12,31)-DATE(YEAR(A2246),1,1)+1)</f>
        <v/>
      </c>
      <c r="D2246">
        <f>IF(A2246="","",Ввод!$B$4-SUMIF(Оплаты!$A$6:$A$505,"&lt;"&amp;A2246,Оплаты!$B$6:$B$505))</f>
        <v/>
      </c>
      <c r="E2246">
        <f>IF(A2246="","",IF(SUMPRODUCT((Ввод!$F$12:$F$31&lt;&gt;"")*(Ввод!$F$12:$F$31&lt;=A2246)*(Ввод!$G$12:$G$31&gt;=A2246))&gt;0,1,0))</f>
        <v/>
      </c>
      <c r="F2246">
        <f>IF(OR(A2246="",B2246=""),"",IF(E2246=1,0,D2246*B2246/100/C2246))</f>
        <v/>
      </c>
      <c r="G2246">
        <f>IF(A2246="","",IF(OR(B2246&lt;&gt;B2245,C2246&lt;&gt;C2245,D2246&lt;&gt;D2245,E2246&lt;&gt;E2245),G2245+1,G2245))</f>
        <v/>
      </c>
    </row>
    <row r="2247">
      <c r="A2247" s="14">
        <f>IF(OR(NOT(ISNUMBER(Ввод!$B$5)),NOT(ISNUMBER(Ввод!$B$6))),"",IF(Ввод!$B$5+2245&gt;Ввод!$B$6,"",Ввод!$B$5+2245))</f>
        <v/>
      </c>
      <c r="B2247">
        <f>IF(A2247="","",IFERROR(INDEX(Ввод!$B$12:$B$71,MATCH(A2247,Ввод!$D$12:$D$71,1)),""))</f>
        <v/>
      </c>
      <c r="C2247">
        <f>IF(A2247="","",DATE(YEAR(A2247),12,31)-DATE(YEAR(A2247),1,1)+1)</f>
        <v/>
      </c>
      <c r="D2247">
        <f>IF(A2247="","",Ввод!$B$4-SUMIF(Оплаты!$A$6:$A$505,"&lt;"&amp;A2247,Оплаты!$B$6:$B$505))</f>
        <v/>
      </c>
      <c r="E2247">
        <f>IF(A2247="","",IF(SUMPRODUCT((Ввод!$F$12:$F$31&lt;&gt;"")*(Ввод!$F$12:$F$31&lt;=A2247)*(Ввод!$G$12:$G$31&gt;=A2247))&gt;0,1,0))</f>
        <v/>
      </c>
      <c r="F2247">
        <f>IF(OR(A2247="",B2247=""),"",IF(E2247=1,0,D2247*B2247/100/C2247))</f>
        <v/>
      </c>
      <c r="G2247">
        <f>IF(A2247="","",IF(OR(B2247&lt;&gt;B2246,C2247&lt;&gt;C2246,D2247&lt;&gt;D2246,E2247&lt;&gt;E2246),G2246+1,G2246))</f>
        <v/>
      </c>
    </row>
    <row r="2248">
      <c r="A2248" s="14">
        <f>IF(OR(NOT(ISNUMBER(Ввод!$B$5)),NOT(ISNUMBER(Ввод!$B$6))),"",IF(Ввод!$B$5+2246&gt;Ввод!$B$6,"",Ввод!$B$5+2246))</f>
        <v/>
      </c>
      <c r="B2248">
        <f>IF(A2248="","",IFERROR(INDEX(Ввод!$B$12:$B$71,MATCH(A2248,Ввод!$D$12:$D$71,1)),""))</f>
        <v/>
      </c>
      <c r="C2248">
        <f>IF(A2248="","",DATE(YEAR(A2248),12,31)-DATE(YEAR(A2248),1,1)+1)</f>
        <v/>
      </c>
      <c r="D2248">
        <f>IF(A2248="","",Ввод!$B$4-SUMIF(Оплаты!$A$6:$A$505,"&lt;"&amp;A2248,Оплаты!$B$6:$B$505))</f>
        <v/>
      </c>
      <c r="E2248">
        <f>IF(A2248="","",IF(SUMPRODUCT((Ввод!$F$12:$F$31&lt;&gt;"")*(Ввод!$F$12:$F$31&lt;=A2248)*(Ввод!$G$12:$G$31&gt;=A2248))&gt;0,1,0))</f>
        <v/>
      </c>
      <c r="F2248">
        <f>IF(OR(A2248="",B2248=""),"",IF(E2248=1,0,D2248*B2248/100/C2248))</f>
        <v/>
      </c>
      <c r="G2248">
        <f>IF(A2248="","",IF(OR(B2248&lt;&gt;B2247,C2248&lt;&gt;C2247,D2248&lt;&gt;D2247,E2248&lt;&gt;E2247),G2247+1,G2247))</f>
        <v/>
      </c>
    </row>
    <row r="2249">
      <c r="A2249" s="14">
        <f>IF(OR(NOT(ISNUMBER(Ввод!$B$5)),NOT(ISNUMBER(Ввод!$B$6))),"",IF(Ввод!$B$5+2247&gt;Ввод!$B$6,"",Ввод!$B$5+2247))</f>
        <v/>
      </c>
      <c r="B2249">
        <f>IF(A2249="","",IFERROR(INDEX(Ввод!$B$12:$B$71,MATCH(A2249,Ввод!$D$12:$D$71,1)),""))</f>
        <v/>
      </c>
      <c r="C2249">
        <f>IF(A2249="","",DATE(YEAR(A2249),12,31)-DATE(YEAR(A2249),1,1)+1)</f>
        <v/>
      </c>
      <c r="D2249">
        <f>IF(A2249="","",Ввод!$B$4-SUMIF(Оплаты!$A$6:$A$505,"&lt;"&amp;A2249,Оплаты!$B$6:$B$505))</f>
        <v/>
      </c>
      <c r="E2249">
        <f>IF(A2249="","",IF(SUMPRODUCT((Ввод!$F$12:$F$31&lt;&gt;"")*(Ввод!$F$12:$F$31&lt;=A2249)*(Ввод!$G$12:$G$31&gt;=A2249))&gt;0,1,0))</f>
        <v/>
      </c>
      <c r="F2249">
        <f>IF(OR(A2249="",B2249=""),"",IF(E2249=1,0,D2249*B2249/100/C2249))</f>
        <v/>
      </c>
      <c r="G2249">
        <f>IF(A2249="","",IF(OR(B2249&lt;&gt;B2248,C2249&lt;&gt;C2248,D2249&lt;&gt;D2248,E2249&lt;&gt;E2248),G2248+1,G2248))</f>
        <v/>
      </c>
    </row>
    <row r="2250">
      <c r="A2250" s="14">
        <f>IF(OR(NOT(ISNUMBER(Ввод!$B$5)),NOT(ISNUMBER(Ввод!$B$6))),"",IF(Ввод!$B$5+2248&gt;Ввод!$B$6,"",Ввод!$B$5+2248))</f>
        <v/>
      </c>
      <c r="B2250">
        <f>IF(A2250="","",IFERROR(INDEX(Ввод!$B$12:$B$71,MATCH(A2250,Ввод!$D$12:$D$71,1)),""))</f>
        <v/>
      </c>
      <c r="C2250">
        <f>IF(A2250="","",DATE(YEAR(A2250),12,31)-DATE(YEAR(A2250),1,1)+1)</f>
        <v/>
      </c>
      <c r="D2250">
        <f>IF(A2250="","",Ввод!$B$4-SUMIF(Оплаты!$A$6:$A$505,"&lt;"&amp;A2250,Оплаты!$B$6:$B$505))</f>
        <v/>
      </c>
      <c r="E2250">
        <f>IF(A2250="","",IF(SUMPRODUCT((Ввод!$F$12:$F$31&lt;&gt;"")*(Ввод!$F$12:$F$31&lt;=A2250)*(Ввод!$G$12:$G$31&gt;=A2250))&gt;0,1,0))</f>
        <v/>
      </c>
      <c r="F2250">
        <f>IF(OR(A2250="",B2250=""),"",IF(E2250=1,0,D2250*B2250/100/C2250))</f>
        <v/>
      </c>
      <c r="G2250">
        <f>IF(A2250="","",IF(OR(B2250&lt;&gt;B2249,C2250&lt;&gt;C2249,D2250&lt;&gt;D2249,E2250&lt;&gt;E2249),G2249+1,G2249))</f>
        <v/>
      </c>
    </row>
    <row r="2251">
      <c r="A2251" s="14">
        <f>IF(OR(NOT(ISNUMBER(Ввод!$B$5)),NOT(ISNUMBER(Ввод!$B$6))),"",IF(Ввод!$B$5+2249&gt;Ввод!$B$6,"",Ввод!$B$5+2249))</f>
        <v/>
      </c>
      <c r="B2251">
        <f>IF(A2251="","",IFERROR(INDEX(Ввод!$B$12:$B$71,MATCH(A2251,Ввод!$D$12:$D$71,1)),""))</f>
        <v/>
      </c>
      <c r="C2251">
        <f>IF(A2251="","",DATE(YEAR(A2251),12,31)-DATE(YEAR(A2251),1,1)+1)</f>
        <v/>
      </c>
      <c r="D2251">
        <f>IF(A2251="","",Ввод!$B$4-SUMIF(Оплаты!$A$6:$A$505,"&lt;"&amp;A2251,Оплаты!$B$6:$B$505))</f>
        <v/>
      </c>
      <c r="E2251">
        <f>IF(A2251="","",IF(SUMPRODUCT((Ввод!$F$12:$F$31&lt;&gt;"")*(Ввод!$F$12:$F$31&lt;=A2251)*(Ввод!$G$12:$G$31&gt;=A2251))&gt;0,1,0))</f>
        <v/>
      </c>
      <c r="F2251">
        <f>IF(OR(A2251="",B2251=""),"",IF(E2251=1,0,D2251*B2251/100/C2251))</f>
        <v/>
      </c>
      <c r="G2251">
        <f>IF(A2251="","",IF(OR(B2251&lt;&gt;B2250,C2251&lt;&gt;C2250,D2251&lt;&gt;D2250,E2251&lt;&gt;E2250),G2250+1,G2250))</f>
        <v/>
      </c>
    </row>
    <row r="2252">
      <c r="A2252" s="14">
        <f>IF(OR(NOT(ISNUMBER(Ввод!$B$5)),NOT(ISNUMBER(Ввод!$B$6))),"",IF(Ввод!$B$5+2250&gt;Ввод!$B$6,"",Ввод!$B$5+2250))</f>
        <v/>
      </c>
      <c r="B2252">
        <f>IF(A2252="","",IFERROR(INDEX(Ввод!$B$12:$B$71,MATCH(A2252,Ввод!$D$12:$D$71,1)),""))</f>
        <v/>
      </c>
      <c r="C2252">
        <f>IF(A2252="","",DATE(YEAR(A2252),12,31)-DATE(YEAR(A2252),1,1)+1)</f>
        <v/>
      </c>
      <c r="D2252">
        <f>IF(A2252="","",Ввод!$B$4-SUMIF(Оплаты!$A$6:$A$505,"&lt;"&amp;A2252,Оплаты!$B$6:$B$505))</f>
        <v/>
      </c>
      <c r="E2252">
        <f>IF(A2252="","",IF(SUMPRODUCT((Ввод!$F$12:$F$31&lt;&gt;"")*(Ввод!$F$12:$F$31&lt;=A2252)*(Ввод!$G$12:$G$31&gt;=A2252))&gt;0,1,0))</f>
        <v/>
      </c>
      <c r="F2252">
        <f>IF(OR(A2252="",B2252=""),"",IF(E2252=1,0,D2252*B2252/100/C2252))</f>
        <v/>
      </c>
      <c r="G2252">
        <f>IF(A2252="","",IF(OR(B2252&lt;&gt;B2251,C2252&lt;&gt;C2251,D2252&lt;&gt;D2251,E2252&lt;&gt;E2251),G2251+1,G2251))</f>
        <v/>
      </c>
    </row>
    <row r="2253">
      <c r="A2253" s="14">
        <f>IF(OR(NOT(ISNUMBER(Ввод!$B$5)),NOT(ISNUMBER(Ввод!$B$6))),"",IF(Ввод!$B$5+2251&gt;Ввод!$B$6,"",Ввод!$B$5+2251))</f>
        <v/>
      </c>
      <c r="B2253">
        <f>IF(A2253="","",IFERROR(INDEX(Ввод!$B$12:$B$71,MATCH(A2253,Ввод!$D$12:$D$71,1)),""))</f>
        <v/>
      </c>
      <c r="C2253">
        <f>IF(A2253="","",DATE(YEAR(A2253),12,31)-DATE(YEAR(A2253),1,1)+1)</f>
        <v/>
      </c>
      <c r="D2253">
        <f>IF(A2253="","",Ввод!$B$4-SUMIF(Оплаты!$A$6:$A$505,"&lt;"&amp;A2253,Оплаты!$B$6:$B$505))</f>
        <v/>
      </c>
      <c r="E2253">
        <f>IF(A2253="","",IF(SUMPRODUCT((Ввод!$F$12:$F$31&lt;&gt;"")*(Ввод!$F$12:$F$31&lt;=A2253)*(Ввод!$G$12:$G$31&gt;=A2253))&gt;0,1,0))</f>
        <v/>
      </c>
      <c r="F2253">
        <f>IF(OR(A2253="",B2253=""),"",IF(E2253=1,0,D2253*B2253/100/C2253))</f>
        <v/>
      </c>
      <c r="G2253">
        <f>IF(A2253="","",IF(OR(B2253&lt;&gt;B2252,C2253&lt;&gt;C2252,D2253&lt;&gt;D2252,E2253&lt;&gt;E2252),G2252+1,G2252))</f>
        <v/>
      </c>
    </row>
    <row r="2254">
      <c r="A2254" s="14">
        <f>IF(OR(NOT(ISNUMBER(Ввод!$B$5)),NOT(ISNUMBER(Ввод!$B$6))),"",IF(Ввод!$B$5+2252&gt;Ввод!$B$6,"",Ввод!$B$5+2252))</f>
        <v/>
      </c>
      <c r="B2254">
        <f>IF(A2254="","",IFERROR(INDEX(Ввод!$B$12:$B$71,MATCH(A2254,Ввод!$D$12:$D$71,1)),""))</f>
        <v/>
      </c>
      <c r="C2254">
        <f>IF(A2254="","",DATE(YEAR(A2254),12,31)-DATE(YEAR(A2254),1,1)+1)</f>
        <v/>
      </c>
      <c r="D2254">
        <f>IF(A2254="","",Ввод!$B$4-SUMIF(Оплаты!$A$6:$A$505,"&lt;"&amp;A2254,Оплаты!$B$6:$B$505))</f>
        <v/>
      </c>
      <c r="E2254">
        <f>IF(A2254="","",IF(SUMPRODUCT((Ввод!$F$12:$F$31&lt;&gt;"")*(Ввод!$F$12:$F$31&lt;=A2254)*(Ввод!$G$12:$G$31&gt;=A2254))&gt;0,1,0))</f>
        <v/>
      </c>
      <c r="F2254">
        <f>IF(OR(A2254="",B2254=""),"",IF(E2254=1,0,D2254*B2254/100/C2254))</f>
        <v/>
      </c>
      <c r="G2254">
        <f>IF(A2254="","",IF(OR(B2254&lt;&gt;B2253,C2254&lt;&gt;C2253,D2254&lt;&gt;D2253,E2254&lt;&gt;E2253),G2253+1,G2253))</f>
        <v/>
      </c>
    </row>
    <row r="2255">
      <c r="A2255" s="14">
        <f>IF(OR(NOT(ISNUMBER(Ввод!$B$5)),NOT(ISNUMBER(Ввод!$B$6))),"",IF(Ввод!$B$5+2253&gt;Ввод!$B$6,"",Ввод!$B$5+2253))</f>
        <v/>
      </c>
      <c r="B2255">
        <f>IF(A2255="","",IFERROR(INDEX(Ввод!$B$12:$B$71,MATCH(A2255,Ввод!$D$12:$D$71,1)),""))</f>
        <v/>
      </c>
      <c r="C2255">
        <f>IF(A2255="","",DATE(YEAR(A2255),12,31)-DATE(YEAR(A2255),1,1)+1)</f>
        <v/>
      </c>
      <c r="D2255">
        <f>IF(A2255="","",Ввод!$B$4-SUMIF(Оплаты!$A$6:$A$505,"&lt;"&amp;A2255,Оплаты!$B$6:$B$505))</f>
        <v/>
      </c>
      <c r="E2255">
        <f>IF(A2255="","",IF(SUMPRODUCT((Ввод!$F$12:$F$31&lt;&gt;"")*(Ввод!$F$12:$F$31&lt;=A2255)*(Ввод!$G$12:$G$31&gt;=A2255))&gt;0,1,0))</f>
        <v/>
      </c>
      <c r="F2255">
        <f>IF(OR(A2255="",B2255=""),"",IF(E2255=1,0,D2255*B2255/100/C2255))</f>
        <v/>
      </c>
      <c r="G2255">
        <f>IF(A2255="","",IF(OR(B2255&lt;&gt;B2254,C2255&lt;&gt;C2254,D2255&lt;&gt;D2254,E2255&lt;&gt;E2254),G2254+1,G2254))</f>
        <v/>
      </c>
    </row>
    <row r="2256">
      <c r="A2256" s="14">
        <f>IF(OR(NOT(ISNUMBER(Ввод!$B$5)),NOT(ISNUMBER(Ввод!$B$6))),"",IF(Ввод!$B$5+2254&gt;Ввод!$B$6,"",Ввод!$B$5+2254))</f>
        <v/>
      </c>
      <c r="B2256">
        <f>IF(A2256="","",IFERROR(INDEX(Ввод!$B$12:$B$71,MATCH(A2256,Ввод!$D$12:$D$71,1)),""))</f>
        <v/>
      </c>
      <c r="C2256">
        <f>IF(A2256="","",DATE(YEAR(A2256),12,31)-DATE(YEAR(A2256),1,1)+1)</f>
        <v/>
      </c>
      <c r="D2256">
        <f>IF(A2256="","",Ввод!$B$4-SUMIF(Оплаты!$A$6:$A$505,"&lt;"&amp;A2256,Оплаты!$B$6:$B$505))</f>
        <v/>
      </c>
      <c r="E2256">
        <f>IF(A2256="","",IF(SUMPRODUCT((Ввод!$F$12:$F$31&lt;&gt;"")*(Ввод!$F$12:$F$31&lt;=A2256)*(Ввод!$G$12:$G$31&gt;=A2256))&gt;0,1,0))</f>
        <v/>
      </c>
      <c r="F2256">
        <f>IF(OR(A2256="",B2256=""),"",IF(E2256=1,0,D2256*B2256/100/C2256))</f>
        <v/>
      </c>
      <c r="G2256">
        <f>IF(A2256="","",IF(OR(B2256&lt;&gt;B2255,C2256&lt;&gt;C2255,D2256&lt;&gt;D2255,E2256&lt;&gt;E2255),G2255+1,G2255))</f>
        <v/>
      </c>
    </row>
    <row r="2257">
      <c r="A2257" s="14">
        <f>IF(OR(NOT(ISNUMBER(Ввод!$B$5)),NOT(ISNUMBER(Ввод!$B$6))),"",IF(Ввод!$B$5+2255&gt;Ввод!$B$6,"",Ввод!$B$5+2255))</f>
        <v/>
      </c>
      <c r="B2257">
        <f>IF(A2257="","",IFERROR(INDEX(Ввод!$B$12:$B$71,MATCH(A2257,Ввод!$D$12:$D$71,1)),""))</f>
        <v/>
      </c>
      <c r="C2257">
        <f>IF(A2257="","",DATE(YEAR(A2257),12,31)-DATE(YEAR(A2257),1,1)+1)</f>
        <v/>
      </c>
      <c r="D2257">
        <f>IF(A2257="","",Ввод!$B$4-SUMIF(Оплаты!$A$6:$A$505,"&lt;"&amp;A2257,Оплаты!$B$6:$B$505))</f>
        <v/>
      </c>
      <c r="E2257">
        <f>IF(A2257="","",IF(SUMPRODUCT((Ввод!$F$12:$F$31&lt;&gt;"")*(Ввод!$F$12:$F$31&lt;=A2257)*(Ввод!$G$12:$G$31&gt;=A2257))&gt;0,1,0))</f>
        <v/>
      </c>
      <c r="F2257">
        <f>IF(OR(A2257="",B2257=""),"",IF(E2257=1,0,D2257*B2257/100/C2257))</f>
        <v/>
      </c>
      <c r="G2257">
        <f>IF(A2257="","",IF(OR(B2257&lt;&gt;B2256,C2257&lt;&gt;C2256,D2257&lt;&gt;D2256,E2257&lt;&gt;E2256),G2256+1,G2256))</f>
        <v/>
      </c>
    </row>
    <row r="2258">
      <c r="A2258" s="14">
        <f>IF(OR(NOT(ISNUMBER(Ввод!$B$5)),NOT(ISNUMBER(Ввод!$B$6))),"",IF(Ввод!$B$5+2256&gt;Ввод!$B$6,"",Ввод!$B$5+2256))</f>
        <v/>
      </c>
      <c r="B2258">
        <f>IF(A2258="","",IFERROR(INDEX(Ввод!$B$12:$B$71,MATCH(A2258,Ввод!$D$12:$D$71,1)),""))</f>
        <v/>
      </c>
      <c r="C2258">
        <f>IF(A2258="","",DATE(YEAR(A2258),12,31)-DATE(YEAR(A2258),1,1)+1)</f>
        <v/>
      </c>
      <c r="D2258">
        <f>IF(A2258="","",Ввод!$B$4-SUMIF(Оплаты!$A$6:$A$505,"&lt;"&amp;A2258,Оплаты!$B$6:$B$505))</f>
        <v/>
      </c>
      <c r="E2258">
        <f>IF(A2258="","",IF(SUMPRODUCT((Ввод!$F$12:$F$31&lt;&gt;"")*(Ввод!$F$12:$F$31&lt;=A2258)*(Ввод!$G$12:$G$31&gt;=A2258))&gt;0,1,0))</f>
        <v/>
      </c>
      <c r="F2258">
        <f>IF(OR(A2258="",B2258=""),"",IF(E2258=1,0,D2258*B2258/100/C2258))</f>
        <v/>
      </c>
      <c r="G2258">
        <f>IF(A2258="","",IF(OR(B2258&lt;&gt;B2257,C2258&lt;&gt;C2257,D2258&lt;&gt;D2257,E2258&lt;&gt;E2257),G2257+1,G2257))</f>
        <v/>
      </c>
    </row>
    <row r="2259">
      <c r="A2259" s="14">
        <f>IF(OR(NOT(ISNUMBER(Ввод!$B$5)),NOT(ISNUMBER(Ввод!$B$6))),"",IF(Ввод!$B$5+2257&gt;Ввод!$B$6,"",Ввод!$B$5+2257))</f>
        <v/>
      </c>
      <c r="B2259">
        <f>IF(A2259="","",IFERROR(INDEX(Ввод!$B$12:$B$71,MATCH(A2259,Ввод!$D$12:$D$71,1)),""))</f>
        <v/>
      </c>
      <c r="C2259">
        <f>IF(A2259="","",DATE(YEAR(A2259),12,31)-DATE(YEAR(A2259),1,1)+1)</f>
        <v/>
      </c>
      <c r="D2259">
        <f>IF(A2259="","",Ввод!$B$4-SUMIF(Оплаты!$A$6:$A$505,"&lt;"&amp;A2259,Оплаты!$B$6:$B$505))</f>
        <v/>
      </c>
      <c r="E2259">
        <f>IF(A2259="","",IF(SUMPRODUCT((Ввод!$F$12:$F$31&lt;&gt;"")*(Ввод!$F$12:$F$31&lt;=A2259)*(Ввод!$G$12:$G$31&gt;=A2259))&gt;0,1,0))</f>
        <v/>
      </c>
      <c r="F2259">
        <f>IF(OR(A2259="",B2259=""),"",IF(E2259=1,0,D2259*B2259/100/C2259))</f>
        <v/>
      </c>
      <c r="G2259">
        <f>IF(A2259="","",IF(OR(B2259&lt;&gt;B2258,C2259&lt;&gt;C2258,D2259&lt;&gt;D2258,E2259&lt;&gt;E2258),G2258+1,G2258))</f>
        <v/>
      </c>
    </row>
    <row r="2260">
      <c r="A2260" s="14">
        <f>IF(OR(NOT(ISNUMBER(Ввод!$B$5)),NOT(ISNUMBER(Ввод!$B$6))),"",IF(Ввод!$B$5+2258&gt;Ввод!$B$6,"",Ввод!$B$5+2258))</f>
        <v/>
      </c>
      <c r="B2260">
        <f>IF(A2260="","",IFERROR(INDEX(Ввод!$B$12:$B$71,MATCH(A2260,Ввод!$D$12:$D$71,1)),""))</f>
        <v/>
      </c>
      <c r="C2260">
        <f>IF(A2260="","",DATE(YEAR(A2260),12,31)-DATE(YEAR(A2260),1,1)+1)</f>
        <v/>
      </c>
      <c r="D2260">
        <f>IF(A2260="","",Ввод!$B$4-SUMIF(Оплаты!$A$6:$A$505,"&lt;"&amp;A2260,Оплаты!$B$6:$B$505))</f>
        <v/>
      </c>
      <c r="E2260">
        <f>IF(A2260="","",IF(SUMPRODUCT((Ввод!$F$12:$F$31&lt;&gt;"")*(Ввод!$F$12:$F$31&lt;=A2260)*(Ввод!$G$12:$G$31&gt;=A2260))&gt;0,1,0))</f>
        <v/>
      </c>
      <c r="F2260">
        <f>IF(OR(A2260="",B2260=""),"",IF(E2260=1,0,D2260*B2260/100/C2260))</f>
        <v/>
      </c>
      <c r="G2260">
        <f>IF(A2260="","",IF(OR(B2260&lt;&gt;B2259,C2260&lt;&gt;C2259,D2260&lt;&gt;D2259,E2260&lt;&gt;E2259),G2259+1,G2259))</f>
        <v/>
      </c>
    </row>
    <row r="2261">
      <c r="A2261" s="14">
        <f>IF(OR(NOT(ISNUMBER(Ввод!$B$5)),NOT(ISNUMBER(Ввод!$B$6))),"",IF(Ввод!$B$5+2259&gt;Ввод!$B$6,"",Ввод!$B$5+2259))</f>
        <v/>
      </c>
      <c r="B2261">
        <f>IF(A2261="","",IFERROR(INDEX(Ввод!$B$12:$B$71,MATCH(A2261,Ввод!$D$12:$D$71,1)),""))</f>
        <v/>
      </c>
      <c r="C2261">
        <f>IF(A2261="","",DATE(YEAR(A2261),12,31)-DATE(YEAR(A2261),1,1)+1)</f>
        <v/>
      </c>
      <c r="D2261">
        <f>IF(A2261="","",Ввод!$B$4-SUMIF(Оплаты!$A$6:$A$505,"&lt;"&amp;A2261,Оплаты!$B$6:$B$505))</f>
        <v/>
      </c>
      <c r="E2261">
        <f>IF(A2261="","",IF(SUMPRODUCT((Ввод!$F$12:$F$31&lt;&gt;"")*(Ввод!$F$12:$F$31&lt;=A2261)*(Ввод!$G$12:$G$31&gt;=A2261))&gt;0,1,0))</f>
        <v/>
      </c>
      <c r="F2261">
        <f>IF(OR(A2261="",B2261=""),"",IF(E2261=1,0,D2261*B2261/100/C2261))</f>
        <v/>
      </c>
      <c r="G2261">
        <f>IF(A2261="","",IF(OR(B2261&lt;&gt;B2260,C2261&lt;&gt;C2260,D2261&lt;&gt;D2260,E2261&lt;&gt;E2260),G2260+1,G2260))</f>
        <v/>
      </c>
    </row>
    <row r="2262">
      <c r="A2262" s="14">
        <f>IF(OR(NOT(ISNUMBER(Ввод!$B$5)),NOT(ISNUMBER(Ввод!$B$6))),"",IF(Ввод!$B$5+2260&gt;Ввод!$B$6,"",Ввод!$B$5+2260))</f>
        <v/>
      </c>
      <c r="B2262">
        <f>IF(A2262="","",IFERROR(INDEX(Ввод!$B$12:$B$71,MATCH(A2262,Ввод!$D$12:$D$71,1)),""))</f>
        <v/>
      </c>
      <c r="C2262">
        <f>IF(A2262="","",DATE(YEAR(A2262),12,31)-DATE(YEAR(A2262),1,1)+1)</f>
        <v/>
      </c>
      <c r="D2262">
        <f>IF(A2262="","",Ввод!$B$4-SUMIF(Оплаты!$A$6:$A$505,"&lt;"&amp;A2262,Оплаты!$B$6:$B$505))</f>
        <v/>
      </c>
      <c r="E2262">
        <f>IF(A2262="","",IF(SUMPRODUCT((Ввод!$F$12:$F$31&lt;&gt;"")*(Ввод!$F$12:$F$31&lt;=A2262)*(Ввод!$G$12:$G$31&gt;=A2262))&gt;0,1,0))</f>
        <v/>
      </c>
      <c r="F2262">
        <f>IF(OR(A2262="",B2262=""),"",IF(E2262=1,0,D2262*B2262/100/C2262))</f>
        <v/>
      </c>
      <c r="G2262">
        <f>IF(A2262="","",IF(OR(B2262&lt;&gt;B2261,C2262&lt;&gt;C2261,D2262&lt;&gt;D2261,E2262&lt;&gt;E2261),G2261+1,G2261))</f>
        <v/>
      </c>
    </row>
    <row r="2263">
      <c r="A2263" s="14">
        <f>IF(OR(NOT(ISNUMBER(Ввод!$B$5)),NOT(ISNUMBER(Ввод!$B$6))),"",IF(Ввод!$B$5+2261&gt;Ввод!$B$6,"",Ввод!$B$5+2261))</f>
        <v/>
      </c>
      <c r="B2263">
        <f>IF(A2263="","",IFERROR(INDEX(Ввод!$B$12:$B$71,MATCH(A2263,Ввод!$D$12:$D$71,1)),""))</f>
        <v/>
      </c>
      <c r="C2263">
        <f>IF(A2263="","",DATE(YEAR(A2263),12,31)-DATE(YEAR(A2263),1,1)+1)</f>
        <v/>
      </c>
      <c r="D2263">
        <f>IF(A2263="","",Ввод!$B$4-SUMIF(Оплаты!$A$6:$A$505,"&lt;"&amp;A2263,Оплаты!$B$6:$B$505))</f>
        <v/>
      </c>
      <c r="E2263">
        <f>IF(A2263="","",IF(SUMPRODUCT((Ввод!$F$12:$F$31&lt;&gt;"")*(Ввод!$F$12:$F$31&lt;=A2263)*(Ввод!$G$12:$G$31&gt;=A2263))&gt;0,1,0))</f>
        <v/>
      </c>
      <c r="F2263">
        <f>IF(OR(A2263="",B2263=""),"",IF(E2263=1,0,D2263*B2263/100/C2263))</f>
        <v/>
      </c>
      <c r="G2263">
        <f>IF(A2263="","",IF(OR(B2263&lt;&gt;B2262,C2263&lt;&gt;C2262,D2263&lt;&gt;D2262,E2263&lt;&gt;E2262),G2262+1,G2262))</f>
        <v/>
      </c>
    </row>
    <row r="2264">
      <c r="A2264" s="14">
        <f>IF(OR(NOT(ISNUMBER(Ввод!$B$5)),NOT(ISNUMBER(Ввод!$B$6))),"",IF(Ввод!$B$5+2262&gt;Ввод!$B$6,"",Ввод!$B$5+2262))</f>
        <v/>
      </c>
      <c r="B2264">
        <f>IF(A2264="","",IFERROR(INDEX(Ввод!$B$12:$B$71,MATCH(A2264,Ввод!$D$12:$D$71,1)),""))</f>
        <v/>
      </c>
      <c r="C2264">
        <f>IF(A2264="","",DATE(YEAR(A2264),12,31)-DATE(YEAR(A2264),1,1)+1)</f>
        <v/>
      </c>
      <c r="D2264">
        <f>IF(A2264="","",Ввод!$B$4-SUMIF(Оплаты!$A$6:$A$505,"&lt;"&amp;A2264,Оплаты!$B$6:$B$505))</f>
        <v/>
      </c>
      <c r="E2264">
        <f>IF(A2264="","",IF(SUMPRODUCT((Ввод!$F$12:$F$31&lt;&gt;"")*(Ввод!$F$12:$F$31&lt;=A2264)*(Ввод!$G$12:$G$31&gt;=A2264))&gt;0,1,0))</f>
        <v/>
      </c>
      <c r="F2264">
        <f>IF(OR(A2264="",B2264=""),"",IF(E2264=1,0,D2264*B2264/100/C2264))</f>
        <v/>
      </c>
      <c r="G2264">
        <f>IF(A2264="","",IF(OR(B2264&lt;&gt;B2263,C2264&lt;&gt;C2263,D2264&lt;&gt;D2263,E2264&lt;&gt;E2263),G2263+1,G2263))</f>
        <v/>
      </c>
    </row>
    <row r="2265">
      <c r="A2265" s="14">
        <f>IF(OR(NOT(ISNUMBER(Ввод!$B$5)),NOT(ISNUMBER(Ввод!$B$6))),"",IF(Ввод!$B$5+2263&gt;Ввод!$B$6,"",Ввод!$B$5+2263))</f>
        <v/>
      </c>
      <c r="B2265">
        <f>IF(A2265="","",IFERROR(INDEX(Ввод!$B$12:$B$71,MATCH(A2265,Ввод!$D$12:$D$71,1)),""))</f>
        <v/>
      </c>
      <c r="C2265">
        <f>IF(A2265="","",DATE(YEAR(A2265),12,31)-DATE(YEAR(A2265),1,1)+1)</f>
        <v/>
      </c>
      <c r="D2265">
        <f>IF(A2265="","",Ввод!$B$4-SUMIF(Оплаты!$A$6:$A$505,"&lt;"&amp;A2265,Оплаты!$B$6:$B$505))</f>
        <v/>
      </c>
      <c r="E2265">
        <f>IF(A2265="","",IF(SUMPRODUCT((Ввод!$F$12:$F$31&lt;&gt;"")*(Ввод!$F$12:$F$31&lt;=A2265)*(Ввод!$G$12:$G$31&gt;=A2265))&gt;0,1,0))</f>
        <v/>
      </c>
      <c r="F2265">
        <f>IF(OR(A2265="",B2265=""),"",IF(E2265=1,0,D2265*B2265/100/C2265))</f>
        <v/>
      </c>
      <c r="G2265">
        <f>IF(A2265="","",IF(OR(B2265&lt;&gt;B2264,C2265&lt;&gt;C2264,D2265&lt;&gt;D2264,E2265&lt;&gt;E2264),G2264+1,G2264))</f>
        <v/>
      </c>
    </row>
    <row r="2266">
      <c r="A2266" s="14">
        <f>IF(OR(NOT(ISNUMBER(Ввод!$B$5)),NOT(ISNUMBER(Ввод!$B$6))),"",IF(Ввод!$B$5+2264&gt;Ввод!$B$6,"",Ввод!$B$5+2264))</f>
        <v/>
      </c>
      <c r="B2266">
        <f>IF(A2266="","",IFERROR(INDEX(Ввод!$B$12:$B$71,MATCH(A2266,Ввод!$D$12:$D$71,1)),""))</f>
        <v/>
      </c>
      <c r="C2266">
        <f>IF(A2266="","",DATE(YEAR(A2266),12,31)-DATE(YEAR(A2266),1,1)+1)</f>
        <v/>
      </c>
      <c r="D2266">
        <f>IF(A2266="","",Ввод!$B$4-SUMIF(Оплаты!$A$6:$A$505,"&lt;"&amp;A2266,Оплаты!$B$6:$B$505))</f>
        <v/>
      </c>
      <c r="E2266">
        <f>IF(A2266="","",IF(SUMPRODUCT((Ввод!$F$12:$F$31&lt;&gt;"")*(Ввод!$F$12:$F$31&lt;=A2266)*(Ввод!$G$12:$G$31&gt;=A2266))&gt;0,1,0))</f>
        <v/>
      </c>
      <c r="F2266">
        <f>IF(OR(A2266="",B2266=""),"",IF(E2266=1,0,D2266*B2266/100/C2266))</f>
        <v/>
      </c>
      <c r="G2266">
        <f>IF(A2266="","",IF(OR(B2266&lt;&gt;B2265,C2266&lt;&gt;C2265,D2266&lt;&gt;D2265,E2266&lt;&gt;E2265),G2265+1,G2265))</f>
        <v/>
      </c>
    </row>
    <row r="2267">
      <c r="A2267" s="14">
        <f>IF(OR(NOT(ISNUMBER(Ввод!$B$5)),NOT(ISNUMBER(Ввод!$B$6))),"",IF(Ввод!$B$5+2265&gt;Ввод!$B$6,"",Ввод!$B$5+2265))</f>
        <v/>
      </c>
      <c r="B2267">
        <f>IF(A2267="","",IFERROR(INDEX(Ввод!$B$12:$B$71,MATCH(A2267,Ввод!$D$12:$D$71,1)),""))</f>
        <v/>
      </c>
      <c r="C2267">
        <f>IF(A2267="","",DATE(YEAR(A2267),12,31)-DATE(YEAR(A2267),1,1)+1)</f>
        <v/>
      </c>
      <c r="D2267">
        <f>IF(A2267="","",Ввод!$B$4-SUMIF(Оплаты!$A$6:$A$505,"&lt;"&amp;A2267,Оплаты!$B$6:$B$505))</f>
        <v/>
      </c>
      <c r="E2267">
        <f>IF(A2267="","",IF(SUMPRODUCT((Ввод!$F$12:$F$31&lt;&gt;"")*(Ввод!$F$12:$F$31&lt;=A2267)*(Ввод!$G$12:$G$31&gt;=A2267))&gt;0,1,0))</f>
        <v/>
      </c>
      <c r="F2267">
        <f>IF(OR(A2267="",B2267=""),"",IF(E2267=1,0,D2267*B2267/100/C2267))</f>
        <v/>
      </c>
      <c r="G2267">
        <f>IF(A2267="","",IF(OR(B2267&lt;&gt;B2266,C2267&lt;&gt;C2266,D2267&lt;&gt;D2266,E2267&lt;&gt;E2266),G2266+1,G2266))</f>
        <v/>
      </c>
    </row>
    <row r="2268">
      <c r="A2268" s="14">
        <f>IF(OR(NOT(ISNUMBER(Ввод!$B$5)),NOT(ISNUMBER(Ввод!$B$6))),"",IF(Ввод!$B$5+2266&gt;Ввод!$B$6,"",Ввод!$B$5+2266))</f>
        <v/>
      </c>
      <c r="B2268">
        <f>IF(A2268="","",IFERROR(INDEX(Ввод!$B$12:$B$71,MATCH(A2268,Ввод!$D$12:$D$71,1)),""))</f>
        <v/>
      </c>
      <c r="C2268">
        <f>IF(A2268="","",DATE(YEAR(A2268),12,31)-DATE(YEAR(A2268),1,1)+1)</f>
        <v/>
      </c>
      <c r="D2268">
        <f>IF(A2268="","",Ввод!$B$4-SUMIF(Оплаты!$A$6:$A$505,"&lt;"&amp;A2268,Оплаты!$B$6:$B$505))</f>
        <v/>
      </c>
      <c r="E2268">
        <f>IF(A2268="","",IF(SUMPRODUCT((Ввод!$F$12:$F$31&lt;&gt;"")*(Ввод!$F$12:$F$31&lt;=A2268)*(Ввод!$G$12:$G$31&gt;=A2268))&gt;0,1,0))</f>
        <v/>
      </c>
      <c r="F2268">
        <f>IF(OR(A2268="",B2268=""),"",IF(E2268=1,0,D2268*B2268/100/C2268))</f>
        <v/>
      </c>
      <c r="G2268">
        <f>IF(A2268="","",IF(OR(B2268&lt;&gt;B2267,C2268&lt;&gt;C2267,D2268&lt;&gt;D2267,E2268&lt;&gt;E2267),G2267+1,G2267))</f>
        <v/>
      </c>
    </row>
    <row r="2269">
      <c r="A2269" s="14">
        <f>IF(OR(NOT(ISNUMBER(Ввод!$B$5)),NOT(ISNUMBER(Ввод!$B$6))),"",IF(Ввод!$B$5+2267&gt;Ввод!$B$6,"",Ввод!$B$5+2267))</f>
        <v/>
      </c>
      <c r="B2269">
        <f>IF(A2269="","",IFERROR(INDEX(Ввод!$B$12:$B$71,MATCH(A2269,Ввод!$D$12:$D$71,1)),""))</f>
        <v/>
      </c>
      <c r="C2269">
        <f>IF(A2269="","",DATE(YEAR(A2269),12,31)-DATE(YEAR(A2269),1,1)+1)</f>
        <v/>
      </c>
      <c r="D2269">
        <f>IF(A2269="","",Ввод!$B$4-SUMIF(Оплаты!$A$6:$A$505,"&lt;"&amp;A2269,Оплаты!$B$6:$B$505))</f>
        <v/>
      </c>
      <c r="E2269">
        <f>IF(A2269="","",IF(SUMPRODUCT((Ввод!$F$12:$F$31&lt;&gt;"")*(Ввод!$F$12:$F$31&lt;=A2269)*(Ввод!$G$12:$G$31&gt;=A2269))&gt;0,1,0))</f>
        <v/>
      </c>
      <c r="F2269">
        <f>IF(OR(A2269="",B2269=""),"",IF(E2269=1,0,D2269*B2269/100/C2269))</f>
        <v/>
      </c>
      <c r="G2269">
        <f>IF(A2269="","",IF(OR(B2269&lt;&gt;B2268,C2269&lt;&gt;C2268,D2269&lt;&gt;D2268,E2269&lt;&gt;E2268),G2268+1,G2268))</f>
        <v/>
      </c>
    </row>
    <row r="2270">
      <c r="A2270" s="14">
        <f>IF(OR(NOT(ISNUMBER(Ввод!$B$5)),NOT(ISNUMBER(Ввод!$B$6))),"",IF(Ввод!$B$5+2268&gt;Ввод!$B$6,"",Ввод!$B$5+2268))</f>
        <v/>
      </c>
      <c r="B2270">
        <f>IF(A2270="","",IFERROR(INDEX(Ввод!$B$12:$B$71,MATCH(A2270,Ввод!$D$12:$D$71,1)),""))</f>
        <v/>
      </c>
      <c r="C2270">
        <f>IF(A2270="","",DATE(YEAR(A2270),12,31)-DATE(YEAR(A2270),1,1)+1)</f>
        <v/>
      </c>
      <c r="D2270">
        <f>IF(A2270="","",Ввод!$B$4-SUMIF(Оплаты!$A$6:$A$505,"&lt;"&amp;A2270,Оплаты!$B$6:$B$505))</f>
        <v/>
      </c>
      <c r="E2270">
        <f>IF(A2270="","",IF(SUMPRODUCT((Ввод!$F$12:$F$31&lt;&gt;"")*(Ввод!$F$12:$F$31&lt;=A2270)*(Ввод!$G$12:$G$31&gt;=A2270))&gt;0,1,0))</f>
        <v/>
      </c>
      <c r="F2270">
        <f>IF(OR(A2270="",B2270=""),"",IF(E2270=1,0,D2270*B2270/100/C2270))</f>
        <v/>
      </c>
      <c r="G2270">
        <f>IF(A2270="","",IF(OR(B2270&lt;&gt;B2269,C2270&lt;&gt;C2269,D2270&lt;&gt;D2269,E2270&lt;&gt;E2269),G2269+1,G2269))</f>
        <v/>
      </c>
    </row>
    <row r="2271">
      <c r="A2271" s="14">
        <f>IF(OR(NOT(ISNUMBER(Ввод!$B$5)),NOT(ISNUMBER(Ввод!$B$6))),"",IF(Ввод!$B$5+2269&gt;Ввод!$B$6,"",Ввод!$B$5+2269))</f>
        <v/>
      </c>
      <c r="B2271">
        <f>IF(A2271="","",IFERROR(INDEX(Ввод!$B$12:$B$71,MATCH(A2271,Ввод!$D$12:$D$71,1)),""))</f>
        <v/>
      </c>
      <c r="C2271">
        <f>IF(A2271="","",DATE(YEAR(A2271),12,31)-DATE(YEAR(A2271),1,1)+1)</f>
        <v/>
      </c>
      <c r="D2271">
        <f>IF(A2271="","",Ввод!$B$4-SUMIF(Оплаты!$A$6:$A$505,"&lt;"&amp;A2271,Оплаты!$B$6:$B$505))</f>
        <v/>
      </c>
      <c r="E2271">
        <f>IF(A2271="","",IF(SUMPRODUCT((Ввод!$F$12:$F$31&lt;&gt;"")*(Ввод!$F$12:$F$31&lt;=A2271)*(Ввод!$G$12:$G$31&gt;=A2271))&gt;0,1,0))</f>
        <v/>
      </c>
      <c r="F2271">
        <f>IF(OR(A2271="",B2271=""),"",IF(E2271=1,0,D2271*B2271/100/C2271))</f>
        <v/>
      </c>
      <c r="G2271">
        <f>IF(A2271="","",IF(OR(B2271&lt;&gt;B2270,C2271&lt;&gt;C2270,D2271&lt;&gt;D2270,E2271&lt;&gt;E2270),G2270+1,G2270))</f>
        <v/>
      </c>
    </row>
    <row r="2272">
      <c r="A2272" s="14">
        <f>IF(OR(NOT(ISNUMBER(Ввод!$B$5)),NOT(ISNUMBER(Ввод!$B$6))),"",IF(Ввод!$B$5+2270&gt;Ввод!$B$6,"",Ввод!$B$5+2270))</f>
        <v/>
      </c>
      <c r="B2272">
        <f>IF(A2272="","",IFERROR(INDEX(Ввод!$B$12:$B$71,MATCH(A2272,Ввод!$D$12:$D$71,1)),""))</f>
        <v/>
      </c>
      <c r="C2272">
        <f>IF(A2272="","",DATE(YEAR(A2272),12,31)-DATE(YEAR(A2272),1,1)+1)</f>
        <v/>
      </c>
      <c r="D2272">
        <f>IF(A2272="","",Ввод!$B$4-SUMIF(Оплаты!$A$6:$A$505,"&lt;"&amp;A2272,Оплаты!$B$6:$B$505))</f>
        <v/>
      </c>
      <c r="E2272">
        <f>IF(A2272="","",IF(SUMPRODUCT((Ввод!$F$12:$F$31&lt;&gt;"")*(Ввод!$F$12:$F$31&lt;=A2272)*(Ввод!$G$12:$G$31&gt;=A2272))&gt;0,1,0))</f>
        <v/>
      </c>
      <c r="F2272">
        <f>IF(OR(A2272="",B2272=""),"",IF(E2272=1,0,D2272*B2272/100/C2272))</f>
        <v/>
      </c>
      <c r="G2272">
        <f>IF(A2272="","",IF(OR(B2272&lt;&gt;B2271,C2272&lt;&gt;C2271,D2272&lt;&gt;D2271,E2272&lt;&gt;E2271),G2271+1,G2271))</f>
        <v/>
      </c>
    </row>
    <row r="2273">
      <c r="A2273" s="14">
        <f>IF(OR(NOT(ISNUMBER(Ввод!$B$5)),NOT(ISNUMBER(Ввод!$B$6))),"",IF(Ввод!$B$5+2271&gt;Ввод!$B$6,"",Ввод!$B$5+2271))</f>
        <v/>
      </c>
      <c r="B2273">
        <f>IF(A2273="","",IFERROR(INDEX(Ввод!$B$12:$B$71,MATCH(A2273,Ввод!$D$12:$D$71,1)),""))</f>
        <v/>
      </c>
      <c r="C2273">
        <f>IF(A2273="","",DATE(YEAR(A2273),12,31)-DATE(YEAR(A2273),1,1)+1)</f>
        <v/>
      </c>
      <c r="D2273">
        <f>IF(A2273="","",Ввод!$B$4-SUMIF(Оплаты!$A$6:$A$505,"&lt;"&amp;A2273,Оплаты!$B$6:$B$505))</f>
        <v/>
      </c>
      <c r="E2273">
        <f>IF(A2273="","",IF(SUMPRODUCT((Ввод!$F$12:$F$31&lt;&gt;"")*(Ввод!$F$12:$F$31&lt;=A2273)*(Ввод!$G$12:$G$31&gt;=A2273))&gt;0,1,0))</f>
        <v/>
      </c>
      <c r="F2273">
        <f>IF(OR(A2273="",B2273=""),"",IF(E2273=1,0,D2273*B2273/100/C2273))</f>
        <v/>
      </c>
      <c r="G2273">
        <f>IF(A2273="","",IF(OR(B2273&lt;&gt;B2272,C2273&lt;&gt;C2272,D2273&lt;&gt;D2272,E2273&lt;&gt;E2272),G2272+1,G2272))</f>
        <v/>
      </c>
    </row>
    <row r="2274">
      <c r="A2274" s="14">
        <f>IF(OR(NOT(ISNUMBER(Ввод!$B$5)),NOT(ISNUMBER(Ввод!$B$6))),"",IF(Ввод!$B$5+2272&gt;Ввод!$B$6,"",Ввод!$B$5+2272))</f>
        <v/>
      </c>
      <c r="B2274">
        <f>IF(A2274="","",IFERROR(INDEX(Ввод!$B$12:$B$71,MATCH(A2274,Ввод!$D$12:$D$71,1)),""))</f>
        <v/>
      </c>
      <c r="C2274">
        <f>IF(A2274="","",DATE(YEAR(A2274),12,31)-DATE(YEAR(A2274),1,1)+1)</f>
        <v/>
      </c>
      <c r="D2274">
        <f>IF(A2274="","",Ввод!$B$4-SUMIF(Оплаты!$A$6:$A$505,"&lt;"&amp;A2274,Оплаты!$B$6:$B$505))</f>
        <v/>
      </c>
      <c r="E2274">
        <f>IF(A2274="","",IF(SUMPRODUCT((Ввод!$F$12:$F$31&lt;&gt;"")*(Ввод!$F$12:$F$31&lt;=A2274)*(Ввод!$G$12:$G$31&gt;=A2274))&gt;0,1,0))</f>
        <v/>
      </c>
      <c r="F2274">
        <f>IF(OR(A2274="",B2274=""),"",IF(E2274=1,0,D2274*B2274/100/C2274))</f>
        <v/>
      </c>
      <c r="G2274">
        <f>IF(A2274="","",IF(OR(B2274&lt;&gt;B2273,C2274&lt;&gt;C2273,D2274&lt;&gt;D2273,E2274&lt;&gt;E2273),G2273+1,G2273))</f>
        <v/>
      </c>
    </row>
    <row r="2275">
      <c r="A2275" s="14">
        <f>IF(OR(NOT(ISNUMBER(Ввод!$B$5)),NOT(ISNUMBER(Ввод!$B$6))),"",IF(Ввод!$B$5+2273&gt;Ввод!$B$6,"",Ввод!$B$5+2273))</f>
        <v/>
      </c>
      <c r="B2275">
        <f>IF(A2275="","",IFERROR(INDEX(Ввод!$B$12:$B$71,MATCH(A2275,Ввод!$D$12:$D$71,1)),""))</f>
        <v/>
      </c>
      <c r="C2275">
        <f>IF(A2275="","",DATE(YEAR(A2275),12,31)-DATE(YEAR(A2275),1,1)+1)</f>
        <v/>
      </c>
      <c r="D2275">
        <f>IF(A2275="","",Ввод!$B$4-SUMIF(Оплаты!$A$6:$A$505,"&lt;"&amp;A2275,Оплаты!$B$6:$B$505))</f>
        <v/>
      </c>
      <c r="E2275">
        <f>IF(A2275="","",IF(SUMPRODUCT((Ввод!$F$12:$F$31&lt;&gt;"")*(Ввод!$F$12:$F$31&lt;=A2275)*(Ввод!$G$12:$G$31&gt;=A2275))&gt;0,1,0))</f>
        <v/>
      </c>
      <c r="F2275">
        <f>IF(OR(A2275="",B2275=""),"",IF(E2275=1,0,D2275*B2275/100/C2275))</f>
        <v/>
      </c>
      <c r="G2275">
        <f>IF(A2275="","",IF(OR(B2275&lt;&gt;B2274,C2275&lt;&gt;C2274,D2275&lt;&gt;D2274,E2275&lt;&gt;E2274),G2274+1,G2274))</f>
        <v/>
      </c>
    </row>
    <row r="2276">
      <c r="A2276" s="14">
        <f>IF(OR(NOT(ISNUMBER(Ввод!$B$5)),NOT(ISNUMBER(Ввод!$B$6))),"",IF(Ввод!$B$5+2274&gt;Ввод!$B$6,"",Ввод!$B$5+2274))</f>
        <v/>
      </c>
      <c r="B2276">
        <f>IF(A2276="","",IFERROR(INDEX(Ввод!$B$12:$B$71,MATCH(A2276,Ввод!$D$12:$D$71,1)),""))</f>
        <v/>
      </c>
      <c r="C2276">
        <f>IF(A2276="","",DATE(YEAR(A2276),12,31)-DATE(YEAR(A2276),1,1)+1)</f>
        <v/>
      </c>
      <c r="D2276">
        <f>IF(A2276="","",Ввод!$B$4-SUMIF(Оплаты!$A$6:$A$505,"&lt;"&amp;A2276,Оплаты!$B$6:$B$505))</f>
        <v/>
      </c>
      <c r="E2276">
        <f>IF(A2276="","",IF(SUMPRODUCT((Ввод!$F$12:$F$31&lt;&gt;"")*(Ввод!$F$12:$F$31&lt;=A2276)*(Ввод!$G$12:$G$31&gt;=A2276))&gt;0,1,0))</f>
        <v/>
      </c>
      <c r="F2276">
        <f>IF(OR(A2276="",B2276=""),"",IF(E2276=1,0,D2276*B2276/100/C2276))</f>
        <v/>
      </c>
      <c r="G2276">
        <f>IF(A2276="","",IF(OR(B2276&lt;&gt;B2275,C2276&lt;&gt;C2275,D2276&lt;&gt;D2275,E2276&lt;&gt;E2275),G2275+1,G2275))</f>
        <v/>
      </c>
    </row>
    <row r="2277">
      <c r="A2277" s="14">
        <f>IF(OR(NOT(ISNUMBER(Ввод!$B$5)),NOT(ISNUMBER(Ввод!$B$6))),"",IF(Ввод!$B$5+2275&gt;Ввод!$B$6,"",Ввод!$B$5+2275))</f>
        <v/>
      </c>
      <c r="B2277">
        <f>IF(A2277="","",IFERROR(INDEX(Ввод!$B$12:$B$71,MATCH(A2277,Ввод!$D$12:$D$71,1)),""))</f>
        <v/>
      </c>
      <c r="C2277">
        <f>IF(A2277="","",DATE(YEAR(A2277),12,31)-DATE(YEAR(A2277),1,1)+1)</f>
        <v/>
      </c>
      <c r="D2277">
        <f>IF(A2277="","",Ввод!$B$4-SUMIF(Оплаты!$A$6:$A$505,"&lt;"&amp;A2277,Оплаты!$B$6:$B$505))</f>
        <v/>
      </c>
      <c r="E2277">
        <f>IF(A2277="","",IF(SUMPRODUCT((Ввод!$F$12:$F$31&lt;&gt;"")*(Ввод!$F$12:$F$31&lt;=A2277)*(Ввод!$G$12:$G$31&gt;=A2277))&gt;0,1,0))</f>
        <v/>
      </c>
      <c r="F2277">
        <f>IF(OR(A2277="",B2277=""),"",IF(E2277=1,0,D2277*B2277/100/C2277))</f>
        <v/>
      </c>
      <c r="G2277">
        <f>IF(A2277="","",IF(OR(B2277&lt;&gt;B2276,C2277&lt;&gt;C2276,D2277&lt;&gt;D2276,E2277&lt;&gt;E2276),G2276+1,G2276))</f>
        <v/>
      </c>
    </row>
    <row r="2278">
      <c r="A2278" s="14">
        <f>IF(OR(NOT(ISNUMBER(Ввод!$B$5)),NOT(ISNUMBER(Ввод!$B$6))),"",IF(Ввод!$B$5+2276&gt;Ввод!$B$6,"",Ввод!$B$5+2276))</f>
        <v/>
      </c>
      <c r="B2278">
        <f>IF(A2278="","",IFERROR(INDEX(Ввод!$B$12:$B$71,MATCH(A2278,Ввод!$D$12:$D$71,1)),""))</f>
        <v/>
      </c>
      <c r="C2278">
        <f>IF(A2278="","",DATE(YEAR(A2278),12,31)-DATE(YEAR(A2278),1,1)+1)</f>
        <v/>
      </c>
      <c r="D2278">
        <f>IF(A2278="","",Ввод!$B$4-SUMIF(Оплаты!$A$6:$A$505,"&lt;"&amp;A2278,Оплаты!$B$6:$B$505))</f>
        <v/>
      </c>
      <c r="E2278">
        <f>IF(A2278="","",IF(SUMPRODUCT((Ввод!$F$12:$F$31&lt;&gt;"")*(Ввод!$F$12:$F$31&lt;=A2278)*(Ввод!$G$12:$G$31&gt;=A2278))&gt;0,1,0))</f>
        <v/>
      </c>
      <c r="F2278">
        <f>IF(OR(A2278="",B2278=""),"",IF(E2278=1,0,D2278*B2278/100/C2278))</f>
        <v/>
      </c>
      <c r="G2278">
        <f>IF(A2278="","",IF(OR(B2278&lt;&gt;B2277,C2278&lt;&gt;C2277,D2278&lt;&gt;D2277,E2278&lt;&gt;E2277),G2277+1,G2277))</f>
        <v/>
      </c>
    </row>
    <row r="2279">
      <c r="A2279" s="14">
        <f>IF(OR(NOT(ISNUMBER(Ввод!$B$5)),NOT(ISNUMBER(Ввод!$B$6))),"",IF(Ввод!$B$5+2277&gt;Ввод!$B$6,"",Ввод!$B$5+2277))</f>
        <v/>
      </c>
      <c r="B2279">
        <f>IF(A2279="","",IFERROR(INDEX(Ввод!$B$12:$B$71,MATCH(A2279,Ввод!$D$12:$D$71,1)),""))</f>
        <v/>
      </c>
      <c r="C2279">
        <f>IF(A2279="","",DATE(YEAR(A2279),12,31)-DATE(YEAR(A2279),1,1)+1)</f>
        <v/>
      </c>
      <c r="D2279">
        <f>IF(A2279="","",Ввод!$B$4-SUMIF(Оплаты!$A$6:$A$505,"&lt;"&amp;A2279,Оплаты!$B$6:$B$505))</f>
        <v/>
      </c>
      <c r="E2279">
        <f>IF(A2279="","",IF(SUMPRODUCT((Ввод!$F$12:$F$31&lt;&gt;"")*(Ввод!$F$12:$F$31&lt;=A2279)*(Ввод!$G$12:$G$31&gt;=A2279))&gt;0,1,0))</f>
        <v/>
      </c>
      <c r="F2279">
        <f>IF(OR(A2279="",B2279=""),"",IF(E2279=1,0,D2279*B2279/100/C2279))</f>
        <v/>
      </c>
      <c r="G2279">
        <f>IF(A2279="","",IF(OR(B2279&lt;&gt;B2278,C2279&lt;&gt;C2278,D2279&lt;&gt;D2278,E2279&lt;&gt;E2278),G2278+1,G2278))</f>
        <v/>
      </c>
    </row>
    <row r="2280">
      <c r="A2280" s="14">
        <f>IF(OR(NOT(ISNUMBER(Ввод!$B$5)),NOT(ISNUMBER(Ввод!$B$6))),"",IF(Ввод!$B$5+2278&gt;Ввод!$B$6,"",Ввод!$B$5+2278))</f>
        <v/>
      </c>
      <c r="B2280">
        <f>IF(A2280="","",IFERROR(INDEX(Ввод!$B$12:$B$71,MATCH(A2280,Ввод!$D$12:$D$71,1)),""))</f>
        <v/>
      </c>
      <c r="C2280">
        <f>IF(A2280="","",DATE(YEAR(A2280),12,31)-DATE(YEAR(A2280),1,1)+1)</f>
        <v/>
      </c>
      <c r="D2280">
        <f>IF(A2280="","",Ввод!$B$4-SUMIF(Оплаты!$A$6:$A$505,"&lt;"&amp;A2280,Оплаты!$B$6:$B$505))</f>
        <v/>
      </c>
      <c r="E2280">
        <f>IF(A2280="","",IF(SUMPRODUCT((Ввод!$F$12:$F$31&lt;&gt;"")*(Ввод!$F$12:$F$31&lt;=A2280)*(Ввод!$G$12:$G$31&gt;=A2280))&gt;0,1,0))</f>
        <v/>
      </c>
      <c r="F2280">
        <f>IF(OR(A2280="",B2280=""),"",IF(E2280=1,0,D2280*B2280/100/C2280))</f>
        <v/>
      </c>
      <c r="G2280">
        <f>IF(A2280="","",IF(OR(B2280&lt;&gt;B2279,C2280&lt;&gt;C2279,D2280&lt;&gt;D2279,E2280&lt;&gt;E2279),G2279+1,G2279))</f>
        <v/>
      </c>
    </row>
    <row r="2281">
      <c r="A2281" s="14">
        <f>IF(OR(NOT(ISNUMBER(Ввод!$B$5)),NOT(ISNUMBER(Ввод!$B$6))),"",IF(Ввод!$B$5+2279&gt;Ввод!$B$6,"",Ввод!$B$5+2279))</f>
        <v/>
      </c>
      <c r="B2281">
        <f>IF(A2281="","",IFERROR(INDEX(Ввод!$B$12:$B$71,MATCH(A2281,Ввод!$D$12:$D$71,1)),""))</f>
        <v/>
      </c>
      <c r="C2281">
        <f>IF(A2281="","",DATE(YEAR(A2281),12,31)-DATE(YEAR(A2281),1,1)+1)</f>
        <v/>
      </c>
      <c r="D2281">
        <f>IF(A2281="","",Ввод!$B$4-SUMIF(Оплаты!$A$6:$A$505,"&lt;"&amp;A2281,Оплаты!$B$6:$B$505))</f>
        <v/>
      </c>
      <c r="E2281">
        <f>IF(A2281="","",IF(SUMPRODUCT((Ввод!$F$12:$F$31&lt;&gt;"")*(Ввод!$F$12:$F$31&lt;=A2281)*(Ввод!$G$12:$G$31&gt;=A2281))&gt;0,1,0))</f>
        <v/>
      </c>
      <c r="F2281">
        <f>IF(OR(A2281="",B2281=""),"",IF(E2281=1,0,D2281*B2281/100/C2281))</f>
        <v/>
      </c>
      <c r="G2281">
        <f>IF(A2281="","",IF(OR(B2281&lt;&gt;B2280,C2281&lt;&gt;C2280,D2281&lt;&gt;D2280,E2281&lt;&gt;E2280),G2280+1,G2280))</f>
        <v/>
      </c>
    </row>
    <row r="2282">
      <c r="A2282" s="14">
        <f>IF(OR(NOT(ISNUMBER(Ввод!$B$5)),NOT(ISNUMBER(Ввод!$B$6))),"",IF(Ввод!$B$5+2280&gt;Ввод!$B$6,"",Ввод!$B$5+2280))</f>
        <v/>
      </c>
      <c r="B2282">
        <f>IF(A2282="","",IFERROR(INDEX(Ввод!$B$12:$B$71,MATCH(A2282,Ввод!$D$12:$D$71,1)),""))</f>
        <v/>
      </c>
      <c r="C2282">
        <f>IF(A2282="","",DATE(YEAR(A2282),12,31)-DATE(YEAR(A2282),1,1)+1)</f>
        <v/>
      </c>
      <c r="D2282">
        <f>IF(A2282="","",Ввод!$B$4-SUMIF(Оплаты!$A$6:$A$505,"&lt;"&amp;A2282,Оплаты!$B$6:$B$505))</f>
        <v/>
      </c>
      <c r="E2282">
        <f>IF(A2282="","",IF(SUMPRODUCT((Ввод!$F$12:$F$31&lt;&gt;"")*(Ввод!$F$12:$F$31&lt;=A2282)*(Ввод!$G$12:$G$31&gt;=A2282))&gt;0,1,0))</f>
        <v/>
      </c>
      <c r="F2282">
        <f>IF(OR(A2282="",B2282=""),"",IF(E2282=1,0,D2282*B2282/100/C2282))</f>
        <v/>
      </c>
      <c r="G2282">
        <f>IF(A2282="","",IF(OR(B2282&lt;&gt;B2281,C2282&lt;&gt;C2281,D2282&lt;&gt;D2281,E2282&lt;&gt;E2281),G2281+1,G2281))</f>
        <v/>
      </c>
    </row>
    <row r="2283">
      <c r="A2283" s="14">
        <f>IF(OR(NOT(ISNUMBER(Ввод!$B$5)),NOT(ISNUMBER(Ввод!$B$6))),"",IF(Ввод!$B$5+2281&gt;Ввод!$B$6,"",Ввод!$B$5+2281))</f>
        <v/>
      </c>
      <c r="B2283">
        <f>IF(A2283="","",IFERROR(INDEX(Ввод!$B$12:$B$71,MATCH(A2283,Ввод!$D$12:$D$71,1)),""))</f>
        <v/>
      </c>
      <c r="C2283">
        <f>IF(A2283="","",DATE(YEAR(A2283),12,31)-DATE(YEAR(A2283),1,1)+1)</f>
        <v/>
      </c>
      <c r="D2283">
        <f>IF(A2283="","",Ввод!$B$4-SUMIF(Оплаты!$A$6:$A$505,"&lt;"&amp;A2283,Оплаты!$B$6:$B$505))</f>
        <v/>
      </c>
      <c r="E2283">
        <f>IF(A2283="","",IF(SUMPRODUCT((Ввод!$F$12:$F$31&lt;&gt;"")*(Ввод!$F$12:$F$31&lt;=A2283)*(Ввод!$G$12:$G$31&gt;=A2283))&gt;0,1,0))</f>
        <v/>
      </c>
      <c r="F2283">
        <f>IF(OR(A2283="",B2283=""),"",IF(E2283=1,0,D2283*B2283/100/C2283))</f>
        <v/>
      </c>
      <c r="G2283">
        <f>IF(A2283="","",IF(OR(B2283&lt;&gt;B2282,C2283&lt;&gt;C2282,D2283&lt;&gt;D2282,E2283&lt;&gt;E2282),G2282+1,G2282))</f>
        <v/>
      </c>
    </row>
    <row r="2284">
      <c r="A2284" s="14">
        <f>IF(OR(NOT(ISNUMBER(Ввод!$B$5)),NOT(ISNUMBER(Ввод!$B$6))),"",IF(Ввод!$B$5+2282&gt;Ввод!$B$6,"",Ввод!$B$5+2282))</f>
        <v/>
      </c>
      <c r="B2284">
        <f>IF(A2284="","",IFERROR(INDEX(Ввод!$B$12:$B$71,MATCH(A2284,Ввод!$D$12:$D$71,1)),""))</f>
        <v/>
      </c>
      <c r="C2284">
        <f>IF(A2284="","",DATE(YEAR(A2284),12,31)-DATE(YEAR(A2284),1,1)+1)</f>
        <v/>
      </c>
      <c r="D2284">
        <f>IF(A2284="","",Ввод!$B$4-SUMIF(Оплаты!$A$6:$A$505,"&lt;"&amp;A2284,Оплаты!$B$6:$B$505))</f>
        <v/>
      </c>
      <c r="E2284">
        <f>IF(A2284="","",IF(SUMPRODUCT((Ввод!$F$12:$F$31&lt;&gt;"")*(Ввод!$F$12:$F$31&lt;=A2284)*(Ввод!$G$12:$G$31&gt;=A2284))&gt;0,1,0))</f>
        <v/>
      </c>
      <c r="F2284">
        <f>IF(OR(A2284="",B2284=""),"",IF(E2284=1,0,D2284*B2284/100/C2284))</f>
        <v/>
      </c>
      <c r="G2284">
        <f>IF(A2284="","",IF(OR(B2284&lt;&gt;B2283,C2284&lt;&gt;C2283,D2284&lt;&gt;D2283,E2284&lt;&gt;E2283),G2283+1,G2283))</f>
        <v/>
      </c>
    </row>
    <row r="2285">
      <c r="A2285" s="14">
        <f>IF(OR(NOT(ISNUMBER(Ввод!$B$5)),NOT(ISNUMBER(Ввод!$B$6))),"",IF(Ввод!$B$5+2283&gt;Ввод!$B$6,"",Ввод!$B$5+2283))</f>
        <v/>
      </c>
      <c r="B2285">
        <f>IF(A2285="","",IFERROR(INDEX(Ввод!$B$12:$B$71,MATCH(A2285,Ввод!$D$12:$D$71,1)),""))</f>
        <v/>
      </c>
      <c r="C2285">
        <f>IF(A2285="","",DATE(YEAR(A2285),12,31)-DATE(YEAR(A2285),1,1)+1)</f>
        <v/>
      </c>
      <c r="D2285">
        <f>IF(A2285="","",Ввод!$B$4-SUMIF(Оплаты!$A$6:$A$505,"&lt;"&amp;A2285,Оплаты!$B$6:$B$505))</f>
        <v/>
      </c>
      <c r="E2285">
        <f>IF(A2285="","",IF(SUMPRODUCT((Ввод!$F$12:$F$31&lt;&gt;"")*(Ввод!$F$12:$F$31&lt;=A2285)*(Ввод!$G$12:$G$31&gt;=A2285))&gt;0,1,0))</f>
        <v/>
      </c>
      <c r="F2285">
        <f>IF(OR(A2285="",B2285=""),"",IF(E2285=1,0,D2285*B2285/100/C2285))</f>
        <v/>
      </c>
      <c r="G2285">
        <f>IF(A2285="","",IF(OR(B2285&lt;&gt;B2284,C2285&lt;&gt;C2284,D2285&lt;&gt;D2284,E2285&lt;&gt;E2284),G2284+1,G2284))</f>
        <v/>
      </c>
    </row>
    <row r="2286">
      <c r="A2286" s="14">
        <f>IF(OR(NOT(ISNUMBER(Ввод!$B$5)),NOT(ISNUMBER(Ввод!$B$6))),"",IF(Ввод!$B$5+2284&gt;Ввод!$B$6,"",Ввод!$B$5+2284))</f>
        <v/>
      </c>
      <c r="B2286">
        <f>IF(A2286="","",IFERROR(INDEX(Ввод!$B$12:$B$71,MATCH(A2286,Ввод!$D$12:$D$71,1)),""))</f>
        <v/>
      </c>
      <c r="C2286">
        <f>IF(A2286="","",DATE(YEAR(A2286),12,31)-DATE(YEAR(A2286),1,1)+1)</f>
        <v/>
      </c>
      <c r="D2286">
        <f>IF(A2286="","",Ввод!$B$4-SUMIF(Оплаты!$A$6:$A$505,"&lt;"&amp;A2286,Оплаты!$B$6:$B$505))</f>
        <v/>
      </c>
      <c r="E2286">
        <f>IF(A2286="","",IF(SUMPRODUCT((Ввод!$F$12:$F$31&lt;&gt;"")*(Ввод!$F$12:$F$31&lt;=A2286)*(Ввод!$G$12:$G$31&gt;=A2286))&gt;0,1,0))</f>
        <v/>
      </c>
      <c r="F2286">
        <f>IF(OR(A2286="",B2286=""),"",IF(E2286=1,0,D2286*B2286/100/C2286))</f>
        <v/>
      </c>
      <c r="G2286">
        <f>IF(A2286="","",IF(OR(B2286&lt;&gt;B2285,C2286&lt;&gt;C2285,D2286&lt;&gt;D2285,E2286&lt;&gt;E2285),G2285+1,G2285))</f>
        <v/>
      </c>
    </row>
    <row r="2287">
      <c r="A2287" s="14">
        <f>IF(OR(NOT(ISNUMBER(Ввод!$B$5)),NOT(ISNUMBER(Ввод!$B$6))),"",IF(Ввод!$B$5+2285&gt;Ввод!$B$6,"",Ввод!$B$5+2285))</f>
        <v/>
      </c>
      <c r="B2287">
        <f>IF(A2287="","",IFERROR(INDEX(Ввод!$B$12:$B$71,MATCH(A2287,Ввод!$D$12:$D$71,1)),""))</f>
        <v/>
      </c>
      <c r="C2287">
        <f>IF(A2287="","",DATE(YEAR(A2287),12,31)-DATE(YEAR(A2287),1,1)+1)</f>
        <v/>
      </c>
      <c r="D2287">
        <f>IF(A2287="","",Ввод!$B$4-SUMIF(Оплаты!$A$6:$A$505,"&lt;"&amp;A2287,Оплаты!$B$6:$B$505))</f>
        <v/>
      </c>
      <c r="E2287">
        <f>IF(A2287="","",IF(SUMPRODUCT((Ввод!$F$12:$F$31&lt;&gt;"")*(Ввод!$F$12:$F$31&lt;=A2287)*(Ввод!$G$12:$G$31&gt;=A2287))&gt;0,1,0))</f>
        <v/>
      </c>
      <c r="F2287">
        <f>IF(OR(A2287="",B2287=""),"",IF(E2287=1,0,D2287*B2287/100/C2287))</f>
        <v/>
      </c>
      <c r="G2287">
        <f>IF(A2287="","",IF(OR(B2287&lt;&gt;B2286,C2287&lt;&gt;C2286,D2287&lt;&gt;D2286,E2287&lt;&gt;E2286),G2286+1,G2286))</f>
        <v/>
      </c>
    </row>
    <row r="2288">
      <c r="A2288" s="14">
        <f>IF(OR(NOT(ISNUMBER(Ввод!$B$5)),NOT(ISNUMBER(Ввод!$B$6))),"",IF(Ввод!$B$5+2286&gt;Ввод!$B$6,"",Ввод!$B$5+2286))</f>
        <v/>
      </c>
      <c r="B2288">
        <f>IF(A2288="","",IFERROR(INDEX(Ввод!$B$12:$B$71,MATCH(A2288,Ввод!$D$12:$D$71,1)),""))</f>
        <v/>
      </c>
      <c r="C2288">
        <f>IF(A2288="","",DATE(YEAR(A2288),12,31)-DATE(YEAR(A2288),1,1)+1)</f>
        <v/>
      </c>
      <c r="D2288">
        <f>IF(A2288="","",Ввод!$B$4-SUMIF(Оплаты!$A$6:$A$505,"&lt;"&amp;A2288,Оплаты!$B$6:$B$505))</f>
        <v/>
      </c>
      <c r="E2288">
        <f>IF(A2288="","",IF(SUMPRODUCT((Ввод!$F$12:$F$31&lt;&gt;"")*(Ввод!$F$12:$F$31&lt;=A2288)*(Ввод!$G$12:$G$31&gt;=A2288))&gt;0,1,0))</f>
        <v/>
      </c>
      <c r="F2288">
        <f>IF(OR(A2288="",B2288=""),"",IF(E2288=1,0,D2288*B2288/100/C2288))</f>
        <v/>
      </c>
      <c r="G2288">
        <f>IF(A2288="","",IF(OR(B2288&lt;&gt;B2287,C2288&lt;&gt;C2287,D2288&lt;&gt;D2287,E2288&lt;&gt;E2287),G2287+1,G2287))</f>
        <v/>
      </c>
    </row>
    <row r="2289">
      <c r="A2289" s="14">
        <f>IF(OR(NOT(ISNUMBER(Ввод!$B$5)),NOT(ISNUMBER(Ввод!$B$6))),"",IF(Ввод!$B$5+2287&gt;Ввод!$B$6,"",Ввод!$B$5+2287))</f>
        <v/>
      </c>
      <c r="B2289">
        <f>IF(A2289="","",IFERROR(INDEX(Ввод!$B$12:$B$71,MATCH(A2289,Ввод!$D$12:$D$71,1)),""))</f>
        <v/>
      </c>
      <c r="C2289">
        <f>IF(A2289="","",DATE(YEAR(A2289),12,31)-DATE(YEAR(A2289),1,1)+1)</f>
        <v/>
      </c>
      <c r="D2289">
        <f>IF(A2289="","",Ввод!$B$4-SUMIF(Оплаты!$A$6:$A$505,"&lt;"&amp;A2289,Оплаты!$B$6:$B$505))</f>
        <v/>
      </c>
      <c r="E2289">
        <f>IF(A2289="","",IF(SUMPRODUCT((Ввод!$F$12:$F$31&lt;&gt;"")*(Ввод!$F$12:$F$31&lt;=A2289)*(Ввод!$G$12:$G$31&gt;=A2289))&gt;0,1,0))</f>
        <v/>
      </c>
      <c r="F2289">
        <f>IF(OR(A2289="",B2289=""),"",IF(E2289=1,0,D2289*B2289/100/C2289))</f>
        <v/>
      </c>
      <c r="G2289">
        <f>IF(A2289="","",IF(OR(B2289&lt;&gt;B2288,C2289&lt;&gt;C2288,D2289&lt;&gt;D2288,E2289&lt;&gt;E2288),G2288+1,G2288))</f>
        <v/>
      </c>
    </row>
    <row r="2290">
      <c r="A2290" s="14">
        <f>IF(OR(NOT(ISNUMBER(Ввод!$B$5)),NOT(ISNUMBER(Ввод!$B$6))),"",IF(Ввод!$B$5+2288&gt;Ввод!$B$6,"",Ввод!$B$5+2288))</f>
        <v/>
      </c>
      <c r="B2290">
        <f>IF(A2290="","",IFERROR(INDEX(Ввод!$B$12:$B$71,MATCH(A2290,Ввод!$D$12:$D$71,1)),""))</f>
        <v/>
      </c>
      <c r="C2290">
        <f>IF(A2290="","",DATE(YEAR(A2290),12,31)-DATE(YEAR(A2290),1,1)+1)</f>
        <v/>
      </c>
      <c r="D2290">
        <f>IF(A2290="","",Ввод!$B$4-SUMIF(Оплаты!$A$6:$A$505,"&lt;"&amp;A2290,Оплаты!$B$6:$B$505))</f>
        <v/>
      </c>
      <c r="E2290">
        <f>IF(A2290="","",IF(SUMPRODUCT((Ввод!$F$12:$F$31&lt;&gt;"")*(Ввод!$F$12:$F$31&lt;=A2290)*(Ввод!$G$12:$G$31&gt;=A2290))&gt;0,1,0))</f>
        <v/>
      </c>
      <c r="F2290">
        <f>IF(OR(A2290="",B2290=""),"",IF(E2290=1,0,D2290*B2290/100/C2290))</f>
        <v/>
      </c>
      <c r="G2290">
        <f>IF(A2290="","",IF(OR(B2290&lt;&gt;B2289,C2290&lt;&gt;C2289,D2290&lt;&gt;D2289,E2290&lt;&gt;E2289),G2289+1,G2289))</f>
        <v/>
      </c>
    </row>
    <row r="2291">
      <c r="A2291" s="14">
        <f>IF(OR(NOT(ISNUMBER(Ввод!$B$5)),NOT(ISNUMBER(Ввод!$B$6))),"",IF(Ввод!$B$5+2289&gt;Ввод!$B$6,"",Ввод!$B$5+2289))</f>
        <v/>
      </c>
      <c r="B2291">
        <f>IF(A2291="","",IFERROR(INDEX(Ввод!$B$12:$B$71,MATCH(A2291,Ввод!$D$12:$D$71,1)),""))</f>
        <v/>
      </c>
      <c r="C2291">
        <f>IF(A2291="","",DATE(YEAR(A2291),12,31)-DATE(YEAR(A2291),1,1)+1)</f>
        <v/>
      </c>
      <c r="D2291">
        <f>IF(A2291="","",Ввод!$B$4-SUMIF(Оплаты!$A$6:$A$505,"&lt;"&amp;A2291,Оплаты!$B$6:$B$505))</f>
        <v/>
      </c>
      <c r="E2291">
        <f>IF(A2291="","",IF(SUMPRODUCT((Ввод!$F$12:$F$31&lt;&gt;"")*(Ввод!$F$12:$F$31&lt;=A2291)*(Ввод!$G$12:$G$31&gt;=A2291))&gt;0,1,0))</f>
        <v/>
      </c>
      <c r="F2291">
        <f>IF(OR(A2291="",B2291=""),"",IF(E2291=1,0,D2291*B2291/100/C2291))</f>
        <v/>
      </c>
      <c r="G2291">
        <f>IF(A2291="","",IF(OR(B2291&lt;&gt;B2290,C2291&lt;&gt;C2290,D2291&lt;&gt;D2290,E2291&lt;&gt;E2290),G2290+1,G2290))</f>
        <v/>
      </c>
    </row>
    <row r="2292">
      <c r="A2292" s="14">
        <f>IF(OR(NOT(ISNUMBER(Ввод!$B$5)),NOT(ISNUMBER(Ввод!$B$6))),"",IF(Ввод!$B$5+2290&gt;Ввод!$B$6,"",Ввод!$B$5+2290))</f>
        <v/>
      </c>
      <c r="B2292">
        <f>IF(A2292="","",IFERROR(INDEX(Ввод!$B$12:$B$71,MATCH(A2292,Ввод!$D$12:$D$71,1)),""))</f>
        <v/>
      </c>
      <c r="C2292">
        <f>IF(A2292="","",DATE(YEAR(A2292),12,31)-DATE(YEAR(A2292),1,1)+1)</f>
        <v/>
      </c>
      <c r="D2292">
        <f>IF(A2292="","",Ввод!$B$4-SUMIF(Оплаты!$A$6:$A$505,"&lt;"&amp;A2292,Оплаты!$B$6:$B$505))</f>
        <v/>
      </c>
      <c r="E2292">
        <f>IF(A2292="","",IF(SUMPRODUCT((Ввод!$F$12:$F$31&lt;&gt;"")*(Ввод!$F$12:$F$31&lt;=A2292)*(Ввод!$G$12:$G$31&gt;=A2292))&gt;0,1,0))</f>
        <v/>
      </c>
      <c r="F2292">
        <f>IF(OR(A2292="",B2292=""),"",IF(E2292=1,0,D2292*B2292/100/C2292))</f>
        <v/>
      </c>
      <c r="G2292">
        <f>IF(A2292="","",IF(OR(B2292&lt;&gt;B2291,C2292&lt;&gt;C2291,D2292&lt;&gt;D2291,E2292&lt;&gt;E2291),G2291+1,G2291))</f>
        <v/>
      </c>
    </row>
    <row r="2293">
      <c r="A2293" s="14">
        <f>IF(OR(NOT(ISNUMBER(Ввод!$B$5)),NOT(ISNUMBER(Ввод!$B$6))),"",IF(Ввод!$B$5+2291&gt;Ввод!$B$6,"",Ввод!$B$5+2291))</f>
        <v/>
      </c>
      <c r="B2293">
        <f>IF(A2293="","",IFERROR(INDEX(Ввод!$B$12:$B$71,MATCH(A2293,Ввод!$D$12:$D$71,1)),""))</f>
        <v/>
      </c>
      <c r="C2293">
        <f>IF(A2293="","",DATE(YEAR(A2293),12,31)-DATE(YEAR(A2293),1,1)+1)</f>
        <v/>
      </c>
      <c r="D2293">
        <f>IF(A2293="","",Ввод!$B$4-SUMIF(Оплаты!$A$6:$A$505,"&lt;"&amp;A2293,Оплаты!$B$6:$B$505))</f>
        <v/>
      </c>
      <c r="E2293">
        <f>IF(A2293="","",IF(SUMPRODUCT((Ввод!$F$12:$F$31&lt;&gt;"")*(Ввод!$F$12:$F$31&lt;=A2293)*(Ввод!$G$12:$G$31&gt;=A2293))&gt;0,1,0))</f>
        <v/>
      </c>
      <c r="F2293">
        <f>IF(OR(A2293="",B2293=""),"",IF(E2293=1,0,D2293*B2293/100/C2293))</f>
        <v/>
      </c>
      <c r="G2293">
        <f>IF(A2293="","",IF(OR(B2293&lt;&gt;B2292,C2293&lt;&gt;C2292,D2293&lt;&gt;D2292,E2293&lt;&gt;E2292),G2292+1,G2292))</f>
        <v/>
      </c>
    </row>
    <row r="2294">
      <c r="A2294" s="14">
        <f>IF(OR(NOT(ISNUMBER(Ввод!$B$5)),NOT(ISNUMBER(Ввод!$B$6))),"",IF(Ввод!$B$5+2292&gt;Ввод!$B$6,"",Ввод!$B$5+2292))</f>
        <v/>
      </c>
      <c r="B2294">
        <f>IF(A2294="","",IFERROR(INDEX(Ввод!$B$12:$B$71,MATCH(A2294,Ввод!$D$12:$D$71,1)),""))</f>
        <v/>
      </c>
      <c r="C2294">
        <f>IF(A2294="","",DATE(YEAR(A2294),12,31)-DATE(YEAR(A2294),1,1)+1)</f>
        <v/>
      </c>
      <c r="D2294">
        <f>IF(A2294="","",Ввод!$B$4-SUMIF(Оплаты!$A$6:$A$505,"&lt;"&amp;A2294,Оплаты!$B$6:$B$505))</f>
        <v/>
      </c>
      <c r="E2294">
        <f>IF(A2294="","",IF(SUMPRODUCT((Ввод!$F$12:$F$31&lt;&gt;"")*(Ввод!$F$12:$F$31&lt;=A2294)*(Ввод!$G$12:$G$31&gt;=A2294))&gt;0,1,0))</f>
        <v/>
      </c>
      <c r="F2294">
        <f>IF(OR(A2294="",B2294=""),"",IF(E2294=1,0,D2294*B2294/100/C2294))</f>
        <v/>
      </c>
      <c r="G2294">
        <f>IF(A2294="","",IF(OR(B2294&lt;&gt;B2293,C2294&lt;&gt;C2293,D2294&lt;&gt;D2293,E2294&lt;&gt;E2293),G2293+1,G2293))</f>
        <v/>
      </c>
    </row>
    <row r="2295">
      <c r="A2295" s="14">
        <f>IF(OR(NOT(ISNUMBER(Ввод!$B$5)),NOT(ISNUMBER(Ввод!$B$6))),"",IF(Ввод!$B$5+2293&gt;Ввод!$B$6,"",Ввод!$B$5+2293))</f>
        <v/>
      </c>
      <c r="B2295">
        <f>IF(A2295="","",IFERROR(INDEX(Ввод!$B$12:$B$71,MATCH(A2295,Ввод!$D$12:$D$71,1)),""))</f>
        <v/>
      </c>
      <c r="C2295">
        <f>IF(A2295="","",DATE(YEAR(A2295),12,31)-DATE(YEAR(A2295),1,1)+1)</f>
        <v/>
      </c>
      <c r="D2295">
        <f>IF(A2295="","",Ввод!$B$4-SUMIF(Оплаты!$A$6:$A$505,"&lt;"&amp;A2295,Оплаты!$B$6:$B$505))</f>
        <v/>
      </c>
      <c r="E2295">
        <f>IF(A2295="","",IF(SUMPRODUCT((Ввод!$F$12:$F$31&lt;&gt;"")*(Ввод!$F$12:$F$31&lt;=A2295)*(Ввод!$G$12:$G$31&gt;=A2295))&gt;0,1,0))</f>
        <v/>
      </c>
      <c r="F2295">
        <f>IF(OR(A2295="",B2295=""),"",IF(E2295=1,0,D2295*B2295/100/C2295))</f>
        <v/>
      </c>
      <c r="G2295">
        <f>IF(A2295="","",IF(OR(B2295&lt;&gt;B2294,C2295&lt;&gt;C2294,D2295&lt;&gt;D2294,E2295&lt;&gt;E2294),G2294+1,G2294))</f>
        <v/>
      </c>
    </row>
    <row r="2296">
      <c r="A2296" s="14">
        <f>IF(OR(NOT(ISNUMBER(Ввод!$B$5)),NOT(ISNUMBER(Ввод!$B$6))),"",IF(Ввод!$B$5+2294&gt;Ввод!$B$6,"",Ввод!$B$5+2294))</f>
        <v/>
      </c>
      <c r="B2296">
        <f>IF(A2296="","",IFERROR(INDEX(Ввод!$B$12:$B$71,MATCH(A2296,Ввод!$D$12:$D$71,1)),""))</f>
        <v/>
      </c>
      <c r="C2296">
        <f>IF(A2296="","",DATE(YEAR(A2296),12,31)-DATE(YEAR(A2296),1,1)+1)</f>
        <v/>
      </c>
      <c r="D2296">
        <f>IF(A2296="","",Ввод!$B$4-SUMIF(Оплаты!$A$6:$A$505,"&lt;"&amp;A2296,Оплаты!$B$6:$B$505))</f>
        <v/>
      </c>
      <c r="E2296">
        <f>IF(A2296="","",IF(SUMPRODUCT((Ввод!$F$12:$F$31&lt;&gt;"")*(Ввод!$F$12:$F$31&lt;=A2296)*(Ввод!$G$12:$G$31&gt;=A2296))&gt;0,1,0))</f>
        <v/>
      </c>
      <c r="F2296">
        <f>IF(OR(A2296="",B2296=""),"",IF(E2296=1,0,D2296*B2296/100/C2296))</f>
        <v/>
      </c>
      <c r="G2296">
        <f>IF(A2296="","",IF(OR(B2296&lt;&gt;B2295,C2296&lt;&gt;C2295,D2296&lt;&gt;D2295,E2296&lt;&gt;E2295),G2295+1,G2295))</f>
        <v/>
      </c>
    </row>
    <row r="2297">
      <c r="A2297" s="14">
        <f>IF(OR(NOT(ISNUMBER(Ввод!$B$5)),NOT(ISNUMBER(Ввод!$B$6))),"",IF(Ввод!$B$5+2295&gt;Ввод!$B$6,"",Ввод!$B$5+2295))</f>
        <v/>
      </c>
      <c r="B2297">
        <f>IF(A2297="","",IFERROR(INDEX(Ввод!$B$12:$B$71,MATCH(A2297,Ввод!$D$12:$D$71,1)),""))</f>
        <v/>
      </c>
      <c r="C2297">
        <f>IF(A2297="","",DATE(YEAR(A2297),12,31)-DATE(YEAR(A2297),1,1)+1)</f>
        <v/>
      </c>
      <c r="D2297">
        <f>IF(A2297="","",Ввод!$B$4-SUMIF(Оплаты!$A$6:$A$505,"&lt;"&amp;A2297,Оплаты!$B$6:$B$505))</f>
        <v/>
      </c>
      <c r="E2297">
        <f>IF(A2297="","",IF(SUMPRODUCT((Ввод!$F$12:$F$31&lt;&gt;"")*(Ввод!$F$12:$F$31&lt;=A2297)*(Ввод!$G$12:$G$31&gt;=A2297))&gt;0,1,0))</f>
        <v/>
      </c>
      <c r="F2297">
        <f>IF(OR(A2297="",B2297=""),"",IF(E2297=1,0,D2297*B2297/100/C2297))</f>
        <v/>
      </c>
      <c r="G2297">
        <f>IF(A2297="","",IF(OR(B2297&lt;&gt;B2296,C2297&lt;&gt;C2296,D2297&lt;&gt;D2296,E2297&lt;&gt;E2296),G2296+1,G2296))</f>
        <v/>
      </c>
    </row>
    <row r="2298">
      <c r="A2298" s="14">
        <f>IF(OR(NOT(ISNUMBER(Ввод!$B$5)),NOT(ISNUMBER(Ввод!$B$6))),"",IF(Ввод!$B$5+2296&gt;Ввод!$B$6,"",Ввод!$B$5+2296))</f>
        <v/>
      </c>
      <c r="B2298">
        <f>IF(A2298="","",IFERROR(INDEX(Ввод!$B$12:$B$71,MATCH(A2298,Ввод!$D$12:$D$71,1)),""))</f>
        <v/>
      </c>
      <c r="C2298">
        <f>IF(A2298="","",DATE(YEAR(A2298),12,31)-DATE(YEAR(A2298),1,1)+1)</f>
        <v/>
      </c>
      <c r="D2298">
        <f>IF(A2298="","",Ввод!$B$4-SUMIF(Оплаты!$A$6:$A$505,"&lt;"&amp;A2298,Оплаты!$B$6:$B$505))</f>
        <v/>
      </c>
      <c r="E2298">
        <f>IF(A2298="","",IF(SUMPRODUCT((Ввод!$F$12:$F$31&lt;&gt;"")*(Ввод!$F$12:$F$31&lt;=A2298)*(Ввод!$G$12:$G$31&gt;=A2298))&gt;0,1,0))</f>
        <v/>
      </c>
      <c r="F2298">
        <f>IF(OR(A2298="",B2298=""),"",IF(E2298=1,0,D2298*B2298/100/C2298))</f>
        <v/>
      </c>
      <c r="G2298">
        <f>IF(A2298="","",IF(OR(B2298&lt;&gt;B2297,C2298&lt;&gt;C2297,D2298&lt;&gt;D2297,E2298&lt;&gt;E2297),G2297+1,G2297))</f>
        <v/>
      </c>
    </row>
    <row r="2299">
      <c r="A2299" s="14">
        <f>IF(OR(NOT(ISNUMBER(Ввод!$B$5)),NOT(ISNUMBER(Ввод!$B$6))),"",IF(Ввод!$B$5+2297&gt;Ввод!$B$6,"",Ввод!$B$5+2297))</f>
        <v/>
      </c>
      <c r="B2299">
        <f>IF(A2299="","",IFERROR(INDEX(Ввод!$B$12:$B$71,MATCH(A2299,Ввод!$D$12:$D$71,1)),""))</f>
        <v/>
      </c>
      <c r="C2299">
        <f>IF(A2299="","",DATE(YEAR(A2299),12,31)-DATE(YEAR(A2299),1,1)+1)</f>
        <v/>
      </c>
      <c r="D2299">
        <f>IF(A2299="","",Ввод!$B$4-SUMIF(Оплаты!$A$6:$A$505,"&lt;"&amp;A2299,Оплаты!$B$6:$B$505))</f>
        <v/>
      </c>
      <c r="E2299">
        <f>IF(A2299="","",IF(SUMPRODUCT((Ввод!$F$12:$F$31&lt;&gt;"")*(Ввод!$F$12:$F$31&lt;=A2299)*(Ввод!$G$12:$G$31&gt;=A2299))&gt;0,1,0))</f>
        <v/>
      </c>
      <c r="F2299">
        <f>IF(OR(A2299="",B2299=""),"",IF(E2299=1,0,D2299*B2299/100/C2299))</f>
        <v/>
      </c>
      <c r="G2299">
        <f>IF(A2299="","",IF(OR(B2299&lt;&gt;B2298,C2299&lt;&gt;C2298,D2299&lt;&gt;D2298,E2299&lt;&gt;E2298),G2298+1,G2298))</f>
        <v/>
      </c>
    </row>
    <row r="2300">
      <c r="A2300" s="14">
        <f>IF(OR(NOT(ISNUMBER(Ввод!$B$5)),NOT(ISNUMBER(Ввод!$B$6))),"",IF(Ввод!$B$5+2298&gt;Ввод!$B$6,"",Ввод!$B$5+2298))</f>
        <v/>
      </c>
      <c r="B2300">
        <f>IF(A2300="","",IFERROR(INDEX(Ввод!$B$12:$B$71,MATCH(A2300,Ввод!$D$12:$D$71,1)),""))</f>
        <v/>
      </c>
      <c r="C2300">
        <f>IF(A2300="","",DATE(YEAR(A2300),12,31)-DATE(YEAR(A2300),1,1)+1)</f>
        <v/>
      </c>
      <c r="D2300">
        <f>IF(A2300="","",Ввод!$B$4-SUMIF(Оплаты!$A$6:$A$505,"&lt;"&amp;A2300,Оплаты!$B$6:$B$505))</f>
        <v/>
      </c>
      <c r="E2300">
        <f>IF(A2300="","",IF(SUMPRODUCT((Ввод!$F$12:$F$31&lt;&gt;"")*(Ввод!$F$12:$F$31&lt;=A2300)*(Ввод!$G$12:$G$31&gt;=A2300))&gt;0,1,0))</f>
        <v/>
      </c>
      <c r="F2300">
        <f>IF(OR(A2300="",B2300=""),"",IF(E2300=1,0,D2300*B2300/100/C2300))</f>
        <v/>
      </c>
      <c r="G2300">
        <f>IF(A2300="","",IF(OR(B2300&lt;&gt;B2299,C2300&lt;&gt;C2299,D2300&lt;&gt;D2299,E2300&lt;&gt;E2299),G2299+1,G2299))</f>
        <v/>
      </c>
    </row>
    <row r="2301">
      <c r="A2301" s="14">
        <f>IF(OR(NOT(ISNUMBER(Ввод!$B$5)),NOT(ISNUMBER(Ввод!$B$6))),"",IF(Ввод!$B$5+2299&gt;Ввод!$B$6,"",Ввод!$B$5+2299))</f>
        <v/>
      </c>
      <c r="B2301">
        <f>IF(A2301="","",IFERROR(INDEX(Ввод!$B$12:$B$71,MATCH(A2301,Ввод!$D$12:$D$71,1)),""))</f>
        <v/>
      </c>
      <c r="C2301">
        <f>IF(A2301="","",DATE(YEAR(A2301),12,31)-DATE(YEAR(A2301),1,1)+1)</f>
        <v/>
      </c>
      <c r="D2301">
        <f>IF(A2301="","",Ввод!$B$4-SUMIF(Оплаты!$A$6:$A$505,"&lt;"&amp;A2301,Оплаты!$B$6:$B$505))</f>
        <v/>
      </c>
      <c r="E2301">
        <f>IF(A2301="","",IF(SUMPRODUCT((Ввод!$F$12:$F$31&lt;&gt;"")*(Ввод!$F$12:$F$31&lt;=A2301)*(Ввод!$G$12:$G$31&gt;=A2301))&gt;0,1,0))</f>
        <v/>
      </c>
      <c r="F2301">
        <f>IF(OR(A2301="",B2301=""),"",IF(E2301=1,0,D2301*B2301/100/C2301))</f>
        <v/>
      </c>
      <c r="G2301">
        <f>IF(A2301="","",IF(OR(B2301&lt;&gt;B2300,C2301&lt;&gt;C2300,D2301&lt;&gt;D2300,E2301&lt;&gt;E2300),G2300+1,G2300))</f>
        <v/>
      </c>
    </row>
    <row r="2302">
      <c r="A2302" s="14">
        <f>IF(OR(NOT(ISNUMBER(Ввод!$B$5)),NOT(ISNUMBER(Ввод!$B$6))),"",IF(Ввод!$B$5+2300&gt;Ввод!$B$6,"",Ввод!$B$5+2300))</f>
        <v/>
      </c>
      <c r="B2302">
        <f>IF(A2302="","",IFERROR(INDEX(Ввод!$B$12:$B$71,MATCH(A2302,Ввод!$D$12:$D$71,1)),""))</f>
        <v/>
      </c>
      <c r="C2302">
        <f>IF(A2302="","",DATE(YEAR(A2302),12,31)-DATE(YEAR(A2302),1,1)+1)</f>
        <v/>
      </c>
      <c r="D2302">
        <f>IF(A2302="","",Ввод!$B$4-SUMIF(Оплаты!$A$6:$A$505,"&lt;"&amp;A2302,Оплаты!$B$6:$B$505))</f>
        <v/>
      </c>
      <c r="E2302">
        <f>IF(A2302="","",IF(SUMPRODUCT((Ввод!$F$12:$F$31&lt;&gt;"")*(Ввод!$F$12:$F$31&lt;=A2302)*(Ввод!$G$12:$G$31&gt;=A2302))&gt;0,1,0))</f>
        <v/>
      </c>
      <c r="F2302">
        <f>IF(OR(A2302="",B2302=""),"",IF(E2302=1,0,D2302*B2302/100/C2302))</f>
        <v/>
      </c>
      <c r="G2302">
        <f>IF(A2302="","",IF(OR(B2302&lt;&gt;B2301,C2302&lt;&gt;C2301,D2302&lt;&gt;D2301,E2302&lt;&gt;E2301),G2301+1,G2301))</f>
        <v/>
      </c>
    </row>
    <row r="2303">
      <c r="A2303" s="14">
        <f>IF(OR(NOT(ISNUMBER(Ввод!$B$5)),NOT(ISNUMBER(Ввод!$B$6))),"",IF(Ввод!$B$5+2301&gt;Ввод!$B$6,"",Ввод!$B$5+2301))</f>
        <v/>
      </c>
      <c r="B2303">
        <f>IF(A2303="","",IFERROR(INDEX(Ввод!$B$12:$B$71,MATCH(A2303,Ввод!$D$12:$D$71,1)),""))</f>
        <v/>
      </c>
      <c r="C2303">
        <f>IF(A2303="","",DATE(YEAR(A2303),12,31)-DATE(YEAR(A2303),1,1)+1)</f>
        <v/>
      </c>
      <c r="D2303">
        <f>IF(A2303="","",Ввод!$B$4-SUMIF(Оплаты!$A$6:$A$505,"&lt;"&amp;A2303,Оплаты!$B$6:$B$505))</f>
        <v/>
      </c>
      <c r="E2303">
        <f>IF(A2303="","",IF(SUMPRODUCT((Ввод!$F$12:$F$31&lt;&gt;"")*(Ввод!$F$12:$F$31&lt;=A2303)*(Ввод!$G$12:$G$31&gt;=A2303))&gt;0,1,0))</f>
        <v/>
      </c>
      <c r="F2303">
        <f>IF(OR(A2303="",B2303=""),"",IF(E2303=1,0,D2303*B2303/100/C2303))</f>
        <v/>
      </c>
      <c r="G2303">
        <f>IF(A2303="","",IF(OR(B2303&lt;&gt;B2302,C2303&lt;&gt;C2302,D2303&lt;&gt;D2302,E2303&lt;&gt;E2302),G2302+1,G2302))</f>
        <v/>
      </c>
    </row>
    <row r="2304">
      <c r="A2304" s="14">
        <f>IF(OR(NOT(ISNUMBER(Ввод!$B$5)),NOT(ISNUMBER(Ввод!$B$6))),"",IF(Ввод!$B$5+2302&gt;Ввод!$B$6,"",Ввод!$B$5+2302))</f>
        <v/>
      </c>
      <c r="B2304">
        <f>IF(A2304="","",IFERROR(INDEX(Ввод!$B$12:$B$71,MATCH(A2304,Ввод!$D$12:$D$71,1)),""))</f>
        <v/>
      </c>
      <c r="C2304">
        <f>IF(A2304="","",DATE(YEAR(A2304),12,31)-DATE(YEAR(A2304),1,1)+1)</f>
        <v/>
      </c>
      <c r="D2304">
        <f>IF(A2304="","",Ввод!$B$4-SUMIF(Оплаты!$A$6:$A$505,"&lt;"&amp;A2304,Оплаты!$B$6:$B$505))</f>
        <v/>
      </c>
      <c r="E2304">
        <f>IF(A2304="","",IF(SUMPRODUCT((Ввод!$F$12:$F$31&lt;&gt;"")*(Ввод!$F$12:$F$31&lt;=A2304)*(Ввод!$G$12:$G$31&gt;=A2304))&gt;0,1,0))</f>
        <v/>
      </c>
      <c r="F2304">
        <f>IF(OR(A2304="",B2304=""),"",IF(E2304=1,0,D2304*B2304/100/C2304))</f>
        <v/>
      </c>
      <c r="G2304">
        <f>IF(A2304="","",IF(OR(B2304&lt;&gt;B2303,C2304&lt;&gt;C2303,D2304&lt;&gt;D2303,E2304&lt;&gt;E2303),G2303+1,G2303))</f>
        <v/>
      </c>
    </row>
    <row r="2305">
      <c r="A2305" s="14">
        <f>IF(OR(NOT(ISNUMBER(Ввод!$B$5)),NOT(ISNUMBER(Ввод!$B$6))),"",IF(Ввод!$B$5+2303&gt;Ввод!$B$6,"",Ввод!$B$5+2303))</f>
        <v/>
      </c>
      <c r="B2305">
        <f>IF(A2305="","",IFERROR(INDEX(Ввод!$B$12:$B$71,MATCH(A2305,Ввод!$D$12:$D$71,1)),""))</f>
        <v/>
      </c>
      <c r="C2305">
        <f>IF(A2305="","",DATE(YEAR(A2305),12,31)-DATE(YEAR(A2305),1,1)+1)</f>
        <v/>
      </c>
      <c r="D2305">
        <f>IF(A2305="","",Ввод!$B$4-SUMIF(Оплаты!$A$6:$A$505,"&lt;"&amp;A2305,Оплаты!$B$6:$B$505))</f>
        <v/>
      </c>
      <c r="E2305">
        <f>IF(A2305="","",IF(SUMPRODUCT((Ввод!$F$12:$F$31&lt;&gt;"")*(Ввод!$F$12:$F$31&lt;=A2305)*(Ввод!$G$12:$G$31&gt;=A2305))&gt;0,1,0))</f>
        <v/>
      </c>
      <c r="F2305">
        <f>IF(OR(A2305="",B2305=""),"",IF(E2305=1,0,D2305*B2305/100/C2305))</f>
        <v/>
      </c>
      <c r="G2305">
        <f>IF(A2305="","",IF(OR(B2305&lt;&gt;B2304,C2305&lt;&gt;C2304,D2305&lt;&gt;D2304,E2305&lt;&gt;E2304),G2304+1,G2304))</f>
        <v/>
      </c>
    </row>
    <row r="2306">
      <c r="A2306" s="14">
        <f>IF(OR(NOT(ISNUMBER(Ввод!$B$5)),NOT(ISNUMBER(Ввод!$B$6))),"",IF(Ввод!$B$5+2304&gt;Ввод!$B$6,"",Ввод!$B$5+2304))</f>
        <v/>
      </c>
      <c r="B2306">
        <f>IF(A2306="","",IFERROR(INDEX(Ввод!$B$12:$B$71,MATCH(A2306,Ввод!$D$12:$D$71,1)),""))</f>
        <v/>
      </c>
      <c r="C2306">
        <f>IF(A2306="","",DATE(YEAR(A2306),12,31)-DATE(YEAR(A2306),1,1)+1)</f>
        <v/>
      </c>
      <c r="D2306">
        <f>IF(A2306="","",Ввод!$B$4-SUMIF(Оплаты!$A$6:$A$505,"&lt;"&amp;A2306,Оплаты!$B$6:$B$505))</f>
        <v/>
      </c>
      <c r="E2306">
        <f>IF(A2306="","",IF(SUMPRODUCT((Ввод!$F$12:$F$31&lt;&gt;"")*(Ввод!$F$12:$F$31&lt;=A2306)*(Ввод!$G$12:$G$31&gt;=A2306))&gt;0,1,0))</f>
        <v/>
      </c>
      <c r="F2306">
        <f>IF(OR(A2306="",B2306=""),"",IF(E2306=1,0,D2306*B2306/100/C2306))</f>
        <v/>
      </c>
      <c r="G2306">
        <f>IF(A2306="","",IF(OR(B2306&lt;&gt;B2305,C2306&lt;&gt;C2305,D2306&lt;&gt;D2305,E2306&lt;&gt;E2305),G2305+1,G2305))</f>
        <v/>
      </c>
    </row>
    <row r="2307">
      <c r="A2307" s="14">
        <f>IF(OR(NOT(ISNUMBER(Ввод!$B$5)),NOT(ISNUMBER(Ввод!$B$6))),"",IF(Ввод!$B$5+2305&gt;Ввод!$B$6,"",Ввод!$B$5+2305))</f>
        <v/>
      </c>
      <c r="B2307">
        <f>IF(A2307="","",IFERROR(INDEX(Ввод!$B$12:$B$71,MATCH(A2307,Ввод!$D$12:$D$71,1)),""))</f>
        <v/>
      </c>
      <c r="C2307">
        <f>IF(A2307="","",DATE(YEAR(A2307),12,31)-DATE(YEAR(A2307),1,1)+1)</f>
        <v/>
      </c>
      <c r="D2307">
        <f>IF(A2307="","",Ввод!$B$4-SUMIF(Оплаты!$A$6:$A$505,"&lt;"&amp;A2307,Оплаты!$B$6:$B$505))</f>
        <v/>
      </c>
      <c r="E2307">
        <f>IF(A2307="","",IF(SUMPRODUCT((Ввод!$F$12:$F$31&lt;&gt;"")*(Ввод!$F$12:$F$31&lt;=A2307)*(Ввод!$G$12:$G$31&gt;=A2307))&gt;0,1,0))</f>
        <v/>
      </c>
      <c r="F2307">
        <f>IF(OR(A2307="",B2307=""),"",IF(E2307=1,0,D2307*B2307/100/C2307))</f>
        <v/>
      </c>
      <c r="G2307">
        <f>IF(A2307="","",IF(OR(B2307&lt;&gt;B2306,C2307&lt;&gt;C2306,D2307&lt;&gt;D2306,E2307&lt;&gt;E2306),G2306+1,G2306))</f>
        <v/>
      </c>
    </row>
    <row r="2308">
      <c r="A2308" s="14">
        <f>IF(OR(NOT(ISNUMBER(Ввод!$B$5)),NOT(ISNUMBER(Ввод!$B$6))),"",IF(Ввод!$B$5+2306&gt;Ввод!$B$6,"",Ввод!$B$5+2306))</f>
        <v/>
      </c>
      <c r="B2308">
        <f>IF(A2308="","",IFERROR(INDEX(Ввод!$B$12:$B$71,MATCH(A2308,Ввод!$D$12:$D$71,1)),""))</f>
        <v/>
      </c>
      <c r="C2308">
        <f>IF(A2308="","",DATE(YEAR(A2308),12,31)-DATE(YEAR(A2308),1,1)+1)</f>
        <v/>
      </c>
      <c r="D2308">
        <f>IF(A2308="","",Ввод!$B$4-SUMIF(Оплаты!$A$6:$A$505,"&lt;"&amp;A2308,Оплаты!$B$6:$B$505))</f>
        <v/>
      </c>
      <c r="E2308">
        <f>IF(A2308="","",IF(SUMPRODUCT((Ввод!$F$12:$F$31&lt;&gt;"")*(Ввод!$F$12:$F$31&lt;=A2308)*(Ввод!$G$12:$G$31&gt;=A2308))&gt;0,1,0))</f>
        <v/>
      </c>
      <c r="F2308">
        <f>IF(OR(A2308="",B2308=""),"",IF(E2308=1,0,D2308*B2308/100/C2308))</f>
        <v/>
      </c>
      <c r="G2308">
        <f>IF(A2308="","",IF(OR(B2308&lt;&gt;B2307,C2308&lt;&gt;C2307,D2308&lt;&gt;D2307,E2308&lt;&gt;E2307),G2307+1,G2307))</f>
        <v/>
      </c>
    </row>
    <row r="2309">
      <c r="A2309" s="14">
        <f>IF(OR(NOT(ISNUMBER(Ввод!$B$5)),NOT(ISNUMBER(Ввод!$B$6))),"",IF(Ввод!$B$5+2307&gt;Ввод!$B$6,"",Ввод!$B$5+2307))</f>
        <v/>
      </c>
      <c r="B2309">
        <f>IF(A2309="","",IFERROR(INDEX(Ввод!$B$12:$B$71,MATCH(A2309,Ввод!$D$12:$D$71,1)),""))</f>
        <v/>
      </c>
      <c r="C2309">
        <f>IF(A2309="","",DATE(YEAR(A2309),12,31)-DATE(YEAR(A2309),1,1)+1)</f>
        <v/>
      </c>
      <c r="D2309">
        <f>IF(A2309="","",Ввод!$B$4-SUMIF(Оплаты!$A$6:$A$505,"&lt;"&amp;A2309,Оплаты!$B$6:$B$505))</f>
        <v/>
      </c>
      <c r="E2309">
        <f>IF(A2309="","",IF(SUMPRODUCT((Ввод!$F$12:$F$31&lt;&gt;"")*(Ввод!$F$12:$F$31&lt;=A2309)*(Ввод!$G$12:$G$31&gt;=A2309))&gt;0,1,0))</f>
        <v/>
      </c>
      <c r="F2309">
        <f>IF(OR(A2309="",B2309=""),"",IF(E2309=1,0,D2309*B2309/100/C2309))</f>
        <v/>
      </c>
      <c r="G2309">
        <f>IF(A2309="","",IF(OR(B2309&lt;&gt;B2308,C2309&lt;&gt;C2308,D2309&lt;&gt;D2308,E2309&lt;&gt;E2308),G2308+1,G2308))</f>
        <v/>
      </c>
    </row>
    <row r="2310">
      <c r="A2310" s="14">
        <f>IF(OR(NOT(ISNUMBER(Ввод!$B$5)),NOT(ISNUMBER(Ввод!$B$6))),"",IF(Ввод!$B$5+2308&gt;Ввод!$B$6,"",Ввод!$B$5+2308))</f>
        <v/>
      </c>
      <c r="B2310">
        <f>IF(A2310="","",IFERROR(INDEX(Ввод!$B$12:$B$71,MATCH(A2310,Ввод!$D$12:$D$71,1)),""))</f>
        <v/>
      </c>
      <c r="C2310">
        <f>IF(A2310="","",DATE(YEAR(A2310),12,31)-DATE(YEAR(A2310),1,1)+1)</f>
        <v/>
      </c>
      <c r="D2310">
        <f>IF(A2310="","",Ввод!$B$4-SUMIF(Оплаты!$A$6:$A$505,"&lt;"&amp;A2310,Оплаты!$B$6:$B$505))</f>
        <v/>
      </c>
      <c r="E2310">
        <f>IF(A2310="","",IF(SUMPRODUCT((Ввод!$F$12:$F$31&lt;&gt;"")*(Ввод!$F$12:$F$31&lt;=A2310)*(Ввод!$G$12:$G$31&gt;=A2310))&gt;0,1,0))</f>
        <v/>
      </c>
      <c r="F2310">
        <f>IF(OR(A2310="",B2310=""),"",IF(E2310=1,0,D2310*B2310/100/C2310))</f>
        <v/>
      </c>
      <c r="G2310">
        <f>IF(A2310="","",IF(OR(B2310&lt;&gt;B2309,C2310&lt;&gt;C2309,D2310&lt;&gt;D2309,E2310&lt;&gt;E2309),G2309+1,G2309))</f>
        <v/>
      </c>
    </row>
    <row r="2311">
      <c r="A2311" s="14">
        <f>IF(OR(NOT(ISNUMBER(Ввод!$B$5)),NOT(ISNUMBER(Ввод!$B$6))),"",IF(Ввод!$B$5+2309&gt;Ввод!$B$6,"",Ввод!$B$5+2309))</f>
        <v/>
      </c>
      <c r="B2311">
        <f>IF(A2311="","",IFERROR(INDEX(Ввод!$B$12:$B$71,MATCH(A2311,Ввод!$D$12:$D$71,1)),""))</f>
        <v/>
      </c>
      <c r="C2311">
        <f>IF(A2311="","",DATE(YEAR(A2311),12,31)-DATE(YEAR(A2311),1,1)+1)</f>
        <v/>
      </c>
      <c r="D2311">
        <f>IF(A2311="","",Ввод!$B$4-SUMIF(Оплаты!$A$6:$A$505,"&lt;"&amp;A2311,Оплаты!$B$6:$B$505))</f>
        <v/>
      </c>
      <c r="E2311">
        <f>IF(A2311="","",IF(SUMPRODUCT((Ввод!$F$12:$F$31&lt;&gt;"")*(Ввод!$F$12:$F$31&lt;=A2311)*(Ввод!$G$12:$G$31&gt;=A2311))&gt;0,1,0))</f>
        <v/>
      </c>
      <c r="F2311">
        <f>IF(OR(A2311="",B2311=""),"",IF(E2311=1,0,D2311*B2311/100/C2311))</f>
        <v/>
      </c>
      <c r="G2311">
        <f>IF(A2311="","",IF(OR(B2311&lt;&gt;B2310,C2311&lt;&gt;C2310,D2311&lt;&gt;D2310,E2311&lt;&gt;E2310),G2310+1,G2310))</f>
        <v/>
      </c>
    </row>
    <row r="2312">
      <c r="A2312" s="14">
        <f>IF(OR(NOT(ISNUMBER(Ввод!$B$5)),NOT(ISNUMBER(Ввод!$B$6))),"",IF(Ввод!$B$5+2310&gt;Ввод!$B$6,"",Ввод!$B$5+2310))</f>
        <v/>
      </c>
      <c r="B2312">
        <f>IF(A2312="","",IFERROR(INDEX(Ввод!$B$12:$B$71,MATCH(A2312,Ввод!$D$12:$D$71,1)),""))</f>
        <v/>
      </c>
      <c r="C2312">
        <f>IF(A2312="","",DATE(YEAR(A2312),12,31)-DATE(YEAR(A2312),1,1)+1)</f>
        <v/>
      </c>
      <c r="D2312">
        <f>IF(A2312="","",Ввод!$B$4-SUMIF(Оплаты!$A$6:$A$505,"&lt;"&amp;A2312,Оплаты!$B$6:$B$505))</f>
        <v/>
      </c>
      <c r="E2312">
        <f>IF(A2312="","",IF(SUMPRODUCT((Ввод!$F$12:$F$31&lt;&gt;"")*(Ввод!$F$12:$F$31&lt;=A2312)*(Ввод!$G$12:$G$31&gt;=A2312))&gt;0,1,0))</f>
        <v/>
      </c>
      <c r="F2312">
        <f>IF(OR(A2312="",B2312=""),"",IF(E2312=1,0,D2312*B2312/100/C2312))</f>
        <v/>
      </c>
      <c r="G2312">
        <f>IF(A2312="","",IF(OR(B2312&lt;&gt;B2311,C2312&lt;&gt;C2311,D2312&lt;&gt;D2311,E2312&lt;&gt;E2311),G2311+1,G2311))</f>
        <v/>
      </c>
    </row>
    <row r="2313">
      <c r="A2313" s="14">
        <f>IF(OR(NOT(ISNUMBER(Ввод!$B$5)),NOT(ISNUMBER(Ввод!$B$6))),"",IF(Ввод!$B$5+2311&gt;Ввод!$B$6,"",Ввод!$B$5+2311))</f>
        <v/>
      </c>
      <c r="B2313">
        <f>IF(A2313="","",IFERROR(INDEX(Ввод!$B$12:$B$71,MATCH(A2313,Ввод!$D$12:$D$71,1)),""))</f>
        <v/>
      </c>
      <c r="C2313">
        <f>IF(A2313="","",DATE(YEAR(A2313),12,31)-DATE(YEAR(A2313),1,1)+1)</f>
        <v/>
      </c>
      <c r="D2313">
        <f>IF(A2313="","",Ввод!$B$4-SUMIF(Оплаты!$A$6:$A$505,"&lt;"&amp;A2313,Оплаты!$B$6:$B$505))</f>
        <v/>
      </c>
      <c r="E2313">
        <f>IF(A2313="","",IF(SUMPRODUCT((Ввод!$F$12:$F$31&lt;&gt;"")*(Ввод!$F$12:$F$31&lt;=A2313)*(Ввод!$G$12:$G$31&gt;=A2313))&gt;0,1,0))</f>
        <v/>
      </c>
      <c r="F2313">
        <f>IF(OR(A2313="",B2313=""),"",IF(E2313=1,0,D2313*B2313/100/C2313))</f>
        <v/>
      </c>
      <c r="G2313">
        <f>IF(A2313="","",IF(OR(B2313&lt;&gt;B2312,C2313&lt;&gt;C2312,D2313&lt;&gt;D2312,E2313&lt;&gt;E2312),G2312+1,G2312))</f>
        <v/>
      </c>
    </row>
    <row r="2314">
      <c r="A2314" s="14">
        <f>IF(OR(NOT(ISNUMBER(Ввод!$B$5)),NOT(ISNUMBER(Ввод!$B$6))),"",IF(Ввод!$B$5+2312&gt;Ввод!$B$6,"",Ввод!$B$5+2312))</f>
        <v/>
      </c>
      <c r="B2314">
        <f>IF(A2314="","",IFERROR(INDEX(Ввод!$B$12:$B$71,MATCH(A2314,Ввод!$D$12:$D$71,1)),""))</f>
        <v/>
      </c>
      <c r="C2314">
        <f>IF(A2314="","",DATE(YEAR(A2314),12,31)-DATE(YEAR(A2314),1,1)+1)</f>
        <v/>
      </c>
      <c r="D2314">
        <f>IF(A2314="","",Ввод!$B$4-SUMIF(Оплаты!$A$6:$A$505,"&lt;"&amp;A2314,Оплаты!$B$6:$B$505))</f>
        <v/>
      </c>
      <c r="E2314">
        <f>IF(A2314="","",IF(SUMPRODUCT((Ввод!$F$12:$F$31&lt;&gt;"")*(Ввод!$F$12:$F$31&lt;=A2314)*(Ввод!$G$12:$G$31&gt;=A2314))&gt;0,1,0))</f>
        <v/>
      </c>
      <c r="F2314">
        <f>IF(OR(A2314="",B2314=""),"",IF(E2314=1,0,D2314*B2314/100/C2314))</f>
        <v/>
      </c>
      <c r="G2314">
        <f>IF(A2314="","",IF(OR(B2314&lt;&gt;B2313,C2314&lt;&gt;C2313,D2314&lt;&gt;D2313,E2314&lt;&gt;E2313),G2313+1,G2313))</f>
        <v/>
      </c>
    </row>
    <row r="2315">
      <c r="A2315" s="14">
        <f>IF(OR(NOT(ISNUMBER(Ввод!$B$5)),NOT(ISNUMBER(Ввод!$B$6))),"",IF(Ввод!$B$5+2313&gt;Ввод!$B$6,"",Ввод!$B$5+2313))</f>
        <v/>
      </c>
      <c r="B2315">
        <f>IF(A2315="","",IFERROR(INDEX(Ввод!$B$12:$B$71,MATCH(A2315,Ввод!$D$12:$D$71,1)),""))</f>
        <v/>
      </c>
      <c r="C2315">
        <f>IF(A2315="","",DATE(YEAR(A2315),12,31)-DATE(YEAR(A2315),1,1)+1)</f>
        <v/>
      </c>
      <c r="D2315">
        <f>IF(A2315="","",Ввод!$B$4-SUMIF(Оплаты!$A$6:$A$505,"&lt;"&amp;A2315,Оплаты!$B$6:$B$505))</f>
        <v/>
      </c>
      <c r="E2315">
        <f>IF(A2315="","",IF(SUMPRODUCT((Ввод!$F$12:$F$31&lt;&gt;"")*(Ввод!$F$12:$F$31&lt;=A2315)*(Ввод!$G$12:$G$31&gt;=A2315))&gt;0,1,0))</f>
        <v/>
      </c>
      <c r="F2315">
        <f>IF(OR(A2315="",B2315=""),"",IF(E2315=1,0,D2315*B2315/100/C2315))</f>
        <v/>
      </c>
      <c r="G2315">
        <f>IF(A2315="","",IF(OR(B2315&lt;&gt;B2314,C2315&lt;&gt;C2314,D2315&lt;&gt;D2314,E2315&lt;&gt;E2314),G2314+1,G2314))</f>
        <v/>
      </c>
    </row>
    <row r="2316">
      <c r="A2316" s="14">
        <f>IF(OR(NOT(ISNUMBER(Ввод!$B$5)),NOT(ISNUMBER(Ввод!$B$6))),"",IF(Ввод!$B$5+2314&gt;Ввод!$B$6,"",Ввод!$B$5+2314))</f>
        <v/>
      </c>
      <c r="B2316">
        <f>IF(A2316="","",IFERROR(INDEX(Ввод!$B$12:$B$71,MATCH(A2316,Ввод!$D$12:$D$71,1)),""))</f>
        <v/>
      </c>
      <c r="C2316">
        <f>IF(A2316="","",DATE(YEAR(A2316),12,31)-DATE(YEAR(A2316),1,1)+1)</f>
        <v/>
      </c>
      <c r="D2316">
        <f>IF(A2316="","",Ввод!$B$4-SUMIF(Оплаты!$A$6:$A$505,"&lt;"&amp;A2316,Оплаты!$B$6:$B$505))</f>
        <v/>
      </c>
      <c r="E2316">
        <f>IF(A2316="","",IF(SUMPRODUCT((Ввод!$F$12:$F$31&lt;&gt;"")*(Ввод!$F$12:$F$31&lt;=A2316)*(Ввод!$G$12:$G$31&gt;=A2316))&gt;0,1,0))</f>
        <v/>
      </c>
      <c r="F2316">
        <f>IF(OR(A2316="",B2316=""),"",IF(E2316=1,0,D2316*B2316/100/C2316))</f>
        <v/>
      </c>
      <c r="G2316">
        <f>IF(A2316="","",IF(OR(B2316&lt;&gt;B2315,C2316&lt;&gt;C2315,D2316&lt;&gt;D2315,E2316&lt;&gt;E2315),G2315+1,G2315))</f>
        <v/>
      </c>
    </row>
    <row r="2317">
      <c r="A2317" s="14">
        <f>IF(OR(NOT(ISNUMBER(Ввод!$B$5)),NOT(ISNUMBER(Ввод!$B$6))),"",IF(Ввод!$B$5+2315&gt;Ввод!$B$6,"",Ввод!$B$5+2315))</f>
        <v/>
      </c>
      <c r="B2317">
        <f>IF(A2317="","",IFERROR(INDEX(Ввод!$B$12:$B$71,MATCH(A2317,Ввод!$D$12:$D$71,1)),""))</f>
        <v/>
      </c>
      <c r="C2317">
        <f>IF(A2317="","",DATE(YEAR(A2317),12,31)-DATE(YEAR(A2317),1,1)+1)</f>
        <v/>
      </c>
      <c r="D2317">
        <f>IF(A2317="","",Ввод!$B$4-SUMIF(Оплаты!$A$6:$A$505,"&lt;"&amp;A2317,Оплаты!$B$6:$B$505))</f>
        <v/>
      </c>
      <c r="E2317">
        <f>IF(A2317="","",IF(SUMPRODUCT((Ввод!$F$12:$F$31&lt;&gt;"")*(Ввод!$F$12:$F$31&lt;=A2317)*(Ввод!$G$12:$G$31&gt;=A2317))&gt;0,1,0))</f>
        <v/>
      </c>
      <c r="F2317">
        <f>IF(OR(A2317="",B2317=""),"",IF(E2317=1,0,D2317*B2317/100/C2317))</f>
        <v/>
      </c>
      <c r="G2317">
        <f>IF(A2317="","",IF(OR(B2317&lt;&gt;B2316,C2317&lt;&gt;C2316,D2317&lt;&gt;D2316,E2317&lt;&gt;E2316),G2316+1,G2316))</f>
        <v/>
      </c>
    </row>
    <row r="2318">
      <c r="A2318" s="14">
        <f>IF(OR(NOT(ISNUMBER(Ввод!$B$5)),NOT(ISNUMBER(Ввод!$B$6))),"",IF(Ввод!$B$5+2316&gt;Ввод!$B$6,"",Ввод!$B$5+2316))</f>
        <v/>
      </c>
      <c r="B2318">
        <f>IF(A2318="","",IFERROR(INDEX(Ввод!$B$12:$B$71,MATCH(A2318,Ввод!$D$12:$D$71,1)),""))</f>
        <v/>
      </c>
      <c r="C2318">
        <f>IF(A2318="","",DATE(YEAR(A2318),12,31)-DATE(YEAR(A2318),1,1)+1)</f>
        <v/>
      </c>
      <c r="D2318">
        <f>IF(A2318="","",Ввод!$B$4-SUMIF(Оплаты!$A$6:$A$505,"&lt;"&amp;A2318,Оплаты!$B$6:$B$505))</f>
        <v/>
      </c>
      <c r="E2318">
        <f>IF(A2318="","",IF(SUMPRODUCT((Ввод!$F$12:$F$31&lt;&gt;"")*(Ввод!$F$12:$F$31&lt;=A2318)*(Ввод!$G$12:$G$31&gt;=A2318))&gt;0,1,0))</f>
        <v/>
      </c>
      <c r="F2318">
        <f>IF(OR(A2318="",B2318=""),"",IF(E2318=1,0,D2318*B2318/100/C2318))</f>
        <v/>
      </c>
      <c r="G2318">
        <f>IF(A2318="","",IF(OR(B2318&lt;&gt;B2317,C2318&lt;&gt;C2317,D2318&lt;&gt;D2317,E2318&lt;&gt;E2317),G2317+1,G2317))</f>
        <v/>
      </c>
    </row>
    <row r="2319">
      <c r="A2319" s="14">
        <f>IF(OR(NOT(ISNUMBER(Ввод!$B$5)),NOT(ISNUMBER(Ввод!$B$6))),"",IF(Ввод!$B$5+2317&gt;Ввод!$B$6,"",Ввод!$B$5+2317))</f>
        <v/>
      </c>
      <c r="B2319">
        <f>IF(A2319="","",IFERROR(INDEX(Ввод!$B$12:$B$71,MATCH(A2319,Ввод!$D$12:$D$71,1)),""))</f>
        <v/>
      </c>
      <c r="C2319">
        <f>IF(A2319="","",DATE(YEAR(A2319),12,31)-DATE(YEAR(A2319),1,1)+1)</f>
        <v/>
      </c>
      <c r="D2319">
        <f>IF(A2319="","",Ввод!$B$4-SUMIF(Оплаты!$A$6:$A$505,"&lt;"&amp;A2319,Оплаты!$B$6:$B$505))</f>
        <v/>
      </c>
      <c r="E2319">
        <f>IF(A2319="","",IF(SUMPRODUCT((Ввод!$F$12:$F$31&lt;&gt;"")*(Ввод!$F$12:$F$31&lt;=A2319)*(Ввод!$G$12:$G$31&gt;=A2319))&gt;0,1,0))</f>
        <v/>
      </c>
      <c r="F2319">
        <f>IF(OR(A2319="",B2319=""),"",IF(E2319=1,0,D2319*B2319/100/C2319))</f>
        <v/>
      </c>
      <c r="G2319">
        <f>IF(A2319="","",IF(OR(B2319&lt;&gt;B2318,C2319&lt;&gt;C2318,D2319&lt;&gt;D2318,E2319&lt;&gt;E2318),G2318+1,G2318))</f>
        <v/>
      </c>
    </row>
    <row r="2320">
      <c r="A2320" s="14">
        <f>IF(OR(NOT(ISNUMBER(Ввод!$B$5)),NOT(ISNUMBER(Ввод!$B$6))),"",IF(Ввод!$B$5+2318&gt;Ввод!$B$6,"",Ввод!$B$5+2318))</f>
        <v/>
      </c>
      <c r="B2320">
        <f>IF(A2320="","",IFERROR(INDEX(Ввод!$B$12:$B$71,MATCH(A2320,Ввод!$D$12:$D$71,1)),""))</f>
        <v/>
      </c>
      <c r="C2320">
        <f>IF(A2320="","",DATE(YEAR(A2320),12,31)-DATE(YEAR(A2320),1,1)+1)</f>
        <v/>
      </c>
      <c r="D2320">
        <f>IF(A2320="","",Ввод!$B$4-SUMIF(Оплаты!$A$6:$A$505,"&lt;"&amp;A2320,Оплаты!$B$6:$B$505))</f>
        <v/>
      </c>
      <c r="E2320">
        <f>IF(A2320="","",IF(SUMPRODUCT((Ввод!$F$12:$F$31&lt;&gt;"")*(Ввод!$F$12:$F$31&lt;=A2320)*(Ввод!$G$12:$G$31&gt;=A2320))&gt;0,1,0))</f>
        <v/>
      </c>
      <c r="F2320">
        <f>IF(OR(A2320="",B2320=""),"",IF(E2320=1,0,D2320*B2320/100/C2320))</f>
        <v/>
      </c>
      <c r="G2320">
        <f>IF(A2320="","",IF(OR(B2320&lt;&gt;B2319,C2320&lt;&gt;C2319,D2320&lt;&gt;D2319,E2320&lt;&gt;E2319),G2319+1,G2319))</f>
        <v/>
      </c>
    </row>
    <row r="2321">
      <c r="A2321" s="14">
        <f>IF(OR(NOT(ISNUMBER(Ввод!$B$5)),NOT(ISNUMBER(Ввод!$B$6))),"",IF(Ввод!$B$5+2319&gt;Ввод!$B$6,"",Ввод!$B$5+2319))</f>
        <v/>
      </c>
      <c r="B2321">
        <f>IF(A2321="","",IFERROR(INDEX(Ввод!$B$12:$B$71,MATCH(A2321,Ввод!$D$12:$D$71,1)),""))</f>
        <v/>
      </c>
      <c r="C2321">
        <f>IF(A2321="","",DATE(YEAR(A2321),12,31)-DATE(YEAR(A2321),1,1)+1)</f>
        <v/>
      </c>
      <c r="D2321">
        <f>IF(A2321="","",Ввод!$B$4-SUMIF(Оплаты!$A$6:$A$505,"&lt;"&amp;A2321,Оплаты!$B$6:$B$505))</f>
        <v/>
      </c>
      <c r="E2321">
        <f>IF(A2321="","",IF(SUMPRODUCT((Ввод!$F$12:$F$31&lt;&gt;"")*(Ввод!$F$12:$F$31&lt;=A2321)*(Ввод!$G$12:$G$31&gt;=A2321))&gt;0,1,0))</f>
        <v/>
      </c>
      <c r="F2321">
        <f>IF(OR(A2321="",B2321=""),"",IF(E2321=1,0,D2321*B2321/100/C2321))</f>
        <v/>
      </c>
      <c r="G2321">
        <f>IF(A2321="","",IF(OR(B2321&lt;&gt;B2320,C2321&lt;&gt;C2320,D2321&lt;&gt;D2320,E2321&lt;&gt;E2320),G2320+1,G2320))</f>
        <v/>
      </c>
    </row>
    <row r="2322">
      <c r="A2322" s="14">
        <f>IF(OR(NOT(ISNUMBER(Ввод!$B$5)),NOT(ISNUMBER(Ввод!$B$6))),"",IF(Ввод!$B$5+2320&gt;Ввод!$B$6,"",Ввод!$B$5+2320))</f>
        <v/>
      </c>
      <c r="B2322">
        <f>IF(A2322="","",IFERROR(INDEX(Ввод!$B$12:$B$71,MATCH(A2322,Ввод!$D$12:$D$71,1)),""))</f>
        <v/>
      </c>
      <c r="C2322">
        <f>IF(A2322="","",DATE(YEAR(A2322),12,31)-DATE(YEAR(A2322),1,1)+1)</f>
        <v/>
      </c>
      <c r="D2322">
        <f>IF(A2322="","",Ввод!$B$4-SUMIF(Оплаты!$A$6:$A$505,"&lt;"&amp;A2322,Оплаты!$B$6:$B$505))</f>
        <v/>
      </c>
      <c r="E2322">
        <f>IF(A2322="","",IF(SUMPRODUCT((Ввод!$F$12:$F$31&lt;&gt;"")*(Ввод!$F$12:$F$31&lt;=A2322)*(Ввод!$G$12:$G$31&gt;=A2322))&gt;0,1,0))</f>
        <v/>
      </c>
      <c r="F2322">
        <f>IF(OR(A2322="",B2322=""),"",IF(E2322=1,0,D2322*B2322/100/C2322))</f>
        <v/>
      </c>
      <c r="G2322">
        <f>IF(A2322="","",IF(OR(B2322&lt;&gt;B2321,C2322&lt;&gt;C2321,D2322&lt;&gt;D2321,E2322&lt;&gt;E2321),G2321+1,G2321))</f>
        <v/>
      </c>
    </row>
    <row r="2323">
      <c r="A2323" s="14">
        <f>IF(OR(NOT(ISNUMBER(Ввод!$B$5)),NOT(ISNUMBER(Ввод!$B$6))),"",IF(Ввод!$B$5+2321&gt;Ввод!$B$6,"",Ввод!$B$5+2321))</f>
        <v/>
      </c>
      <c r="B2323">
        <f>IF(A2323="","",IFERROR(INDEX(Ввод!$B$12:$B$71,MATCH(A2323,Ввод!$D$12:$D$71,1)),""))</f>
        <v/>
      </c>
      <c r="C2323">
        <f>IF(A2323="","",DATE(YEAR(A2323),12,31)-DATE(YEAR(A2323),1,1)+1)</f>
        <v/>
      </c>
      <c r="D2323">
        <f>IF(A2323="","",Ввод!$B$4-SUMIF(Оплаты!$A$6:$A$505,"&lt;"&amp;A2323,Оплаты!$B$6:$B$505))</f>
        <v/>
      </c>
      <c r="E2323">
        <f>IF(A2323="","",IF(SUMPRODUCT((Ввод!$F$12:$F$31&lt;&gt;"")*(Ввод!$F$12:$F$31&lt;=A2323)*(Ввод!$G$12:$G$31&gt;=A2323))&gt;0,1,0))</f>
        <v/>
      </c>
      <c r="F2323">
        <f>IF(OR(A2323="",B2323=""),"",IF(E2323=1,0,D2323*B2323/100/C2323))</f>
        <v/>
      </c>
      <c r="G2323">
        <f>IF(A2323="","",IF(OR(B2323&lt;&gt;B2322,C2323&lt;&gt;C2322,D2323&lt;&gt;D2322,E2323&lt;&gt;E2322),G2322+1,G2322))</f>
        <v/>
      </c>
    </row>
    <row r="2324">
      <c r="A2324" s="14">
        <f>IF(OR(NOT(ISNUMBER(Ввод!$B$5)),NOT(ISNUMBER(Ввод!$B$6))),"",IF(Ввод!$B$5+2322&gt;Ввод!$B$6,"",Ввод!$B$5+2322))</f>
        <v/>
      </c>
      <c r="B2324">
        <f>IF(A2324="","",IFERROR(INDEX(Ввод!$B$12:$B$71,MATCH(A2324,Ввод!$D$12:$D$71,1)),""))</f>
        <v/>
      </c>
      <c r="C2324">
        <f>IF(A2324="","",DATE(YEAR(A2324),12,31)-DATE(YEAR(A2324),1,1)+1)</f>
        <v/>
      </c>
      <c r="D2324">
        <f>IF(A2324="","",Ввод!$B$4-SUMIF(Оплаты!$A$6:$A$505,"&lt;"&amp;A2324,Оплаты!$B$6:$B$505))</f>
        <v/>
      </c>
      <c r="E2324">
        <f>IF(A2324="","",IF(SUMPRODUCT((Ввод!$F$12:$F$31&lt;&gt;"")*(Ввод!$F$12:$F$31&lt;=A2324)*(Ввод!$G$12:$G$31&gt;=A2324))&gt;0,1,0))</f>
        <v/>
      </c>
      <c r="F2324">
        <f>IF(OR(A2324="",B2324=""),"",IF(E2324=1,0,D2324*B2324/100/C2324))</f>
        <v/>
      </c>
      <c r="G2324">
        <f>IF(A2324="","",IF(OR(B2324&lt;&gt;B2323,C2324&lt;&gt;C2323,D2324&lt;&gt;D2323,E2324&lt;&gt;E2323),G2323+1,G2323))</f>
        <v/>
      </c>
    </row>
    <row r="2325">
      <c r="A2325" s="14">
        <f>IF(OR(NOT(ISNUMBER(Ввод!$B$5)),NOT(ISNUMBER(Ввод!$B$6))),"",IF(Ввод!$B$5+2323&gt;Ввод!$B$6,"",Ввод!$B$5+2323))</f>
        <v/>
      </c>
      <c r="B2325">
        <f>IF(A2325="","",IFERROR(INDEX(Ввод!$B$12:$B$71,MATCH(A2325,Ввод!$D$12:$D$71,1)),""))</f>
        <v/>
      </c>
      <c r="C2325">
        <f>IF(A2325="","",DATE(YEAR(A2325),12,31)-DATE(YEAR(A2325),1,1)+1)</f>
        <v/>
      </c>
      <c r="D2325">
        <f>IF(A2325="","",Ввод!$B$4-SUMIF(Оплаты!$A$6:$A$505,"&lt;"&amp;A2325,Оплаты!$B$6:$B$505))</f>
        <v/>
      </c>
      <c r="E2325">
        <f>IF(A2325="","",IF(SUMPRODUCT((Ввод!$F$12:$F$31&lt;&gt;"")*(Ввод!$F$12:$F$31&lt;=A2325)*(Ввод!$G$12:$G$31&gt;=A2325))&gt;0,1,0))</f>
        <v/>
      </c>
      <c r="F2325">
        <f>IF(OR(A2325="",B2325=""),"",IF(E2325=1,0,D2325*B2325/100/C2325))</f>
        <v/>
      </c>
      <c r="G2325">
        <f>IF(A2325="","",IF(OR(B2325&lt;&gt;B2324,C2325&lt;&gt;C2324,D2325&lt;&gt;D2324,E2325&lt;&gt;E2324),G2324+1,G2324))</f>
        <v/>
      </c>
    </row>
    <row r="2326">
      <c r="A2326" s="14">
        <f>IF(OR(NOT(ISNUMBER(Ввод!$B$5)),NOT(ISNUMBER(Ввод!$B$6))),"",IF(Ввод!$B$5+2324&gt;Ввод!$B$6,"",Ввод!$B$5+2324))</f>
        <v/>
      </c>
      <c r="B2326">
        <f>IF(A2326="","",IFERROR(INDEX(Ввод!$B$12:$B$71,MATCH(A2326,Ввод!$D$12:$D$71,1)),""))</f>
        <v/>
      </c>
      <c r="C2326">
        <f>IF(A2326="","",DATE(YEAR(A2326),12,31)-DATE(YEAR(A2326),1,1)+1)</f>
        <v/>
      </c>
      <c r="D2326">
        <f>IF(A2326="","",Ввод!$B$4-SUMIF(Оплаты!$A$6:$A$505,"&lt;"&amp;A2326,Оплаты!$B$6:$B$505))</f>
        <v/>
      </c>
      <c r="E2326">
        <f>IF(A2326="","",IF(SUMPRODUCT((Ввод!$F$12:$F$31&lt;&gt;"")*(Ввод!$F$12:$F$31&lt;=A2326)*(Ввод!$G$12:$G$31&gt;=A2326))&gt;0,1,0))</f>
        <v/>
      </c>
      <c r="F2326">
        <f>IF(OR(A2326="",B2326=""),"",IF(E2326=1,0,D2326*B2326/100/C2326))</f>
        <v/>
      </c>
      <c r="G2326">
        <f>IF(A2326="","",IF(OR(B2326&lt;&gt;B2325,C2326&lt;&gt;C2325,D2326&lt;&gt;D2325,E2326&lt;&gt;E2325),G2325+1,G2325))</f>
        <v/>
      </c>
    </row>
    <row r="2327">
      <c r="A2327" s="14">
        <f>IF(OR(NOT(ISNUMBER(Ввод!$B$5)),NOT(ISNUMBER(Ввод!$B$6))),"",IF(Ввод!$B$5+2325&gt;Ввод!$B$6,"",Ввод!$B$5+2325))</f>
        <v/>
      </c>
      <c r="B2327">
        <f>IF(A2327="","",IFERROR(INDEX(Ввод!$B$12:$B$71,MATCH(A2327,Ввод!$D$12:$D$71,1)),""))</f>
        <v/>
      </c>
      <c r="C2327">
        <f>IF(A2327="","",DATE(YEAR(A2327),12,31)-DATE(YEAR(A2327),1,1)+1)</f>
        <v/>
      </c>
      <c r="D2327">
        <f>IF(A2327="","",Ввод!$B$4-SUMIF(Оплаты!$A$6:$A$505,"&lt;"&amp;A2327,Оплаты!$B$6:$B$505))</f>
        <v/>
      </c>
      <c r="E2327">
        <f>IF(A2327="","",IF(SUMPRODUCT((Ввод!$F$12:$F$31&lt;&gt;"")*(Ввод!$F$12:$F$31&lt;=A2327)*(Ввод!$G$12:$G$31&gt;=A2327))&gt;0,1,0))</f>
        <v/>
      </c>
      <c r="F2327">
        <f>IF(OR(A2327="",B2327=""),"",IF(E2327=1,0,D2327*B2327/100/C2327))</f>
        <v/>
      </c>
      <c r="G2327">
        <f>IF(A2327="","",IF(OR(B2327&lt;&gt;B2326,C2327&lt;&gt;C2326,D2327&lt;&gt;D2326,E2327&lt;&gt;E2326),G2326+1,G2326))</f>
        <v/>
      </c>
    </row>
    <row r="2328">
      <c r="A2328" s="14">
        <f>IF(OR(NOT(ISNUMBER(Ввод!$B$5)),NOT(ISNUMBER(Ввод!$B$6))),"",IF(Ввод!$B$5+2326&gt;Ввод!$B$6,"",Ввод!$B$5+2326))</f>
        <v/>
      </c>
      <c r="B2328">
        <f>IF(A2328="","",IFERROR(INDEX(Ввод!$B$12:$B$71,MATCH(A2328,Ввод!$D$12:$D$71,1)),""))</f>
        <v/>
      </c>
      <c r="C2328">
        <f>IF(A2328="","",DATE(YEAR(A2328),12,31)-DATE(YEAR(A2328),1,1)+1)</f>
        <v/>
      </c>
      <c r="D2328">
        <f>IF(A2328="","",Ввод!$B$4-SUMIF(Оплаты!$A$6:$A$505,"&lt;"&amp;A2328,Оплаты!$B$6:$B$505))</f>
        <v/>
      </c>
      <c r="E2328">
        <f>IF(A2328="","",IF(SUMPRODUCT((Ввод!$F$12:$F$31&lt;&gt;"")*(Ввод!$F$12:$F$31&lt;=A2328)*(Ввод!$G$12:$G$31&gt;=A2328))&gt;0,1,0))</f>
        <v/>
      </c>
      <c r="F2328">
        <f>IF(OR(A2328="",B2328=""),"",IF(E2328=1,0,D2328*B2328/100/C2328))</f>
        <v/>
      </c>
      <c r="G2328">
        <f>IF(A2328="","",IF(OR(B2328&lt;&gt;B2327,C2328&lt;&gt;C2327,D2328&lt;&gt;D2327,E2328&lt;&gt;E2327),G2327+1,G2327))</f>
        <v/>
      </c>
    </row>
    <row r="2329">
      <c r="A2329" s="14">
        <f>IF(OR(NOT(ISNUMBER(Ввод!$B$5)),NOT(ISNUMBER(Ввод!$B$6))),"",IF(Ввод!$B$5+2327&gt;Ввод!$B$6,"",Ввод!$B$5+2327))</f>
        <v/>
      </c>
      <c r="B2329">
        <f>IF(A2329="","",IFERROR(INDEX(Ввод!$B$12:$B$71,MATCH(A2329,Ввод!$D$12:$D$71,1)),""))</f>
        <v/>
      </c>
      <c r="C2329">
        <f>IF(A2329="","",DATE(YEAR(A2329),12,31)-DATE(YEAR(A2329),1,1)+1)</f>
        <v/>
      </c>
      <c r="D2329">
        <f>IF(A2329="","",Ввод!$B$4-SUMIF(Оплаты!$A$6:$A$505,"&lt;"&amp;A2329,Оплаты!$B$6:$B$505))</f>
        <v/>
      </c>
      <c r="E2329">
        <f>IF(A2329="","",IF(SUMPRODUCT((Ввод!$F$12:$F$31&lt;&gt;"")*(Ввод!$F$12:$F$31&lt;=A2329)*(Ввод!$G$12:$G$31&gt;=A2329))&gt;0,1,0))</f>
        <v/>
      </c>
      <c r="F2329">
        <f>IF(OR(A2329="",B2329=""),"",IF(E2329=1,0,D2329*B2329/100/C2329))</f>
        <v/>
      </c>
      <c r="G2329">
        <f>IF(A2329="","",IF(OR(B2329&lt;&gt;B2328,C2329&lt;&gt;C2328,D2329&lt;&gt;D2328,E2329&lt;&gt;E2328),G2328+1,G2328))</f>
        <v/>
      </c>
    </row>
    <row r="2330">
      <c r="A2330" s="14">
        <f>IF(OR(NOT(ISNUMBER(Ввод!$B$5)),NOT(ISNUMBER(Ввод!$B$6))),"",IF(Ввод!$B$5+2328&gt;Ввод!$B$6,"",Ввод!$B$5+2328))</f>
        <v/>
      </c>
      <c r="B2330">
        <f>IF(A2330="","",IFERROR(INDEX(Ввод!$B$12:$B$71,MATCH(A2330,Ввод!$D$12:$D$71,1)),""))</f>
        <v/>
      </c>
      <c r="C2330">
        <f>IF(A2330="","",DATE(YEAR(A2330),12,31)-DATE(YEAR(A2330),1,1)+1)</f>
        <v/>
      </c>
      <c r="D2330">
        <f>IF(A2330="","",Ввод!$B$4-SUMIF(Оплаты!$A$6:$A$505,"&lt;"&amp;A2330,Оплаты!$B$6:$B$505))</f>
        <v/>
      </c>
      <c r="E2330">
        <f>IF(A2330="","",IF(SUMPRODUCT((Ввод!$F$12:$F$31&lt;&gt;"")*(Ввод!$F$12:$F$31&lt;=A2330)*(Ввод!$G$12:$G$31&gt;=A2330))&gt;0,1,0))</f>
        <v/>
      </c>
      <c r="F2330">
        <f>IF(OR(A2330="",B2330=""),"",IF(E2330=1,0,D2330*B2330/100/C2330))</f>
        <v/>
      </c>
      <c r="G2330">
        <f>IF(A2330="","",IF(OR(B2330&lt;&gt;B2329,C2330&lt;&gt;C2329,D2330&lt;&gt;D2329,E2330&lt;&gt;E2329),G2329+1,G2329))</f>
        <v/>
      </c>
    </row>
    <row r="2331">
      <c r="A2331" s="14">
        <f>IF(OR(NOT(ISNUMBER(Ввод!$B$5)),NOT(ISNUMBER(Ввод!$B$6))),"",IF(Ввод!$B$5+2329&gt;Ввод!$B$6,"",Ввод!$B$5+2329))</f>
        <v/>
      </c>
      <c r="B2331">
        <f>IF(A2331="","",IFERROR(INDEX(Ввод!$B$12:$B$71,MATCH(A2331,Ввод!$D$12:$D$71,1)),""))</f>
        <v/>
      </c>
      <c r="C2331">
        <f>IF(A2331="","",DATE(YEAR(A2331),12,31)-DATE(YEAR(A2331),1,1)+1)</f>
        <v/>
      </c>
      <c r="D2331">
        <f>IF(A2331="","",Ввод!$B$4-SUMIF(Оплаты!$A$6:$A$505,"&lt;"&amp;A2331,Оплаты!$B$6:$B$505))</f>
        <v/>
      </c>
      <c r="E2331">
        <f>IF(A2331="","",IF(SUMPRODUCT((Ввод!$F$12:$F$31&lt;&gt;"")*(Ввод!$F$12:$F$31&lt;=A2331)*(Ввод!$G$12:$G$31&gt;=A2331))&gt;0,1,0))</f>
        <v/>
      </c>
      <c r="F2331">
        <f>IF(OR(A2331="",B2331=""),"",IF(E2331=1,0,D2331*B2331/100/C2331))</f>
        <v/>
      </c>
      <c r="G2331">
        <f>IF(A2331="","",IF(OR(B2331&lt;&gt;B2330,C2331&lt;&gt;C2330,D2331&lt;&gt;D2330,E2331&lt;&gt;E2330),G2330+1,G2330))</f>
        <v/>
      </c>
    </row>
    <row r="2332">
      <c r="A2332" s="14">
        <f>IF(OR(NOT(ISNUMBER(Ввод!$B$5)),NOT(ISNUMBER(Ввод!$B$6))),"",IF(Ввод!$B$5+2330&gt;Ввод!$B$6,"",Ввод!$B$5+2330))</f>
        <v/>
      </c>
      <c r="B2332">
        <f>IF(A2332="","",IFERROR(INDEX(Ввод!$B$12:$B$71,MATCH(A2332,Ввод!$D$12:$D$71,1)),""))</f>
        <v/>
      </c>
      <c r="C2332">
        <f>IF(A2332="","",DATE(YEAR(A2332),12,31)-DATE(YEAR(A2332),1,1)+1)</f>
        <v/>
      </c>
      <c r="D2332">
        <f>IF(A2332="","",Ввод!$B$4-SUMIF(Оплаты!$A$6:$A$505,"&lt;"&amp;A2332,Оплаты!$B$6:$B$505))</f>
        <v/>
      </c>
      <c r="E2332">
        <f>IF(A2332="","",IF(SUMPRODUCT((Ввод!$F$12:$F$31&lt;&gt;"")*(Ввод!$F$12:$F$31&lt;=A2332)*(Ввод!$G$12:$G$31&gt;=A2332))&gt;0,1,0))</f>
        <v/>
      </c>
      <c r="F2332">
        <f>IF(OR(A2332="",B2332=""),"",IF(E2332=1,0,D2332*B2332/100/C2332))</f>
        <v/>
      </c>
      <c r="G2332">
        <f>IF(A2332="","",IF(OR(B2332&lt;&gt;B2331,C2332&lt;&gt;C2331,D2332&lt;&gt;D2331,E2332&lt;&gt;E2331),G2331+1,G2331))</f>
        <v/>
      </c>
    </row>
    <row r="2333">
      <c r="A2333" s="14">
        <f>IF(OR(NOT(ISNUMBER(Ввод!$B$5)),NOT(ISNUMBER(Ввод!$B$6))),"",IF(Ввод!$B$5+2331&gt;Ввод!$B$6,"",Ввод!$B$5+2331))</f>
        <v/>
      </c>
      <c r="B2333">
        <f>IF(A2333="","",IFERROR(INDEX(Ввод!$B$12:$B$71,MATCH(A2333,Ввод!$D$12:$D$71,1)),""))</f>
        <v/>
      </c>
      <c r="C2333">
        <f>IF(A2333="","",DATE(YEAR(A2333),12,31)-DATE(YEAR(A2333),1,1)+1)</f>
        <v/>
      </c>
      <c r="D2333">
        <f>IF(A2333="","",Ввод!$B$4-SUMIF(Оплаты!$A$6:$A$505,"&lt;"&amp;A2333,Оплаты!$B$6:$B$505))</f>
        <v/>
      </c>
      <c r="E2333">
        <f>IF(A2333="","",IF(SUMPRODUCT((Ввод!$F$12:$F$31&lt;&gt;"")*(Ввод!$F$12:$F$31&lt;=A2333)*(Ввод!$G$12:$G$31&gt;=A2333))&gt;0,1,0))</f>
        <v/>
      </c>
      <c r="F2333">
        <f>IF(OR(A2333="",B2333=""),"",IF(E2333=1,0,D2333*B2333/100/C2333))</f>
        <v/>
      </c>
      <c r="G2333">
        <f>IF(A2333="","",IF(OR(B2333&lt;&gt;B2332,C2333&lt;&gt;C2332,D2333&lt;&gt;D2332,E2333&lt;&gt;E2332),G2332+1,G2332))</f>
        <v/>
      </c>
    </row>
    <row r="2334">
      <c r="A2334" s="14">
        <f>IF(OR(NOT(ISNUMBER(Ввод!$B$5)),NOT(ISNUMBER(Ввод!$B$6))),"",IF(Ввод!$B$5+2332&gt;Ввод!$B$6,"",Ввод!$B$5+2332))</f>
        <v/>
      </c>
      <c r="B2334">
        <f>IF(A2334="","",IFERROR(INDEX(Ввод!$B$12:$B$71,MATCH(A2334,Ввод!$D$12:$D$71,1)),""))</f>
        <v/>
      </c>
      <c r="C2334">
        <f>IF(A2334="","",DATE(YEAR(A2334),12,31)-DATE(YEAR(A2334),1,1)+1)</f>
        <v/>
      </c>
      <c r="D2334">
        <f>IF(A2334="","",Ввод!$B$4-SUMIF(Оплаты!$A$6:$A$505,"&lt;"&amp;A2334,Оплаты!$B$6:$B$505))</f>
        <v/>
      </c>
      <c r="E2334">
        <f>IF(A2334="","",IF(SUMPRODUCT((Ввод!$F$12:$F$31&lt;&gt;"")*(Ввод!$F$12:$F$31&lt;=A2334)*(Ввод!$G$12:$G$31&gt;=A2334))&gt;0,1,0))</f>
        <v/>
      </c>
      <c r="F2334">
        <f>IF(OR(A2334="",B2334=""),"",IF(E2334=1,0,D2334*B2334/100/C2334))</f>
        <v/>
      </c>
      <c r="G2334">
        <f>IF(A2334="","",IF(OR(B2334&lt;&gt;B2333,C2334&lt;&gt;C2333,D2334&lt;&gt;D2333,E2334&lt;&gt;E2333),G2333+1,G2333))</f>
        <v/>
      </c>
    </row>
    <row r="2335">
      <c r="A2335" s="14">
        <f>IF(OR(NOT(ISNUMBER(Ввод!$B$5)),NOT(ISNUMBER(Ввод!$B$6))),"",IF(Ввод!$B$5+2333&gt;Ввод!$B$6,"",Ввод!$B$5+2333))</f>
        <v/>
      </c>
      <c r="B2335">
        <f>IF(A2335="","",IFERROR(INDEX(Ввод!$B$12:$B$71,MATCH(A2335,Ввод!$D$12:$D$71,1)),""))</f>
        <v/>
      </c>
      <c r="C2335">
        <f>IF(A2335="","",DATE(YEAR(A2335),12,31)-DATE(YEAR(A2335),1,1)+1)</f>
        <v/>
      </c>
      <c r="D2335">
        <f>IF(A2335="","",Ввод!$B$4-SUMIF(Оплаты!$A$6:$A$505,"&lt;"&amp;A2335,Оплаты!$B$6:$B$505))</f>
        <v/>
      </c>
      <c r="E2335">
        <f>IF(A2335="","",IF(SUMPRODUCT((Ввод!$F$12:$F$31&lt;&gt;"")*(Ввод!$F$12:$F$31&lt;=A2335)*(Ввод!$G$12:$G$31&gt;=A2335))&gt;0,1,0))</f>
        <v/>
      </c>
      <c r="F2335">
        <f>IF(OR(A2335="",B2335=""),"",IF(E2335=1,0,D2335*B2335/100/C2335))</f>
        <v/>
      </c>
      <c r="G2335">
        <f>IF(A2335="","",IF(OR(B2335&lt;&gt;B2334,C2335&lt;&gt;C2334,D2335&lt;&gt;D2334,E2335&lt;&gt;E2334),G2334+1,G2334))</f>
        <v/>
      </c>
    </row>
    <row r="2336">
      <c r="A2336" s="14">
        <f>IF(OR(NOT(ISNUMBER(Ввод!$B$5)),NOT(ISNUMBER(Ввод!$B$6))),"",IF(Ввод!$B$5+2334&gt;Ввод!$B$6,"",Ввод!$B$5+2334))</f>
        <v/>
      </c>
      <c r="B2336">
        <f>IF(A2336="","",IFERROR(INDEX(Ввод!$B$12:$B$71,MATCH(A2336,Ввод!$D$12:$D$71,1)),""))</f>
        <v/>
      </c>
      <c r="C2336">
        <f>IF(A2336="","",DATE(YEAR(A2336),12,31)-DATE(YEAR(A2336),1,1)+1)</f>
        <v/>
      </c>
      <c r="D2336">
        <f>IF(A2336="","",Ввод!$B$4-SUMIF(Оплаты!$A$6:$A$505,"&lt;"&amp;A2336,Оплаты!$B$6:$B$505))</f>
        <v/>
      </c>
      <c r="E2336">
        <f>IF(A2336="","",IF(SUMPRODUCT((Ввод!$F$12:$F$31&lt;&gt;"")*(Ввод!$F$12:$F$31&lt;=A2336)*(Ввод!$G$12:$G$31&gt;=A2336))&gt;0,1,0))</f>
        <v/>
      </c>
      <c r="F2336">
        <f>IF(OR(A2336="",B2336=""),"",IF(E2336=1,0,D2336*B2336/100/C2336))</f>
        <v/>
      </c>
      <c r="G2336">
        <f>IF(A2336="","",IF(OR(B2336&lt;&gt;B2335,C2336&lt;&gt;C2335,D2336&lt;&gt;D2335,E2336&lt;&gt;E2335),G2335+1,G2335))</f>
        <v/>
      </c>
    </row>
    <row r="2337">
      <c r="A2337" s="14">
        <f>IF(OR(NOT(ISNUMBER(Ввод!$B$5)),NOT(ISNUMBER(Ввод!$B$6))),"",IF(Ввод!$B$5+2335&gt;Ввод!$B$6,"",Ввод!$B$5+2335))</f>
        <v/>
      </c>
      <c r="B2337">
        <f>IF(A2337="","",IFERROR(INDEX(Ввод!$B$12:$B$71,MATCH(A2337,Ввод!$D$12:$D$71,1)),""))</f>
        <v/>
      </c>
      <c r="C2337">
        <f>IF(A2337="","",DATE(YEAR(A2337),12,31)-DATE(YEAR(A2337),1,1)+1)</f>
        <v/>
      </c>
      <c r="D2337">
        <f>IF(A2337="","",Ввод!$B$4-SUMIF(Оплаты!$A$6:$A$505,"&lt;"&amp;A2337,Оплаты!$B$6:$B$505))</f>
        <v/>
      </c>
      <c r="E2337">
        <f>IF(A2337="","",IF(SUMPRODUCT((Ввод!$F$12:$F$31&lt;&gt;"")*(Ввод!$F$12:$F$31&lt;=A2337)*(Ввод!$G$12:$G$31&gt;=A2337))&gt;0,1,0))</f>
        <v/>
      </c>
      <c r="F2337">
        <f>IF(OR(A2337="",B2337=""),"",IF(E2337=1,0,D2337*B2337/100/C2337))</f>
        <v/>
      </c>
      <c r="G2337">
        <f>IF(A2337="","",IF(OR(B2337&lt;&gt;B2336,C2337&lt;&gt;C2336,D2337&lt;&gt;D2336,E2337&lt;&gt;E2336),G2336+1,G2336))</f>
        <v/>
      </c>
    </row>
    <row r="2338">
      <c r="A2338" s="14">
        <f>IF(OR(NOT(ISNUMBER(Ввод!$B$5)),NOT(ISNUMBER(Ввод!$B$6))),"",IF(Ввод!$B$5+2336&gt;Ввод!$B$6,"",Ввод!$B$5+2336))</f>
        <v/>
      </c>
      <c r="B2338">
        <f>IF(A2338="","",IFERROR(INDEX(Ввод!$B$12:$B$71,MATCH(A2338,Ввод!$D$12:$D$71,1)),""))</f>
        <v/>
      </c>
      <c r="C2338">
        <f>IF(A2338="","",DATE(YEAR(A2338),12,31)-DATE(YEAR(A2338),1,1)+1)</f>
        <v/>
      </c>
      <c r="D2338">
        <f>IF(A2338="","",Ввод!$B$4-SUMIF(Оплаты!$A$6:$A$505,"&lt;"&amp;A2338,Оплаты!$B$6:$B$505))</f>
        <v/>
      </c>
      <c r="E2338">
        <f>IF(A2338="","",IF(SUMPRODUCT((Ввод!$F$12:$F$31&lt;&gt;"")*(Ввод!$F$12:$F$31&lt;=A2338)*(Ввод!$G$12:$G$31&gt;=A2338))&gt;0,1,0))</f>
        <v/>
      </c>
      <c r="F2338">
        <f>IF(OR(A2338="",B2338=""),"",IF(E2338=1,0,D2338*B2338/100/C2338))</f>
        <v/>
      </c>
      <c r="G2338">
        <f>IF(A2338="","",IF(OR(B2338&lt;&gt;B2337,C2338&lt;&gt;C2337,D2338&lt;&gt;D2337,E2338&lt;&gt;E2337),G2337+1,G2337))</f>
        <v/>
      </c>
    </row>
    <row r="2339">
      <c r="A2339" s="14">
        <f>IF(OR(NOT(ISNUMBER(Ввод!$B$5)),NOT(ISNUMBER(Ввод!$B$6))),"",IF(Ввод!$B$5+2337&gt;Ввод!$B$6,"",Ввод!$B$5+2337))</f>
        <v/>
      </c>
      <c r="B2339">
        <f>IF(A2339="","",IFERROR(INDEX(Ввод!$B$12:$B$71,MATCH(A2339,Ввод!$D$12:$D$71,1)),""))</f>
        <v/>
      </c>
      <c r="C2339">
        <f>IF(A2339="","",DATE(YEAR(A2339),12,31)-DATE(YEAR(A2339),1,1)+1)</f>
        <v/>
      </c>
      <c r="D2339">
        <f>IF(A2339="","",Ввод!$B$4-SUMIF(Оплаты!$A$6:$A$505,"&lt;"&amp;A2339,Оплаты!$B$6:$B$505))</f>
        <v/>
      </c>
      <c r="E2339">
        <f>IF(A2339="","",IF(SUMPRODUCT((Ввод!$F$12:$F$31&lt;&gt;"")*(Ввод!$F$12:$F$31&lt;=A2339)*(Ввод!$G$12:$G$31&gt;=A2339))&gt;0,1,0))</f>
        <v/>
      </c>
      <c r="F2339">
        <f>IF(OR(A2339="",B2339=""),"",IF(E2339=1,0,D2339*B2339/100/C2339))</f>
        <v/>
      </c>
      <c r="G2339">
        <f>IF(A2339="","",IF(OR(B2339&lt;&gt;B2338,C2339&lt;&gt;C2338,D2339&lt;&gt;D2338,E2339&lt;&gt;E2338),G2338+1,G2338))</f>
        <v/>
      </c>
    </row>
    <row r="2340">
      <c r="A2340" s="14">
        <f>IF(OR(NOT(ISNUMBER(Ввод!$B$5)),NOT(ISNUMBER(Ввод!$B$6))),"",IF(Ввод!$B$5+2338&gt;Ввод!$B$6,"",Ввод!$B$5+2338))</f>
        <v/>
      </c>
      <c r="B2340">
        <f>IF(A2340="","",IFERROR(INDEX(Ввод!$B$12:$B$71,MATCH(A2340,Ввод!$D$12:$D$71,1)),""))</f>
        <v/>
      </c>
      <c r="C2340">
        <f>IF(A2340="","",DATE(YEAR(A2340),12,31)-DATE(YEAR(A2340),1,1)+1)</f>
        <v/>
      </c>
      <c r="D2340">
        <f>IF(A2340="","",Ввод!$B$4-SUMIF(Оплаты!$A$6:$A$505,"&lt;"&amp;A2340,Оплаты!$B$6:$B$505))</f>
        <v/>
      </c>
      <c r="E2340">
        <f>IF(A2340="","",IF(SUMPRODUCT((Ввод!$F$12:$F$31&lt;&gt;"")*(Ввод!$F$12:$F$31&lt;=A2340)*(Ввод!$G$12:$G$31&gt;=A2340))&gt;0,1,0))</f>
        <v/>
      </c>
      <c r="F2340">
        <f>IF(OR(A2340="",B2340=""),"",IF(E2340=1,0,D2340*B2340/100/C2340))</f>
        <v/>
      </c>
      <c r="G2340">
        <f>IF(A2340="","",IF(OR(B2340&lt;&gt;B2339,C2340&lt;&gt;C2339,D2340&lt;&gt;D2339,E2340&lt;&gt;E2339),G2339+1,G2339))</f>
        <v/>
      </c>
    </row>
    <row r="2341">
      <c r="A2341" s="14">
        <f>IF(OR(NOT(ISNUMBER(Ввод!$B$5)),NOT(ISNUMBER(Ввод!$B$6))),"",IF(Ввод!$B$5+2339&gt;Ввод!$B$6,"",Ввод!$B$5+2339))</f>
        <v/>
      </c>
      <c r="B2341">
        <f>IF(A2341="","",IFERROR(INDEX(Ввод!$B$12:$B$71,MATCH(A2341,Ввод!$D$12:$D$71,1)),""))</f>
        <v/>
      </c>
      <c r="C2341">
        <f>IF(A2341="","",DATE(YEAR(A2341),12,31)-DATE(YEAR(A2341),1,1)+1)</f>
        <v/>
      </c>
      <c r="D2341">
        <f>IF(A2341="","",Ввод!$B$4-SUMIF(Оплаты!$A$6:$A$505,"&lt;"&amp;A2341,Оплаты!$B$6:$B$505))</f>
        <v/>
      </c>
      <c r="E2341">
        <f>IF(A2341="","",IF(SUMPRODUCT((Ввод!$F$12:$F$31&lt;&gt;"")*(Ввод!$F$12:$F$31&lt;=A2341)*(Ввод!$G$12:$G$31&gt;=A2341))&gt;0,1,0))</f>
        <v/>
      </c>
      <c r="F2341">
        <f>IF(OR(A2341="",B2341=""),"",IF(E2341=1,0,D2341*B2341/100/C2341))</f>
        <v/>
      </c>
      <c r="G2341">
        <f>IF(A2341="","",IF(OR(B2341&lt;&gt;B2340,C2341&lt;&gt;C2340,D2341&lt;&gt;D2340,E2341&lt;&gt;E2340),G2340+1,G2340))</f>
        <v/>
      </c>
    </row>
    <row r="2342">
      <c r="A2342" s="14">
        <f>IF(OR(NOT(ISNUMBER(Ввод!$B$5)),NOT(ISNUMBER(Ввод!$B$6))),"",IF(Ввод!$B$5+2340&gt;Ввод!$B$6,"",Ввод!$B$5+2340))</f>
        <v/>
      </c>
      <c r="B2342">
        <f>IF(A2342="","",IFERROR(INDEX(Ввод!$B$12:$B$71,MATCH(A2342,Ввод!$D$12:$D$71,1)),""))</f>
        <v/>
      </c>
      <c r="C2342">
        <f>IF(A2342="","",DATE(YEAR(A2342),12,31)-DATE(YEAR(A2342),1,1)+1)</f>
        <v/>
      </c>
      <c r="D2342">
        <f>IF(A2342="","",Ввод!$B$4-SUMIF(Оплаты!$A$6:$A$505,"&lt;"&amp;A2342,Оплаты!$B$6:$B$505))</f>
        <v/>
      </c>
      <c r="E2342">
        <f>IF(A2342="","",IF(SUMPRODUCT((Ввод!$F$12:$F$31&lt;&gt;"")*(Ввод!$F$12:$F$31&lt;=A2342)*(Ввод!$G$12:$G$31&gt;=A2342))&gt;0,1,0))</f>
        <v/>
      </c>
      <c r="F2342">
        <f>IF(OR(A2342="",B2342=""),"",IF(E2342=1,0,D2342*B2342/100/C2342))</f>
        <v/>
      </c>
      <c r="G2342">
        <f>IF(A2342="","",IF(OR(B2342&lt;&gt;B2341,C2342&lt;&gt;C2341,D2342&lt;&gt;D2341,E2342&lt;&gt;E2341),G2341+1,G2341))</f>
        <v/>
      </c>
    </row>
    <row r="2343">
      <c r="A2343" s="14">
        <f>IF(OR(NOT(ISNUMBER(Ввод!$B$5)),NOT(ISNUMBER(Ввод!$B$6))),"",IF(Ввод!$B$5+2341&gt;Ввод!$B$6,"",Ввод!$B$5+2341))</f>
        <v/>
      </c>
      <c r="B2343">
        <f>IF(A2343="","",IFERROR(INDEX(Ввод!$B$12:$B$71,MATCH(A2343,Ввод!$D$12:$D$71,1)),""))</f>
        <v/>
      </c>
      <c r="C2343">
        <f>IF(A2343="","",DATE(YEAR(A2343),12,31)-DATE(YEAR(A2343),1,1)+1)</f>
        <v/>
      </c>
      <c r="D2343">
        <f>IF(A2343="","",Ввод!$B$4-SUMIF(Оплаты!$A$6:$A$505,"&lt;"&amp;A2343,Оплаты!$B$6:$B$505))</f>
        <v/>
      </c>
      <c r="E2343">
        <f>IF(A2343="","",IF(SUMPRODUCT((Ввод!$F$12:$F$31&lt;&gt;"")*(Ввод!$F$12:$F$31&lt;=A2343)*(Ввод!$G$12:$G$31&gt;=A2343))&gt;0,1,0))</f>
        <v/>
      </c>
      <c r="F2343">
        <f>IF(OR(A2343="",B2343=""),"",IF(E2343=1,0,D2343*B2343/100/C2343))</f>
        <v/>
      </c>
      <c r="G2343">
        <f>IF(A2343="","",IF(OR(B2343&lt;&gt;B2342,C2343&lt;&gt;C2342,D2343&lt;&gt;D2342,E2343&lt;&gt;E2342),G2342+1,G2342))</f>
        <v/>
      </c>
    </row>
    <row r="2344">
      <c r="A2344" s="14">
        <f>IF(OR(NOT(ISNUMBER(Ввод!$B$5)),NOT(ISNUMBER(Ввод!$B$6))),"",IF(Ввод!$B$5+2342&gt;Ввод!$B$6,"",Ввод!$B$5+2342))</f>
        <v/>
      </c>
      <c r="B2344">
        <f>IF(A2344="","",IFERROR(INDEX(Ввод!$B$12:$B$71,MATCH(A2344,Ввод!$D$12:$D$71,1)),""))</f>
        <v/>
      </c>
      <c r="C2344">
        <f>IF(A2344="","",DATE(YEAR(A2344),12,31)-DATE(YEAR(A2344),1,1)+1)</f>
        <v/>
      </c>
      <c r="D2344">
        <f>IF(A2344="","",Ввод!$B$4-SUMIF(Оплаты!$A$6:$A$505,"&lt;"&amp;A2344,Оплаты!$B$6:$B$505))</f>
        <v/>
      </c>
      <c r="E2344">
        <f>IF(A2344="","",IF(SUMPRODUCT((Ввод!$F$12:$F$31&lt;&gt;"")*(Ввод!$F$12:$F$31&lt;=A2344)*(Ввод!$G$12:$G$31&gt;=A2344))&gt;0,1,0))</f>
        <v/>
      </c>
      <c r="F2344">
        <f>IF(OR(A2344="",B2344=""),"",IF(E2344=1,0,D2344*B2344/100/C2344))</f>
        <v/>
      </c>
      <c r="G2344">
        <f>IF(A2344="","",IF(OR(B2344&lt;&gt;B2343,C2344&lt;&gt;C2343,D2344&lt;&gt;D2343,E2344&lt;&gt;E2343),G2343+1,G2343))</f>
        <v/>
      </c>
    </row>
    <row r="2345">
      <c r="A2345" s="14">
        <f>IF(OR(NOT(ISNUMBER(Ввод!$B$5)),NOT(ISNUMBER(Ввод!$B$6))),"",IF(Ввод!$B$5+2343&gt;Ввод!$B$6,"",Ввод!$B$5+2343))</f>
        <v/>
      </c>
      <c r="B2345">
        <f>IF(A2345="","",IFERROR(INDEX(Ввод!$B$12:$B$71,MATCH(A2345,Ввод!$D$12:$D$71,1)),""))</f>
        <v/>
      </c>
      <c r="C2345">
        <f>IF(A2345="","",DATE(YEAR(A2345),12,31)-DATE(YEAR(A2345),1,1)+1)</f>
        <v/>
      </c>
      <c r="D2345">
        <f>IF(A2345="","",Ввод!$B$4-SUMIF(Оплаты!$A$6:$A$505,"&lt;"&amp;A2345,Оплаты!$B$6:$B$505))</f>
        <v/>
      </c>
      <c r="E2345">
        <f>IF(A2345="","",IF(SUMPRODUCT((Ввод!$F$12:$F$31&lt;&gt;"")*(Ввод!$F$12:$F$31&lt;=A2345)*(Ввод!$G$12:$G$31&gt;=A2345))&gt;0,1,0))</f>
        <v/>
      </c>
      <c r="F2345">
        <f>IF(OR(A2345="",B2345=""),"",IF(E2345=1,0,D2345*B2345/100/C2345))</f>
        <v/>
      </c>
      <c r="G2345">
        <f>IF(A2345="","",IF(OR(B2345&lt;&gt;B2344,C2345&lt;&gt;C2344,D2345&lt;&gt;D2344,E2345&lt;&gt;E2344),G2344+1,G2344))</f>
        <v/>
      </c>
    </row>
    <row r="2346">
      <c r="A2346" s="14">
        <f>IF(OR(NOT(ISNUMBER(Ввод!$B$5)),NOT(ISNUMBER(Ввод!$B$6))),"",IF(Ввод!$B$5+2344&gt;Ввод!$B$6,"",Ввод!$B$5+2344))</f>
        <v/>
      </c>
      <c r="B2346">
        <f>IF(A2346="","",IFERROR(INDEX(Ввод!$B$12:$B$71,MATCH(A2346,Ввод!$D$12:$D$71,1)),""))</f>
        <v/>
      </c>
      <c r="C2346">
        <f>IF(A2346="","",DATE(YEAR(A2346),12,31)-DATE(YEAR(A2346),1,1)+1)</f>
        <v/>
      </c>
      <c r="D2346">
        <f>IF(A2346="","",Ввод!$B$4-SUMIF(Оплаты!$A$6:$A$505,"&lt;"&amp;A2346,Оплаты!$B$6:$B$505))</f>
        <v/>
      </c>
      <c r="E2346">
        <f>IF(A2346="","",IF(SUMPRODUCT((Ввод!$F$12:$F$31&lt;&gt;"")*(Ввод!$F$12:$F$31&lt;=A2346)*(Ввод!$G$12:$G$31&gt;=A2346))&gt;0,1,0))</f>
        <v/>
      </c>
      <c r="F2346">
        <f>IF(OR(A2346="",B2346=""),"",IF(E2346=1,0,D2346*B2346/100/C2346))</f>
        <v/>
      </c>
      <c r="G2346">
        <f>IF(A2346="","",IF(OR(B2346&lt;&gt;B2345,C2346&lt;&gt;C2345,D2346&lt;&gt;D2345,E2346&lt;&gt;E2345),G2345+1,G2345))</f>
        <v/>
      </c>
    </row>
    <row r="2347">
      <c r="A2347" s="14">
        <f>IF(OR(NOT(ISNUMBER(Ввод!$B$5)),NOT(ISNUMBER(Ввод!$B$6))),"",IF(Ввод!$B$5+2345&gt;Ввод!$B$6,"",Ввод!$B$5+2345))</f>
        <v/>
      </c>
      <c r="B2347">
        <f>IF(A2347="","",IFERROR(INDEX(Ввод!$B$12:$B$71,MATCH(A2347,Ввод!$D$12:$D$71,1)),""))</f>
        <v/>
      </c>
      <c r="C2347">
        <f>IF(A2347="","",DATE(YEAR(A2347),12,31)-DATE(YEAR(A2347),1,1)+1)</f>
        <v/>
      </c>
      <c r="D2347">
        <f>IF(A2347="","",Ввод!$B$4-SUMIF(Оплаты!$A$6:$A$505,"&lt;"&amp;A2347,Оплаты!$B$6:$B$505))</f>
        <v/>
      </c>
      <c r="E2347">
        <f>IF(A2347="","",IF(SUMPRODUCT((Ввод!$F$12:$F$31&lt;&gt;"")*(Ввод!$F$12:$F$31&lt;=A2347)*(Ввод!$G$12:$G$31&gt;=A2347))&gt;0,1,0))</f>
        <v/>
      </c>
      <c r="F2347">
        <f>IF(OR(A2347="",B2347=""),"",IF(E2347=1,0,D2347*B2347/100/C2347))</f>
        <v/>
      </c>
      <c r="G2347">
        <f>IF(A2347="","",IF(OR(B2347&lt;&gt;B2346,C2347&lt;&gt;C2346,D2347&lt;&gt;D2346,E2347&lt;&gt;E2346),G2346+1,G2346))</f>
        <v/>
      </c>
    </row>
    <row r="2348">
      <c r="A2348" s="14">
        <f>IF(OR(NOT(ISNUMBER(Ввод!$B$5)),NOT(ISNUMBER(Ввод!$B$6))),"",IF(Ввод!$B$5+2346&gt;Ввод!$B$6,"",Ввод!$B$5+2346))</f>
        <v/>
      </c>
      <c r="B2348">
        <f>IF(A2348="","",IFERROR(INDEX(Ввод!$B$12:$B$71,MATCH(A2348,Ввод!$D$12:$D$71,1)),""))</f>
        <v/>
      </c>
      <c r="C2348">
        <f>IF(A2348="","",DATE(YEAR(A2348),12,31)-DATE(YEAR(A2348),1,1)+1)</f>
        <v/>
      </c>
      <c r="D2348">
        <f>IF(A2348="","",Ввод!$B$4-SUMIF(Оплаты!$A$6:$A$505,"&lt;"&amp;A2348,Оплаты!$B$6:$B$505))</f>
        <v/>
      </c>
      <c r="E2348">
        <f>IF(A2348="","",IF(SUMPRODUCT((Ввод!$F$12:$F$31&lt;&gt;"")*(Ввод!$F$12:$F$31&lt;=A2348)*(Ввод!$G$12:$G$31&gt;=A2348))&gt;0,1,0))</f>
        <v/>
      </c>
      <c r="F2348">
        <f>IF(OR(A2348="",B2348=""),"",IF(E2348=1,0,D2348*B2348/100/C2348))</f>
        <v/>
      </c>
      <c r="G2348">
        <f>IF(A2348="","",IF(OR(B2348&lt;&gt;B2347,C2348&lt;&gt;C2347,D2348&lt;&gt;D2347,E2348&lt;&gt;E2347),G2347+1,G2347))</f>
        <v/>
      </c>
    </row>
    <row r="2349">
      <c r="A2349" s="14">
        <f>IF(OR(NOT(ISNUMBER(Ввод!$B$5)),NOT(ISNUMBER(Ввод!$B$6))),"",IF(Ввод!$B$5+2347&gt;Ввод!$B$6,"",Ввод!$B$5+2347))</f>
        <v/>
      </c>
      <c r="B2349">
        <f>IF(A2349="","",IFERROR(INDEX(Ввод!$B$12:$B$71,MATCH(A2349,Ввод!$D$12:$D$71,1)),""))</f>
        <v/>
      </c>
      <c r="C2349">
        <f>IF(A2349="","",DATE(YEAR(A2349),12,31)-DATE(YEAR(A2349),1,1)+1)</f>
        <v/>
      </c>
      <c r="D2349">
        <f>IF(A2349="","",Ввод!$B$4-SUMIF(Оплаты!$A$6:$A$505,"&lt;"&amp;A2349,Оплаты!$B$6:$B$505))</f>
        <v/>
      </c>
      <c r="E2349">
        <f>IF(A2349="","",IF(SUMPRODUCT((Ввод!$F$12:$F$31&lt;&gt;"")*(Ввод!$F$12:$F$31&lt;=A2349)*(Ввод!$G$12:$G$31&gt;=A2349))&gt;0,1,0))</f>
        <v/>
      </c>
      <c r="F2349">
        <f>IF(OR(A2349="",B2349=""),"",IF(E2349=1,0,D2349*B2349/100/C2349))</f>
        <v/>
      </c>
      <c r="G2349">
        <f>IF(A2349="","",IF(OR(B2349&lt;&gt;B2348,C2349&lt;&gt;C2348,D2349&lt;&gt;D2348,E2349&lt;&gt;E2348),G2348+1,G2348))</f>
        <v/>
      </c>
    </row>
    <row r="2350">
      <c r="A2350" s="14">
        <f>IF(OR(NOT(ISNUMBER(Ввод!$B$5)),NOT(ISNUMBER(Ввод!$B$6))),"",IF(Ввод!$B$5+2348&gt;Ввод!$B$6,"",Ввод!$B$5+2348))</f>
        <v/>
      </c>
      <c r="B2350">
        <f>IF(A2350="","",IFERROR(INDEX(Ввод!$B$12:$B$71,MATCH(A2350,Ввод!$D$12:$D$71,1)),""))</f>
        <v/>
      </c>
      <c r="C2350">
        <f>IF(A2350="","",DATE(YEAR(A2350),12,31)-DATE(YEAR(A2350),1,1)+1)</f>
        <v/>
      </c>
      <c r="D2350">
        <f>IF(A2350="","",Ввод!$B$4-SUMIF(Оплаты!$A$6:$A$505,"&lt;"&amp;A2350,Оплаты!$B$6:$B$505))</f>
        <v/>
      </c>
      <c r="E2350">
        <f>IF(A2350="","",IF(SUMPRODUCT((Ввод!$F$12:$F$31&lt;&gt;"")*(Ввод!$F$12:$F$31&lt;=A2350)*(Ввод!$G$12:$G$31&gt;=A2350))&gt;0,1,0))</f>
        <v/>
      </c>
      <c r="F2350">
        <f>IF(OR(A2350="",B2350=""),"",IF(E2350=1,0,D2350*B2350/100/C2350))</f>
        <v/>
      </c>
      <c r="G2350">
        <f>IF(A2350="","",IF(OR(B2350&lt;&gt;B2349,C2350&lt;&gt;C2349,D2350&lt;&gt;D2349,E2350&lt;&gt;E2349),G2349+1,G2349))</f>
        <v/>
      </c>
    </row>
    <row r="2351">
      <c r="A2351" s="14">
        <f>IF(OR(NOT(ISNUMBER(Ввод!$B$5)),NOT(ISNUMBER(Ввод!$B$6))),"",IF(Ввод!$B$5+2349&gt;Ввод!$B$6,"",Ввод!$B$5+2349))</f>
        <v/>
      </c>
      <c r="B2351">
        <f>IF(A2351="","",IFERROR(INDEX(Ввод!$B$12:$B$71,MATCH(A2351,Ввод!$D$12:$D$71,1)),""))</f>
        <v/>
      </c>
      <c r="C2351">
        <f>IF(A2351="","",DATE(YEAR(A2351),12,31)-DATE(YEAR(A2351),1,1)+1)</f>
        <v/>
      </c>
      <c r="D2351">
        <f>IF(A2351="","",Ввод!$B$4-SUMIF(Оплаты!$A$6:$A$505,"&lt;"&amp;A2351,Оплаты!$B$6:$B$505))</f>
        <v/>
      </c>
      <c r="E2351">
        <f>IF(A2351="","",IF(SUMPRODUCT((Ввод!$F$12:$F$31&lt;&gt;"")*(Ввод!$F$12:$F$31&lt;=A2351)*(Ввод!$G$12:$G$31&gt;=A2351))&gt;0,1,0))</f>
        <v/>
      </c>
      <c r="F2351">
        <f>IF(OR(A2351="",B2351=""),"",IF(E2351=1,0,D2351*B2351/100/C2351))</f>
        <v/>
      </c>
      <c r="G2351">
        <f>IF(A2351="","",IF(OR(B2351&lt;&gt;B2350,C2351&lt;&gt;C2350,D2351&lt;&gt;D2350,E2351&lt;&gt;E2350),G2350+1,G2350))</f>
        <v/>
      </c>
    </row>
    <row r="2352">
      <c r="A2352" s="14">
        <f>IF(OR(NOT(ISNUMBER(Ввод!$B$5)),NOT(ISNUMBER(Ввод!$B$6))),"",IF(Ввод!$B$5+2350&gt;Ввод!$B$6,"",Ввод!$B$5+2350))</f>
        <v/>
      </c>
      <c r="B2352">
        <f>IF(A2352="","",IFERROR(INDEX(Ввод!$B$12:$B$71,MATCH(A2352,Ввод!$D$12:$D$71,1)),""))</f>
        <v/>
      </c>
      <c r="C2352">
        <f>IF(A2352="","",DATE(YEAR(A2352),12,31)-DATE(YEAR(A2352),1,1)+1)</f>
        <v/>
      </c>
      <c r="D2352">
        <f>IF(A2352="","",Ввод!$B$4-SUMIF(Оплаты!$A$6:$A$505,"&lt;"&amp;A2352,Оплаты!$B$6:$B$505))</f>
        <v/>
      </c>
      <c r="E2352">
        <f>IF(A2352="","",IF(SUMPRODUCT((Ввод!$F$12:$F$31&lt;&gt;"")*(Ввод!$F$12:$F$31&lt;=A2352)*(Ввод!$G$12:$G$31&gt;=A2352))&gt;0,1,0))</f>
        <v/>
      </c>
      <c r="F2352">
        <f>IF(OR(A2352="",B2352=""),"",IF(E2352=1,0,D2352*B2352/100/C2352))</f>
        <v/>
      </c>
      <c r="G2352">
        <f>IF(A2352="","",IF(OR(B2352&lt;&gt;B2351,C2352&lt;&gt;C2351,D2352&lt;&gt;D2351,E2352&lt;&gt;E2351),G2351+1,G2351))</f>
        <v/>
      </c>
    </row>
    <row r="2353">
      <c r="A2353" s="14">
        <f>IF(OR(NOT(ISNUMBER(Ввод!$B$5)),NOT(ISNUMBER(Ввод!$B$6))),"",IF(Ввод!$B$5+2351&gt;Ввод!$B$6,"",Ввод!$B$5+2351))</f>
        <v/>
      </c>
      <c r="B2353">
        <f>IF(A2353="","",IFERROR(INDEX(Ввод!$B$12:$B$71,MATCH(A2353,Ввод!$D$12:$D$71,1)),""))</f>
        <v/>
      </c>
      <c r="C2353">
        <f>IF(A2353="","",DATE(YEAR(A2353),12,31)-DATE(YEAR(A2353),1,1)+1)</f>
        <v/>
      </c>
      <c r="D2353">
        <f>IF(A2353="","",Ввод!$B$4-SUMIF(Оплаты!$A$6:$A$505,"&lt;"&amp;A2353,Оплаты!$B$6:$B$505))</f>
        <v/>
      </c>
      <c r="E2353">
        <f>IF(A2353="","",IF(SUMPRODUCT((Ввод!$F$12:$F$31&lt;&gt;"")*(Ввод!$F$12:$F$31&lt;=A2353)*(Ввод!$G$12:$G$31&gt;=A2353))&gt;0,1,0))</f>
        <v/>
      </c>
      <c r="F2353">
        <f>IF(OR(A2353="",B2353=""),"",IF(E2353=1,0,D2353*B2353/100/C2353))</f>
        <v/>
      </c>
      <c r="G2353">
        <f>IF(A2353="","",IF(OR(B2353&lt;&gt;B2352,C2353&lt;&gt;C2352,D2353&lt;&gt;D2352,E2353&lt;&gt;E2352),G2352+1,G2352))</f>
        <v/>
      </c>
    </row>
    <row r="2354">
      <c r="A2354" s="14">
        <f>IF(OR(NOT(ISNUMBER(Ввод!$B$5)),NOT(ISNUMBER(Ввод!$B$6))),"",IF(Ввод!$B$5+2352&gt;Ввод!$B$6,"",Ввод!$B$5+2352))</f>
        <v/>
      </c>
      <c r="B2354">
        <f>IF(A2354="","",IFERROR(INDEX(Ввод!$B$12:$B$71,MATCH(A2354,Ввод!$D$12:$D$71,1)),""))</f>
        <v/>
      </c>
      <c r="C2354">
        <f>IF(A2354="","",DATE(YEAR(A2354),12,31)-DATE(YEAR(A2354),1,1)+1)</f>
        <v/>
      </c>
      <c r="D2354">
        <f>IF(A2354="","",Ввод!$B$4-SUMIF(Оплаты!$A$6:$A$505,"&lt;"&amp;A2354,Оплаты!$B$6:$B$505))</f>
        <v/>
      </c>
      <c r="E2354">
        <f>IF(A2354="","",IF(SUMPRODUCT((Ввод!$F$12:$F$31&lt;&gt;"")*(Ввод!$F$12:$F$31&lt;=A2354)*(Ввод!$G$12:$G$31&gt;=A2354))&gt;0,1,0))</f>
        <v/>
      </c>
      <c r="F2354">
        <f>IF(OR(A2354="",B2354=""),"",IF(E2354=1,0,D2354*B2354/100/C2354))</f>
        <v/>
      </c>
      <c r="G2354">
        <f>IF(A2354="","",IF(OR(B2354&lt;&gt;B2353,C2354&lt;&gt;C2353,D2354&lt;&gt;D2353,E2354&lt;&gt;E2353),G2353+1,G2353))</f>
        <v/>
      </c>
    </row>
    <row r="2355">
      <c r="A2355" s="14">
        <f>IF(OR(NOT(ISNUMBER(Ввод!$B$5)),NOT(ISNUMBER(Ввод!$B$6))),"",IF(Ввод!$B$5+2353&gt;Ввод!$B$6,"",Ввод!$B$5+2353))</f>
        <v/>
      </c>
      <c r="B2355">
        <f>IF(A2355="","",IFERROR(INDEX(Ввод!$B$12:$B$71,MATCH(A2355,Ввод!$D$12:$D$71,1)),""))</f>
        <v/>
      </c>
      <c r="C2355">
        <f>IF(A2355="","",DATE(YEAR(A2355),12,31)-DATE(YEAR(A2355),1,1)+1)</f>
        <v/>
      </c>
      <c r="D2355">
        <f>IF(A2355="","",Ввод!$B$4-SUMIF(Оплаты!$A$6:$A$505,"&lt;"&amp;A2355,Оплаты!$B$6:$B$505))</f>
        <v/>
      </c>
      <c r="E2355">
        <f>IF(A2355="","",IF(SUMPRODUCT((Ввод!$F$12:$F$31&lt;&gt;"")*(Ввод!$F$12:$F$31&lt;=A2355)*(Ввод!$G$12:$G$31&gt;=A2355))&gt;0,1,0))</f>
        <v/>
      </c>
      <c r="F2355">
        <f>IF(OR(A2355="",B2355=""),"",IF(E2355=1,0,D2355*B2355/100/C2355))</f>
        <v/>
      </c>
      <c r="G2355">
        <f>IF(A2355="","",IF(OR(B2355&lt;&gt;B2354,C2355&lt;&gt;C2354,D2355&lt;&gt;D2354,E2355&lt;&gt;E2354),G2354+1,G2354))</f>
        <v/>
      </c>
    </row>
    <row r="2356">
      <c r="A2356" s="14">
        <f>IF(OR(NOT(ISNUMBER(Ввод!$B$5)),NOT(ISNUMBER(Ввод!$B$6))),"",IF(Ввод!$B$5+2354&gt;Ввод!$B$6,"",Ввод!$B$5+2354))</f>
        <v/>
      </c>
      <c r="B2356">
        <f>IF(A2356="","",IFERROR(INDEX(Ввод!$B$12:$B$71,MATCH(A2356,Ввод!$D$12:$D$71,1)),""))</f>
        <v/>
      </c>
      <c r="C2356">
        <f>IF(A2356="","",DATE(YEAR(A2356),12,31)-DATE(YEAR(A2356),1,1)+1)</f>
        <v/>
      </c>
      <c r="D2356">
        <f>IF(A2356="","",Ввод!$B$4-SUMIF(Оплаты!$A$6:$A$505,"&lt;"&amp;A2356,Оплаты!$B$6:$B$505))</f>
        <v/>
      </c>
      <c r="E2356">
        <f>IF(A2356="","",IF(SUMPRODUCT((Ввод!$F$12:$F$31&lt;&gt;"")*(Ввод!$F$12:$F$31&lt;=A2356)*(Ввод!$G$12:$G$31&gt;=A2356))&gt;0,1,0))</f>
        <v/>
      </c>
      <c r="F2356">
        <f>IF(OR(A2356="",B2356=""),"",IF(E2356=1,0,D2356*B2356/100/C2356))</f>
        <v/>
      </c>
      <c r="G2356">
        <f>IF(A2356="","",IF(OR(B2356&lt;&gt;B2355,C2356&lt;&gt;C2355,D2356&lt;&gt;D2355,E2356&lt;&gt;E2355),G2355+1,G2355))</f>
        <v/>
      </c>
    </row>
    <row r="2357">
      <c r="A2357" s="14">
        <f>IF(OR(NOT(ISNUMBER(Ввод!$B$5)),NOT(ISNUMBER(Ввод!$B$6))),"",IF(Ввод!$B$5+2355&gt;Ввод!$B$6,"",Ввод!$B$5+2355))</f>
        <v/>
      </c>
      <c r="B2357">
        <f>IF(A2357="","",IFERROR(INDEX(Ввод!$B$12:$B$71,MATCH(A2357,Ввод!$D$12:$D$71,1)),""))</f>
        <v/>
      </c>
      <c r="C2357">
        <f>IF(A2357="","",DATE(YEAR(A2357),12,31)-DATE(YEAR(A2357),1,1)+1)</f>
        <v/>
      </c>
      <c r="D2357">
        <f>IF(A2357="","",Ввод!$B$4-SUMIF(Оплаты!$A$6:$A$505,"&lt;"&amp;A2357,Оплаты!$B$6:$B$505))</f>
        <v/>
      </c>
      <c r="E2357">
        <f>IF(A2357="","",IF(SUMPRODUCT((Ввод!$F$12:$F$31&lt;&gt;"")*(Ввод!$F$12:$F$31&lt;=A2357)*(Ввод!$G$12:$G$31&gt;=A2357))&gt;0,1,0))</f>
        <v/>
      </c>
      <c r="F2357">
        <f>IF(OR(A2357="",B2357=""),"",IF(E2357=1,0,D2357*B2357/100/C2357))</f>
        <v/>
      </c>
      <c r="G2357">
        <f>IF(A2357="","",IF(OR(B2357&lt;&gt;B2356,C2357&lt;&gt;C2356,D2357&lt;&gt;D2356,E2357&lt;&gt;E2356),G2356+1,G2356))</f>
        <v/>
      </c>
    </row>
    <row r="2358">
      <c r="A2358" s="14">
        <f>IF(OR(NOT(ISNUMBER(Ввод!$B$5)),NOT(ISNUMBER(Ввод!$B$6))),"",IF(Ввод!$B$5+2356&gt;Ввод!$B$6,"",Ввод!$B$5+2356))</f>
        <v/>
      </c>
      <c r="B2358">
        <f>IF(A2358="","",IFERROR(INDEX(Ввод!$B$12:$B$71,MATCH(A2358,Ввод!$D$12:$D$71,1)),""))</f>
        <v/>
      </c>
      <c r="C2358">
        <f>IF(A2358="","",DATE(YEAR(A2358),12,31)-DATE(YEAR(A2358),1,1)+1)</f>
        <v/>
      </c>
      <c r="D2358">
        <f>IF(A2358="","",Ввод!$B$4-SUMIF(Оплаты!$A$6:$A$505,"&lt;"&amp;A2358,Оплаты!$B$6:$B$505))</f>
        <v/>
      </c>
      <c r="E2358">
        <f>IF(A2358="","",IF(SUMPRODUCT((Ввод!$F$12:$F$31&lt;&gt;"")*(Ввод!$F$12:$F$31&lt;=A2358)*(Ввод!$G$12:$G$31&gt;=A2358))&gt;0,1,0))</f>
        <v/>
      </c>
      <c r="F2358">
        <f>IF(OR(A2358="",B2358=""),"",IF(E2358=1,0,D2358*B2358/100/C2358))</f>
        <v/>
      </c>
      <c r="G2358">
        <f>IF(A2358="","",IF(OR(B2358&lt;&gt;B2357,C2358&lt;&gt;C2357,D2358&lt;&gt;D2357,E2358&lt;&gt;E2357),G2357+1,G2357))</f>
        <v/>
      </c>
    </row>
    <row r="2359">
      <c r="A2359" s="14">
        <f>IF(OR(NOT(ISNUMBER(Ввод!$B$5)),NOT(ISNUMBER(Ввод!$B$6))),"",IF(Ввод!$B$5+2357&gt;Ввод!$B$6,"",Ввод!$B$5+2357))</f>
        <v/>
      </c>
      <c r="B2359">
        <f>IF(A2359="","",IFERROR(INDEX(Ввод!$B$12:$B$71,MATCH(A2359,Ввод!$D$12:$D$71,1)),""))</f>
        <v/>
      </c>
      <c r="C2359">
        <f>IF(A2359="","",DATE(YEAR(A2359),12,31)-DATE(YEAR(A2359),1,1)+1)</f>
        <v/>
      </c>
      <c r="D2359">
        <f>IF(A2359="","",Ввод!$B$4-SUMIF(Оплаты!$A$6:$A$505,"&lt;"&amp;A2359,Оплаты!$B$6:$B$505))</f>
        <v/>
      </c>
      <c r="E2359">
        <f>IF(A2359="","",IF(SUMPRODUCT((Ввод!$F$12:$F$31&lt;&gt;"")*(Ввод!$F$12:$F$31&lt;=A2359)*(Ввод!$G$12:$G$31&gt;=A2359))&gt;0,1,0))</f>
        <v/>
      </c>
      <c r="F2359">
        <f>IF(OR(A2359="",B2359=""),"",IF(E2359=1,0,D2359*B2359/100/C2359))</f>
        <v/>
      </c>
      <c r="G2359">
        <f>IF(A2359="","",IF(OR(B2359&lt;&gt;B2358,C2359&lt;&gt;C2358,D2359&lt;&gt;D2358,E2359&lt;&gt;E2358),G2358+1,G2358))</f>
        <v/>
      </c>
    </row>
    <row r="2360">
      <c r="A2360" s="14">
        <f>IF(OR(NOT(ISNUMBER(Ввод!$B$5)),NOT(ISNUMBER(Ввод!$B$6))),"",IF(Ввод!$B$5+2358&gt;Ввод!$B$6,"",Ввод!$B$5+2358))</f>
        <v/>
      </c>
      <c r="B2360">
        <f>IF(A2360="","",IFERROR(INDEX(Ввод!$B$12:$B$71,MATCH(A2360,Ввод!$D$12:$D$71,1)),""))</f>
        <v/>
      </c>
      <c r="C2360">
        <f>IF(A2360="","",DATE(YEAR(A2360),12,31)-DATE(YEAR(A2360),1,1)+1)</f>
        <v/>
      </c>
      <c r="D2360">
        <f>IF(A2360="","",Ввод!$B$4-SUMIF(Оплаты!$A$6:$A$505,"&lt;"&amp;A2360,Оплаты!$B$6:$B$505))</f>
        <v/>
      </c>
      <c r="E2360">
        <f>IF(A2360="","",IF(SUMPRODUCT((Ввод!$F$12:$F$31&lt;&gt;"")*(Ввод!$F$12:$F$31&lt;=A2360)*(Ввод!$G$12:$G$31&gt;=A2360))&gt;0,1,0))</f>
        <v/>
      </c>
      <c r="F2360">
        <f>IF(OR(A2360="",B2360=""),"",IF(E2360=1,0,D2360*B2360/100/C2360))</f>
        <v/>
      </c>
      <c r="G2360">
        <f>IF(A2360="","",IF(OR(B2360&lt;&gt;B2359,C2360&lt;&gt;C2359,D2360&lt;&gt;D2359,E2360&lt;&gt;E2359),G2359+1,G2359))</f>
        <v/>
      </c>
    </row>
    <row r="2361">
      <c r="A2361" s="14">
        <f>IF(OR(NOT(ISNUMBER(Ввод!$B$5)),NOT(ISNUMBER(Ввод!$B$6))),"",IF(Ввод!$B$5+2359&gt;Ввод!$B$6,"",Ввод!$B$5+2359))</f>
        <v/>
      </c>
      <c r="B2361">
        <f>IF(A2361="","",IFERROR(INDEX(Ввод!$B$12:$B$71,MATCH(A2361,Ввод!$D$12:$D$71,1)),""))</f>
        <v/>
      </c>
      <c r="C2361">
        <f>IF(A2361="","",DATE(YEAR(A2361),12,31)-DATE(YEAR(A2361),1,1)+1)</f>
        <v/>
      </c>
      <c r="D2361">
        <f>IF(A2361="","",Ввод!$B$4-SUMIF(Оплаты!$A$6:$A$505,"&lt;"&amp;A2361,Оплаты!$B$6:$B$505))</f>
        <v/>
      </c>
      <c r="E2361">
        <f>IF(A2361="","",IF(SUMPRODUCT((Ввод!$F$12:$F$31&lt;&gt;"")*(Ввод!$F$12:$F$31&lt;=A2361)*(Ввод!$G$12:$G$31&gt;=A2361))&gt;0,1,0))</f>
        <v/>
      </c>
      <c r="F2361">
        <f>IF(OR(A2361="",B2361=""),"",IF(E2361=1,0,D2361*B2361/100/C2361))</f>
        <v/>
      </c>
      <c r="G2361">
        <f>IF(A2361="","",IF(OR(B2361&lt;&gt;B2360,C2361&lt;&gt;C2360,D2361&lt;&gt;D2360,E2361&lt;&gt;E2360),G2360+1,G2360))</f>
        <v/>
      </c>
    </row>
    <row r="2362">
      <c r="A2362" s="14">
        <f>IF(OR(NOT(ISNUMBER(Ввод!$B$5)),NOT(ISNUMBER(Ввод!$B$6))),"",IF(Ввод!$B$5+2360&gt;Ввод!$B$6,"",Ввод!$B$5+2360))</f>
        <v/>
      </c>
      <c r="B2362">
        <f>IF(A2362="","",IFERROR(INDEX(Ввод!$B$12:$B$71,MATCH(A2362,Ввод!$D$12:$D$71,1)),""))</f>
        <v/>
      </c>
      <c r="C2362">
        <f>IF(A2362="","",DATE(YEAR(A2362),12,31)-DATE(YEAR(A2362),1,1)+1)</f>
        <v/>
      </c>
      <c r="D2362">
        <f>IF(A2362="","",Ввод!$B$4-SUMIF(Оплаты!$A$6:$A$505,"&lt;"&amp;A2362,Оплаты!$B$6:$B$505))</f>
        <v/>
      </c>
      <c r="E2362">
        <f>IF(A2362="","",IF(SUMPRODUCT((Ввод!$F$12:$F$31&lt;&gt;"")*(Ввод!$F$12:$F$31&lt;=A2362)*(Ввод!$G$12:$G$31&gt;=A2362))&gt;0,1,0))</f>
        <v/>
      </c>
      <c r="F2362">
        <f>IF(OR(A2362="",B2362=""),"",IF(E2362=1,0,D2362*B2362/100/C2362))</f>
        <v/>
      </c>
      <c r="G2362">
        <f>IF(A2362="","",IF(OR(B2362&lt;&gt;B2361,C2362&lt;&gt;C2361,D2362&lt;&gt;D2361,E2362&lt;&gt;E2361),G2361+1,G2361))</f>
        <v/>
      </c>
    </row>
    <row r="2363">
      <c r="A2363" s="14">
        <f>IF(OR(NOT(ISNUMBER(Ввод!$B$5)),NOT(ISNUMBER(Ввод!$B$6))),"",IF(Ввод!$B$5+2361&gt;Ввод!$B$6,"",Ввод!$B$5+2361))</f>
        <v/>
      </c>
      <c r="B2363">
        <f>IF(A2363="","",IFERROR(INDEX(Ввод!$B$12:$B$71,MATCH(A2363,Ввод!$D$12:$D$71,1)),""))</f>
        <v/>
      </c>
      <c r="C2363">
        <f>IF(A2363="","",DATE(YEAR(A2363),12,31)-DATE(YEAR(A2363),1,1)+1)</f>
        <v/>
      </c>
      <c r="D2363">
        <f>IF(A2363="","",Ввод!$B$4-SUMIF(Оплаты!$A$6:$A$505,"&lt;"&amp;A2363,Оплаты!$B$6:$B$505))</f>
        <v/>
      </c>
      <c r="E2363">
        <f>IF(A2363="","",IF(SUMPRODUCT((Ввод!$F$12:$F$31&lt;&gt;"")*(Ввод!$F$12:$F$31&lt;=A2363)*(Ввод!$G$12:$G$31&gt;=A2363))&gt;0,1,0))</f>
        <v/>
      </c>
      <c r="F2363">
        <f>IF(OR(A2363="",B2363=""),"",IF(E2363=1,0,D2363*B2363/100/C2363))</f>
        <v/>
      </c>
      <c r="G2363">
        <f>IF(A2363="","",IF(OR(B2363&lt;&gt;B2362,C2363&lt;&gt;C2362,D2363&lt;&gt;D2362,E2363&lt;&gt;E2362),G2362+1,G2362))</f>
        <v/>
      </c>
    </row>
    <row r="2364">
      <c r="A2364" s="14">
        <f>IF(OR(NOT(ISNUMBER(Ввод!$B$5)),NOT(ISNUMBER(Ввод!$B$6))),"",IF(Ввод!$B$5+2362&gt;Ввод!$B$6,"",Ввод!$B$5+2362))</f>
        <v/>
      </c>
      <c r="B2364">
        <f>IF(A2364="","",IFERROR(INDEX(Ввод!$B$12:$B$71,MATCH(A2364,Ввод!$D$12:$D$71,1)),""))</f>
        <v/>
      </c>
      <c r="C2364">
        <f>IF(A2364="","",DATE(YEAR(A2364),12,31)-DATE(YEAR(A2364),1,1)+1)</f>
        <v/>
      </c>
      <c r="D2364">
        <f>IF(A2364="","",Ввод!$B$4-SUMIF(Оплаты!$A$6:$A$505,"&lt;"&amp;A2364,Оплаты!$B$6:$B$505))</f>
        <v/>
      </c>
      <c r="E2364">
        <f>IF(A2364="","",IF(SUMPRODUCT((Ввод!$F$12:$F$31&lt;&gt;"")*(Ввод!$F$12:$F$31&lt;=A2364)*(Ввод!$G$12:$G$31&gt;=A2364))&gt;0,1,0))</f>
        <v/>
      </c>
      <c r="F2364">
        <f>IF(OR(A2364="",B2364=""),"",IF(E2364=1,0,D2364*B2364/100/C2364))</f>
        <v/>
      </c>
      <c r="G2364">
        <f>IF(A2364="","",IF(OR(B2364&lt;&gt;B2363,C2364&lt;&gt;C2363,D2364&lt;&gt;D2363,E2364&lt;&gt;E2363),G2363+1,G2363))</f>
        <v/>
      </c>
    </row>
    <row r="2365">
      <c r="A2365" s="14">
        <f>IF(OR(NOT(ISNUMBER(Ввод!$B$5)),NOT(ISNUMBER(Ввод!$B$6))),"",IF(Ввод!$B$5+2363&gt;Ввод!$B$6,"",Ввод!$B$5+2363))</f>
        <v/>
      </c>
      <c r="B2365">
        <f>IF(A2365="","",IFERROR(INDEX(Ввод!$B$12:$B$71,MATCH(A2365,Ввод!$D$12:$D$71,1)),""))</f>
        <v/>
      </c>
      <c r="C2365">
        <f>IF(A2365="","",DATE(YEAR(A2365),12,31)-DATE(YEAR(A2365),1,1)+1)</f>
        <v/>
      </c>
      <c r="D2365">
        <f>IF(A2365="","",Ввод!$B$4-SUMIF(Оплаты!$A$6:$A$505,"&lt;"&amp;A2365,Оплаты!$B$6:$B$505))</f>
        <v/>
      </c>
      <c r="E2365">
        <f>IF(A2365="","",IF(SUMPRODUCT((Ввод!$F$12:$F$31&lt;&gt;"")*(Ввод!$F$12:$F$31&lt;=A2365)*(Ввод!$G$12:$G$31&gt;=A2365))&gt;0,1,0))</f>
        <v/>
      </c>
      <c r="F2365">
        <f>IF(OR(A2365="",B2365=""),"",IF(E2365=1,0,D2365*B2365/100/C2365))</f>
        <v/>
      </c>
      <c r="G2365">
        <f>IF(A2365="","",IF(OR(B2365&lt;&gt;B2364,C2365&lt;&gt;C2364,D2365&lt;&gt;D2364,E2365&lt;&gt;E2364),G2364+1,G2364))</f>
        <v/>
      </c>
    </row>
    <row r="2366">
      <c r="A2366" s="14">
        <f>IF(OR(NOT(ISNUMBER(Ввод!$B$5)),NOT(ISNUMBER(Ввод!$B$6))),"",IF(Ввод!$B$5+2364&gt;Ввод!$B$6,"",Ввод!$B$5+2364))</f>
        <v/>
      </c>
      <c r="B2366">
        <f>IF(A2366="","",IFERROR(INDEX(Ввод!$B$12:$B$71,MATCH(A2366,Ввод!$D$12:$D$71,1)),""))</f>
        <v/>
      </c>
      <c r="C2366">
        <f>IF(A2366="","",DATE(YEAR(A2366),12,31)-DATE(YEAR(A2366),1,1)+1)</f>
        <v/>
      </c>
      <c r="D2366">
        <f>IF(A2366="","",Ввод!$B$4-SUMIF(Оплаты!$A$6:$A$505,"&lt;"&amp;A2366,Оплаты!$B$6:$B$505))</f>
        <v/>
      </c>
      <c r="E2366">
        <f>IF(A2366="","",IF(SUMPRODUCT((Ввод!$F$12:$F$31&lt;&gt;"")*(Ввод!$F$12:$F$31&lt;=A2366)*(Ввод!$G$12:$G$31&gt;=A2366))&gt;0,1,0))</f>
        <v/>
      </c>
      <c r="F2366">
        <f>IF(OR(A2366="",B2366=""),"",IF(E2366=1,0,D2366*B2366/100/C2366))</f>
        <v/>
      </c>
      <c r="G2366">
        <f>IF(A2366="","",IF(OR(B2366&lt;&gt;B2365,C2366&lt;&gt;C2365,D2366&lt;&gt;D2365,E2366&lt;&gt;E2365),G2365+1,G2365))</f>
        <v/>
      </c>
    </row>
    <row r="2367">
      <c r="A2367" s="14">
        <f>IF(OR(NOT(ISNUMBER(Ввод!$B$5)),NOT(ISNUMBER(Ввод!$B$6))),"",IF(Ввод!$B$5+2365&gt;Ввод!$B$6,"",Ввод!$B$5+2365))</f>
        <v/>
      </c>
      <c r="B2367">
        <f>IF(A2367="","",IFERROR(INDEX(Ввод!$B$12:$B$71,MATCH(A2367,Ввод!$D$12:$D$71,1)),""))</f>
        <v/>
      </c>
      <c r="C2367">
        <f>IF(A2367="","",DATE(YEAR(A2367),12,31)-DATE(YEAR(A2367),1,1)+1)</f>
        <v/>
      </c>
      <c r="D2367">
        <f>IF(A2367="","",Ввод!$B$4-SUMIF(Оплаты!$A$6:$A$505,"&lt;"&amp;A2367,Оплаты!$B$6:$B$505))</f>
        <v/>
      </c>
      <c r="E2367">
        <f>IF(A2367="","",IF(SUMPRODUCT((Ввод!$F$12:$F$31&lt;&gt;"")*(Ввод!$F$12:$F$31&lt;=A2367)*(Ввод!$G$12:$G$31&gt;=A2367))&gt;0,1,0))</f>
        <v/>
      </c>
      <c r="F2367">
        <f>IF(OR(A2367="",B2367=""),"",IF(E2367=1,0,D2367*B2367/100/C2367))</f>
        <v/>
      </c>
      <c r="G2367">
        <f>IF(A2367="","",IF(OR(B2367&lt;&gt;B2366,C2367&lt;&gt;C2366,D2367&lt;&gt;D2366,E2367&lt;&gt;E2366),G2366+1,G2366))</f>
        <v/>
      </c>
    </row>
    <row r="2368">
      <c r="A2368" s="14">
        <f>IF(OR(NOT(ISNUMBER(Ввод!$B$5)),NOT(ISNUMBER(Ввод!$B$6))),"",IF(Ввод!$B$5+2366&gt;Ввод!$B$6,"",Ввод!$B$5+2366))</f>
        <v/>
      </c>
      <c r="B2368">
        <f>IF(A2368="","",IFERROR(INDEX(Ввод!$B$12:$B$71,MATCH(A2368,Ввод!$D$12:$D$71,1)),""))</f>
        <v/>
      </c>
      <c r="C2368">
        <f>IF(A2368="","",DATE(YEAR(A2368),12,31)-DATE(YEAR(A2368),1,1)+1)</f>
        <v/>
      </c>
      <c r="D2368">
        <f>IF(A2368="","",Ввод!$B$4-SUMIF(Оплаты!$A$6:$A$505,"&lt;"&amp;A2368,Оплаты!$B$6:$B$505))</f>
        <v/>
      </c>
      <c r="E2368">
        <f>IF(A2368="","",IF(SUMPRODUCT((Ввод!$F$12:$F$31&lt;&gt;"")*(Ввод!$F$12:$F$31&lt;=A2368)*(Ввод!$G$12:$G$31&gt;=A2368))&gt;0,1,0))</f>
        <v/>
      </c>
      <c r="F2368">
        <f>IF(OR(A2368="",B2368=""),"",IF(E2368=1,0,D2368*B2368/100/C2368))</f>
        <v/>
      </c>
      <c r="G2368">
        <f>IF(A2368="","",IF(OR(B2368&lt;&gt;B2367,C2368&lt;&gt;C2367,D2368&lt;&gt;D2367,E2368&lt;&gt;E2367),G2367+1,G2367))</f>
        <v/>
      </c>
    </row>
    <row r="2369">
      <c r="A2369" s="14">
        <f>IF(OR(NOT(ISNUMBER(Ввод!$B$5)),NOT(ISNUMBER(Ввод!$B$6))),"",IF(Ввод!$B$5+2367&gt;Ввод!$B$6,"",Ввод!$B$5+2367))</f>
        <v/>
      </c>
      <c r="B2369">
        <f>IF(A2369="","",IFERROR(INDEX(Ввод!$B$12:$B$71,MATCH(A2369,Ввод!$D$12:$D$71,1)),""))</f>
        <v/>
      </c>
      <c r="C2369">
        <f>IF(A2369="","",DATE(YEAR(A2369),12,31)-DATE(YEAR(A2369),1,1)+1)</f>
        <v/>
      </c>
      <c r="D2369">
        <f>IF(A2369="","",Ввод!$B$4-SUMIF(Оплаты!$A$6:$A$505,"&lt;"&amp;A2369,Оплаты!$B$6:$B$505))</f>
        <v/>
      </c>
      <c r="E2369">
        <f>IF(A2369="","",IF(SUMPRODUCT((Ввод!$F$12:$F$31&lt;&gt;"")*(Ввод!$F$12:$F$31&lt;=A2369)*(Ввод!$G$12:$G$31&gt;=A2369))&gt;0,1,0))</f>
        <v/>
      </c>
      <c r="F2369">
        <f>IF(OR(A2369="",B2369=""),"",IF(E2369=1,0,D2369*B2369/100/C2369))</f>
        <v/>
      </c>
      <c r="G2369">
        <f>IF(A2369="","",IF(OR(B2369&lt;&gt;B2368,C2369&lt;&gt;C2368,D2369&lt;&gt;D2368,E2369&lt;&gt;E2368),G2368+1,G2368))</f>
        <v/>
      </c>
    </row>
    <row r="2370">
      <c r="A2370" s="14">
        <f>IF(OR(NOT(ISNUMBER(Ввод!$B$5)),NOT(ISNUMBER(Ввод!$B$6))),"",IF(Ввод!$B$5+2368&gt;Ввод!$B$6,"",Ввод!$B$5+2368))</f>
        <v/>
      </c>
      <c r="B2370">
        <f>IF(A2370="","",IFERROR(INDEX(Ввод!$B$12:$B$71,MATCH(A2370,Ввод!$D$12:$D$71,1)),""))</f>
        <v/>
      </c>
      <c r="C2370">
        <f>IF(A2370="","",DATE(YEAR(A2370),12,31)-DATE(YEAR(A2370),1,1)+1)</f>
        <v/>
      </c>
      <c r="D2370">
        <f>IF(A2370="","",Ввод!$B$4-SUMIF(Оплаты!$A$6:$A$505,"&lt;"&amp;A2370,Оплаты!$B$6:$B$505))</f>
        <v/>
      </c>
      <c r="E2370">
        <f>IF(A2370="","",IF(SUMPRODUCT((Ввод!$F$12:$F$31&lt;&gt;"")*(Ввод!$F$12:$F$31&lt;=A2370)*(Ввод!$G$12:$G$31&gt;=A2370))&gt;0,1,0))</f>
        <v/>
      </c>
      <c r="F2370">
        <f>IF(OR(A2370="",B2370=""),"",IF(E2370=1,0,D2370*B2370/100/C2370))</f>
        <v/>
      </c>
      <c r="G2370">
        <f>IF(A2370="","",IF(OR(B2370&lt;&gt;B2369,C2370&lt;&gt;C2369,D2370&lt;&gt;D2369,E2370&lt;&gt;E2369),G2369+1,G2369))</f>
        <v/>
      </c>
    </row>
    <row r="2371">
      <c r="A2371" s="14">
        <f>IF(OR(NOT(ISNUMBER(Ввод!$B$5)),NOT(ISNUMBER(Ввод!$B$6))),"",IF(Ввод!$B$5+2369&gt;Ввод!$B$6,"",Ввод!$B$5+2369))</f>
        <v/>
      </c>
      <c r="B2371">
        <f>IF(A2371="","",IFERROR(INDEX(Ввод!$B$12:$B$71,MATCH(A2371,Ввод!$D$12:$D$71,1)),""))</f>
        <v/>
      </c>
      <c r="C2371">
        <f>IF(A2371="","",DATE(YEAR(A2371),12,31)-DATE(YEAR(A2371),1,1)+1)</f>
        <v/>
      </c>
      <c r="D2371">
        <f>IF(A2371="","",Ввод!$B$4-SUMIF(Оплаты!$A$6:$A$505,"&lt;"&amp;A2371,Оплаты!$B$6:$B$505))</f>
        <v/>
      </c>
      <c r="E2371">
        <f>IF(A2371="","",IF(SUMPRODUCT((Ввод!$F$12:$F$31&lt;&gt;"")*(Ввод!$F$12:$F$31&lt;=A2371)*(Ввод!$G$12:$G$31&gt;=A2371))&gt;0,1,0))</f>
        <v/>
      </c>
      <c r="F2371">
        <f>IF(OR(A2371="",B2371=""),"",IF(E2371=1,0,D2371*B2371/100/C2371))</f>
        <v/>
      </c>
      <c r="G2371">
        <f>IF(A2371="","",IF(OR(B2371&lt;&gt;B2370,C2371&lt;&gt;C2370,D2371&lt;&gt;D2370,E2371&lt;&gt;E2370),G2370+1,G2370))</f>
        <v/>
      </c>
    </row>
    <row r="2372">
      <c r="A2372" s="14">
        <f>IF(OR(NOT(ISNUMBER(Ввод!$B$5)),NOT(ISNUMBER(Ввод!$B$6))),"",IF(Ввод!$B$5+2370&gt;Ввод!$B$6,"",Ввод!$B$5+2370))</f>
        <v/>
      </c>
      <c r="B2372">
        <f>IF(A2372="","",IFERROR(INDEX(Ввод!$B$12:$B$71,MATCH(A2372,Ввод!$D$12:$D$71,1)),""))</f>
        <v/>
      </c>
      <c r="C2372">
        <f>IF(A2372="","",DATE(YEAR(A2372),12,31)-DATE(YEAR(A2372),1,1)+1)</f>
        <v/>
      </c>
      <c r="D2372">
        <f>IF(A2372="","",Ввод!$B$4-SUMIF(Оплаты!$A$6:$A$505,"&lt;"&amp;A2372,Оплаты!$B$6:$B$505))</f>
        <v/>
      </c>
      <c r="E2372">
        <f>IF(A2372="","",IF(SUMPRODUCT((Ввод!$F$12:$F$31&lt;&gt;"")*(Ввод!$F$12:$F$31&lt;=A2372)*(Ввод!$G$12:$G$31&gt;=A2372))&gt;0,1,0))</f>
        <v/>
      </c>
      <c r="F2372">
        <f>IF(OR(A2372="",B2372=""),"",IF(E2372=1,0,D2372*B2372/100/C2372))</f>
        <v/>
      </c>
      <c r="G2372">
        <f>IF(A2372="","",IF(OR(B2372&lt;&gt;B2371,C2372&lt;&gt;C2371,D2372&lt;&gt;D2371,E2372&lt;&gt;E2371),G2371+1,G2371))</f>
        <v/>
      </c>
    </row>
    <row r="2373">
      <c r="A2373" s="14">
        <f>IF(OR(NOT(ISNUMBER(Ввод!$B$5)),NOT(ISNUMBER(Ввод!$B$6))),"",IF(Ввод!$B$5+2371&gt;Ввод!$B$6,"",Ввод!$B$5+2371))</f>
        <v/>
      </c>
      <c r="B2373">
        <f>IF(A2373="","",IFERROR(INDEX(Ввод!$B$12:$B$71,MATCH(A2373,Ввод!$D$12:$D$71,1)),""))</f>
        <v/>
      </c>
      <c r="C2373">
        <f>IF(A2373="","",DATE(YEAR(A2373),12,31)-DATE(YEAR(A2373),1,1)+1)</f>
        <v/>
      </c>
      <c r="D2373">
        <f>IF(A2373="","",Ввод!$B$4-SUMIF(Оплаты!$A$6:$A$505,"&lt;"&amp;A2373,Оплаты!$B$6:$B$505))</f>
        <v/>
      </c>
      <c r="E2373">
        <f>IF(A2373="","",IF(SUMPRODUCT((Ввод!$F$12:$F$31&lt;&gt;"")*(Ввод!$F$12:$F$31&lt;=A2373)*(Ввод!$G$12:$G$31&gt;=A2373))&gt;0,1,0))</f>
        <v/>
      </c>
      <c r="F2373">
        <f>IF(OR(A2373="",B2373=""),"",IF(E2373=1,0,D2373*B2373/100/C2373))</f>
        <v/>
      </c>
      <c r="G2373">
        <f>IF(A2373="","",IF(OR(B2373&lt;&gt;B2372,C2373&lt;&gt;C2372,D2373&lt;&gt;D2372,E2373&lt;&gt;E2372),G2372+1,G2372))</f>
        <v/>
      </c>
    </row>
    <row r="2374">
      <c r="A2374" s="14">
        <f>IF(OR(NOT(ISNUMBER(Ввод!$B$5)),NOT(ISNUMBER(Ввод!$B$6))),"",IF(Ввод!$B$5+2372&gt;Ввод!$B$6,"",Ввод!$B$5+2372))</f>
        <v/>
      </c>
      <c r="B2374">
        <f>IF(A2374="","",IFERROR(INDEX(Ввод!$B$12:$B$71,MATCH(A2374,Ввод!$D$12:$D$71,1)),""))</f>
        <v/>
      </c>
      <c r="C2374">
        <f>IF(A2374="","",DATE(YEAR(A2374),12,31)-DATE(YEAR(A2374),1,1)+1)</f>
        <v/>
      </c>
      <c r="D2374">
        <f>IF(A2374="","",Ввод!$B$4-SUMIF(Оплаты!$A$6:$A$505,"&lt;"&amp;A2374,Оплаты!$B$6:$B$505))</f>
        <v/>
      </c>
      <c r="E2374">
        <f>IF(A2374="","",IF(SUMPRODUCT((Ввод!$F$12:$F$31&lt;&gt;"")*(Ввод!$F$12:$F$31&lt;=A2374)*(Ввод!$G$12:$G$31&gt;=A2374))&gt;0,1,0))</f>
        <v/>
      </c>
      <c r="F2374">
        <f>IF(OR(A2374="",B2374=""),"",IF(E2374=1,0,D2374*B2374/100/C2374))</f>
        <v/>
      </c>
      <c r="G2374">
        <f>IF(A2374="","",IF(OR(B2374&lt;&gt;B2373,C2374&lt;&gt;C2373,D2374&lt;&gt;D2373,E2374&lt;&gt;E2373),G2373+1,G2373))</f>
        <v/>
      </c>
    </row>
    <row r="2375">
      <c r="A2375" s="14">
        <f>IF(OR(NOT(ISNUMBER(Ввод!$B$5)),NOT(ISNUMBER(Ввод!$B$6))),"",IF(Ввод!$B$5+2373&gt;Ввод!$B$6,"",Ввод!$B$5+2373))</f>
        <v/>
      </c>
      <c r="B2375">
        <f>IF(A2375="","",IFERROR(INDEX(Ввод!$B$12:$B$71,MATCH(A2375,Ввод!$D$12:$D$71,1)),""))</f>
        <v/>
      </c>
      <c r="C2375">
        <f>IF(A2375="","",DATE(YEAR(A2375),12,31)-DATE(YEAR(A2375),1,1)+1)</f>
        <v/>
      </c>
      <c r="D2375">
        <f>IF(A2375="","",Ввод!$B$4-SUMIF(Оплаты!$A$6:$A$505,"&lt;"&amp;A2375,Оплаты!$B$6:$B$505))</f>
        <v/>
      </c>
      <c r="E2375">
        <f>IF(A2375="","",IF(SUMPRODUCT((Ввод!$F$12:$F$31&lt;&gt;"")*(Ввод!$F$12:$F$31&lt;=A2375)*(Ввод!$G$12:$G$31&gt;=A2375))&gt;0,1,0))</f>
        <v/>
      </c>
      <c r="F2375">
        <f>IF(OR(A2375="",B2375=""),"",IF(E2375=1,0,D2375*B2375/100/C2375))</f>
        <v/>
      </c>
      <c r="G2375">
        <f>IF(A2375="","",IF(OR(B2375&lt;&gt;B2374,C2375&lt;&gt;C2374,D2375&lt;&gt;D2374,E2375&lt;&gt;E2374),G2374+1,G2374))</f>
        <v/>
      </c>
    </row>
    <row r="2376">
      <c r="A2376" s="14">
        <f>IF(OR(NOT(ISNUMBER(Ввод!$B$5)),NOT(ISNUMBER(Ввод!$B$6))),"",IF(Ввод!$B$5+2374&gt;Ввод!$B$6,"",Ввод!$B$5+2374))</f>
        <v/>
      </c>
      <c r="B2376">
        <f>IF(A2376="","",IFERROR(INDEX(Ввод!$B$12:$B$71,MATCH(A2376,Ввод!$D$12:$D$71,1)),""))</f>
        <v/>
      </c>
      <c r="C2376">
        <f>IF(A2376="","",DATE(YEAR(A2376),12,31)-DATE(YEAR(A2376),1,1)+1)</f>
        <v/>
      </c>
      <c r="D2376">
        <f>IF(A2376="","",Ввод!$B$4-SUMIF(Оплаты!$A$6:$A$505,"&lt;"&amp;A2376,Оплаты!$B$6:$B$505))</f>
        <v/>
      </c>
      <c r="E2376">
        <f>IF(A2376="","",IF(SUMPRODUCT((Ввод!$F$12:$F$31&lt;&gt;"")*(Ввод!$F$12:$F$31&lt;=A2376)*(Ввод!$G$12:$G$31&gt;=A2376))&gt;0,1,0))</f>
        <v/>
      </c>
      <c r="F2376">
        <f>IF(OR(A2376="",B2376=""),"",IF(E2376=1,0,D2376*B2376/100/C2376))</f>
        <v/>
      </c>
      <c r="G2376">
        <f>IF(A2376="","",IF(OR(B2376&lt;&gt;B2375,C2376&lt;&gt;C2375,D2376&lt;&gt;D2375,E2376&lt;&gt;E2375),G2375+1,G2375))</f>
        <v/>
      </c>
    </row>
    <row r="2377">
      <c r="A2377" s="14">
        <f>IF(OR(NOT(ISNUMBER(Ввод!$B$5)),NOT(ISNUMBER(Ввод!$B$6))),"",IF(Ввод!$B$5+2375&gt;Ввод!$B$6,"",Ввод!$B$5+2375))</f>
        <v/>
      </c>
      <c r="B2377">
        <f>IF(A2377="","",IFERROR(INDEX(Ввод!$B$12:$B$71,MATCH(A2377,Ввод!$D$12:$D$71,1)),""))</f>
        <v/>
      </c>
      <c r="C2377">
        <f>IF(A2377="","",DATE(YEAR(A2377),12,31)-DATE(YEAR(A2377),1,1)+1)</f>
        <v/>
      </c>
      <c r="D2377">
        <f>IF(A2377="","",Ввод!$B$4-SUMIF(Оплаты!$A$6:$A$505,"&lt;"&amp;A2377,Оплаты!$B$6:$B$505))</f>
        <v/>
      </c>
      <c r="E2377">
        <f>IF(A2377="","",IF(SUMPRODUCT((Ввод!$F$12:$F$31&lt;&gt;"")*(Ввод!$F$12:$F$31&lt;=A2377)*(Ввод!$G$12:$G$31&gt;=A2377))&gt;0,1,0))</f>
        <v/>
      </c>
      <c r="F2377">
        <f>IF(OR(A2377="",B2377=""),"",IF(E2377=1,0,D2377*B2377/100/C2377))</f>
        <v/>
      </c>
      <c r="G2377">
        <f>IF(A2377="","",IF(OR(B2377&lt;&gt;B2376,C2377&lt;&gt;C2376,D2377&lt;&gt;D2376,E2377&lt;&gt;E2376),G2376+1,G2376))</f>
        <v/>
      </c>
    </row>
    <row r="2378">
      <c r="A2378" s="14">
        <f>IF(OR(NOT(ISNUMBER(Ввод!$B$5)),NOT(ISNUMBER(Ввод!$B$6))),"",IF(Ввод!$B$5+2376&gt;Ввод!$B$6,"",Ввод!$B$5+2376))</f>
        <v/>
      </c>
      <c r="B2378">
        <f>IF(A2378="","",IFERROR(INDEX(Ввод!$B$12:$B$71,MATCH(A2378,Ввод!$D$12:$D$71,1)),""))</f>
        <v/>
      </c>
      <c r="C2378">
        <f>IF(A2378="","",DATE(YEAR(A2378),12,31)-DATE(YEAR(A2378),1,1)+1)</f>
        <v/>
      </c>
      <c r="D2378">
        <f>IF(A2378="","",Ввод!$B$4-SUMIF(Оплаты!$A$6:$A$505,"&lt;"&amp;A2378,Оплаты!$B$6:$B$505))</f>
        <v/>
      </c>
      <c r="E2378">
        <f>IF(A2378="","",IF(SUMPRODUCT((Ввод!$F$12:$F$31&lt;&gt;"")*(Ввод!$F$12:$F$31&lt;=A2378)*(Ввод!$G$12:$G$31&gt;=A2378))&gt;0,1,0))</f>
        <v/>
      </c>
      <c r="F2378">
        <f>IF(OR(A2378="",B2378=""),"",IF(E2378=1,0,D2378*B2378/100/C2378))</f>
        <v/>
      </c>
      <c r="G2378">
        <f>IF(A2378="","",IF(OR(B2378&lt;&gt;B2377,C2378&lt;&gt;C2377,D2378&lt;&gt;D2377,E2378&lt;&gt;E2377),G2377+1,G2377))</f>
        <v/>
      </c>
    </row>
    <row r="2379">
      <c r="A2379" s="14">
        <f>IF(OR(NOT(ISNUMBER(Ввод!$B$5)),NOT(ISNUMBER(Ввод!$B$6))),"",IF(Ввод!$B$5+2377&gt;Ввод!$B$6,"",Ввод!$B$5+2377))</f>
        <v/>
      </c>
      <c r="B2379">
        <f>IF(A2379="","",IFERROR(INDEX(Ввод!$B$12:$B$71,MATCH(A2379,Ввод!$D$12:$D$71,1)),""))</f>
        <v/>
      </c>
      <c r="C2379">
        <f>IF(A2379="","",DATE(YEAR(A2379),12,31)-DATE(YEAR(A2379),1,1)+1)</f>
        <v/>
      </c>
      <c r="D2379">
        <f>IF(A2379="","",Ввод!$B$4-SUMIF(Оплаты!$A$6:$A$505,"&lt;"&amp;A2379,Оплаты!$B$6:$B$505))</f>
        <v/>
      </c>
      <c r="E2379">
        <f>IF(A2379="","",IF(SUMPRODUCT((Ввод!$F$12:$F$31&lt;&gt;"")*(Ввод!$F$12:$F$31&lt;=A2379)*(Ввод!$G$12:$G$31&gt;=A2379))&gt;0,1,0))</f>
        <v/>
      </c>
      <c r="F2379">
        <f>IF(OR(A2379="",B2379=""),"",IF(E2379=1,0,D2379*B2379/100/C2379))</f>
        <v/>
      </c>
      <c r="G2379">
        <f>IF(A2379="","",IF(OR(B2379&lt;&gt;B2378,C2379&lt;&gt;C2378,D2379&lt;&gt;D2378,E2379&lt;&gt;E2378),G2378+1,G2378))</f>
        <v/>
      </c>
    </row>
    <row r="2380">
      <c r="A2380" s="14">
        <f>IF(OR(NOT(ISNUMBER(Ввод!$B$5)),NOT(ISNUMBER(Ввод!$B$6))),"",IF(Ввод!$B$5+2378&gt;Ввод!$B$6,"",Ввод!$B$5+2378))</f>
        <v/>
      </c>
      <c r="B2380">
        <f>IF(A2380="","",IFERROR(INDEX(Ввод!$B$12:$B$71,MATCH(A2380,Ввод!$D$12:$D$71,1)),""))</f>
        <v/>
      </c>
      <c r="C2380">
        <f>IF(A2380="","",DATE(YEAR(A2380),12,31)-DATE(YEAR(A2380),1,1)+1)</f>
        <v/>
      </c>
      <c r="D2380">
        <f>IF(A2380="","",Ввод!$B$4-SUMIF(Оплаты!$A$6:$A$505,"&lt;"&amp;A2380,Оплаты!$B$6:$B$505))</f>
        <v/>
      </c>
      <c r="E2380">
        <f>IF(A2380="","",IF(SUMPRODUCT((Ввод!$F$12:$F$31&lt;&gt;"")*(Ввод!$F$12:$F$31&lt;=A2380)*(Ввод!$G$12:$G$31&gt;=A2380))&gt;0,1,0))</f>
        <v/>
      </c>
      <c r="F2380">
        <f>IF(OR(A2380="",B2380=""),"",IF(E2380=1,0,D2380*B2380/100/C2380))</f>
        <v/>
      </c>
      <c r="G2380">
        <f>IF(A2380="","",IF(OR(B2380&lt;&gt;B2379,C2380&lt;&gt;C2379,D2380&lt;&gt;D2379,E2380&lt;&gt;E2379),G2379+1,G2379))</f>
        <v/>
      </c>
    </row>
    <row r="2381">
      <c r="A2381" s="14">
        <f>IF(OR(NOT(ISNUMBER(Ввод!$B$5)),NOT(ISNUMBER(Ввод!$B$6))),"",IF(Ввод!$B$5+2379&gt;Ввод!$B$6,"",Ввод!$B$5+2379))</f>
        <v/>
      </c>
      <c r="B2381">
        <f>IF(A2381="","",IFERROR(INDEX(Ввод!$B$12:$B$71,MATCH(A2381,Ввод!$D$12:$D$71,1)),""))</f>
        <v/>
      </c>
      <c r="C2381">
        <f>IF(A2381="","",DATE(YEAR(A2381),12,31)-DATE(YEAR(A2381),1,1)+1)</f>
        <v/>
      </c>
      <c r="D2381">
        <f>IF(A2381="","",Ввод!$B$4-SUMIF(Оплаты!$A$6:$A$505,"&lt;"&amp;A2381,Оплаты!$B$6:$B$505))</f>
        <v/>
      </c>
      <c r="E2381">
        <f>IF(A2381="","",IF(SUMPRODUCT((Ввод!$F$12:$F$31&lt;&gt;"")*(Ввод!$F$12:$F$31&lt;=A2381)*(Ввод!$G$12:$G$31&gt;=A2381))&gt;0,1,0))</f>
        <v/>
      </c>
      <c r="F2381">
        <f>IF(OR(A2381="",B2381=""),"",IF(E2381=1,0,D2381*B2381/100/C2381))</f>
        <v/>
      </c>
      <c r="G2381">
        <f>IF(A2381="","",IF(OR(B2381&lt;&gt;B2380,C2381&lt;&gt;C2380,D2381&lt;&gt;D2380,E2381&lt;&gt;E2380),G2380+1,G2380))</f>
        <v/>
      </c>
    </row>
    <row r="2382">
      <c r="A2382" s="14">
        <f>IF(OR(NOT(ISNUMBER(Ввод!$B$5)),NOT(ISNUMBER(Ввод!$B$6))),"",IF(Ввод!$B$5+2380&gt;Ввод!$B$6,"",Ввод!$B$5+2380))</f>
        <v/>
      </c>
      <c r="B2382">
        <f>IF(A2382="","",IFERROR(INDEX(Ввод!$B$12:$B$71,MATCH(A2382,Ввод!$D$12:$D$71,1)),""))</f>
        <v/>
      </c>
      <c r="C2382">
        <f>IF(A2382="","",DATE(YEAR(A2382),12,31)-DATE(YEAR(A2382),1,1)+1)</f>
        <v/>
      </c>
      <c r="D2382">
        <f>IF(A2382="","",Ввод!$B$4-SUMIF(Оплаты!$A$6:$A$505,"&lt;"&amp;A2382,Оплаты!$B$6:$B$505))</f>
        <v/>
      </c>
      <c r="E2382">
        <f>IF(A2382="","",IF(SUMPRODUCT((Ввод!$F$12:$F$31&lt;&gt;"")*(Ввод!$F$12:$F$31&lt;=A2382)*(Ввод!$G$12:$G$31&gt;=A2382))&gt;0,1,0))</f>
        <v/>
      </c>
      <c r="F2382">
        <f>IF(OR(A2382="",B2382=""),"",IF(E2382=1,0,D2382*B2382/100/C2382))</f>
        <v/>
      </c>
      <c r="G2382">
        <f>IF(A2382="","",IF(OR(B2382&lt;&gt;B2381,C2382&lt;&gt;C2381,D2382&lt;&gt;D2381,E2382&lt;&gt;E2381),G2381+1,G2381))</f>
        <v/>
      </c>
    </row>
    <row r="2383">
      <c r="A2383" s="14">
        <f>IF(OR(NOT(ISNUMBER(Ввод!$B$5)),NOT(ISNUMBER(Ввод!$B$6))),"",IF(Ввод!$B$5+2381&gt;Ввод!$B$6,"",Ввод!$B$5+2381))</f>
        <v/>
      </c>
      <c r="B2383">
        <f>IF(A2383="","",IFERROR(INDEX(Ввод!$B$12:$B$71,MATCH(A2383,Ввод!$D$12:$D$71,1)),""))</f>
        <v/>
      </c>
      <c r="C2383">
        <f>IF(A2383="","",DATE(YEAR(A2383),12,31)-DATE(YEAR(A2383),1,1)+1)</f>
        <v/>
      </c>
      <c r="D2383">
        <f>IF(A2383="","",Ввод!$B$4-SUMIF(Оплаты!$A$6:$A$505,"&lt;"&amp;A2383,Оплаты!$B$6:$B$505))</f>
        <v/>
      </c>
      <c r="E2383">
        <f>IF(A2383="","",IF(SUMPRODUCT((Ввод!$F$12:$F$31&lt;&gt;"")*(Ввод!$F$12:$F$31&lt;=A2383)*(Ввод!$G$12:$G$31&gt;=A2383))&gt;0,1,0))</f>
        <v/>
      </c>
      <c r="F2383">
        <f>IF(OR(A2383="",B2383=""),"",IF(E2383=1,0,D2383*B2383/100/C2383))</f>
        <v/>
      </c>
      <c r="G2383">
        <f>IF(A2383="","",IF(OR(B2383&lt;&gt;B2382,C2383&lt;&gt;C2382,D2383&lt;&gt;D2382,E2383&lt;&gt;E2382),G2382+1,G2382))</f>
        <v/>
      </c>
    </row>
    <row r="2384">
      <c r="A2384" s="14">
        <f>IF(OR(NOT(ISNUMBER(Ввод!$B$5)),NOT(ISNUMBER(Ввод!$B$6))),"",IF(Ввод!$B$5+2382&gt;Ввод!$B$6,"",Ввод!$B$5+2382))</f>
        <v/>
      </c>
      <c r="B2384">
        <f>IF(A2384="","",IFERROR(INDEX(Ввод!$B$12:$B$71,MATCH(A2384,Ввод!$D$12:$D$71,1)),""))</f>
        <v/>
      </c>
      <c r="C2384">
        <f>IF(A2384="","",DATE(YEAR(A2384),12,31)-DATE(YEAR(A2384),1,1)+1)</f>
        <v/>
      </c>
      <c r="D2384">
        <f>IF(A2384="","",Ввод!$B$4-SUMIF(Оплаты!$A$6:$A$505,"&lt;"&amp;A2384,Оплаты!$B$6:$B$505))</f>
        <v/>
      </c>
      <c r="E2384">
        <f>IF(A2384="","",IF(SUMPRODUCT((Ввод!$F$12:$F$31&lt;&gt;"")*(Ввод!$F$12:$F$31&lt;=A2384)*(Ввод!$G$12:$G$31&gt;=A2384))&gt;0,1,0))</f>
        <v/>
      </c>
      <c r="F2384">
        <f>IF(OR(A2384="",B2384=""),"",IF(E2384=1,0,D2384*B2384/100/C2384))</f>
        <v/>
      </c>
      <c r="G2384">
        <f>IF(A2384="","",IF(OR(B2384&lt;&gt;B2383,C2384&lt;&gt;C2383,D2384&lt;&gt;D2383,E2384&lt;&gt;E2383),G2383+1,G2383))</f>
        <v/>
      </c>
    </row>
    <row r="2385">
      <c r="A2385" s="14">
        <f>IF(OR(NOT(ISNUMBER(Ввод!$B$5)),NOT(ISNUMBER(Ввод!$B$6))),"",IF(Ввод!$B$5+2383&gt;Ввод!$B$6,"",Ввод!$B$5+2383))</f>
        <v/>
      </c>
      <c r="B2385">
        <f>IF(A2385="","",IFERROR(INDEX(Ввод!$B$12:$B$71,MATCH(A2385,Ввод!$D$12:$D$71,1)),""))</f>
        <v/>
      </c>
      <c r="C2385">
        <f>IF(A2385="","",DATE(YEAR(A2385),12,31)-DATE(YEAR(A2385),1,1)+1)</f>
        <v/>
      </c>
      <c r="D2385">
        <f>IF(A2385="","",Ввод!$B$4-SUMIF(Оплаты!$A$6:$A$505,"&lt;"&amp;A2385,Оплаты!$B$6:$B$505))</f>
        <v/>
      </c>
      <c r="E2385">
        <f>IF(A2385="","",IF(SUMPRODUCT((Ввод!$F$12:$F$31&lt;&gt;"")*(Ввод!$F$12:$F$31&lt;=A2385)*(Ввод!$G$12:$G$31&gt;=A2385))&gt;0,1,0))</f>
        <v/>
      </c>
      <c r="F2385">
        <f>IF(OR(A2385="",B2385=""),"",IF(E2385=1,0,D2385*B2385/100/C2385))</f>
        <v/>
      </c>
      <c r="G2385">
        <f>IF(A2385="","",IF(OR(B2385&lt;&gt;B2384,C2385&lt;&gt;C2384,D2385&lt;&gt;D2384,E2385&lt;&gt;E2384),G2384+1,G2384))</f>
        <v/>
      </c>
    </row>
    <row r="2386">
      <c r="A2386" s="14">
        <f>IF(OR(NOT(ISNUMBER(Ввод!$B$5)),NOT(ISNUMBER(Ввод!$B$6))),"",IF(Ввод!$B$5+2384&gt;Ввод!$B$6,"",Ввод!$B$5+2384))</f>
        <v/>
      </c>
      <c r="B2386">
        <f>IF(A2386="","",IFERROR(INDEX(Ввод!$B$12:$B$71,MATCH(A2386,Ввод!$D$12:$D$71,1)),""))</f>
        <v/>
      </c>
      <c r="C2386">
        <f>IF(A2386="","",DATE(YEAR(A2386),12,31)-DATE(YEAR(A2386),1,1)+1)</f>
        <v/>
      </c>
      <c r="D2386">
        <f>IF(A2386="","",Ввод!$B$4-SUMIF(Оплаты!$A$6:$A$505,"&lt;"&amp;A2386,Оплаты!$B$6:$B$505))</f>
        <v/>
      </c>
      <c r="E2386">
        <f>IF(A2386="","",IF(SUMPRODUCT((Ввод!$F$12:$F$31&lt;&gt;"")*(Ввод!$F$12:$F$31&lt;=A2386)*(Ввод!$G$12:$G$31&gt;=A2386))&gt;0,1,0))</f>
        <v/>
      </c>
      <c r="F2386">
        <f>IF(OR(A2386="",B2386=""),"",IF(E2386=1,0,D2386*B2386/100/C2386))</f>
        <v/>
      </c>
      <c r="G2386">
        <f>IF(A2386="","",IF(OR(B2386&lt;&gt;B2385,C2386&lt;&gt;C2385,D2386&lt;&gt;D2385,E2386&lt;&gt;E2385),G2385+1,G2385))</f>
        <v/>
      </c>
    </row>
    <row r="2387">
      <c r="A2387" s="14">
        <f>IF(OR(NOT(ISNUMBER(Ввод!$B$5)),NOT(ISNUMBER(Ввод!$B$6))),"",IF(Ввод!$B$5+2385&gt;Ввод!$B$6,"",Ввод!$B$5+2385))</f>
        <v/>
      </c>
      <c r="B2387">
        <f>IF(A2387="","",IFERROR(INDEX(Ввод!$B$12:$B$71,MATCH(A2387,Ввод!$D$12:$D$71,1)),""))</f>
        <v/>
      </c>
      <c r="C2387">
        <f>IF(A2387="","",DATE(YEAR(A2387),12,31)-DATE(YEAR(A2387),1,1)+1)</f>
        <v/>
      </c>
      <c r="D2387">
        <f>IF(A2387="","",Ввод!$B$4-SUMIF(Оплаты!$A$6:$A$505,"&lt;"&amp;A2387,Оплаты!$B$6:$B$505))</f>
        <v/>
      </c>
      <c r="E2387">
        <f>IF(A2387="","",IF(SUMPRODUCT((Ввод!$F$12:$F$31&lt;&gt;"")*(Ввод!$F$12:$F$31&lt;=A2387)*(Ввод!$G$12:$G$31&gt;=A2387))&gt;0,1,0))</f>
        <v/>
      </c>
      <c r="F2387">
        <f>IF(OR(A2387="",B2387=""),"",IF(E2387=1,0,D2387*B2387/100/C2387))</f>
        <v/>
      </c>
      <c r="G2387">
        <f>IF(A2387="","",IF(OR(B2387&lt;&gt;B2386,C2387&lt;&gt;C2386,D2387&lt;&gt;D2386,E2387&lt;&gt;E2386),G2386+1,G2386))</f>
        <v/>
      </c>
    </row>
    <row r="2388">
      <c r="A2388" s="14">
        <f>IF(OR(NOT(ISNUMBER(Ввод!$B$5)),NOT(ISNUMBER(Ввод!$B$6))),"",IF(Ввод!$B$5+2386&gt;Ввод!$B$6,"",Ввод!$B$5+2386))</f>
        <v/>
      </c>
      <c r="B2388">
        <f>IF(A2388="","",IFERROR(INDEX(Ввод!$B$12:$B$71,MATCH(A2388,Ввод!$D$12:$D$71,1)),""))</f>
        <v/>
      </c>
      <c r="C2388">
        <f>IF(A2388="","",DATE(YEAR(A2388),12,31)-DATE(YEAR(A2388),1,1)+1)</f>
        <v/>
      </c>
      <c r="D2388">
        <f>IF(A2388="","",Ввод!$B$4-SUMIF(Оплаты!$A$6:$A$505,"&lt;"&amp;A2388,Оплаты!$B$6:$B$505))</f>
        <v/>
      </c>
      <c r="E2388">
        <f>IF(A2388="","",IF(SUMPRODUCT((Ввод!$F$12:$F$31&lt;&gt;"")*(Ввод!$F$12:$F$31&lt;=A2388)*(Ввод!$G$12:$G$31&gt;=A2388))&gt;0,1,0))</f>
        <v/>
      </c>
      <c r="F2388">
        <f>IF(OR(A2388="",B2388=""),"",IF(E2388=1,0,D2388*B2388/100/C2388))</f>
        <v/>
      </c>
      <c r="G2388">
        <f>IF(A2388="","",IF(OR(B2388&lt;&gt;B2387,C2388&lt;&gt;C2387,D2388&lt;&gt;D2387,E2388&lt;&gt;E2387),G2387+1,G2387))</f>
        <v/>
      </c>
    </row>
    <row r="2389">
      <c r="A2389" s="14">
        <f>IF(OR(NOT(ISNUMBER(Ввод!$B$5)),NOT(ISNUMBER(Ввод!$B$6))),"",IF(Ввод!$B$5+2387&gt;Ввод!$B$6,"",Ввод!$B$5+2387))</f>
        <v/>
      </c>
      <c r="B2389">
        <f>IF(A2389="","",IFERROR(INDEX(Ввод!$B$12:$B$71,MATCH(A2389,Ввод!$D$12:$D$71,1)),""))</f>
        <v/>
      </c>
      <c r="C2389">
        <f>IF(A2389="","",DATE(YEAR(A2389),12,31)-DATE(YEAR(A2389),1,1)+1)</f>
        <v/>
      </c>
      <c r="D2389">
        <f>IF(A2389="","",Ввод!$B$4-SUMIF(Оплаты!$A$6:$A$505,"&lt;"&amp;A2389,Оплаты!$B$6:$B$505))</f>
        <v/>
      </c>
      <c r="E2389">
        <f>IF(A2389="","",IF(SUMPRODUCT((Ввод!$F$12:$F$31&lt;&gt;"")*(Ввод!$F$12:$F$31&lt;=A2389)*(Ввод!$G$12:$G$31&gt;=A2389))&gt;0,1,0))</f>
        <v/>
      </c>
      <c r="F2389">
        <f>IF(OR(A2389="",B2389=""),"",IF(E2389=1,0,D2389*B2389/100/C2389))</f>
        <v/>
      </c>
      <c r="G2389">
        <f>IF(A2389="","",IF(OR(B2389&lt;&gt;B2388,C2389&lt;&gt;C2388,D2389&lt;&gt;D2388,E2389&lt;&gt;E2388),G2388+1,G2388))</f>
        <v/>
      </c>
    </row>
    <row r="2390">
      <c r="A2390" s="14">
        <f>IF(OR(NOT(ISNUMBER(Ввод!$B$5)),NOT(ISNUMBER(Ввод!$B$6))),"",IF(Ввод!$B$5+2388&gt;Ввод!$B$6,"",Ввод!$B$5+2388))</f>
        <v/>
      </c>
      <c r="B2390">
        <f>IF(A2390="","",IFERROR(INDEX(Ввод!$B$12:$B$71,MATCH(A2390,Ввод!$D$12:$D$71,1)),""))</f>
        <v/>
      </c>
      <c r="C2390">
        <f>IF(A2390="","",DATE(YEAR(A2390),12,31)-DATE(YEAR(A2390),1,1)+1)</f>
        <v/>
      </c>
      <c r="D2390">
        <f>IF(A2390="","",Ввод!$B$4-SUMIF(Оплаты!$A$6:$A$505,"&lt;"&amp;A2390,Оплаты!$B$6:$B$505))</f>
        <v/>
      </c>
      <c r="E2390">
        <f>IF(A2390="","",IF(SUMPRODUCT((Ввод!$F$12:$F$31&lt;&gt;"")*(Ввод!$F$12:$F$31&lt;=A2390)*(Ввод!$G$12:$G$31&gt;=A2390))&gt;0,1,0))</f>
        <v/>
      </c>
      <c r="F2390">
        <f>IF(OR(A2390="",B2390=""),"",IF(E2390=1,0,D2390*B2390/100/C2390))</f>
        <v/>
      </c>
      <c r="G2390">
        <f>IF(A2390="","",IF(OR(B2390&lt;&gt;B2389,C2390&lt;&gt;C2389,D2390&lt;&gt;D2389,E2390&lt;&gt;E2389),G2389+1,G2389))</f>
        <v/>
      </c>
    </row>
    <row r="2391">
      <c r="A2391" s="14">
        <f>IF(OR(NOT(ISNUMBER(Ввод!$B$5)),NOT(ISNUMBER(Ввод!$B$6))),"",IF(Ввод!$B$5+2389&gt;Ввод!$B$6,"",Ввод!$B$5+2389))</f>
        <v/>
      </c>
      <c r="B2391">
        <f>IF(A2391="","",IFERROR(INDEX(Ввод!$B$12:$B$71,MATCH(A2391,Ввод!$D$12:$D$71,1)),""))</f>
        <v/>
      </c>
      <c r="C2391">
        <f>IF(A2391="","",DATE(YEAR(A2391),12,31)-DATE(YEAR(A2391),1,1)+1)</f>
        <v/>
      </c>
      <c r="D2391">
        <f>IF(A2391="","",Ввод!$B$4-SUMIF(Оплаты!$A$6:$A$505,"&lt;"&amp;A2391,Оплаты!$B$6:$B$505))</f>
        <v/>
      </c>
      <c r="E2391">
        <f>IF(A2391="","",IF(SUMPRODUCT((Ввод!$F$12:$F$31&lt;&gt;"")*(Ввод!$F$12:$F$31&lt;=A2391)*(Ввод!$G$12:$G$31&gt;=A2391))&gt;0,1,0))</f>
        <v/>
      </c>
      <c r="F2391">
        <f>IF(OR(A2391="",B2391=""),"",IF(E2391=1,0,D2391*B2391/100/C2391))</f>
        <v/>
      </c>
      <c r="G2391">
        <f>IF(A2391="","",IF(OR(B2391&lt;&gt;B2390,C2391&lt;&gt;C2390,D2391&lt;&gt;D2390,E2391&lt;&gt;E2390),G2390+1,G2390))</f>
        <v/>
      </c>
    </row>
    <row r="2392">
      <c r="A2392" s="14">
        <f>IF(OR(NOT(ISNUMBER(Ввод!$B$5)),NOT(ISNUMBER(Ввод!$B$6))),"",IF(Ввод!$B$5+2390&gt;Ввод!$B$6,"",Ввод!$B$5+2390))</f>
        <v/>
      </c>
      <c r="B2392">
        <f>IF(A2392="","",IFERROR(INDEX(Ввод!$B$12:$B$71,MATCH(A2392,Ввод!$D$12:$D$71,1)),""))</f>
        <v/>
      </c>
      <c r="C2392">
        <f>IF(A2392="","",DATE(YEAR(A2392),12,31)-DATE(YEAR(A2392),1,1)+1)</f>
        <v/>
      </c>
      <c r="D2392">
        <f>IF(A2392="","",Ввод!$B$4-SUMIF(Оплаты!$A$6:$A$505,"&lt;"&amp;A2392,Оплаты!$B$6:$B$505))</f>
        <v/>
      </c>
      <c r="E2392">
        <f>IF(A2392="","",IF(SUMPRODUCT((Ввод!$F$12:$F$31&lt;&gt;"")*(Ввод!$F$12:$F$31&lt;=A2392)*(Ввод!$G$12:$G$31&gt;=A2392))&gt;0,1,0))</f>
        <v/>
      </c>
      <c r="F2392">
        <f>IF(OR(A2392="",B2392=""),"",IF(E2392=1,0,D2392*B2392/100/C2392))</f>
        <v/>
      </c>
      <c r="G2392">
        <f>IF(A2392="","",IF(OR(B2392&lt;&gt;B2391,C2392&lt;&gt;C2391,D2392&lt;&gt;D2391,E2392&lt;&gt;E2391),G2391+1,G2391))</f>
        <v/>
      </c>
    </row>
    <row r="2393">
      <c r="A2393" s="14">
        <f>IF(OR(NOT(ISNUMBER(Ввод!$B$5)),NOT(ISNUMBER(Ввод!$B$6))),"",IF(Ввод!$B$5+2391&gt;Ввод!$B$6,"",Ввод!$B$5+2391))</f>
        <v/>
      </c>
      <c r="B2393">
        <f>IF(A2393="","",IFERROR(INDEX(Ввод!$B$12:$B$71,MATCH(A2393,Ввод!$D$12:$D$71,1)),""))</f>
        <v/>
      </c>
      <c r="C2393">
        <f>IF(A2393="","",DATE(YEAR(A2393),12,31)-DATE(YEAR(A2393),1,1)+1)</f>
        <v/>
      </c>
      <c r="D2393">
        <f>IF(A2393="","",Ввод!$B$4-SUMIF(Оплаты!$A$6:$A$505,"&lt;"&amp;A2393,Оплаты!$B$6:$B$505))</f>
        <v/>
      </c>
      <c r="E2393">
        <f>IF(A2393="","",IF(SUMPRODUCT((Ввод!$F$12:$F$31&lt;&gt;"")*(Ввод!$F$12:$F$31&lt;=A2393)*(Ввод!$G$12:$G$31&gt;=A2393))&gt;0,1,0))</f>
        <v/>
      </c>
      <c r="F2393">
        <f>IF(OR(A2393="",B2393=""),"",IF(E2393=1,0,D2393*B2393/100/C2393))</f>
        <v/>
      </c>
      <c r="G2393">
        <f>IF(A2393="","",IF(OR(B2393&lt;&gt;B2392,C2393&lt;&gt;C2392,D2393&lt;&gt;D2392,E2393&lt;&gt;E2392),G2392+1,G2392))</f>
        <v/>
      </c>
    </row>
    <row r="2394">
      <c r="A2394" s="14">
        <f>IF(OR(NOT(ISNUMBER(Ввод!$B$5)),NOT(ISNUMBER(Ввод!$B$6))),"",IF(Ввод!$B$5+2392&gt;Ввод!$B$6,"",Ввод!$B$5+2392))</f>
        <v/>
      </c>
      <c r="B2394">
        <f>IF(A2394="","",IFERROR(INDEX(Ввод!$B$12:$B$71,MATCH(A2394,Ввод!$D$12:$D$71,1)),""))</f>
        <v/>
      </c>
      <c r="C2394">
        <f>IF(A2394="","",DATE(YEAR(A2394),12,31)-DATE(YEAR(A2394),1,1)+1)</f>
        <v/>
      </c>
      <c r="D2394">
        <f>IF(A2394="","",Ввод!$B$4-SUMIF(Оплаты!$A$6:$A$505,"&lt;"&amp;A2394,Оплаты!$B$6:$B$505))</f>
        <v/>
      </c>
      <c r="E2394">
        <f>IF(A2394="","",IF(SUMPRODUCT((Ввод!$F$12:$F$31&lt;&gt;"")*(Ввод!$F$12:$F$31&lt;=A2394)*(Ввод!$G$12:$G$31&gt;=A2394))&gt;0,1,0))</f>
        <v/>
      </c>
      <c r="F2394">
        <f>IF(OR(A2394="",B2394=""),"",IF(E2394=1,0,D2394*B2394/100/C2394))</f>
        <v/>
      </c>
      <c r="G2394">
        <f>IF(A2394="","",IF(OR(B2394&lt;&gt;B2393,C2394&lt;&gt;C2393,D2394&lt;&gt;D2393,E2394&lt;&gt;E2393),G2393+1,G2393))</f>
        <v/>
      </c>
    </row>
    <row r="2395">
      <c r="A2395" s="14">
        <f>IF(OR(NOT(ISNUMBER(Ввод!$B$5)),NOT(ISNUMBER(Ввод!$B$6))),"",IF(Ввод!$B$5+2393&gt;Ввод!$B$6,"",Ввод!$B$5+2393))</f>
        <v/>
      </c>
      <c r="B2395">
        <f>IF(A2395="","",IFERROR(INDEX(Ввод!$B$12:$B$71,MATCH(A2395,Ввод!$D$12:$D$71,1)),""))</f>
        <v/>
      </c>
      <c r="C2395">
        <f>IF(A2395="","",DATE(YEAR(A2395),12,31)-DATE(YEAR(A2395),1,1)+1)</f>
        <v/>
      </c>
      <c r="D2395">
        <f>IF(A2395="","",Ввод!$B$4-SUMIF(Оплаты!$A$6:$A$505,"&lt;"&amp;A2395,Оплаты!$B$6:$B$505))</f>
        <v/>
      </c>
      <c r="E2395">
        <f>IF(A2395="","",IF(SUMPRODUCT((Ввод!$F$12:$F$31&lt;&gt;"")*(Ввод!$F$12:$F$31&lt;=A2395)*(Ввод!$G$12:$G$31&gt;=A2395))&gt;0,1,0))</f>
        <v/>
      </c>
      <c r="F2395">
        <f>IF(OR(A2395="",B2395=""),"",IF(E2395=1,0,D2395*B2395/100/C2395))</f>
        <v/>
      </c>
      <c r="G2395">
        <f>IF(A2395="","",IF(OR(B2395&lt;&gt;B2394,C2395&lt;&gt;C2394,D2395&lt;&gt;D2394,E2395&lt;&gt;E2394),G2394+1,G2394))</f>
        <v/>
      </c>
    </row>
    <row r="2396">
      <c r="A2396" s="14">
        <f>IF(OR(NOT(ISNUMBER(Ввод!$B$5)),NOT(ISNUMBER(Ввод!$B$6))),"",IF(Ввод!$B$5+2394&gt;Ввод!$B$6,"",Ввод!$B$5+2394))</f>
        <v/>
      </c>
      <c r="B2396">
        <f>IF(A2396="","",IFERROR(INDEX(Ввод!$B$12:$B$71,MATCH(A2396,Ввод!$D$12:$D$71,1)),""))</f>
        <v/>
      </c>
      <c r="C2396">
        <f>IF(A2396="","",DATE(YEAR(A2396),12,31)-DATE(YEAR(A2396),1,1)+1)</f>
        <v/>
      </c>
      <c r="D2396">
        <f>IF(A2396="","",Ввод!$B$4-SUMIF(Оплаты!$A$6:$A$505,"&lt;"&amp;A2396,Оплаты!$B$6:$B$505))</f>
        <v/>
      </c>
      <c r="E2396">
        <f>IF(A2396="","",IF(SUMPRODUCT((Ввод!$F$12:$F$31&lt;&gt;"")*(Ввод!$F$12:$F$31&lt;=A2396)*(Ввод!$G$12:$G$31&gt;=A2396))&gt;0,1,0))</f>
        <v/>
      </c>
      <c r="F2396">
        <f>IF(OR(A2396="",B2396=""),"",IF(E2396=1,0,D2396*B2396/100/C2396))</f>
        <v/>
      </c>
      <c r="G2396">
        <f>IF(A2396="","",IF(OR(B2396&lt;&gt;B2395,C2396&lt;&gt;C2395,D2396&lt;&gt;D2395,E2396&lt;&gt;E2395),G2395+1,G2395))</f>
        <v/>
      </c>
    </row>
    <row r="2397">
      <c r="A2397" s="14">
        <f>IF(OR(NOT(ISNUMBER(Ввод!$B$5)),NOT(ISNUMBER(Ввод!$B$6))),"",IF(Ввод!$B$5+2395&gt;Ввод!$B$6,"",Ввод!$B$5+2395))</f>
        <v/>
      </c>
      <c r="B2397">
        <f>IF(A2397="","",IFERROR(INDEX(Ввод!$B$12:$B$71,MATCH(A2397,Ввод!$D$12:$D$71,1)),""))</f>
        <v/>
      </c>
      <c r="C2397">
        <f>IF(A2397="","",DATE(YEAR(A2397),12,31)-DATE(YEAR(A2397),1,1)+1)</f>
        <v/>
      </c>
      <c r="D2397">
        <f>IF(A2397="","",Ввод!$B$4-SUMIF(Оплаты!$A$6:$A$505,"&lt;"&amp;A2397,Оплаты!$B$6:$B$505))</f>
        <v/>
      </c>
      <c r="E2397">
        <f>IF(A2397="","",IF(SUMPRODUCT((Ввод!$F$12:$F$31&lt;&gt;"")*(Ввод!$F$12:$F$31&lt;=A2397)*(Ввод!$G$12:$G$31&gt;=A2397))&gt;0,1,0))</f>
        <v/>
      </c>
      <c r="F2397">
        <f>IF(OR(A2397="",B2397=""),"",IF(E2397=1,0,D2397*B2397/100/C2397))</f>
        <v/>
      </c>
      <c r="G2397">
        <f>IF(A2397="","",IF(OR(B2397&lt;&gt;B2396,C2397&lt;&gt;C2396,D2397&lt;&gt;D2396,E2397&lt;&gt;E2396),G2396+1,G2396))</f>
        <v/>
      </c>
    </row>
    <row r="2398">
      <c r="A2398" s="14">
        <f>IF(OR(NOT(ISNUMBER(Ввод!$B$5)),NOT(ISNUMBER(Ввод!$B$6))),"",IF(Ввод!$B$5+2396&gt;Ввод!$B$6,"",Ввод!$B$5+2396))</f>
        <v/>
      </c>
      <c r="B2398">
        <f>IF(A2398="","",IFERROR(INDEX(Ввод!$B$12:$B$71,MATCH(A2398,Ввод!$D$12:$D$71,1)),""))</f>
        <v/>
      </c>
      <c r="C2398">
        <f>IF(A2398="","",DATE(YEAR(A2398),12,31)-DATE(YEAR(A2398),1,1)+1)</f>
        <v/>
      </c>
      <c r="D2398">
        <f>IF(A2398="","",Ввод!$B$4-SUMIF(Оплаты!$A$6:$A$505,"&lt;"&amp;A2398,Оплаты!$B$6:$B$505))</f>
        <v/>
      </c>
      <c r="E2398">
        <f>IF(A2398="","",IF(SUMPRODUCT((Ввод!$F$12:$F$31&lt;&gt;"")*(Ввод!$F$12:$F$31&lt;=A2398)*(Ввод!$G$12:$G$31&gt;=A2398))&gt;0,1,0))</f>
        <v/>
      </c>
      <c r="F2398">
        <f>IF(OR(A2398="",B2398=""),"",IF(E2398=1,0,D2398*B2398/100/C2398))</f>
        <v/>
      </c>
      <c r="G2398">
        <f>IF(A2398="","",IF(OR(B2398&lt;&gt;B2397,C2398&lt;&gt;C2397,D2398&lt;&gt;D2397,E2398&lt;&gt;E2397),G2397+1,G2397))</f>
        <v/>
      </c>
    </row>
    <row r="2399">
      <c r="A2399" s="14">
        <f>IF(OR(NOT(ISNUMBER(Ввод!$B$5)),NOT(ISNUMBER(Ввод!$B$6))),"",IF(Ввод!$B$5+2397&gt;Ввод!$B$6,"",Ввод!$B$5+2397))</f>
        <v/>
      </c>
      <c r="B2399">
        <f>IF(A2399="","",IFERROR(INDEX(Ввод!$B$12:$B$71,MATCH(A2399,Ввод!$D$12:$D$71,1)),""))</f>
        <v/>
      </c>
      <c r="C2399">
        <f>IF(A2399="","",DATE(YEAR(A2399),12,31)-DATE(YEAR(A2399),1,1)+1)</f>
        <v/>
      </c>
      <c r="D2399">
        <f>IF(A2399="","",Ввод!$B$4-SUMIF(Оплаты!$A$6:$A$505,"&lt;"&amp;A2399,Оплаты!$B$6:$B$505))</f>
        <v/>
      </c>
      <c r="E2399">
        <f>IF(A2399="","",IF(SUMPRODUCT((Ввод!$F$12:$F$31&lt;&gt;"")*(Ввод!$F$12:$F$31&lt;=A2399)*(Ввод!$G$12:$G$31&gt;=A2399))&gt;0,1,0))</f>
        <v/>
      </c>
      <c r="F2399">
        <f>IF(OR(A2399="",B2399=""),"",IF(E2399=1,0,D2399*B2399/100/C2399))</f>
        <v/>
      </c>
      <c r="G2399">
        <f>IF(A2399="","",IF(OR(B2399&lt;&gt;B2398,C2399&lt;&gt;C2398,D2399&lt;&gt;D2398,E2399&lt;&gt;E2398),G2398+1,G2398))</f>
        <v/>
      </c>
    </row>
    <row r="2400">
      <c r="A2400" s="14">
        <f>IF(OR(NOT(ISNUMBER(Ввод!$B$5)),NOT(ISNUMBER(Ввод!$B$6))),"",IF(Ввод!$B$5+2398&gt;Ввод!$B$6,"",Ввод!$B$5+2398))</f>
        <v/>
      </c>
      <c r="B2400">
        <f>IF(A2400="","",IFERROR(INDEX(Ввод!$B$12:$B$71,MATCH(A2400,Ввод!$D$12:$D$71,1)),""))</f>
        <v/>
      </c>
      <c r="C2400">
        <f>IF(A2400="","",DATE(YEAR(A2400),12,31)-DATE(YEAR(A2400),1,1)+1)</f>
        <v/>
      </c>
      <c r="D2400">
        <f>IF(A2400="","",Ввод!$B$4-SUMIF(Оплаты!$A$6:$A$505,"&lt;"&amp;A2400,Оплаты!$B$6:$B$505))</f>
        <v/>
      </c>
      <c r="E2400">
        <f>IF(A2400="","",IF(SUMPRODUCT((Ввод!$F$12:$F$31&lt;&gt;"")*(Ввод!$F$12:$F$31&lt;=A2400)*(Ввод!$G$12:$G$31&gt;=A2400))&gt;0,1,0))</f>
        <v/>
      </c>
      <c r="F2400">
        <f>IF(OR(A2400="",B2400=""),"",IF(E2400=1,0,D2400*B2400/100/C2400))</f>
        <v/>
      </c>
      <c r="G2400">
        <f>IF(A2400="","",IF(OR(B2400&lt;&gt;B2399,C2400&lt;&gt;C2399,D2400&lt;&gt;D2399,E2400&lt;&gt;E2399),G2399+1,G2399))</f>
        <v/>
      </c>
    </row>
    <row r="2401">
      <c r="A2401" s="14">
        <f>IF(OR(NOT(ISNUMBER(Ввод!$B$5)),NOT(ISNUMBER(Ввод!$B$6))),"",IF(Ввод!$B$5+2399&gt;Ввод!$B$6,"",Ввод!$B$5+2399))</f>
        <v/>
      </c>
      <c r="B2401">
        <f>IF(A2401="","",IFERROR(INDEX(Ввод!$B$12:$B$71,MATCH(A2401,Ввод!$D$12:$D$71,1)),""))</f>
        <v/>
      </c>
      <c r="C2401">
        <f>IF(A2401="","",DATE(YEAR(A2401),12,31)-DATE(YEAR(A2401),1,1)+1)</f>
        <v/>
      </c>
      <c r="D2401">
        <f>IF(A2401="","",Ввод!$B$4-SUMIF(Оплаты!$A$6:$A$505,"&lt;"&amp;A2401,Оплаты!$B$6:$B$505))</f>
        <v/>
      </c>
      <c r="E2401">
        <f>IF(A2401="","",IF(SUMPRODUCT((Ввод!$F$12:$F$31&lt;&gt;"")*(Ввод!$F$12:$F$31&lt;=A2401)*(Ввод!$G$12:$G$31&gt;=A2401))&gt;0,1,0))</f>
        <v/>
      </c>
      <c r="F2401">
        <f>IF(OR(A2401="",B2401=""),"",IF(E2401=1,0,D2401*B2401/100/C2401))</f>
        <v/>
      </c>
      <c r="G2401">
        <f>IF(A2401="","",IF(OR(B2401&lt;&gt;B2400,C2401&lt;&gt;C2400,D2401&lt;&gt;D2400,E2401&lt;&gt;E2400),G2400+1,G2400))</f>
        <v/>
      </c>
    </row>
    <row r="2402">
      <c r="A2402" s="14">
        <f>IF(OR(NOT(ISNUMBER(Ввод!$B$5)),NOT(ISNUMBER(Ввод!$B$6))),"",IF(Ввод!$B$5+2400&gt;Ввод!$B$6,"",Ввод!$B$5+2400))</f>
        <v/>
      </c>
      <c r="B2402">
        <f>IF(A2402="","",IFERROR(INDEX(Ввод!$B$12:$B$71,MATCH(A2402,Ввод!$D$12:$D$71,1)),""))</f>
        <v/>
      </c>
      <c r="C2402">
        <f>IF(A2402="","",DATE(YEAR(A2402),12,31)-DATE(YEAR(A2402),1,1)+1)</f>
        <v/>
      </c>
      <c r="D2402">
        <f>IF(A2402="","",Ввод!$B$4-SUMIF(Оплаты!$A$6:$A$505,"&lt;"&amp;A2402,Оплаты!$B$6:$B$505))</f>
        <v/>
      </c>
      <c r="E2402">
        <f>IF(A2402="","",IF(SUMPRODUCT((Ввод!$F$12:$F$31&lt;&gt;"")*(Ввод!$F$12:$F$31&lt;=A2402)*(Ввод!$G$12:$G$31&gt;=A2402))&gt;0,1,0))</f>
        <v/>
      </c>
      <c r="F2402">
        <f>IF(OR(A2402="",B2402=""),"",IF(E2402=1,0,D2402*B2402/100/C2402))</f>
        <v/>
      </c>
      <c r="G2402">
        <f>IF(A2402="","",IF(OR(B2402&lt;&gt;B2401,C2402&lt;&gt;C2401,D2402&lt;&gt;D2401,E2402&lt;&gt;E2401),G2401+1,G2401))</f>
        <v/>
      </c>
    </row>
    <row r="2403">
      <c r="A2403" s="14">
        <f>IF(OR(NOT(ISNUMBER(Ввод!$B$5)),NOT(ISNUMBER(Ввод!$B$6))),"",IF(Ввод!$B$5+2401&gt;Ввод!$B$6,"",Ввод!$B$5+2401))</f>
        <v/>
      </c>
      <c r="B2403">
        <f>IF(A2403="","",IFERROR(INDEX(Ввод!$B$12:$B$71,MATCH(A2403,Ввод!$D$12:$D$71,1)),""))</f>
        <v/>
      </c>
      <c r="C2403">
        <f>IF(A2403="","",DATE(YEAR(A2403),12,31)-DATE(YEAR(A2403),1,1)+1)</f>
        <v/>
      </c>
      <c r="D2403">
        <f>IF(A2403="","",Ввод!$B$4-SUMIF(Оплаты!$A$6:$A$505,"&lt;"&amp;A2403,Оплаты!$B$6:$B$505))</f>
        <v/>
      </c>
      <c r="E2403">
        <f>IF(A2403="","",IF(SUMPRODUCT((Ввод!$F$12:$F$31&lt;&gt;"")*(Ввод!$F$12:$F$31&lt;=A2403)*(Ввод!$G$12:$G$31&gt;=A2403))&gt;0,1,0))</f>
        <v/>
      </c>
      <c r="F2403">
        <f>IF(OR(A2403="",B2403=""),"",IF(E2403=1,0,D2403*B2403/100/C2403))</f>
        <v/>
      </c>
      <c r="G2403">
        <f>IF(A2403="","",IF(OR(B2403&lt;&gt;B2402,C2403&lt;&gt;C2402,D2403&lt;&gt;D2402,E2403&lt;&gt;E2402),G2402+1,G2402))</f>
        <v/>
      </c>
    </row>
    <row r="2404">
      <c r="A2404" s="14">
        <f>IF(OR(NOT(ISNUMBER(Ввод!$B$5)),NOT(ISNUMBER(Ввод!$B$6))),"",IF(Ввод!$B$5+2402&gt;Ввод!$B$6,"",Ввод!$B$5+2402))</f>
        <v/>
      </c>
      <c r="B2404">
        <f>IF(A2404="","",IFERROR(INDEX(Ввод!$B$12:$B$71,MATCH(A2404,Ввод!$D$12:$D$71,1)),""))</f>
        <v/>
      </c>
      <c r="C2404">
        <f>IF(A2404="","",DATE(YEAR(A2404),12,31)-DATE(YEAR(A2404),1,1)+1)</f>
        <v/>
      </c>
      <c r="D2404">
        <f>IF(A2404="","",Ввод!$B$4-SUMIF(Оплаты!$A$6:$A$505,"&lt;"&amp;A2404,Оплаты!$B$6:$B$505))</f>
        <v/>
      </c>
      <c r="E2404">
        <f>IF(A2404="","",IF(SUMPRODUCT((Ввод!$F$12:$F$31&lt;&gt;"")*(Ввод!$F$12:$F$31&lt;=A2404)*(Ввод!$G$12:$G$31&gt;=A2404))&gt;0,1,0))</f>
        <v/>
      </c>
      <c r="F2404">
        <f>IF(OR(A2404="",B2404=""),"",IF(E2404=1,0,D2404*B2404/100/C2404))</f>
        <v/>
      </c>
      <c r="G2404">
        <f>IF(A2404="","",IF(OR(B2404&lt;&gt;B2403,C2404&lt;&gt;C2403,D2404&lt;&gt;D2403,E2404&lt;&gt;E2403),G2403+1,G2403))</f>
        <v/>
      </c>
    </row>
    <row r="2405">
      <c r="A2405" s="14">
        <f>IF(OR(NOT(ISNUMBER(Ввод!$B$5)),NOT(ISNUMBER(Ввод!$B$6))),"",IF(Ввод!$B$5+2403&gt;Ввод!$B$6,"",Ввод!$B$5+2403))</f>
        <v/>
      </c>
      <c r="B2405">
        <f>IF(A2405="","",IFERROR(INDEX(Ввод!$B$12:$B$71,MATCH(A2405,Ввод!$D$12:$D$71,1)),""))</f>
        <v/>
      </c>
      <c r="C2405">
        <f>IF(A2405="","",DATE(YEAR(A2405),12,31)-DATE(YEAR(A2405),1,1)+1)</f>
        <v/>
      </c>
      <c r="D2405">
        <f>IF(A2405="","",Ввод!$B$4-SUMIF(Оплаты!$A$6:$A$505,"&lt;"&amp;A2405,Оплаты!$B$6:$B$505))</f>
        <v/>
      </c>
      <c r="E2405">
        <f>IF(A2405="","",IF(SUMPRODUCT((Ввод!$F$12:$F$31&lt;&gt;"")*(Ввод!$F$12:$F$31&lt;=A2405)*(Ввод!$G$12:$G$31&gt;=A2405))&gt;0,1,0))</f>
        <v/>
      </c>
      <c r="F2405">
        <f>IF(OR(A2405="",B2405=""),"",IF(E2405=1,0,D2405*B2405/100/C2405))</f>
        <v/>
      </c>
      <c r="G2405">
        <f>IF(A2405="","",IF(OR(B2405&lt;&gt;B2404,C2405&lt;&gt;C2404,D2405&lt;&gt;D2404,E2405&lt;&gt;E2404),G2404+1,G2404))</f>
        <v/>
      </c>
    </row>
    <row r="2406">
      <c r="A2406" s="14">
        <f>IF(OR(NOT(ISNUMBER(Ввод!$B$5)),NOT(ISNUMBER(Ввод!$B$6))),"",IF(Ввод!$B$5+2404&gt;Ввод!$B$6,"",Ввод!$B$5+2404))</f>
        <v/>
      </c>
      <c r="B2406">
        <f>IF(A2406="","",IFERROR(INDEX(Ввод!$B$12:$B$71,MATCH(A2406,Ввод!$D$12:$D$71,1)),""))</f>
        <v/>
      </c>
      <c r="C2406">
        <f>IF(A2406="","",DATE(YEAR(A2406),12,31)-DATE(YEAR(A2406),1,1)+1)</f>
        <v/>
      </c>
      <c r="D2406">
        <f>IF(A2406="","",Ввод!$B$4-SUMIF(Оплаты!$A$6:$A$505,"&lt;"&amp;A2406,Оплаты!$B$6:$B$505))</f>
        <v/>
      </c>
      <c r="E2406">
        <f>IF(A2406="","",IF(SUMPRODUCT((Ввод!$F$12:$F$31&lt;&gt;"")*(Ввод!$F$12:$F$31&lt;=A2406)*(Ввод!$G$12:$G$31&gt;=A2406))&gt;0,1,0))</f>
        <v/>
      </c>
      <c r="F2406">
        <f>IF(OR(A2406="",B2406=""),"",IF(E2406=1,0,D2406*B2406/100/C2406))</f>
        <v/>
      </c>
      <c r="G2406">
        <f>IF(A2406="","",IF(OR(B2406&lt;&gt;B2405,C2406&lt;&gt;C2405,D2406&lt;&gt;D2405,E2406&lt;&gt;E2405),G2405+1,G2405))</f>
        <v/>
      </c>
    </row>
    <row r="2407">
      <c r="A2407" s="14">
        <f>IF(OR(NOT(ISNUMBER(Ввод!$B$5)),NOT(ISNUMBER(Ввод!$B$6))),"",IF(Ввод!$B$5+2405&gt;Ввод!$B$6,"",Ввод!$B$5+2405))</f>
        <v/>
      </c>
      <c r="B2407">
        <f>IF(A2407="","",IFERROR(INDEX(Ввод!$B$12:$B$71,MATCH(A2407,Ввод!$D$12:$D$71,1)),""))</f>
        <v/>
      </c>
      <c r="C2407">
        <f>IF(A2407="","",DATE(YEAR(A2407),12,31)-DATE(YEAR(A2407),1,1)+1)</f>
        <v/>
      </c>
      <c r="D2407">
        <f>IF(A2407="","",Ввод!$B$4-SUMIF(Оплаты!$A$6:$A$505,"&lt;"&amp;A2407,Оплаты!$B$6:$B$505))</f>
        <v/>
      </c>
      <c r="E2407">
        <f>IF(A2407="","",IF(SUMPRODUCT((Ввод!$F$12:$F$31&lt;&gt;"")*(Ввод!$F$12:$F$31&lt;=A2407)*(Ввод!$G$12:$G$31&gt;=A2407))&gt;0,1,0))</f>
        <v/>
      </c>
      <c r="F2407">
        <f>IF(OR(A2407="",B2407=""),"",IF(E2407=1,0,D2407*B2407/100/C2407))</f>
        <v/>
      </c>
      <c r="G2407">
        <f>IF(A2407="","",IF(OR(B2407&lt;&gt;B2406,C2407&lt;&gt;C2406,D2407&lt;&gt;D2406,E2407&lt;&gt;E2406),G2406+1,G2406))</f>
        <v/>
      </c>
    </row>
    <row r="2408">
      <c r="A2408" s="14">
        <f>IF(OR(NOT(ISNUMBER(Ввод!$B$5)),NOT(ISNUMBER(Ввод!$B$6))),"",IF(Ввод!$B$5+2406&gt;Ввод!$B$6,"",Ввод!$B$5+2406))</f>
        <v/>
      </c>
      <c r="B2408">
        <f>IF(A2408="","",IFERROR(INDEX(Ввод!$B$12:$B$71,MATCH(A2408,Ввод!$D$12:$D$71,1)),""))</f>
        <v/>
      </c>
      <c r="C2408">
        <f>IF(A2408="","",DATE(YEAR(A2408),12,31)-DATE(YEAR(A2408),1,1)+1)</f>
        <v/>
      </c>
      <c r="D2408">
        <f>IF(A2408="","",Ввод!$B$4-SUMIF(Оплаты!$A$6:$A$505,"&lt;"&amp;A2408,Оплаты!$B$6:$B$505))</f>
        <v/>
      </c>
      <c r="E2408">
        <f>IF(A2408="","",IF(SUMPRODUCT((Ввод!$F$12:$F$31&lt;&gt;"")*(Ввод!$F$12:$F$31&lt;=A2408)*(Ввод!$G$12:$G$31&gt;=A2408))&gt;0,1,0))</f>
        <v/>
      </c>
      <c r="F2408">
        <f>IF(OR(A2408="",B2408=""),"",IF(E2408=1,0,D2408*B2408/100/C2408))</f>
        <v/>
      </c>
      <c r="G2408">
        <f>IF(A2408="","",IF(OR(B2408&lt;&gt;B2407,C2408&lt;&gt;C2407,D2408&lt;&gt;D2407,E2408&lt;&gt;E2407),G2407+1,G2407))</f>
        <v/>
      </c>
    </row>
    <row r="2409">
      <c r="A2409" s="14">
        <f>IF(OR(NOT(ISNUMBER(Ввод!$B$5)),NOT(ISNUMBER(Ввод!$B$6))),"",IF(Ввод!$B$5+2407&gt;Ввод!$B$6,"",Ввод!$B$5+2407))</f>
        <v/>
      </c>
      <c r="B2409">
        <f>IF(A2409="","",IFERROR(INDEX(Ввод!$B$12:$B$71,MATCH(A2409,Ввод!$D$12:$D$71,1)),""))</f>
        <v/>
      </c>
      <c r="C2409">
        <f>IF(A2409="","",DATE(YEAR(A2409),12,31)-DATE(YEAR(A2409),1,1)+1)</f>
        <v/>
      </c>
      <c r="D2409">
        <f>IF(A2409="","",Ввод!$B$4-SUMIF(Оплаты!$A$6:$A$505,"&lt;"&amp;A2409,Оплаты!$B$6:$B$505))</f>
        <v/>
      </c>
      <c r="E2409">
        <f>IF(A2409="","",IF(SUMPRODUCT((Ввод!$F$12:$F$31&lt;&gt;"")*(Ввод!$F$12:$F$31&lt;=A2409)*(Ввод!$G$12:$G$31&gt;=A2409))&gt;0,1,0))</f>
        <v/>
      </c>
      <c r="F2409">
        <f>IF(OR(A2409="",B2409=""),"",IF(E2409=1,0,D2409*B2409/100/C2409))</f>
        <v/>
      </c>
      <c r="G2409">
        <f>IF(A2409="","",IF(OR(B2409&lt;&gt;B2408,C2409&lt;&gt;C2408,D2409&lt;&gt;D2408,E2409&lt;&gt;E2408),G2408+1,G2408))</f>
        <v/>
      </c>
    </row>
    <row r="2410">
      <c r="A2410" s="14">
        <f>IF(OR(NOT(ISNUMBER(Ввод!$B$5)),NOT(ISNUMBER(Ввод!$B$6))),"",IF(Ввод!$B$5+2408&gt;Ввод!$B$6,"",Ввод!$B$5+2408))</f>
        <v/>
      </c>
      <c r="B2410">
        <f>IF(A2410="","",IFERROR(INDEX(Ввод!$B$12:$B$71,MATCH(A2410,Ввод!$D$12:$D$71,1)),""))</f>
        <v/>
      </c>
      <c r="C2410">
        <f>IF(A2410="","",DATE(YEAR(A2410),12,31)-DATE(YEAR(A2410),1,1)+1)</f>
        <v/>
      </c>
      <c r="D2410">
        <f>IF(A2410="","",Ввод!$B$4-SUMIF(Оплаты!$A$6:$A$505,"&lt;"&amp;A2410,Оплаты!$B$6:$B$505))</f>
        <v/>
      </c>
      <c r="E2410">
        <f>IF(A2410="","",IF(SUMPRODUCT((Ввод!$F$12:$F$31&lt;&gt;"")*(Ввод!$F$12:$F$31&lt;=A2410)*(Ввод!$G$12:$G$31&gt;=A2410))&gt;0,1,0))</f>
        <v/>
      </c>
      <c r="F2410">
        <f>IF(OR(A2410="",B2410=""),"",IF(E2410=1,0,D2410*B2410/100/C2410))</f>
        <v/>
      </c>
      <c r="G2410">
        <f>IF(A2410="","",IF(OR(B2410&lt;&gt;B2409,C2410&lt;&gt;C2409,D2410&lt;&gt;D2409,E2410&lt;&gt;E2409),G2409+1,G2409))</f>
        <v/>
      </c>
    </row>
    <row r="2411">
      <c r="A2411" s="14">
        <f>IF(OR(NOT(ISNUMBER(Ввод!$B$5)),NOT(ISNUMBER(Ввод!$B$6))),"",IF(Ввод!$B$5+2409&gt;Ввод!$B$6,"",Ввод!$B$5+2409))</f>
        <v/>
      </c>
      <c r="B2411">
        <f>IF(A2411="","",IFERROR(INDEX(Ввод!$B$12:$B$71,MATCH(A2411,Ввод!$D$12:$D$71,1)),""))</f>
        <v/>
      </c>
      <c r="C2411">
        <f>IF(A2411="","",DATE(YEAR(A2411),12,31)-DATE(YEAR(A2411),1,1)+1)</f>
        <v/>
      </c>
      <c r="D2411">
        <f>IF(A2411="","",Ввод!$B$4-SUMIF(Оплаты!$A$6:$A$505,"&lt;"&amp;A2411,Оплаты!$B$6:$B$505))</f>
        <v/>
      </c>
      <c r="E2411">
        <f>IF(A2411="","",IF(SUMPRODUCT((Ввод!$F$12:$F$31&lt;&gt;"")*(Ввод!$F$12:$F$31&lt;=A2411)*(Ввод!$G$12:$G$31&gt;=A2411))&gt;0,1,0))</f>
        <v/>
      </c>
      <c r="F2411">
        <f>IF(OR(A2411="",B2411=""),"",IF(E2411=1,0,D2411*B2411/100/C2411))</f>
        <v/>
      </c>
      <c r="G2411">
        <f>IF(A2411="","",IF(OR(B2411&lt;&gt;B2410,C2411&lt;&gt;C2410,D2411&lt;&gt;D2410,E2411&lt;&gt;E2410),G2410+1,G2410))</f>
        <v/>
      </c>
    </row>
    <row r="2412">
      <c r="A2412" s="14">
        <f>IF(OR(NOT(ISNUMBER(Ввод!$B$5)),NOT(ISNUMBER(Ввод!$B$6))),"",IF(Ввод!$B$5+2410&gt;Ввод!$B$6,"",Ввод!$B$5+2410))</f>
        <v/>
      </c>
      <c r="B2412">
        <f>IF(A2412="","",IFERROR(INDEX(Ввод!$B$12:$B$71,MATCH(A2412,Ввод!$D$12:$D$71,1)),""))</f>
        <v/>
      </c>
      <c r="C2412">
        <f>IF(A2412="","",DATE(YEAR(A2412),12,31)-DATE(YEAR(A2412),1,1)+1)</f>
        <v/>
      </c>
      <c r="D2412">
        <f>IF(A2412="","",Ввод!$B$4-SUMIF(Оплаты!$A$6:$A$505,"&lt;"&amp;A2412,Оплаты!$B$6:$B$505))</f>
        <v/>
      </c>
      <c r="E2412">
        <f>IF(A2412="","",IF(SUMPRODUCT((Ввод!$F$12:$F$31&lt;&gt;"")*(Ввод!$F$12:$F$31&lt;=A2412)*(Ввод!$G$12:$G$31&gt;=A2412))&gt;0,1,0))</f>
        <v/>
      </c>
      <c r="F2412">
        <f>IF(OR(A2412="",B2412=""),"",IF(E2412=1,0,D2412*B2412/100/C2412))</f>
        <v/>
      </c>
      <c r="G2412">
        <f>IF(A2412="","",IF(OR(B2412&lt;&gt;B2411,C2412&lt;&gt;C2411,D2412&lt;&gt;D2411,E2412&lt;&gt;E2411),G2411+1,G2411))</f>
        <v/>
      </c>
    </row>
    <row r="2413">
      <c r="A2413" s="14">
        <f>IF(OR(NOT(ISNUMBER(Ввод!$B$5)),NOT(ISNUMBER(Ввод!$B$6))),"",IF(Ввод!$B$5+2411&gt;Ввод!$B$6,"",Ввод!$B$5+2411))</f>
        <v/>
      </c>
      <c r="B2413">
        <f>IF(A2413="","",IFERROR(INDEX(Ввод!$B$12:$B$71,MATCH(A2413,Ввод!$D$12:$D$71,1)),""))</f>
        <v/>
      </c>
      <c r="C2413">
        <f>IF(A2413="","",DATE(YEAR(A2413),12,31)-DATE(YEAR(A2413),1,1)+1)</f>
        <v/>
      </c>
      <c r="D2413">
        <f>IF(A2413="","",Ввод!$B$4-SUMIF(Оплаты!$A$6:$A$505,"&lt;"&amp;A2413,Оплаты!$B$6:$B$505))</f>
        <v/>
      </c>
      <c r="E2413">
        <f>IF(A2413="","",IF(SUMPRODUCT((Ввод!$F$12:$F$31&lt;&gt;"")*(Ввод!$F$12:$F$31&lt;=A2413)*(Ввод!$G$12:$G$31&gt;=A2413))&gt;0,1,0))</f>
        <v/>
      </c>
      <c r="F2413">
        <f>IF(OR(A2413="",B2413=""),"",IF(E2413=1,0,D2413*B2413/100/C2413))</f>
        <v/>
      </c>
      <c r="G2413">
        <f>IF(A2413="","",IF(OR(B2413&lt;&gt;B2412,C2413&lt;&gt;C2412,D2413&lt;&gt;D2412,E2413&lt;&gt;E2412),G2412+1,G2412))</f>
        <v/>
      </c>
    </row>
    <row r="2414">
      <c r="A2414" s="14">
        <f>IF(OR(NOT(ISNUMBER(Ввод!$B$5)),NOT(ISNUMBER(Ввод!$B$6))),"",IF(Ввод!$B$5+2412&gt;Ввод!$B$6,"",Ввод!$B$5+2412))</f>
        <v/>
      </c>
      <c r="B2414">
        <f>IF(A2414="","",IFERROR(INDEX(Ввод!$B$12:$B$71,MATCH(A2414,Ввод!$D$12:$D$71,1)),""))</f>
        <v/>
      </c>
      <c r="C2414">
        <f>IF(A2414="","",DATE(YEAR(A2414),12,31)-DATE(YEAR(A2414),1,1)+1)</f>
        <v/>
      </c>
      <c r="D2414">
        <f>IF(A2414="","",Ввод!$B$4-SUMIF(Оплаты!$A$6:$A$505,"&lt;"&amp;A2414,Оплаты!$B$6:$B$505))</f>
        <v/>
      </c>
      <c r="E2414">
        <f>IF(A2414="","",IF(SUMPRODUCT((Ввод!$F$12:$F$31&lt;&gt;"")*(Ввод!$F$12:$F$31&lt;=A2414)*(Ввод!$G$12:$G$31&gt;=A2414))&gt;0,1,0))</f>
        <v/>
      </c>
      <c r="F2414">
        <f>IF(OR(A2414="",B2414=""),"",IF(E2414=1,0,D2414*B2414/100/C2414))</f>
        <v/>
      </c>
      <c r="G2414">
        <f>IF(A2414="","",IF(OR(B2414&lt;&gt;B2413,C2414&lt;&gt;C2413,D2414&lt;&gt;D2413,E2414&lt;&gt;E2413),G2413+1,G2413))</f>
        <v/>
      </c>
    </row>
    <row r="2415">
      <c r="A2415" s="14">
        <f>IF(OR(NOT(ISNUMBER(Ввод!$B$5)),NOT(ISNUMBER(Ввод!$B$6))),"",IF(Ввод!$B$5+2413&gt;Ввод!$B$6,"",Ввод!$B$5+2413))</f>
        <v/>
      </c>
      <c r="B2415">
        <f>IF(A2415="","",IFERROR(INDEX(Ввод!$B$12:$B$71,MATCH(A2415,Ввод!$D$12:$D$71,1)),""))</f>
        <v/>
      </c>
      <c r="C2415">
        <f>IF(A2415="","",DATE(YEAR(A2415),12,31)-DATE(YEAR(A2415),1,1)+1)</f>
        <v/>
      </c>
      <c r="D2415">
        <f>IF(A2415="","",Ввод!$B$4-SUMIF(Оплаты!$A$6:$A$505,"&lt;"&amp;A2415,Оплаты!$B$6:$B$505))</f>
        <v/>
      </c>
      <c r="E2415">
        <f>IF(A2415="","",IF(SUMPRODUCT((Ввод!$F$12:$F$31&lt;&gt;"")*(Ввод!$F$12:$F$31&lt;=A2415)*(Ввод!$G$12:$G$31&gt;=A2415))&gt;0,1,0))</f>
        <v/>
      </c>
      <c r="F2415">
        <f>IF(OR(A2415="",B2415=""),"",IF(E2415=1,0,D2415*B2415/100/C2415))</f>
        <v/>
      </c>
      <c r="G2415">
        <f>IF(A2415="","",IF(OR(B2415&lt;&gt;B2414,C2415&lt;&gt;C2414,D2415&lt;&gt;D2414,E2415&lt;&gt;E2414),G2414+1,G2414))</f>
        <v/>
      </c>
    </row>
    <row r="2416">
      <c r="A2416" s="14">
        <f>IF(OR(NOT(ISNUMBER(Ввод!$B$5)),NOT(ISNUMBER(Ввод!$B$6))),"",IF(Ввод!$B$5+2414&gt;Ввод!$B$6,"",Ввод!$B$5+2414))</f>
        <v/>
      </c>
      <c r="B2416">
        <f>IF(A2416="","",IFERROR(INDEX(Ввод!$B$12:$B$71,MATCH(A2416,Ввод!$D$12:$D$71,1)),""))</f>
        <v/>
      </c>
      <c r="C2416">
        <f>IF(A2416="","",DATE(YEAR(A2416),12,31)-DATE(YEAR(A2416),1,1)+1)</f>
        <v/>
      </c>
      <c r="D2416">
        <f>IF(A2416="","",Ввод!$B$4-SUMIF(Оплаты!$A$6:$A$505,"&lt;"&amp;A2416,Оплаты!$B$6:$B$505))</f>
        <v/>
      </c>
      <c r="E2416">
        <f>IF(A2416="","",IF(SUMPRODUCT((Ввод!$F$12:$F$31&lt;&gt;"")*(Ввод!$F$12:$F$31&lt;=A2416)*(Ввод!$G$12:$G$31&gt;=A2416))&gt;0,1,0))</f>
        <v/>
      </c>
      <c r="F2416">
        <f>IF(OR(A2416="",B2416=""),"",IF(E2416=1,0,D2416*B2416/100/C2416))</f>
        <v/>
      </c>
      <c r="G2416">
        <f>IF(A2416="","",IF(OR(B2416&lt;&gt;B2415,C2416&lt;&gt;C2415,D2416&lt;&gt;D2415,E2416&lt;&gt;E2415),G2415+1,G2415))</f>
        <v/>
      </c>
    </row>
    <row r="2417">
      <c r="A2417" s="14">
        <f>IF(OR(NOT(ISNUMBER(Ввод!$B$5)),NOT(ISNUMBER(Ввод!$B$6))),"",IF(Ввод!$B$5+2415&gt;Ввод!$B$6,"",Ввод!$B$5+2415))</f>
        <v/>
      </c>
      <c r="B2417">
        <f>IF(A2417="","",IFERROR(INDEX(Ввод!$B$12:$B$71,MATCH(A2417,Ввод!$D$12:$D$71,1)),""))</f>
        <v/>
      </c>
      <c r="C2417">
        <f>IF(A2417="","",DATE(YEAR(A2417),12,31)-DATE(YEAR(A2417),1,1)+1)</f>
        <v/>
      </c>
      <c r="D2417">
        <f>IF(A2417="","",Ввод!$B$4-SUMIF(Оплаты!$A$6:$A$505,"&lt;"&amp;A2417,Оплаты!$B$6:$B$505))</f>
        <v/>
      </c>
      <c r="E2417">
        <f>IF(A2417="","",IF(SUMPRODUCT((Ввод!$F$12:$F$31&lt;&gt;"")*(Ввод!$F$12:$F$31&lt;=A2417)*(Ввод!$G$12:$G$31&gt;=A2417))&gt;0,1,0))</f>
        <v/>
      </c>
      <c r="F2417">
        <f>IF(OR(A2417="",B2417=""),"",IF(E2417=1,0,D2417*B2417/100/C2417))</f>
        <v/>
      </c>
      <c r="G2417">
        <f>IF(A2417="","",IF(OR(B2417&lt;&gt;B2416,C2417&lt;&gt;C2416,D2417&lt;&gt;D2416,E2417&lt;&gt;E2416),G2416+1,G2416))</f>
        <v/>
      </c>
    </row>
    <row r="2418">
      <c r="A2418" s="14">
        <f>IF(OR(NOT(ISNUMBER(Ввод!$B$5)),NOT(ISNUMBER(Ввод!$B$6))),"",IF(Ввод!$B$5+2416&gt;Ввод!$B$6,"",Ввод!$B$5+2416))</f>
        <v/>
      </c>
      <c r="B2418">
        <f>IF(A2418="","",IFERROR(INDEX(Ввод!$B$12:$B$71,MATCH(A2418,Ввод!$D$12:$D$71,1)),""))</f>
        <v/>
      </c>
      <c r="C2418">
        <f>IF(A2418="","",DATE(YEAR(A2418),12,31)-DATE(YEAR(A2418),1,1)+1)</f>
        <v/>
      </c>
      <c r="D2418">
        <f>IF(A2418="","",Ввод!$B$4-SUMIF(Оплаты!$A$6:$A$505,"&lt;"&amp;A2418,Оплаты!$B$6:$B$505))</f>
        <v/>
      </c>
      <c r="E2418">
        <f>IF(A2418="","",IF(SUMPRODUCT((Ввод!$F$12:$F$31&lt;&gt;"")*(Ввод!$F$12:$F$31&lt;=A2418)*(Ввод!$G$12:$G$31&gt;=A2418))&gt;0,1,0))</f>
        <v/>
      </c>
      <c r="F2418">
        <f>IF(OR(A2418="",B2418=""),"",IF(E2418=1,0,D2418*B2418/100/C2418))</f>
        <v/>
      </c>
      <c r="G2418">
        <f>IF(A2418="","",IF(OR(B2418&lt;&gt;B2417,C2418&lt;&gt;C2417,D2418&lt;&gt;D2417,E2418&lt;&gt;E2417),G2417+1,G2417))</f>
        <v/>
      </c>
    </row>
    <row r="2419">
      <c r="A2419" s="14">
        <f>IF(OR(NOT(ISNUMBER(Ввод!$B$5)),NOT(ISNUMBER(Ввод!$B$6))),"",IF(Ввод!$B$5+2417&gt;Ввод!$B$6,"",Ввод!$B$5+2417))</f>
        <v/>
      </c>
      <c r="B2419">
        <f>IF(A2419="","",IFERROR(INDEX(Ввод!$B$12:$B$71,MATCH(A2419,Ввод!$D$12:$D$71,1)),""))</f>
        <v/>
      </c>
      <c r="C2419">
        <f>IF(A2419="","",DATE(YEAR(A2419),12,31)-DATE(YEAR(A2419),1,1)+1)</f>
        <v/>
      </c>
      <c r="D2419">
        <f>IF(A2419="","",Ввод!$B$4-SUMIF(Оплаты!$A$6:$A$505,"&lt;"&amp;A2419,Оплаты!$B$6:$B$505))</f>
        <v/>
      </c>
      <c r="E2419">
        <f>IF(A2419="","",IF(SUMPRODUCT((Ввод!$F$12:$F$31&lt;&gt;"")*(Ввод!$F$12:$F$31&lt;=A2419)*(Ввод!$G$12:$G$31&gt;=A2419))&gt;0,1,0))</f>
        <v/>
      </c>
      <c r="F2419">
        <f>IF(OR(A2419="",B2419=""),"",IF(E2419=1,0,D2419*B2419/100/C2419))</f>
        <v/>
      </c>
      <c r="G2419">
        <f>IF(A2419="","",IF(OR(B2419&lt;&gt;B2418,C2419&lt;&gt;C2418,D2419&lt;&gt;D2418,E2419&lt;&gt;E2418),G2418+1,G2418))</f>
        <v/>
      </c>
    </row>
    <row r="2420">
      <c r="A2420" s="14">
        <f>IF(OR(NOT(ISNUMBER(Ввод!$B$5)),NOT(ISNUMBER(Ввод!$B$6))),"",IF(Ввод!$B$5+2418&gt;Ввод!$B$6,"",Ввод!$B$5+2418))</f>
        <v/>
      </c>
      <c r="B2420">
        <f>IF(A2420="","",IFERROR(INDEX(Ввод!$B$12:$B$71,MATCH(A2420,Ввод!$D$12:$D$71,1)),""))</f>
        <v/>
      </c>
      <c r="C2420">
        <f>IF(A2420="","",DATE(YEAR(A2420),12,31)-DATE(YEAR(A2420),1,1)+1)</f>
        <v/>
      </c>
      <c r="D2420">
        <f>IF(A2420="","",Ввод!$B$4-SUMIF(Оплаты!$A$6:$A$505,"&lt;"&amp;A2420,Оплаты!$B$6:$B$505))</f>
        <v/>
      </c>
      <c r="E2420">
        <f>IF(A2420="","",IF(SUMPRODUCT((Ввод!$F$12:$F$31&lt;&gt;"")*(Ввод!$F$12:$F$31&lt;=A2420)*(Ввод!$G$12:$G$31&gt;=A2420))&gt;0,1,0))</f>
        <v/>
      </c>
      <c r="F2420">
        <f>IF(OR(A2420="",B2420=""),"",IF(E2420=1,0,D2420*B2420/100/C2420))</f>
        <v/>
      </c>
      <c r="G2420">
        <f>IF(A2420="","",IF(OR(B2420&lt;&gt;B2419,C2420&lt;&gt;C2419,D2420&lt;&gt;D2419,E2420&lt;&gt;E2419),G2419+1,G2419))</f>
        <v/>
      </c>
    </row>
    <row r="2421">
      <c r="A2421" s="14">
        <f>IF(OR(NOT(ISNUMBER(Ввод!$B$5)),NOT(ISNUMBER(Ввод!$B$6))),"",IF(Ввод!$B$5+2419&gt;Ввод!$B$6,"",Ввод!$B$5+2419))</f>
        <v/>
      </c>
      <c r="B2421">
        <f>IF(A2421="","",IFERROR(INDEX(Ввод!$B$12:$B$71,MATCH(A2421,Ввод!$D$12:$D$71,1)),""))</f>
        <v/>
      </c>
      <c r="C2421">
        <f>IF(A2421="","",DATE(YEAR(A2421),12,31)-DATE(YEAR(A2421),1,1)+1)</f>
        <v/>
      </c>
      <c r="D2421">
        <f>IF(A2421="","",Ввод!$B$4-SUMIF(Оплаты!$A$6:$A$505,"&lt;"&amp;A2421,Оплаты!$B$6:$B$505))</f>
        <v/>
      </c>
      <c r="E2421">
        <f>IF(A2421="","",IF(SUMPRODUCT((Ввод!$F$12:$F$31&lt;&gt;"")*(Ввод!$F$12:$F$31&lt;=A2421)*(Ввод!$G$12:$G$31&gt;=A2421))&gt;0,1,0))</f>
        <v/>
      </c>
      <c r="F2421">
        <f>IF(OR(A2421="",B2421=""),"",IF(E2421=1,0,D2421*B2421/100/C2421))</f>
        <v/>
      </c>
      <c r="G2421">
        <f>IF(A2421="","",IF(OR(B2421&lt;&gt;B2420,C2421&lt;&gt;C2420,D2421&lt;&gt;D2420,E2421&lt;&gt;E2420),G2420+1,G2420))</f>
        <v/>
      </c>
    </row>
    <row r="2422">
      <c r="A2422" s="14">
        <f>IF(OR(NOT(ISNUMBER(Ввод!$B$5)),NOT(ISNUMBER(Ввод!$B$6))),"",IF(Ввод!$B$5+2420&gt;Ввод!$B$6,"",Ввод!$B$5+2420))</f>
        <v/>
      </c>
      <c r="B2422">
        <f>IF(A2422="","",IFERROR(INDEX(Ввод!$B$12:$B$71,MATCH(A2422,Ввод!$D$12:$D$71,1)),""))</f>
        <v/>
      </c>
      <c r="C2422">
        <f>IF(A2422="","",DATE(YEAR(A2422),12,31)-DATE(YEAR(A2422),1,1)+1)</f>
        <v/>
      </c>
      <c r="D2422">
        <f>IF(A2422="","",Ввод!$B$4-SUMIF(Оплаты!$A$6:$A$505,"&lt;"&amp;A2422,Оплаты!$B$6:$B$505))</f>
        <v/>
      </c>
      <c r="E2422">
        <f>IF(A2422="","",IF(SUMPRODUCT((Ввод!$F$12:$F$31&lt;&gt;"")*(Ввод!$F$12:$F$31&lt;=A2422)*(Ввод!$G$12:$G$31&gt;=A2422))&gt;0,1,0))</f>
        <v/>
      </c>
      <c r="F2422">
        <f>IF(OR(A2422="",B2422=""),"",IF(E2422=1,0,D2422*B2422/100/C2422))</f>
        <v/>
      </c>
      <c r="G2422">
        <f>IF(A2422="","",IF(OR(B2422&lt;&gt;B2421,C2422&lt;&gt;C2421,D2422&lt;&gt;D2421,E2422&lt;&gt;E2421),G2421+1,G2421))</f>
        <v/>
      </c>
    </row>
    <row r="2423">
      <c r="A2423" s="14">
        <f>IF(OR(NOT(ISNUMBER(Ввод!$B$5)),NOT(ISNUMBER(Ввод!$B$6))),"",IF(Ввод!$B$5+2421&gt;Ввод!$B$6,"",Ввод!$B$5+2421))</f>
        <v/>
      </c>
      <c r="B2423">
        <f>IF(A2423="","",IFERROR(INDEX(Ввод!$B$12:$B$71,MATCH(A2423,Ввод!$D$12:$D$71,1)),""))</f>
        <v/>
      </c>
      <c r="C2423">
        <f>IF(A2423="","",DATE(YEAR(A2423),12,31)-DATE(YEAR(A2423),1,1)+1)</f>
        <v/>
      </c>
      <c r="D2423">
        <f>IF(A2423="","",Ввод!$B$4-SUMIF(Оплаты!$A$6:$A$505,"&lt;"&amp;A2423,Оплаты!$B$6:$B$505))</f>
        <v/>
      </c>
      <c r="E2423">
        <f>IF(A2423="","",IF(SUMPRODUCT((Ввод!$F$12:$F$31&lt;&gt;"")*(Ввод!$F$12:$F$31&lt;=A2423)*(Ввод!$G$12:$G$31&gt;=A2423))&gt;0,1,0))</f>
        <v/>
      </c>
      <c r="F2423">
        <f>IF(OR(A2423="",B2423=""),"",IF(E2423=1,0,D2423*B2423/100/C2423))</f>
        <v/>
      </c>
      <c r="G2423">
        <f>IF(A2423="","",IF(OR(B2423&lt;&gt;B2422,C2423&lt;&gt;C2422,D2423&lt;&gt;D2422,E2423&lt;&gt;E2422),G2422+1,G2422))</f>
        <v/>
      </c>
    </row>
    <row r="2424">
      <c r="A2424" s="14">
        <f>IF(OR(NOT(ISNUMBER(Ввод!$B$5)),NOT(ISNUMBER(Ввод!$B$6))),"",IF(Ввод!$B$5+2422&gt;Ввод!$B$6,"",Ввод!$B$5+2422))</f>
        <v/>
      </c>
      <c r="B2424">
        <f>IF(A2424="","",IFERROR(INDEX(Ввод!$B$12:$B$71,MATCH(A2424,Ввод!$D$12:$D$71,1)),""))</f>
        <v/>
      </c>
      <c r="C2424">
        <f>IF(A2424="","",DATE(YEAR(A2424),12,31)-DATE(YEAR(A2424),1,1)+1)</f>
        <v/>
      </c>
      <c r="D2424">
        <f>IF(A2424="","",Ввод!$B$4-SUMIF(Оплаты!$A$6:$A$505,"&lt;"&amp;A2424,Оплаты!$B$6:$B$505))</f>
        <v/>
      </c>
      <c r="E2424">
        <f>IF(A2424="","",IF(SUMPRODUCT((Ввод!$F$12:$F$31&lt;&gt;"")*(Ввод!$F$12:$F$31&lt;=A2424)*(Ввод!$G$12:$G$31&gt;=A2424))&gt;0,1,0))</f>
        <v/>
      </c>
      <c r="F2424">
        <f>IF(OR(A2424="",B2424=""),"",IF(E2424=1,0,D2424*B2424/100/C2424))</f>
        <v/>
      </c>
      <c r="G2424">
        <f>IF(A2424="","",IF(OR(B2424&lt;&gt;B2423,C2424&lt;&gt;C2423,D2424&lt;&gt;D2423,E2424&lt;&gt;E2423),G2423+1,G2423))</f>
        <v/>
      </c>
    </row>
    <row r="2425">
      <c r="A2425" s="14">
        <f>IF(OR(NOT(ISNUMBER(Ввод!$B$5)),NOT(ISNUMBER(Ввод!$B$6))),"",IF(Ввод!$B$5+2423&gt;Ввод!$B$6,"",Ввод!$B$5+2423))</f>
        <v/>
      </c>
      <c r="B2425">
        <f>IF(A2425="","",IFERROR(INDEX(Ввод!$B$12:$B$71,MATCH(A2425,Ввод!$D$12:$D$71,1)),""))</f>
        <v/>
      </c>
      <c r="C2425">
        <f>IF(A2425="","",DATE(YEAR(A2425),12,31)-DATE(YEAR(A2425),1,1)+1)</f>
        <v/>
      </c>
      <c r="D2425">
        <f>IF(A2425="","",Ввод!$B$4-SUMIF(Оплаты!$A$6:$A$505,"&lt;"&amp;A2425,Оплаты!$B$6:$B$505))</f>
        <v/>
      </c>
      <c r="E2425">
        <f>IF(A2425="","",IF(SUMPRODUCT((Ввод!$F$12:$F$31&lt;&gt;"")*(Ввод!$F$12:$F$31&lt;=A2425)*(Ввод!$G$12:$G$31&gt;=A2425))&gt;0,1,0))</f>
        <v/>
      </c>
      <c r="F2425">
        <f>IF(OR(A2425="",B2425=""),"",IF(E2425=1,0,D2425*B2425/100/C2425))</f>
        <v/>
      </c>
      <c r="G2425">
        <f>IF(A2425="","",IF(OR(B2425&lt;&gt;B2424,C2425&lt;&gt;C2424,D2425&lt;&gt;D2424,E2425&lt;&gt;E2424),G2424+1,G2424))</f>
        <v/>
      </c>
    </row>
    <row r="2426">
      <c r="A2426" s="14">
        <f>IF(OR(NOT(ISNUMBER(Ввод!$B$5)),NOT(ISNUMBER(Ввод!$B$6))),"",IF(Ввод!$B$5+2424&gt;Ввод!$B$6,"",Ввод!$B$5+2424))</f>
        <v/>
      </c>
      <c r="B2426">
        <f>IF(A2426="","",IFERROR(INDEX(Ввод!$B$12:$B$71,MATCH(A2426,Ввод!$D$12:$D$71,1)),""))</f>
        <v/>
      </c>
      <c r="C2426">
        <f>IF(A2426="","",DATE(YEAR(A2426),12,31)-DATE(YEAR(A2426),1,1)+1)</f>
        <v/>
      </c>
      <c r="D2426">
        <f>IF(A2426="","",Ввод!$B$4-SUMIF(Оплаты!$A$6:$A$505,"&lt;"&amp;A2426,Оплаты!$B$6:$B$505))</f>
        <v/>
      </c>
      <c r="E2426">
        <f>IF(A2426="","",IF(SUMPRODUCT((Ввод!$F$12:$F$31&lt;&gt;"")*(Ввод!$F$12:$F$31&lt;=A2426)*(Ввод!$G$12:$G$31&gt;=A2426))&gt;0,1,0))</f>
        <v/>
      </c>
      <c r="F2426">
        <f>IF(OR(A2426="",B2426=""),"",IF(E2426=1,0,D2426*B2426/100/C2426))</f>
        <v/>
      </c>
      <c r="G2426">
        <f>IF(A2426="","",IF(OR(B2426&lt;&gt;B2425,C2426&lt;&gt;C2425,D2426&lt;&gt;D2425,E2426&lt;&gt;E2425),G2425+1,G2425))</f>
        <v/>
      </c>
    </row>
    <row r="2427">
      <c r="A2427" s="14">
        <f>IF(OR(NOT(ISNUMBER(Ввод!$B$5)),NOT(ISNUMBER(Ввод!$B$6))),"",IF(Ввод!$B$5+2425&gt;Ввод!$B$6,"",Ввод!$B$5+2425))</f>
        <v/>
      </c>
      <c r="B2427">
        <f>IF(A2427="","",IFERROR(INDEX(Ввод!$B$12:$B$71,MATCH(A2427,Ввод!$D$12:$D$71,1)),""))</f>
        <v/>
      </c>
      <c r="C2427">
        <f>IF(A2427="","",DATE(YEAR(A2427),12,31)-DATE(YEAR(A2427),1,1)+1)</f>
        <v/>
      </c>
      <c r="D2427">
        <f>IF(A2427="","",Ввод!$B$4-SUMIF(Оплаты!$A$6:$A$505,"&lt;"&amp;A2427,Оплаты!$B$6:$B$505))</f>
        <v/>
      </c>
      <c r="E2427">
        <f>IF(A2427="","",IF(SUMPRODUCT((Ввод!$F$12:$F$31&lt;&gt;"")*(Ввод!$F$12:$F$31&lt;=A2427)*(Ввод!$G$12:$G$31&gt;=A2427))&gt;0,1,0))</f>
        <v/>
      </c>
      <c r="F2427">
        <f>IF(OR(A2427="",B2427=""),"",IF(E2427=1,0,D2427*B2427/100/C2427))</f>
        <v/>
      </c>
      <c r="G2427">
        <f>IF(A2427="","",IF(OR(B2427&lt;&gt;B2426,C2427&lt;&gt;C2426,D2427&lt;&gt;D2426,E2427&lt;&gt;E2426),G2426+1,G2426))</f>
        <v/>
      </c>
    </row>
    <row r="2428">
      <c r="A2428" s="14">
        <f>IF(OR(NOT(ISNUMBER(Ввод!$B$5)),NOT(ISNUMBER(Ввод!$B$6))),"",IF(Ввод!$B$5+2426&gt;Ввод!$B$6,"",Ввод!$B$5+2426))</f>
        <v/>
      </c>
      <c r="B2428">
        <f>IF(A2428="","",IFERROR(INDEX(Ввод!$B$12:$B$71,MATCH(A2428,Ввод!$D$12:$D$71,1)),""))</f>
        <v/>
      </c>
      <c r="C2428">
        <f>IF(A2428="","",DATE(YEAR(A2428),12,31)-DATE(YEAR(A2428),1,1)+1)</f>
        <v/>
      </c>
      <c r="D2428">
        <f>IF(A2428="","",Ввод!$B$4-SUMIF(Оплаты!$A$6:$A$505,"&lt;"&amp;A2428,Оплаты!$B$6:$B$505))</f>
        <v/>
      </c>
      <c r="E2428">
        <f>IF(A2428="","",IF(SUMPRODUCT((Ввод!$F$12:$F$31&lt;&gt;"")*(Ввод!$F$12:$F$31&lt;=A2428)*(Ввод!$G$12:$G$31&gt;=A2428))&gt;0,1,0))</f>
        <v/>
      </c>
      <c r="F2428">
        <f>IF(OR(A2428="",B2428=""),"",IF(E2428=1,0,D2428*B2428/100/C2428))</f>
        <v/>
      </c>
      <c r="G2428">
        <f>IF(A2428="","",IF(OR(B2428&lt;&gt;B2427,C2428&lt;&gt;C2427,D2428&lt;&gt;D2427,E2428&lt;&gt;E2427),G2427+1,G2427))</f>
        <v/>
      </c>
    </row>
    <row r="2429">
      <c r="A2429" s="14">
        <f>IF(OR(NOT(ISNUMBER(Ввод!$B$5)),NOT(ISNUMBER(Ввод!$B$6))),"",IF(Ввод!$B$5+2427&gt;Ввод!$B$6,"",Ввод!$B$5+2427))</f>
        <v/>
      </c>
      <c r="B2429">
        <f>IF(A2429="","",IFERROR(INDEX(Ввод!$B$12:$B$71,MATCH(A2429,Ввод!$D$12:$D$71,1)),""))</f>
        <v/>
      </c>
      <c r="C2429">
        <f>IF(A2429="","",DATE(YEAR(A2429),12,31)-DATE(YEAR(A2429),1,1)+1)</f>
        <v/>
      </c>
      <c r="D2429">
        <f>IF(A2429="","",Ввод!$B$4-SUMIF(Оплаты!$A$6:$A$505,"&lt;"&amp;A2429,Оплаты!$B$6:$B$505))</f>
        <v/>
      </c>
      <c r="E2429">
        <f>IF(A2429="","",IF(SUMPRODUCT((Ввод!$F$12:$F$31&lt;&gt;"")*(Ввод!$F$12:$F$31&lt;=A2429)*(Ввод!$G$12:$G$31&gt;=A2429))&gt;0,1,0))</f>
        <v/>
      </c>
      <c r="F2429">
        <f>IF(OR(A2429="",B2429=""),"",IF(E2429=1,0,D2429*B2429/100/C2429))</f>
        <v/>
      </c>
      <c r="G2429">
        <f>IF(A2429="","",IF(OR(B2429&lt;&gt;B2428,C2429&lt;&gt;C2428,D2429&lt;&gt;D2428,E2429&lt;&gt;E2428),G2428+1,G2428))</f>
        <v/>
      </c>
    </row>
    <row r="2430">
      <c r="A2430" s="14">
        <f>IF(OR(NOT(ISNUMBER(Ввод!$B$5)),NOT(ISNUMBER(Ввод!$B$6))),"",IF(Ввод!$B$5+2428&gt;Ввод!$B$6,"",Ввод!$B$5+2428))</f>
        <v/>
      </c>
      <c r="B2430">
        <f>IF(A2430="","",IFERROR(INDEX(Ввод!$B$12:$B$71,MATCH(A2430,Ввод!$D$12:$D$71,1)),""))</f>
        <v/>
      </c>
      <c r="C2430">
        <f>IF(A2430="","",DATE(YEAR(A2430),12,31)-DATE(YEAR(A2430),1,1)+1)</f>
        <v/>
      </c>
      <c r="D2430">
        <f>IF(A2430="","",Ввод!$B$4-SUMIF(Оплаты!$A$6:$A$505,"&lt;"&amp;A2430,Оплаты!$B$6:$B$505))</f>
        <v/>
      </c>
      <c r="E2430">
        <f>IF(A2430="","",IF(SUMPRODUCT((Ввод!$F$12:$F$31&lt;&gt;"")*(Ввод!$F$12:$F$31&lt;=A2430)*(Ввод!$G$12:$G$31&gt;=A2430))&gt;0,1,0))</f>
        <v/>
      </c>
      <c r="F2430">
        <f>IF(OR(A2430="",B2430=""),"",IF(E2430=1,0,D2430*B2430/100/C2430))</f>
        <v/>
      </c>
      <c r="G2430">
        <f>IF(A2430="","",IF(OR(B2430&lt;&gt;B2429,C2430&lt;&gt;C2429,D2430&lt;&gt;D2429,E2430&lt;&gt;E2429),G2429+1,G2429))</f>
        <v/>
      </c>
    </row>
    <row r="2431">
      <c r="A2431" s="14">
        <f>IF(OR(NOT(ISNUMBER(Ввод!$B$5)),NOT(ISNUMBER(Ввод!$B$6))),"",IF(Ввод!$B$5+2429&gt;Ввод!$B$6,"",Ввод!$B$5+2429))</f>
        <v/>
      </c>
      <c r="B2431">
        <f>IF(A2431="","",IFERROR(INDEX(Ввод!$B$12:$B$71,MATCH(A2431,Ввод!$D$12:$D$71,1)),""))</f>
        <v/>
      </c>
      <c r="C2431">
        <f>IF(A2431="","",DATE(YEAR(A2431),12,31)-DATE(YEAR(A2431),1,1)+1)</f>
        <v/>
      </c>
      <c r="D2431">
        <f>IF(A2431="","",Ввод!$B$4-SUMIF(Оплаты!$A$6:$A$505,"&lt;"&amp;A2431,Оплаты!$B$6:$B$505))</f>
        <v/>
      </c>
      <c r="E2431">
        <f>IF(A2431="","",IF(SUMPRODUCT((Ввод!$F$12:$F$31&lt;&gt;"")*(Ввод!$F$12:$F$31&lt;=A2431)*(Ввод!$G$12:$G$31&gt;=A2431))&gt;0,1,0))</f>
        <v/>
      </c>
      <c r="F2431">
        <f>IF(OR(A2431="",B2431=""),"",IF(E2431=1,0,D2431*B2431/100/C2431))</f>
        <v/>
      </c>
      <c r="G2431">
        <f>IF(A2431="","",IF(OR(B2431&lt;&gt;B2430,C2431&lt;&gt;C2430,D2431&lt;&gt;D2430,E2431&lt;&gt;E2430),G2430+1,G2430))</f>
        <v/>
      </c>
    </row>
    <row r="2432">
      <c r="A2432" s="14">
        <f>IF(OR(NOT(ISNUMBER(Ввод!$B$5)),NOT(ISNUMBER(Ввод!$B$6))),"",IF(Ввод!$B$5+2430&gt;Ввод!$B$6,"",Ввод!$B$5+2430))</f>
        <v/>
      </c>
      <c r="B2432">
        <f>IF(A2432="","",IFERROR(INDEX(Ввод!$B$12:$B$71,MATCH(A2432,Ввод!$D$12:$D$71,1)),""))</f>
        <v/>
      </c>
      <c r="C2432">
        <f>IF(A2432="","",DATE(YEAR(A2432),12,31)-DATE(YEAR(A2432),1,1)+1)</f>
        <v/>
      </c>
      <c r="D2432">
        <f>IF(A2432="","",Ввод!$B$4-SUMIF(Оплаты!$A$6:$A$505,"&lt;"&amp;A2432,Оплаты!$B$6:$B$505))</f>
        <v/>
      </c>
      <c r="E2432">
        <f>IF(A2432="","",IF(SUMPRODUCT((Ввод!$F$12:$F$31&lt;&gt;"")*(Ввод!$F$12:$F$31&lt;=A2432)*(Ввод!$G$12:$G$31&gt;=A2432))&gt;0,1,0))</f>
        <v/>
      </c>
      <c r="F2432">
        <f>IF(OR(A2432="",B2432=""),"",IF(E2432=1,0,D2432*B2432/100/C2432))</f>
        <v/>
      </c>
      <c r="G2432">
        <f>IF(A2432="","",IF(OR(B2432&lt;&gt;B2431,C2432&lt;&gt;C2431,D2432&lt;&gt;D2431,E2432&lt;&gt;E2431),G2431+1,G2431))</f>
        <v/>
      </c>
    </row>
    <row r="2433">
      <c r="A2433" s="14">
        <f>IF(OR(NOT(ISNUMBER(Ввод!$B$5)),NOT(ISNUMBER(Ввод!$B$6))),"",IF(Ввод!$B$5+2431&gt;Ввод!$B$6,"",Ввод!$B$5+2431))</f>
        <v/>
      </c>
      <c r="B2433">
        <f>IF(A2433="","",IFERROR(INDEX(Ввод!$B$12:$B$71,MATCH(A2433,Ввод!$D$12:$D$71,1)),""))</f>
        <v/>
      </c>
      <c r="C2433">
        <f>IF(A2433="","",DATE(YEAR(A2433),12,31)-DATE(YEAR(A2433),1,1)+1)</f>
        <v/>
      </c>
      <c r="D2433">
        <f>IF(A2433="","",Ввод!$B$4-SUMIF(Оплаты!$A$6:$A$505,"&lt;"&amp;A2433,Оплаты!$B$6:$B$505))</f>
        <v/>
      </c>
      <c r="E2433">
        <f>IF(A2433="","",IF(SUMPRODUCT((Ввод!$F$12:$F$31&lt;&gt;"")*(Ввод!$F$12:$F$31&lt;=A2433)*(Ввод!$G$12:$G$31&gt;=A2433))&gt;0,1,0))</f>
        <v/>
      </c>
      <c r="F2433">
        <f>IF(OR(A2433="",B2433=""),"",IF(E2433=1,0,D2433*B2433/100/C2433))</f>
        <v/>
      </c>
      <c r="G2433">
        <f>IF(A2433="","",IF(OR(B2433&lt;&gt;B2432,C2433&lt;&gt;C2432,D2433&lt;&gt;D2432,E2433&lt;&gt;E2432),G2432+1,G2432))</f>
        <v/>
      </c>
    </row>
    <row r="2434">
      <c r="A2434" s="14">
        <f>IF(OR(NOT(ISNUMBER(Ввод!$B$5)),NOT(ISNUMBER(Ввод!$B$6))),"",IF(Ввод!$B$5+2432&gt;Ввод!$B$6,"",Ввод!$B$5+2432))</f>
        <v/>
      </c>
      <c r="B2434">
        <f>IF(A2434="","",IFERROR(INDEX(Ввод!$B$12:$B$71,MATCH(A2434,Ввод!$D$12:$D$71,1)),""))</f>
        <v/>
      </c>
      <c r="C2434">
        <f>IF(A2434="","",DATE(YEAR(A2434),12,31)-DATE(YEAR(A2434),1,1)+1)</f>
        <v/>
      </c>
      <c r="D2434">
        <f>IF(A2434="","",Ввод!$B$4-SUMIF(Оплаты!$A$6:$A$505,"&lt;"&amp;A2434,Оплаты!$B$6:$B$505))</f>
        <v/>
      </c>
      <c r="E2434">
        <f>IF(A2434="","",IF(SUMPRODUCT((Ввод!$F$12:$F$31&lt;&gt;"")*(Ввод!$F$12:$F$31&lt;=A2434)*(Ввод!$G$12:$G$31&gt;=A2434))&gt;0,1,0))</f>
        <v/>
      </c>
      <c r="F2434">
        <f>IF(OR(A2434="",B2434=""),"",IF(E2434=1,0,D2434*B2434/100/C2434))</f>
        <v/>
      </c>
      <c r="G2434">
        <f>IF(A2434="","",IF(OR(B2434&lt;&gt;B2433,C2434&lt;&gt;C2433,D2434&lt;&gt;D2433,E2434&lt;&gt;E2433),G2433+1,G2433))</f>
        <v/>
      </c>
    </row>
    <row r="2435">
      <c r="A2435" s="14">
        <f>IF(OR(NOT(ISNUMBER(Ввод!$B$5)),NOT(ISNUMBER(Ввод!$B$6))),"",IF(Ввод!$B$5+2433&gt;Ввод!$B$6,"",Ввод!$B$5+2433))</f>
        <v/>
      </c>
      <c r="B2435">
        <f>IF(A2435="","",IFERROR(INDEX(Ввод!$B$12:$B$71,MATCH(A2435,Ввод!$D$12:$D$71,1)),""))</f>
        <v/>
      </c>
      <c r="C2435">
        <f>IF(A2435="","",DATE(YEAR(A2435),12,31)-DATE(YEAR(A2435),1,1)+1)</f>
        <v/>
      </c>
      <c r="D2435">
        <f>IF(A2435="","",Ввод!$B$4-SUMIF(Оплаты!$A$6:$A$505,"&lt;"&amp;A2435,Оплаты!$B$6:$B$505))</f>
        <v/>
      </c>
      <c r="E2435">
        <f>IF(A2435="","",IF(SUMPRODUCT((Ввод!$F$12:$F$31&lt;&gt;"")*(Ввод!$F$12:$F$31&lt;=A2435)*(Ввод!$G$12:$G$31&gt;=A2435))&gt;0,1,0))</f>
        <v/>
      </c>
      <c r="F2435">
        <f>IF(OR(A2435="",B2435=""),"",IF(E2435=1,0,D2435*B2435/100/C2435))</f>
        <v/>
      </c>
      <c r="G2435">
        <f>IF(A2435="","",IF(OR(B2435&lt;&gt;B2434,C2435&lt;&gt;C2434,D2435&lt;&gt;D2434,E2435&lt;&gt;E2434),G2434+1,G2434))</f>
        <v/>
      </c>
    </row>
    <row r="2436">
      <c r="A2436" s="14">
        <f>IF(OR(NOT(ISNUMBER(Ввод!$B$5)),NOT(ISNUMBER(Ввод!$B$6))),"",IF(Ввод!$B$5+2434&gt;Ввод!$B$6,"",Ввод!$B$5+2434))</f>
        <v/>
      </c>
      <c r="B2436">
        <f>IF(A2436="","",IFERROR(INDEX(Ввод!$B$12:$B$71,MATCH(A2436,Ввод!$D$12:$D$71,1)),""))</f>
        <v/>
      </c>
      <c r="C2436">
        <f>IF(A2436="","",DATE(YEAR(A2436),12,31)-DATE(YEAR(A2436),1,1)+1)</f>
        <v/>
      </c>
      <c r="D2436">
        <f>IF(A2436="","",Ввод!$B$4-SUMIF(Оплаты!$A$6:$A$505,"&lt;"&amp;A2436,Оплаты!$B$6:$B$505))</f>
        <v/>
      </c>
      <c r="E2436">
        <f>IF(A2436="","",IF(SUMPRODUCT((Ввод!$F$12:$F$31&lt;&gt;"")*(Ввод!$F$12:$F$31&lt;=A2436)*(Ввод!$G$12:$G$31&gt;=A2436))&gt;0,1,0))</f>
        <v/>
      </c>
      <c r="F2436">
        <f>IF(OR(A2436="",B2436=""),"",IF(E2436=1,0,D2436*B2436/100/C2436))</f>
        <v/>
      </c>
      <c r="G2436">
        <f>IF(A2436="","",IF(OR(B2436&lt;&gt;B2435,C2436&lt;&gt;C2435,D2436&lt;&gt;D2435,E2436&lt;&gt;E2435),G2435+1,G2435))</f>
        <v/>
      </c>
    </row>
    <row r="2437">
      <c r="A2437" s="14">
        <f>IF(OR(NOT(ISNUMBER(Ввод!$B$5)),NOT(ISNUMBER(Ввод!$B$6))),"",IF(Ввод!$B$5+2435&gt;Ввод!$B$6,"",Ввод!$B$5+2435))</f>
        <v/>
      </c>
      <c r="B2437">
        <f>IF(A2437="","",IFERROR(INDEX(Ввод!$B$12:$B$71,MATCH(A2437,Ввод!$D$12:$D$71,1)),""))</f>
        <v/>
      </c>
      <c r="C2437">
        <f>IF(A2437="","",DATE(YEAR(A2437),12,31)-DATE(YEAR(A2437),1,1)+1)</f>
        <v/>
      </c>
      <c r="D2437">
        <f>IF(A2437="","",Ввод!$B$4-SUMIF(Оплаты!$A$6:$A$505,"&lt;"&amp;A2437,Оплаты!$B$6:$B$505))</f>
        <v/>
      </c>
      <c r="E2437">
        <f>IF(A2437="","",IF(SUMPRODUCT((Ввод!$F$12:$F$31&lt;&gt;"")*(Ввод!$F$12:$F$31&lt;=A2437)*(Ввод!$G$12:$G$31&gt;=A2437))&gt;0,1,0))</f>
        <v/>
      </c>
      <c r="F2437">
        <f>IF(OR(A2437="",B2437=""),"",IF(E2437=1,0,D2437*B2437/100/C2437))</f>
        <v/>
      </c>
      <c r="G2437">
        <f>IF(A2437="","",IF(OR(B2437&lt;&gt;B2436,C2437&lt;&gt;C2436,D2437&lt;&gt;D2436,E2437&lt;&gt;E2436),G2436+1,G2436))</f>
        <v/>
      </c>
    </row>
    <row r="2438">
      <c r="A2438" s="14">
        <f>IF(OR(NOT(ISNUMBER(Ввод!$B$5)),NOT(ISNUMBER(Ввод!$B$6))),"",IF(Ввод!$B$5+2436&gt;Ввод!$B$6,"",Ввод!$B$5+2436))</f>
        <v/>
      </c>
      <c r="B2438">
        <f>IF(A2438="","",IFERROR(INDEX(Ввод!$B$12:$B$71,MATCH(A2438,Ввод!$D$12:$D$71,1)),""))</f>
        <v/>
      </c>
      <c r="C2438">
        <f>IF(A2438="","",DATE(YEAR(A2438),12,31)-DATE(YEAR(A2438),1,1)+1)</f>
        <v/>
      </c>
      <c r="D2438">
        <f>IF(A2438="","",Ввод!$B$4-SUMIF(Оплаты!$A$6:$A$505,"&lt;"&amp;A2438,Оплаты!$B$6:$B$505))</f>
        <v/>
      </c>
      <c r="E2438">
        <f>IF(A2438="","",IF(SUMPRODUCT((Ввод!$F$12:$F$31&lt;&gt;"")*(Ввод!$F$12:$F$31&lt;=A2438)*(Ввод!$G$12:$G$31&gt;=A2438))&gt;0,1,0))</f>
        <v/>
      </c>
      <c r="F2438">
        <f>IF(OR(A2438="",B2438=""),"",IF(E2438=1,0,D2438*B2438/100/C2438))</f>
        <v/>
      </c>
      <c r="G2438">
        <f>IF(A2438="","",IF(OR(B2438&lt;&gt;B2437,C2438&lt;&gt;C2437,D2438&lt;&gt;D2437,E2438&lt;&gt;E2437),G2437+1,G2437))</f>
        <v/>
      </c>
    </row>
    <row r="2439">
      <c r="A2439" s="14">
        <f>IF(OR(NOT(ISNUMBER(Ввод!$B$5)),NOT(ISNUMBER(Ввод!$B$6))),"",IF(Ввод!$B$5+2437&gt;Ввод!$B$6,"",Ввод!$B$5+2437))</f>
        <v/>
      </c>
      <c r="B2439">
        <f>IF(A2439="","",IFERROR(INDEX(Ввод!$B$12:$B$71,MATCH(A2439,Ввод!$D$12:$D$71,1)),""))</f>
        <v/>
      </c>
      <c r="C2439">
        <f>IF(A2439="","",DATE(YEAR(A2439),12,31)-DATE(YEAR(A2439),1,1)+1)</f>
        <v/>
      </c>
      <c r="D2439">
        <f>IF(A2439="","",Ввод!$B$4-SUMIF(Оплаты!$A$6:$A$505,"&lt;"&amp;A2439,Оплаты!$B$6:$B$505))</f>
        <v/>
      </c>
      <c r="E2439">
        <f>IF(A2439="","",IF(SUMPRODUCT((Ввод!$F$12:$F$31&lt;&gt;"")*(Ввод!$F$12:$F$31&lt;=A2439)*(Ввод!$G$12:$G$31&gt;=A2439))&gt;0,1,0))</f>
        <v/>
      </c>
      <c r="F2439">
        <f>IF(OR(A2439="",B2439=""),"",IF(E2439=1,0,D2439*B2439/100/C2439))</f>
        <v/>
      </c>
      <c r="G2439">
        <f>IF(A2439="","",IF(OR(B2439&lt;&gt;B2438,C2439&lt;&gt;C2438,D2439&lt;&gt;D2438,E2439&lt;&gt;E2438),G2438+1,G2438))</f>
        <v/>
      </c>
    </row>
    <row r="2440">
      <c r="A2440" s="14">
        <f>IF(OR(NOT(ISNUMBER(Ввод!$B$5)),NOT(ISNUMBER(Ввод!$B$6))),"",IF(Ввод!$B$5+2438&gt;Ввод!$B$6,"",Ввод!$B$5+2438))</f>
        <v/>
      </c>
      <c r="B2440">
        <f>IF(A2440="","",IFERROR(INDEX(Ввод!$B$12:$B$71,MATCH(A2440,Ввод!$D$12:$D$71,1)),""))</f>
        <v/>
      </c>
      <c r="C2440">
        <f>IF(A2440="","",DATE(YEAR(A2440),12,31)-DATE(YEAR(A2440),1,1)+1)</f>
        <v/>
      </c>
      <c r="D2440">
        <f>IF(A2440="","",Ввод!$B$4-SUMIF(Оплаты!$A$6:$A$505,"&lt;"&amp;A2440,Оплаты!$B$6:$B$505))</f>
        <v/>
      </c>
      <c r="E2440">
        <f>IF(A2440="","",IF(SUMPRODUCT((Ввод!$F$12:$F$31&lt;&gt;"")*(Ввод!$F$12:$F$31&lt;=A2440)*(Ввод!$G$12:$G$31&gt;=A2440))&gt;0,1,0))</f>
        <v/>
      </c>
      <c r="F2440">
        <f>IF(OR(A2440="",B2440=""),"",IF(E2440=1,0,D2440*B2440/100/C2440))</f>
        <v/>
      </c>
      <c r="G2440">
        <f>IF(A2440="","",IF(OR(B2440&lt;&gt;B2439,C2440&lt;&gt;C2439,D2440&lt;&gt;D2439,E2440&lt;&gt;E2439),G2439+1,G2439))</f>
        <v/>
      </c>
    </row>
    <row r="2441">
      <c r="A2441" s="14">
        <f>IF(OR(NOT(ISNUMBER(Ввод!$B$5)),NOT(ISNUMBER(Ввод!$B$6))),"",IF(Ввод!$B$5+2439&gt;Ввод!$B$6,"",Ввод!$B$5+2439))</f>
        <v/>
      </c>
      <c r="B2441">
        <f>IF(A2441="","",IFERROR(INDEX(Ввод!$B$12:$B$71,MATCH(A2441,Ввод!$D$12:$D$71,1)),""))</f>
        <v/>
      </c>
      <c r="C2441">
        <f>IF(A2441="","",DATE(YEAR(A2441),12,31)-DATE(YEAR(A2441),1,1)+1)</f>
        <v/>
      </c>
      <c r="D2441">
        <f>IF(A2441="","",Ввод!$B$4-SUMIF(Оплаты!$A$6:$A$505,"&lt;"&amp;A2441,Оплаты!$B$6:$B$505))</f>
        <v/>
      </c>
      <c r="E2441">
        <f>IF(A2441="","",IF(SUMPRODUCT((Ввод!$F$12:$F$31&lt;&gt;"")*(Ввод!$F$12:$F$31&lt;=A2441)*(Ввод!$G$12:$G$31&gt;=A2441))&gt;0,1,0))</f>
        <v/>
      </c>
      <c r="F2441">
        <f>IF(OR(A2441="",B2441=""),"",IF(E2441=1,0,D2441*B2441/100/C2441))</f>
        <v/>
      </c>
      <c r="G2441">
        <f>IF(A2441="","",IF(OR(B2441&lt;&gt;B2440,C2441&lt;&gt;C2440,D2441&lt;&gt;D2440,E2441&lt;&gt;E2440),G2440+1,G2440))</f>
        <v/>
      </c>
    </row>
    <row r="2442">
      <c r="A2442" s="14">
        <f>IF(OR(NOT(ISNUMBER(Ввод!$B$5)),NOT(ISNUMBER(Ввод!$B$6))),"",IF(Ввод!$B$5+2440&gt;Ввод!$B$6,"",Ввод!$B$5+2440))</f>
        <v/>
      </c>
      <c r="B2442">
        <f>IF(A2442="","",IFERROR(INDEX(Ввод!$B$12:$B$71,MATCH(A2442,Ввод!$D$12:$D$71,1)),""))</f>
        <v/>
      </c>
      <c r="C2442">
        <f>IF(A2442="","",DATE(YEAR(A2442),12,31)-DATE(YEAR(A2442),1,1)+1)</f>
        <v/>
      </c>
      <c r="D2442">
        <f>IF(A2442="","",Ввод!$B$4-SUMIF(Оплаты!$A$6:$A$505,"&lt;"&amp;A2442,Оплаты!$B$6:$B$505))</f>
        <v/>
      </c>
      <c r="E2442">
        <f>IF(A2442="","",IF(SUMPRODUCT((Ввод!$F$12:$F$31&lt;&gt;"")*(Ввод!$F$12:$F$31&lt;=A2442)*(Ввод!$G$12:$G$31&gt;=A2442))&gt;0,1,0))</f>
        <v/>
      </c>
      <c r="F2442">
        <f>IF(OR(A2442="",B2442=""),"",IF(E2442=1,0,D2442*B2442/100/C2442))</f>
        <v/>
      </c>
      <c r="G2442">
        <f>IF(A2442="","",IF(OR(B2442&lt;&gt;B2441,C2442&lt;&gt;C2441,D2442&lt;&gt;D2441,E2442&lt;&gt;E2441),G2441+1,G2441))</f>
        <v/>
      </c>
    </row>
    <row r="2443">
      <c r="A2443" s="14">
        <f>IF(OR(NOT(ISNUMBER(Ввод!$B$5)),NOT(ISNUMBER(Ввод!$B$6))),"",IF(Ввод!$B$5+2441&gt;Ввод!$B$6,"",Ввод!$B$5+2441))</f>
        <v/>
      </c>
      <c r="B2443">
        <f>IF(A2443="","",IFERROR(INDEX(Ввод!$B$12:$B$71,MATCH(A2443,Ввод!$D$12:$D$71,1)),""))</f>
        <v/>
      </c>
      <c r="C2443">
        <f>IF(A2443="","",DATE(YEAR(A2443),12,31)-DATE(YEAR(A2443),1,1)+1)</f>
        <v/>
      </c>
      <c r="D2443">
        <f>IF(A2443="","",Ввод!$B$4-SUMIF(Оплаты!$A$6:$A$505,"&lt;"&amp;A2443,Оплаты!$B$6:$B$505))</f>
        <v/>
      </c>
      <c r="E2443">
        <f>IF(A2443="","",IF(SUMPRODUCT((Ввод!$F$12:$F$31&lt;&gt;"")*(Ввод!$F$12:$F$31&lt;=A2443)*(Ввод!$G$12:$G$31&gt;=A2443))&gt;0,1,0))</f>
        <v/>
      </c>
      <c r="F2443">
        <f>IF(OR(A2443="",B2443=""),"",IF(E2443=1,0,D2443*B2443/100/C2443))</f>
        <v/>
      </c>
      <c r="G2443">
        <f>IF(A2443="","",IF(OR(B2443&lt;&gt;B2442,C2443&lt;&gt;C2442,D2443&lt;&gt;D2442,E2443&lt;&gt;E2442),G2442+1,G2442))</f>
        <v/>
      </c>
    </row>
    <row r="2444">
      <c r="A2444" s="14">
        <f>IF(OR(NOT(ISNUMBER(Ввод!$B$5)),NOT(ISNUMBER(Ввод!$B$6))),"",IF(Ввод!$B$5+2442&gt;Ввод!$B$6,"",Ввод!$B$5+2442))</f>
        <v/>
      </c>
      <c r="B2444">
        <f>IF(A2444="","",IFERROR(INDEX(Ввод!$B$12:$B$71,MATCH(A2444,Ввод!$D$12:$D$71,1)),""))</f>
        <v/>
      </c>
      <c r="C2444">
        <f>IF(A2444="","",DATE(YEAR(A2444),12,31)-DATE(YEAR(A2444),1,1)+1)</f>
        <v/>
      </c>
      <c r="D2444">
        <f>IF(A2444="","",Ввод!$B$4-SUMIF(Оплаты!$A$6:$A$505,"&lt;"&amp;A2444,Оплаты!$B$6:$B$505))</f>
        <v/>
      </c>
      <c r="E2444">
        <f>IF(A2444="","",IF(SUMPRODUCT((Ввод!$F$12:$F$31&lt;&gt;"")*(Ввод!$F$12:$F$31&lt;=A2444)*(Ввод!$G$12:$G$31&gt;=A2444))&gt;0,1,0))</f>
        <v/>
      </c>
      <c r="F2444">
        <f>IF(OR(A2444="",B2444=""),"",IF(E2444=1,0,D2444*B2444/100/C2444))</f>
        <v/>
      </c>
      <c r="G2444">
        <f>IF(A2444="","",IF(OR(B2444&lt;&gt;B2443,C2444&lt;&gt;C2443,D2444&lt;&gt;D2443,E2444&lt;&gt;E2443),G2443+1,G2443))</f>
        <v/>
      </c>
    </row>
    <row r="2445">
      <c r="A2445" s="14">
        <f>IF(OR(NOT(ISNUMBER(Ввод!$B$5)),NOT(ISNUMBER(Ввод!$B$6))),"",IF(Ввод!$B$5+2443&gt;Ввод!$B$6,"",Ввод!$B$5+2443))</f>
        <v/>
      </c>
      <c r="B2445">
        <f>IF(A2445="","",IFERROR(INDEX(Ввод!$B$12:$B$71,MATCH(A2445,Ввод!$D$12:$D$71,1)),""))</f>
        <v/>
      </c>
      <c r="C2445">
        <f>IF(A2445="","",DATE(YEAR(A2445),12,31)-DATE(YEAR(A2445),1,1)+1)</f>
        <v/>
      </c>
      <c r="D2445">
        <f>IF(A2445="","",Ввод!$B$4-SUMIF(Оплаты!$A$6:$A$505,"&lt;"&amp;A2445,Оплаты!$B$6:$B$505))</f>
        <v/>
      </c>
      <c r="E2445">
        <f>IF(A2445="","",IF(SUMPRODUCT((Ввод!$F$12:$F$31&lt;&gt;"")*(Ввод!$F$12:$F$31&lt;=A2445)*(Ввод!$G$12:$G$31&gt;=A2445))&gt;0,1,0))</f>
        <v/>
      </c>
      <c r="F2445">
        <f>IF(OR(A2445="",B2445=""),"",IF(E2445=1,0,D2445*B2445/100/C2445))</f>
        <v/>
      </c>
      <c r="G2445">
        <f>IF(A2445="","",IF(OR(B2445&lt;&gt;B2444,C2445&lt;&gt;C2444,D2445&lt;&gt;D2444,E2445&lt;&gt;E2444),G2444+1,G2444))</f>
        <v/>
      </c>
    </row>
    <row r="2446">
      <c r="A2446" s="14">
        <f>IF(OR(NOT(ISNUMBER(Ввод!$B$5)),NOT(ISNUMBER(Ввод!$B$6))),"",IF(Ввод!$B$5+2444&gt;Ввод!$B$6,"",Ввод!$B$5+2444))</f>
        <v/>
      </c>
      <c r="B2446">
        <f>IF(A2446="","",IFERROR(INDEX(Ввод!$B$12:$B$71,MATCH(A2446,Ввод!$D$12:$D$71,1)),""))</f>
        <v/>
      </c>
      <c r="C2446">
        <f>IF(A2446="","",DATE(YEAR(A2446),12,31)-DATE(YEAR(A2446),1,1)+1)</f>
        <v/>
      </c>
      <c r="D2446">
        <f>IF(A2446="","",Ввод!$B$4-SUMIF(Оплаты!$A$6:$A$505,"&lt;"&amp;A2446,Оплаты!$B$6:$B$505))</f>
        <v/>
      </c>
      <c r="E2446">
        <f>IF(A2446="","",IF(SUMPRODUCT((Ввод!$F$12:$F$31&lt;&gt;"")*(Ввод!$F$12:$F$31&lt;=A2446)*(Ввод!$G$12:$G$31&gt;=A2446))&gt;0,1,0))</f>
        <v/>
      </c>
      <c r="F2446">
        <f>IF(OR(A2446="",B2446=""),"",IF(E2446=1,0,D2446*B2446/100/C2446))</f>
        <v/>
      </c>
      <c r="G2446">
        <f>IF(A2446="","",IF(OR(B2446&lt;&gt;B2445,C2446&lt;&gt;C2445,D2446&lt;&gt;D2445,E2446&lt;&gt;E2445),G2445+1,G2445))</f>
        <v/>
      </c>
    </row>
    <row r="2447">
      <c r="A2447" s="14">
        <f>IF(OR(NOT(ISNUMBER(Ввод!$B$5)),NOT(ISNUMBER(Ввод!$B$6))),"",IF(Ввод!$B$5+2445&gt;Ввод!$B$6,"",Ввод!$B$5+2445))</f>
        <v/>
      </c>
      <c r="B2447">
        <f>IF(A2447="","",IFERROR(INDEX(Ввод!$B$12:$B$71,MATCH(A2447,Ввод!$D$12:$D$71,1)),""))</f>
        <v/>
      </c>
      <c r="C2447">
        <f>IF(A2447="","",DATE(YEAR(A2447),12,31)-DATE(YEAR(A2447),1,1)+1)</f>
        <v/>
      </c>
      <c r="D2447">
        <f>IF(A2447="","",Ввод!$B$4-SUMIF(Оплаты!$A$6:$A$505,"&lt;"&amp;A2447,Оплаты!$B$6:$B$505))</f>
        <v/>
      </c>
      <c r="E2447">
        <f>IF(A2447="","",IF(SUMPRODUCT((Ввод!$F$12:$F$31&lt;&gt;"")*(Ввод!$F$12:$F$31&lt;=A2447)*(Ввод!$G$12:$G$31&gt;=A2447))&gt;0,1,0))</f>
        <v/>
      </c>
      <c r="F2447">
        <f>IF(OR(A2447="",B2447=""),"",IF(E2447=1,0,D2447*B2447/100/C2447))</f>
        <v/>
      </c>
      <c r="G2447">
        <f>IF(A2447="","",IF(OR(B2447&lt;&gt;B2446,C2447&lt;&gt;C2446,D2447&lt;&gt;D2446,E2447&lt;&gt;E2446),G2446+1,G2446))</f>
        <v/>
      </c>
    </row>
    <row r="2448">
      <c r="A2448" s="14">
        <f>IF(OR(NOT(ISNUMBER(Ввод!$B$5)),NOT(ISNUMBER(Ввод!$B$6))),"",IF(Ввод!$B$5+2446&gt;Ввод!$B$6,"",Ввод!$B$5+2446))</f>
        <v/>
      </c>
      <c r="B2448">
        <f>IF(A2448="","",IFERROR(INDEX(Ввод!$B$12:$B$71,MATCH(A2448,Ввод!$D$12:$D$71,1)),""))</f>
        <v/>
      </c>
      <c r="C2448">
        <f>IF(A2448="","",DATE(YEAR(A2448),12,31)-DATE(YEAR(A2448),1,1)+1)</f>
        <v/>
      </c>
      <c r="D2448">
        <f>IF(A2448="","",Ввод!$B$4-SUMIF(Оплаты!$A$6:$A$505,"&lt;"&amp;A2448,Оплаты!$B$6:$B$505))</f>
        <v/>
      </c>
      <c r="E2448">
        <f>IF(A2448="","",IF(SUMPRODUCT((Ввод!$F$12:$F$31&lt;&gt;"")*(Ввод!$F$12:$F$31&lt;=A2448)*(Ввод!$G$12:$G$31&gt;=A2448))&gt;0,1,0))</f>
        <v/>
      </c>
      <c r="F2448">
        <f>IF(OR(A2448="",B2448=""),"",IF(E2448=1,0,D2448*B2448/100/C2448))</f>
        <v/>
      </c>
      <c r="G2448">
        <f>IF(A2448="","",IF(OR(B2448&lt;&gt;B2447,C2448&lt;&gt;C2447,D2448&lt;&gt;D2447,E2448&lt;&gt;E2447),G2447+1,G2447))</f>
        <v/>
      </c>
    </row>
    <row r="2449">
      <c r="A2449" s="14">
        <f>IF(OR(NOT(ISNUMBER(Ввод!$B$5)),NOT(ISNUMBER(Ввод!$B$6))),"",IF(Ввод!$B$5+2447&gt;Ввод!$B$6,"",Ввод!$B$5+2447))</f>
        <v/>
      </c>
      <c r="B2449">
        <f>IF(A2449="","",IFERROR(INDEX(Ввод!$B$12:$B$71,MATCH(A2449,Ввод!$D$12:$D$71,1)),""))</f>
        <v/>
      </c>
      <c r="C2449">
        <f>IF(A2449="","",DATE(YEAR(A2449),12,31)-DATE(YEAR(A2449),1,1)+1)</f>
        <v/>
      </c>
      <c r="D2449">
        <f>IF(A2449="","",Ввод!$B$4-SUMIF(Оплаты!$A$6:$A$505,"&lt;"&amp;A2449,Оплаты!$B$6:$B$505))</f>
        <v/>
      </c>
      <c r="E2449">
        <f>IF(A2449="","",IF(SUMPRODUCT((Ввод!$F$12:$F$31&lt;&gt;"")*(Ввод!$F$12:$F$31&lt;=A2449)*(Ввод!$G$12:$G$31&gt;=A2449))&gt;0,1,0))</f>
        <v/>
      </c>
      <c r="F2449">
        <f>IF(OR(A2449="",B2449=""),"",IF(E2449=1,0,D2449*B2449/100/C2449))</f>
        <v/>
      </c>
      <c r="G2449">
        <f>IF(A2449="","",IF(OR(B2449&lt;&gt;B2448,C2449&lt;&gt;C2448,D2449&lt;&gt;D2448,E2449&lt;&gt;E2448),G2448+1,G2448))</f>
        <v/>
      </c>
    </row>
    <row r="2450">
      <c r="A2450" s="14">
        <f>IF(OR(NOT(ISNUMBER(Ввод!$B$5)),NOT(ISNUMBER(Ввод!$B$6))),"",IF(Ввод!$B$5+2448&gt;Ввод!$B$6,"",Ввод!$B$5+2448))</f>
        <v/>
      </c>
      <c r="B2450">
        <f>IF(A2450="","",IFERROR(INDEX(Ввод!$B$12:$B$71,MATCH(A2450,Ввод!$D$12:$D$71,1)),""))</f>
        <v/>
      </c>
      <c r="C2450">
        <f>IF(A2450="","",DATE(YEAR(A2450),12,31)-DATE(YEAR(A2450),1,1)+1)</f>
        <v/>
      </c>
      <c r="D2450">
        <f>IF(A2450="","",Ввод!$B$4-SUMIF(Оплаты!$A$6:$A$505,"&lt;"&amp;A2450,Оплаты!$B$6:$B$505))</f>
        <v/>
      </c>
      <c r="E2450">
        <f>IF(A2450="","",IF(SUMPRODUCT((Ввод!$F$12:$F$31&lt;&gt;"")*(Ввод!$F$12:$F$31&lt;=A2450)*(Ввод!$G$12:$G$31&gt;=A2450))&gt;0,1,0))</f>
        <v/>
      </c>
      <c r="F2450">
        <f>IF(OR(A2450="",B2450=""),"",IF(E2450=1,0,D2450*B2450/100/C2450))</f>
        <v/>
      </c>
      <c r="G2450">
        <f>IF(A2450="","",IF(OR(B2450&lt;&gt;B2449,C2450&lt;&gt;C2449,D2450&lt;&gt;D2449,E2450&lt;&gt;E2449),G2449+1,G2449))</f>
        <v/>
      </c>
    </row>
    <row r="2451">
      <c r="A2451" s="14">
        <f>IF(OR(NOT(ISNUMBER(Ввод!$B$5)),NOT(ISNUMBER(Ввод!$B$6))),"",IF(Ввод!$B$5+2449&gt;Ввод!$B$6,"",Ввод!$B$5+2449))</f>
        <v/>
      </c>
      <c r="B2451">
        <f>IF(A2451="","",IFERROR(INDEX(Ввод!$B$12:$B$71,MATCH(A2451,Ввод!$D$12:$D$71,1)),""))</f>
        <v/>
      </c>
      <c r="C2451">
        <f>IF(A2451="","",DATE(YEAR(A2451),12,31)-DATE(YEAR(A2451),1,1)+1)</f>
        <v/>
      </c>
      <c r="D2451">
        <f>IF(A2451="","",Ввод!$B$4-SUMIF(Оплаты!$A$6:$A$505,"&lt;"&amp;A2451,Оплаты!$B$6:$B$505))</f>
        <v/>
      </c>
      <c r="E2451">
        <f>IF(A2451="","",IF(SUMPRODUCT((Ввод!$F$12:$F$31&lt;&gt;"")*(Ввод!$F$12:$F$31&lt;=A2451)*(Ввод!$G$12:$G$31&gt;=A2451))&gt;0,1,0))</f>
        <v/>
      </c>
      <c r="F2451">
        <f>IF(OR(A2451="",B2451=""),"",IF(E2451=1,0,D2451*B2451/100/C2451))</f>
        <v/>
      </c>
      <c r="G2451">
        <f>IF(A2451="","",IF(OR(B2451&lt;&gt;B2450,C2451&lt;&gt;C2450,D2451&lt;&gt;D2450,E2451&lt;&gt;E2450),G2450+1,G2450))</f>
        <v/>
      </c>
    </row>
    <row r="2452">
      <c r="A2452" s="14">
        <f>IF(OR(NOT(ISNUMBER(Ввод!$B$5)),NOT(ISNUMBER(Ввод!$B$6))),"",IF(Ввод!$B$5+2450&gt;Ввод!$B$6,"",Ввод!$B$5+2450))</f>
        <v/>
      </c>
      <c r="B2452">
        <f>IF(A2452="","",IFERROR(INDEX(Ввод!$B$12:$B$71,MATCH(A2452,Ввод!$D$12:$D$71,1)),""))</f>
        <v/>
      </c>
      <c r="C2452">
        <f>IF(A2452="","",DATE(YEAR(A2452),12,31)-DATE(YEAR(A2452),1,1)+1)</f>
        <v/>
      </c>
      <c r="D2452">
        <f>IF(A2452="","",Ввод!$B$4-SUMIF(Оплаты!$A$6:$A$505,"&lt;"&amp;A2452,Оплаты!$B$6:$B$505))</f>
        <v/>
      </c>
      <c r="E2452">
        <f>IF(A2452="","",IF(SUMPRODUCT((Ввод!$F$12:$F$31&lt;&gt;"")*(Ввод!$F$12:$F$31&lt;=A2452)*(Ввод!$G$12:$G$31&gt;=A2452))&gt;0,1,0))</f>
        <v/>
      </c>
      <c r="F2452">
        <f>IF(OR(A2452="",B2452=""),"",IF(E2452=1,0,D2452*B2452/100/C2452))</f>
        <v/>
      </c>
      <c r="G2452">
        <f>IF(A2452="","",IF(OR(B2452&lt;&gt;B2451,C2452&lt;&gt;C2451,D2452&lt;&gt;D2451,E2452&lt;&gt;E2451),G2451+1,G2451))</f>
        <v/>
      </c>
    </row>
    <row r="2453">
      <c r="A2453" s="14">
        <f>IF(OR(NOT(ISNUMBER(Ввод!$B$5)),NOT(ISNUMBER(Ввод!$B$6))),"",IF(Ввод!$B$5+2451&gt;Ввод!$B$6,"",Ввод!$B$5+2451))</f>
        <v/>
      </c>
      <c r="B2453">
        <f>IF(A2453="","",IFERROR(INDEX(Ввод!$B$12:$B$71,MATCH(A2453,Ввод!$D$12:$D$71,1)),""))</f>
        <v/>
      </c>
      <c r="C2453">
        <f>IF(A2453="","",DATE(YEAR(A2453),12,31)-DATE(YEAR(A2453),1,1)+1)</f>
        <v/>
      </c>
      <c r="D2453">
        <f>IF(A2453="","",Ввод!$B$4-SUMIF(Оплаты!$A$6:$A$505,"&lt;"&amp;A2453,Оплаты!$B$6:$B$505))</f>
        <v/>
      </c>
      <c r="E2453">
        <f>IF(A2453="","",IF(SUMPRODUCT((Ввод!$F$12:$F$31&lt;&gt;"")*(Ввод!$F$12:$F$31&lt;=A2453)*(Ввод!$G$12:$G$31&gt;=A2453))&gt;0,1,0))</f>
        <v/>
      </c>
      <c r="F2453">
        <f>IF(OR(A2453="",B2453=""),"",IF(E2453=1,0,D2453*B2453/100/C2453))</f>
        <v/>
      </c>
      <c r="G2453">
        <f>IF(A2453="","",IF(OR(B2453&lt;&gt;B2452,C2453&lt;&gt;C2452,D2453&lt;&gt;D2452,E2453&lt;&gt;E2452),G2452+1,G2452))</f>
        <v/>
      </c>
    </row>
    <row r="2454">
      <c r="A2454" s="14">
        <f>IF(OR(NOT(ISNUMBER(Ввод!$B$5)),NOT(ISNUMBER(Ввод!$B$6))),"",IF(Ввод!$B$5+2452&gt;Ввод!$B$6,"",Ввод!$B$5+2452))</f>
        <v/>
      </c>
      <c r="B2454">
        <f>IF(A2454="","",IFERROR(INDEX(Ввод!$B$12:$B$71,MATCH(A2454,Ввод!$D$12:$D$71,1)),""))</f>
        <v/>
      </c>
      <c r="C2454">
        <f>IF(A2454="","",DATE(YEAR(A2454),12,31)-DATE(YEAR(A2454),1,1)+1)</f>
        <v/>
      </c>
      <c r="D2454">
        <f>IF(A2454="","",Ввод!$B$4-SUMIF(Оплаты!$A$6:$A$505,"&lt;"&amp;A2454,Оплаты!$B$6:$B$505))</f>
        <v/>
      </c>
      <c r="E2454">
        <f>IF(A2454="","",IF(SUMPRODUCT((Ввод!$F$12:$F$31&lt;&gt;"")*(Ввод!$F$12:$F$31&lt;=A2454)*(Ввод!$G$12:$G$31&gt;=A2454))&gt;0,1,0))</f>
        <v/>
      </c>
      <c r="F2454">
        <f>IF(OR(A2454="",B2454=""),"",IF(E2454=1,0,D2454*B2454/100/C2454))</f>
        <v/>
      </c>
      <c r="G2454">
        <f>IF(A2454="","",IF(OR(B2454&lt;&gt;B2453,C2454&lt;&gt;C2453,D2454&lt;&gt;D2453,E2454&lt;&gt;E2453),G2453+1,G2453))</f>
        <v/>
      </c>
    </row>
    <row r="2455">
      <c r="A2455" s="14">
        <f>IF(OR(NOT(ISNUMBER(Ввод!$B$5)),NOT(ISNUMBER(Ввод!$B$6))),"",IF(Ввод!$B$5+2453&gt;Ввод!$B$6,"",Ввод!$B$5+2453))</f>
        <v/>
      </c>
      <c r="B2455">
        <f>IF(A2455="","",IFERROR(INDEX(Ввод!$B$12:$B$71,MATCH(A2455,Ввод!$D$12:$D$71,1)),""))</f>
        <v/>
      </c>
      <c r="C2455">
        <f>IF(A2455="","",DATE(YEAR(A2455),12,31)-DATE(YEAR(A2455),1,1)+1)</f>
        <v/>
      </c>
      <c r="D2455">
        <f>IF(A2455="","",Ввод!$B$4-SUMIF(Оплаты!$A$6:$A$505,"&lt;"&amp;A2455,Оплаты!$B$6:$B$505))</f>
        <v/>
      </c>
      <c r="E2455">
        <f>IF(A2455="","",IF(SUMPRODUCT((Ввод!$F$12:$F$31&lt;&gt;"")*(Ввод!$F$12:$F$31&lt;=A2455)*(Ввод!$G$12:$G$31&gt;=A2455))&gt;0,1,0))</f>
        <v/>
      </c>
      <c r="F2455">
        <f>IF(OR(A2455="",B2455=""),"",IF(E2455=1,0,D2455*B2455/100/C2455))</f>
        <v/>
      </c>
      <c r="G2455">
        <f>IF(A2455="","",IF(OR(B2455&lt;&gt;B2454,C2455&lt;&gt;C2454,D2455&lt;&gt;D2454,E2455&lt;&gt;E2454),G2454+1,G2454))</f>
        <v/>
      </c>
    </row>
    <row r="2456">
      <c r="A2456" s="14">
        <f>IF(OR(NOT(ISNUMBER(Ввод!$B$5)),NOT(ISNUMBER(Ввод!$B$6))),"",IF(Ввод!$B$5+2454&gt;Ввод!$B$6,"",Ввод!$B$5+2454))</f>
        <v/>
      </c>
      <c r="B2456">
        <f>IF(A2456="","",IFERROR(INDEX(Ввод!$B$12:$B$71,MATCH(A2456,Ввод!$D$12:$D$71,1)),""))</f>
        <v/>
      </c>
      <c r="C2456">
        <f>IF(A2456="","",DATE(YEAR(A2456),12,31)-DATE(YEAR(A2456),1,1)+1)</f>
        <v/>
      </c>
      <c r="D2456">
        <f>IF(A2456="","",Ввод!$B$4-SUMIF(Оплаты!$A$6:$A$505,"&lt;"&amp;A2456,Оплаты!$B$6:$B$505))</f>
        <v/>
      </c>
      <c r="E2456">
        <f>IF(A2456="","",IF(SUMPRODUCT((Ввод!$F$12:$F$31&lt;&gt;"")*(Ввод!$F$12:$F$31&lt;=A2456)*(Ввод!$G$12:$G$31&gt;=A2456))&gt;0,1,0))</f>
        <v/>
      </c>
      <c r="F2456">
        <f>IF(OR(A2456="",B2456=""),"",IF(E2456=1,0,D2456*B2456/100/C2456))</f>
        <v/>
      </c>
      <c r="G2456">
        <f>IF(A2456="","",IF(OR(B2456&lt;&gt;B2455,C2456&lt;&gt;C2455,D2456&lt;&gt;D2455,E2456&lt;&gt;E2455),G2455+1,G2455))</f>
        <v/>
      </c>
    </row>
    <row r="2457">
      <c r="A2457" s="14">
        <f>IF(OR(NOT(ISNUMBER(Ввод!$B$5)),NOT(ISNUMBER(Ввод!$B$6))),"",IF(Ввод!$B$5+2455&gt;Ввод!$B$6,"",Ввод!$B$5+2455))</f>
        <v/>
      </c>
      <c r="B2457">
        <f>IF(A2457="","",IFERROR(INDEX(Ввод!$B$12:$B$71,MATCH(A2457,Ввод!$D$12:$D$71,1)),""))</f>
        <v/>
      </c>
      <c r="C2457">
        <f>IF(A2457="","",DATE(YEAR(A2457),12,31)-DATE(YEAR(A2457),1,1)+1)</f>
        <v/>
      </c>
      <c r="D2457">
        <f>IF(A2457="","",Ввод!$B$4-SUMIF(Оплаты!$A$6:$A$505,"&lt;"&amp;A2457,Оплаты!$B$6:$B$505))</f>
        <v/>
      </c>
      <c r="E2457">
        <f>IF(A2457="","",IF(SUMPRODUCT((Ввод!$F$12:$F$31&lt;&gt;"")*(Ввод!$F$12:$F$31&lt;=A2457)*(Ввод!$G$12:$G$31&gt;=A2457))&gt;0,1,0))</f>
        <v/>
      </c>
      <c r="F2457">
        <f>IF(OR(A2457="",B2457=""),"",IF(E2457=1,0,D2457*B2457/100/C2457))</f>
        <v/>
      </c>
      <c r="G2457">
        <f>IF(A2457="","",IF(OR(B2457&lt;&gt;B2456,C2457&lt;&gt;C2456,D2457&lt;&gt;D2456,E2457&lt;&gt;E2456),G2456+1,G2456))</f>
        <v/>
      </c>
    </row>
    <row r="2458">
      <c r="A2458" s="14">
        <f>IF(OR(NOT(ISNUMBER(Ввод!$B$5)),NOT(ISNUMBER(Ввод!$B$6))),"",IF(Ввод!$B$5+2456&gt;Ввод!$B$6,"",Ввод!$B$5+2456))</f>
        <v/>
      </c>
      <c r="B2458">
        <f>IF(A2458="","",IFERROR(INDEX(Ввод!$B$12:$B$71,MATCH(A2458,Ввод!$D$12:$D$71,1)),""))</f>
        <v/>
      </c>
      <c r="C2458">
        <f>IF(A2458="","",DATE(YEAR(A2458),12,31)-DATE(YEAR(A2458),1,1)+1)</f>
        <v/>
      </c>
      <c r="D2458">
        <f>IF(A2458="","",Ввод!$B$4-SUMIF(Оплаты!$A$6:$A$505,"&lt;"&amp;A2458,Оплаты!$B$6:$B$505))</f>
        <v/>
      </c>
      <c r="E2458">
        <f>IF(A2458="","",IF(SUMPRODUCT((Ввод!$F$12:$F$31&lt;&gt;"")*(Ввод!$F$12:$F$31&lt;=A2458)*(Ввод!$G$12:$G$31&gt;=A2458))&gt;0,1,0))</f>
        <v/>
      </c>
      <c r="F2458">
        <f>IF(OR(A2458="",B2458=""),"",IF(E2458=1,0,D2458*B2458/100/C2458))</f>
        <v/>
      </c>
      <c r="G2458">
        <f>IF(A2458="","",IF(OR(B2458&lt;&gt;B2457,C2458&lt;&gt;C2457,D2458&lt;&gt;D2457,E2458&lt;&gt;E2457),G2457+1,G2457))</f>
        <v/>
      </c>
    </row>
    <row r="2459">
      <c r="A2459" s="14">
        <f>IF(OR(NOT(ISNUMBER(Ввод!$B$5)),NOT(ISNUMBER(Ввод!$B$6))),"",IF(Ввод!$B$5+2457&gt;Ввод!$B$6,"",Ввод!$B$5+2457))</f>
        <v/>
      </c>
      <c r="B2459">
        <f>IF(A2459="","",IFERROR(INDEX(Ввод!$B$12:$B$71,MATCH(A2459,Ввод!$D$12:$D$71,1)),""))</f>
        <v/>
      </c>
      <c r="C2459">
        <f>IF(A2459="","",DATE(YEAR(A2459),12,31)-DATE(YEAR(A2459),1,1)+1)</f>
        <v/>
      </c>
      <c r="D2459">
        <f>IF(A2459="","",Ввод!$B$4-SUMIF(Оплаты!$A$6:$A$505,"&lt;"&amp;A2459,Оплаты!$B$6:$B$505))</f>
        <v/>
      </c>
      <c r="E2459">
        <f>IF(A2459="","",IF(SUMPRODUCT((Ввод!$F$12:$F$31&lt;&gt;"")*(Ввод!$F$12:$F$31&lt;=A2459)*(Ввод!$G$12:$G$31&gt;=A2459))&gt;0,1,0))</f>
        <v/>
      </c>
      <c r="F2459">
        <f>IF(OR(A2459="",B2459=""),"",IF(E2459=1,0,D2459*B2459/100/C2459))</f>
        <v/>
      </c>
      <c r="G2459">
        <f>IF(A2459="","",IF(OR(B2459&lt;&gt;B2458,C2459&lt;&gt;C2458,D2459&lt;&gt;D2458,E2459&lt;&gt;E2458),G2458+1,G2458))</f>
        <v/>
      </c>
    </row>
    <row r="2460">
      <c r="A2460" s="14">
        <f>IF(OR(NOT(ISNUMBER(Ввод!$B$5)),NOT(ISNUMBER(Ввод!$B$6))),"",IF(Ввод!$B$5+2458&gt;Ввод!$B$6,"",Ввод!$B$5+2458))</f>
        <v/>
      </c>
      <c r="B2460">
        <f>IF(A2460="","",IFERROR(INDEX(Ввод!$B$12:$B$71,MATCH(A2460,Ввод!$D$12:$D$71,1)),""))</f>
        <v/>
      </c>
      <c r="C2460">
        <f>IF(A2460="","",DATE(YEAR(A2460),12,31)-DATE(YEAR(A2460),1,1)+1)</f>
        <v/>
      </c>
      <c r="D2460">
        <f>IF(A2460="","",Ввод!$B$4-SUMIF(Оплаты!$A$6:$A$505,"&lt;"&amp;A2460,Оплаты!$B$6:$B$505))</f>
        <v/>
      </c>
      <c r="E2460">
        <f>IF(A2460="","",IF(SUMPRODUCT((Ввод!$F$12:$F$31&lt;&gt;"")*(Ввод!$F$12:$F$31&lt;=A2460)*(Ввод!$G$12:$G$31&gt;=A2460))&gt;0,1,0))</f>
        <v/>
      </c>
      <c r="F2460">
        <f>IF(OR(A2460="",B2460=""),"",IF(E2460=1,0,D2460*B2460/100/C2460))</f>
        <v/>
      </c>
      <c r="G2460">
        <f>IF(A2460="","",IF(OR(B2460&lt;&gt;B2459,C2460&lt;&gt;C2459,D2460&lt;&gt;D2459,E2460&lt;&gt;E2459),G2459+1,G2459))</f>
        <v/>
      </c>
    </row>
    <row r="2461">
      <c r="A2461" s="14">
        <f>IF(OR(NOT(ISNUMBER(Ввод!$B$5)),NOT(ISNUMBER(Ввод!$B$6))),"",IF(Ввод!$B$5+2459&gt;Ввод!$B$6,"",Ввод!$B$5+2459))</f>
        <v/>
      </c>
      <c r="B2461">
        <f>IF(A2461="","",IFERROR(INDEX(Ввод!$B$12:$B$71,MATCH(A2461,Ввод!$D$12:$D$71,1)),""))</f>
        <v/>
      </c>
      <c r="C2461">
        <f>IF(A2461="","",DATE(YEAR(A2461),12,31)-DATE(YEAR(A2461),1,1)+1)</f>
        <v/>
      </c>
      <c r="D2461">
        <f>IF(A2461="","",Ввод!$B$4-SUMIF(Оплаты!$A$6:$A$505,"&lt;"&amp;A2461,Оплаты!$B$6:$B$505))</f>
        <v/>
      </c>
      <c r="E2461">
        <f>IF(A2461="","",IF(SUMPRODUCT((Ввод!$F$12:$F$31&lt;&gt;"")*(Ввод!$F$12:$F$31&lt;=A2461)*(Ввод!$G$12:$G$31&gt;=A2461))&gt;0,1,0))</f>
        <v/>
      </c>
      <c r="F2461">
        <f>IF(OR(A2461="",B2461=""),"",IF(E2461=1,0,D2461*B2461/100/C2461))</f>
        <v/>
      </c>
      <c r="G2461">
        <f>IF(A2461="","",IF(OR(B2461&lt;&gt;B2460,C2461&lt;&gt;C2460,D2461&lt;&gt;D2460,E2461&lt;&gt;E2460),G2460+1,G2460))</f>
        <v/>
      </c>
    </row>
    <row r="2462">
      <c r="A2462" s="14">
        <f>IF(OR(NOT(ISNUMBER(Ввод!$B$5)),NOT(ISNUMBER(Ввод!$B$6))),"",IF(Ввод!$B$5+2460&gt;Ввод!$B$6,"",Ввод!$B$5+2460))</f>
        <v/>
      </c>
      <c r="B2462">
        <f>IF(A2462="","",IFERROR(INDEX(Ввод!$B$12:$B$71,MATCH(A2462,Ввод!$D$12:$D$71,1)),""))</f>
        <v/>
      </c>
      <c r="C2462">
        <f>IF(A2462="","",DATE(YEAR(A2462),12,31)-DATE(YEAR(A2462),1,1)+1)</f>
        <v/>
      </c>
      <c r="D2462">
        <f>IF(A2462="","",Ввод!$B$4-SUMIF(Оплаты!$A$6:$A$505,"&lt;"&amp;A2462,Оплаты!$B$6:$B$505))</f>
        <v/>
      </c>
      <c r="E2462">
        <f>IF(A2462="","",IF(SUMPRODUCT((Ввод!$F$12:$F$31&lt;&gt;"")*(Ввод!$F$12:$F$31&lt;=A2462)*(Ввод!$G$12:$G$31&gt;=A2462))&gt;0,1,0))</f>
        <v/>
      </c>
      <c r="F2462">
        <f>IF(OR(A2462="",B2462=""),"",IF(E2462=1,0,D2462*B2462/100/C2462))</f>
        <v/>
      </c>
      <c r="G2462">
        <f>IF(A2462="","",IF(OR(B2462&lt;&gt;B2461,C2462&lt;&gt;C2461,D2462&lt;&gt;D2461,E2462&lt;&gt;E2461),G2461+1,G2461))</f>
        <v/>
      </c>
    </row>
    <row r="2463">
      <c r="A2463" s="14">
        <f>IF(OR(NOT(ISNUMBER(Ввод!$B$5)),NOT(ISNUMBER(Ввод!$B$6))),"",IF(Ввод!$B$5+2461&gt;Ввод!$B$6,"",Ввод!$B$5+2461))</f>
        <v/>
      </c>
      <c r="B2463">
        <f>IF(A2463="","",IFERROR(INDEX(Ввод!$B$12:$B$71,MATCH(A2463,Ввод!$D$12:$D$71,1)),""))</f>
        <v/>
      </c>
      <c r="C2463">
        <f>IF(A2463="","",DATE(YEAR(A2463),12,31)-DATE(YEAR(A2463),1,1)+1)</f>
        <v/>
      </c>
      <c r="D2463">
        <f>IF(A2463="","",Ввод!$B$4-SUMIF(Оплаты!$A$6:$A$505,"&lt;"&amp;A2463,Оплаты!$B$6:$B$505))</f>
        <v/>
      </c>
      <c r="E2463">
        <f>IF(A2463="","",IF(SUMPRODUCT((Ввод!$F$12:$F$31&lt;&gt;"")*(Ввод!$F$12:$F$31&lt;=A2463)*(Ввод!$G$12:$G$31&gt;=A2463))&gt;0,1,0))</f>
        <v/>
      </c>
      <c r="F2463">
        <f>IF(OR(A2463="",B2463=""),"",IF(E2463=1,0,D2463*B2463/100/C2463))</f>
        <v/>
      </c>
      <c r="G2463">
        <f>IF(A2463="","",IF(OR(B2463&lt;&gt;B2462,C2463&lt;&gt;C2462,D2463&lt;&gt;D2462,E2463&lt;&gt;E2462),G2462+1,G2462))</f>
        <v/>
      </c>
    </row>
    <row r="2464">
      <c r="A2464" s="14">
        <f>IF(OR(NOT(ISNUMBER(Ввод!$B$5)),NOT(ISNUMBER(Ввод!$B$6))),"",IF(Ввод!$B$5+2462&gt;Ввод!$B$6,"",Ввод!$B$5+2462))</f>
        <v/>
      </c>
      <c r="B2464">
        <f>IF(A2464="","",IFERROR(INDEX(Ввод!$B$12:$B$71,MATCH(A2464,Ввод!$D$12:$D$71,1)),""))</f>
        <v/>
      </c>
      <c r="C2464">
        <f>IF(A2464="","",DATE(YEAR(A2464),12,31)-DATE(YEAR(A2464),1,1)+1)</f>
        <v/>
      </c>
      <c r="D2464">
        <f>IF(A2464="","",Ввод!$B$4-SUMIF(Оплаты!$A$6:$A$505,"&lt;"&amp;A2464,Оплаты!$B$6:$B$505))</f>
        <v/>
      </c>
      <c r="E2464">
        <f>IF(A2464="","",IF(SUMPRODUCT((Ввод!$F$12:$F$31&lt;&gt;"")*(Ввод!$F$12:$F$31&lt;=A2464)*(Ввод!$G$12:$G$31&gt;=A2464))&gt;0,1,0))</f>
        <v/>
      </c>
      <c r="F2464">
        <f>IF(OR(A2464="",B2464=""),"",IF(E2464=1,0,D2464*B2464/100/C2464))</f>
        <v/>
      </c>
      <c r="G2464">
        <f>IF(A2464="","",IF(OR(B2464&lt;&gt;B2463,C2464&lt;&gt;C2463,D2464&lt;&gt;D2463,E2464&lt;&gt;E2463),G2463+1,G2463))</f>
        <v/>
      </c>
    </row>
    <row r="2465">
      <c r="A2465" s="14">
        <f>IF(OR(NOT(ISNUMBER(Ввод!$B$5)),NOT(ISNUMBER(Ввод!$B$6))),"",IF(Ввод!$B$5+2463&gt;Ввод!$B$6,"",Ввод!$B$5+2463))</f>
        <v/>
      </c>
      <c r="B2465">
        <f>IF(A2465="","",IFERROR(INDEX(Ввод!$B$12:$B$71,MATCH(A2465,Ввод!$D$12:$D$71,1)),""))</f>
        <v/>
      </c>
      <c r="C2465">
        <f>IF(A2465="","",DATE(YEAR(A2465),12,31)-DATE(YEAR(A2465),1,1)+1)</f>
        <v/>
      </c>
      <c r="D2465">
        <f>IF(A2465="","",Ввод!$B$4-SUMIF(Оплаты!$A$6:$A$505,"&lt;"&amp;A2465,Оплаты!$B$6:$B$505))</f>
        <v/>
      </c>
      <c r="E2465">
        <f>IF(A2465="","",IF(SUMPRODUCT((Ввод!$F$12:$F$31&lt;&gt;"")*(Ввод!$F$12:$F$31&lt;=A2465)*(Ввод!$G$12:$G$31&gt;=A2465))&gt;0,1,0))</f>
        <v/>
      </c>
      <c r="F2465">
        <f>IF(OR(A2465="",B2465=""),"",IF(E2465=1,0,D2465*B2465/100/C2465))</f>
        <v/>
      </c>
      <c r="G2465">
        <f>IF(A2465="","",IF(OR(B2465&lt;&gt;B2464,C2465&lt;&gt;C2464,D2465&lt;&gt;D2464,E2465&lt;&gt;E2464),G2464+1,G2464))</f>
        <v/>
      </c>
    </row>
    <row r="2466">
      <c r="A2466" s="14">
        <f>IF(OR(NOT(ISNUMBER(Ввод!$B$5)),NOT(ISNUMBER(Ввод!$B$6))),"",IF(Ввод!$B$5+2464&gt;Ввод!$B$6,"",Ввод!$B$5+2464))</f>
        <v/>
      </c>
      <c r="B2466">
        <f>IF(A2466="","",IFERROR(INDEX(Ввод!$B$12:$B$71,MATCH(A2466,Ввод!$D$12:$D$71,1)),""))</f>
        <v/>
      </c>
      <c r="C2466">
        <f>IF(A2466="","",DATE(YEAR(A2466),12,31)-DATE(YEAR(A2466),1,1)+1)</f>
        <v/>
      </c>
      <c r="D2466">
        <f>IF(A2466="","",Ввод!$B$4-SUMIF(Оплаты!$A$6:$A$505,"&lt;"&amp;A2466,Оплаты!$B$6:$B$505))</f>
        <v/>
      </c>
      <c r="E2466">
        <f>IF(A2466="","",IF(SUMPRODUCT((Ввод!$F$12:$F$31&lt;&gt;"")*(Ввод!$F$12:$F$31&lt;=A2466)*(Ввод!$G$12:$G$31&gt;=A2466))&gt;0,1,0))</f>
        <v/>
      </c>
      <c r="F2466">
        <f>IF(OR(A2466="",B2466=""),"",IF(E2466=1,0,D2466*B2466/100/C2466))</f>
        <v/>
      </c>
      <c r="G2466">
        <f>IF(A2466="","",IF(OR(B2466&lt;&gt;B2465,C2466&lt;&gt;C2465,D2466&lt;&gt;D2465,E2466&lt;&gt;E2465),G2465+1,G2465))</f>
        <v/>
      </c>
    </row>
    <row r="2467">
      <c r="A2467" s="14">
        <f>IF(OR(NOT(ISNUMBER(Ввод!$B$5)),NOT(ISNUMBER(Ввод!$B$6))),"",IF(Ввод!$B$5+2465&gt;Ввод!$B$6,"",Ввод!$B$5+2465))</f>
        <v/>
      </c>
      <c r="B2467">
        <f>IF(A2467="","",IFERROR(INDEX(Ввод!$B$12:$B$71,MATCH(A2467,Ввод!$D$12:$D$71,1)),""))</f>
        <v/>
      </c>
      <c r="C2467">
        <f>IF(A2467="","",DATE(YEAR(A2467),12,31)-DATE(YEAR(A2467),1,1)+1)</f>
        <v/>
      </c>
      <c r="D2467">
        <f>IF(A2467="","",Ввод!$B$4-SUMIF(Оплаты!$A$6:$A$505,"&lt;"&amp;A2467,Оплаты!$B$6:$B$505))</f>
        <v/>
      </c>
      <c r="E2467">
        <f>IF(A2467="","",IF(SUMPRODUCT((Ввод!$F$12:$F$31&lt;&gt;"")*(Ввод!$F$12:$F$31&lt;=A2467)*(Ввод!$G$12:$G$31&gt;=A2467))&gt;0,1,0))</f>
        <v/>
      </c>
      <c r="F2467">
        <f>IF(OR(A2467="",B2467=""),"",IF(E2467=1,0,D2467*B2467/100/C2467))</f>
        <v/>
      </c>
      <c r="G2467">
        <f>IF(A2467="","",IF(OR(B2467&lt;&gt;B2466,C2467&lt;&gt;C2466,D2467&lt;&gt;D2466,E2467&lt;&gt;E2466),G2466+1,G2466))</f>
        <v/>
      </c>
    </row>
    <row r="2468">
      <c r="A2468" s="14">
        <f>IF(OR(NOT(ISNUMBER(Ввод!$B$5)),NOT(ISNUMBER(Ввод!$B$6))),"",IF(Ввод!$B$5+2466&gt;Ввод!$B$6,"",Ввод!$B$5+2466))</f>
        <v/>
      </c>
      <c r="B2468">
        <f>IF(A2468="","",IFERROR(INDEX(Ввод!$B$12:$B$71,MATCH(A2468,Ввод!$D$12:$D$71,1)),""))</f>
        <v/>
      </c>
      <c r="C2468">
        <f>IF(A2468="","",DATE(YEAR(A2468),12,31)-DATE(YEAR(A2468),1,1)+1)</f>
        <v/>
      </c>
      <c r="D2468">
        <f>IF(A2468="","",Ввод!$B$4-SUMIF(Оплаты!$A$6:$A$505,"&lt;"&amp;A2468,Оплаты!$B$6:$B$505))</f>
        <v/>
      </c>
      <c r="E2468">
        <f>IF(A2468="","",IF(SUMPRODUCT((Ввод!$F$12:$F$31&lt;&gt;"")*(Ввод!$F$12:$F$31&lt;=A2468)*(Ввод!$G$12:$G$31&gt;=A2468))&gt;0,1,0))</f>
        <v/>
      </c>
      <c r="F2468">
        <f>IF(OR(A2468="",B2468=""),"",IF(E2468=1,0,D2468*B2468/100/C2468))</f>
        <v/>
      </c>
      <c r="G2468">
        <f>IF(A2468="","",IF(OR(B2468&lt;&gt;B2467,C2468&lt;&gt;C2467,D2468&lt;&gt;D2467,E2468&lt;&gt;E2467),G2467+1,G2467))</f>
        <v/>
      </c>
    </row>
    <row r="2469">
      <c r="A2469" s="14">
        <f>IF(OR(NOT(ISNUMBER(Ввод!$B$5)),NOT(ISNUMBER(Ввод!$B$6))),"",IF(Ввод!$B$5+2467&gt;Ввод!$B$6,"",Ввод!$B$5+2467))</f>
        <v/>
      </c>
      <c r="B2469">
        <f>IF(A2469="","",IFERROR(INDEX(Ввод!$B$12:$B$71,MATCH(A2469,Ввод!$D$12:$D$71,1)),""))</f>
        <v/>
      </c>
      <c r="C2469">
        <f>IF(A2469="","",DATE(YEAR(A2469),12,31)-DATE(YEAR(A2469),1,1)+1)</f>
        <v/>
      </c>
      <c r="D2469">
        <f>IF(A2469="","",Ввод!$B$4-SUMIF(Оплаты!$A$6:$A$505,"&lt;"&amp;A2469,Оплаты!$B$6:$B$505))</f>
        <v/>
      </c>
      <c r="E2469">
        <f>IF(A2469="","",IF(SUMPRODUCT((Ввод!$F$12:$F$31&lt;&gt;"")*(Ввод!$F$12:$F$31&lt;=A2469)*(Ввод!$G$12:$G$31&gt;=A2469))&gt;0,1,0))</f>
        <v/>
      </c>
      <c r="F2469">
        <f>IF(OR(A2469="",B2469=""),"",IF(E2469=1,0,D2469*B2469/100/C2469))</f>
        <v/>
      </c>
      <c r="G2469">
        <f>IF(A2469="","",IF(OR(B2469&lt;&gt;B2468,C2469&lt;&gt;C2468,D2469&lt;&gt;D2468,E2469&lt;&gt;E2468),G2468+1,G2468))</f>
        <v/>
      </c>
    </row>
    <row r="2470">
      <c r="A2470" s="14">
        <f>IF(OR(NOT(ISNUMBER(Ввод!$B$5)),NOT(ISNUMBER(Ввод!$B$6))),"",IF(Ввод!$B$5+2468&gt;Ввод!$B$6,"",Ввод!$B$5+2468))</f>
        <v/>
      </c>
      <c r="B2470">
        <f>IF(A2470="","",IFERROR(INDEX(Ввод!$B$12:$B$71,MATCH(A2470,Ввод!$D$12:$D$71,1)),""))</f>
        <v/>
      </c>
      <c r="C2470">
        <f>IF(A2470="","",DATE(YEAR(A2470),12,31)-DATE(YEAR(A2470),1,1)+1)</f>
        <v/>
      </c>
      <c r="D2470">
        <f>IF(A2470="","",Ввод!$B$4-SUMIF(Оплаты!$A$6:$A$505,"&lt;"&amp;A2470,Оплаты!$B$6:$B$505))</f>
        <v/>
      </c>
      <c r="E2470">
        <f>IF(A2470="","",IF(SUMPRODUCT((Ввод!$F$12:$F$31&lt;&gt;"")*(Ввод!$F$12:$F$31&lt;=A2470)*(Ввод!$G$12:$G$31&gt;=A2470))&gt;0,1,0))</f>
        <v/>
      </c>
      <c r="F2470">
        <f>IF(OR(A2470="",B2470=""),"",IF(E2470=1,0,D2470*B2470/100/C2470))</f>
        <v/>
      </c>
      <c r="G2470">
        <f>IF(A2470="","",IF(OR(B2470&lt;&gt;B2469,C2470&lt;&gt;C2469,D2470&lt;&gt;D2469,E2470&lt;&gt;E2469),G2469+1,G2469))</f>
        <v/>
      </c>
    </row>
    <row r="2471">
      <c r="A2471" s="14">
        <f>IF(OR(NOT(ISNUMBER(Ввод!$B$5)),NOT(ISNUMBER(Ввод!$B$6))),"",IF(Ввод!$B$5+2469&gt;Ввод!$B$6,"",Ввод!$B$5+2469))</f>
        <v/>
      </c>
      <c r="B2471">
        <f>IF(A2471="","",IFERROR(INDEX(Ввод!$B$12:$B$71,MATCH(A2471,Ввод!$D$12:$D$71,1)),""))</f>
        <v/>
      </c>
      <c r="C2471">
        <f>IF(A2471="","",DATE(YEAR(A2471),12,31)-DATE(YEAR(A2471),1,1)+1)</f>
        <v/>
      </c>
      <c r="D2471">
        <f>IF(A2471="","",Ввод!$B$4-SUMIF(Оплаты!$A$6:$A$505,"&lt;"&amp;A2471,Оплаты!$B$6:$B$505))</f>
        <v/>
      </c>
      <c r="E2471">
        <f>IF(A2471="","",IF(SUMPRODUCT((Ввод!$F$12:$F$31&lt;&gt;"")*(Ввод!$F$12:$F$31&lt;=A2471)*(Ввод!$G$12:$G$31&gt;=A2471))&gt;0,1,0))</f>
        <v/>
      </c>
      <c r="F2471">
        <f>IF(OR(A2471="",B2471=""),"",IF(E2471=1,0,D2471*B2471/100/C2471))</f>
        <v/>
      </c>
      <c r="G2471">
        <f>IF(A2471="","",IF(OR(B2471&lt;&gt;B2470,C2471&lt;&gt;C2470,D2471&lt;&gt;D2470,E2471&lt;&gt;E2470),G2470+1,G2470))</f>
        <v/>
      </c>
    </row>
    <row r="2472">
      <c r="A2472" s="14">
        <f>IF(OR(NOT(ISNUMBER(Ввод!$B$5)),NOT(ISNUMBER(Ввод!$B$6))),"",IF(Ввод!$B$5+2470&gt;Ввод!$B$6,"",Ввод!$B$5+2470))</f>
        <v/>
      </c>
      <c r="B2472">
        <f>IF(A2472="","",IFERROR(INDEX(Ввод!$B$12:$B$71,MATCH(A2472,Ввод!$D$12:$D$71,1)),""))</f>
        <v/>
      </c>
      <c r="C2472">
        <f>IF(A2472="","",DATE(YEAR(A2472),12,31)-DATE(YEAR(A2472),1,1)+1)</f>
        <v/>
      </c>
      <c r="D2472">
        <f>IF(A2472="","",Ввод!$B$4-SUMIF(Оплаты!$A$6:$A$505,"&lt;"&amp;A2472,Оплаты!$B$6:$B$505))</f>
        <v/>
      </c>
      <c r="E2472">
        <f>IF(A2472="","",IF(SUMPRODUCT((Ввод!$F$12:$F$31&lt;&gt;"")*(Ввод!$F$12:$F$31&lt;=A2472)*(Ввод!$G$12:$G$31&gt;=A2472))&gt;0,1,0))</f>
        <v/>
      </c>
      <c r="F2472">
        <f>IF(OR(A2472="",B2472=""),"",IF(E2472=1,0,D2472*B2472/100/C2472))</f>
        <v/>
      </c>
      <c r="G2472">
        <f>IF(A2472="","",IF(OR(B2472&lt;&gt;B2471,C2472&lt;&gt;C2471,D2472&lt;&gt;D2471,E2472&lt;&gt;E2471),G2471+1,G2471))</f>
        <v/>
      </c>
    </row>
    <row r="2473">
      <c r="A2473" s="14">
        <f>IF(OR(NOT(ISNUMBER(Ввод!$B$5)),NOT(ISNUMBER(Ввод!$B$6))),"",IF(Ввод!$B$5+2471&gt;Ввод!$B$6,"",Ввод!$B$5+2471))</f>
        <v/>
      </c>
      <c r="B2473">
        <f>IF(A2473="","",IFERROR(INDEX(Ввод!$B$12:$B$71,MATCH(A2473,Ввод!$D$12:$D$71,1)),""))</f>
        <v/>
      </c>
      <c r="C2473">
        <f>IF(A2473="","",DATE(YEAR(A2473),12,31)-DATE(YEAR(A2473),1,1)+1)</f>
        <v/>
      </c>
      <c r="D2473">
        <f>IF(A2473="","",Ввод!$B$4-SUMIF(Оплаты!$A$6:$A$505,"&lt;"&amp;A2473,Оплаты!$B$6:$B$505))</f>
        <v/>
      </c>
      <c r="E2473">
        <f>IF(A2473="","",IF(SUMPRODUCT((Ввод!$F$12:$F$31&lt;&gt;"")*(Ввод!$F$12:$F$31&lt;=A2473)*(Ввод!$G$12:$G$31&gt;=A2473))&gt;0,1,0))</f>
        <v/>
      </c>
      <c r="F2473">
        <f>IF(OR(A2473="",B2473=""),"",IF(E2473=1,0,D2473*B2473/100/C2473))</f>
        <v/>
      </c>
      <c r="G2473">
        <f>IF(A2473="","",IF(OR(B2473&lt;&gt;B2472,C2473&lt;&gt;C2472,D2473&lt;&gt;D2472,E2473&lt;&gt;E2472),G2472+1,G2472))</f>
        <v/>
      </c>
    </row>
    <row r="2474">
      <c r="A2474" s="14">
        <f>IF(OR(NOT(ISNUMBER(Ввод!$B$5)),NOT(ISNUMBER(Ввод!$B$6))),"",IF(Ввод!$B$5+2472&gt;Ввод!$B$6,"",Ввод!$B$5+2472))</f>
        <v/>
      </c>
      <c r="B2474">
        <f>IF(A2474="","",IFERROR(INDEX(Ввод!$B$12:$B$71,MATCH(A2474,Ввод!$D$12:$D$71,1)),""))</f>
        <v/>
      </c>
      <c r="C2474">
        <f>IF(A2474="","",DATE(YEAR(A2474),12,31)-DATE(YEAR(A2474),1,1)+1)</f>
        <v/>
      </c>
      <c r="D2474">
        <f>IF(A2474="","",Ввод!$B$4-SUMIF(Оплаты!$A$6:$A$505,"&lt;"&amp;A2474,Оплаты!$B$6:$B$505))</f>
        <v/>
      </c>
      <c r="E2474">
        <f>IF(A2474="","",IF(SUMPRODUCT((Ввод!$F$12:$F$31&lt;&gt;"")*(Ввод!$F$12:$F$31&lt;=A2474)*(Ввод!$G$12:$G$31&gt;=A2474))&gt;0,1,0))</f>
        <v/>
      </c>
      <c r="F2474">
        <f>IF(OR(A2474="",B2474=""),"",IF(E2474=1,0,D2474*B2474/100/C2474))</f>
        <v/>
      </c>
      <c r="G2474">
        <f>IF(A2474="","",IF(OR(B2474&lt;&gt;B2473,C2474&lt;&gt;C2473,D2474&lt;&gt;D2473,E2474&lt;&gt;E2473),G2473+1,G2473))</f>
        <v/>
      </c>
    </row>
    <row r="2475">
      <c r="A2475" s="14">
        <f>IF(OR(NOT(ISNUMBER(Ввод!$B$5)),NOT(ISNUMBER(Ввод!$B$6))),"",IF(Ввод!$B$5+2473&gt;Ввод!$B$6,"",Ввод!$B$5+2473))</f>
        <v/>
      </c>
      <c r="B2475">
        <f>IF(A2475="","",IFERROR(INDEX(Ввод!$B$12:$B$71,MATCH(A2475,Ввод!$D$12:$D$71,1)),""))</f>
        <v/>
      </c>
      <c r="C2475">
        <f>IF(A2475="","",DATE(YEAR(A2475),12,31)-DATE(YEAR(A2475),1,1)+1)</f>
        <v/>
      </c>
      <c r="D2475">
        <f>IF(A2475="","",Ввод!$B$4-SUMIF(Оплаты!$A$6:$A$505,"&lt;"&amp;A2475,Оплаты!$B$6:$B$505))</f>
        <v/>
      </c>
      <c r="E2475">
        <f>IF(A2475="","",IF(SUMPRODUCT((Ввод!$F$12:$F$31&lt;&gt;"")*(Ввод!$F$12:$F$31&lt;=A2475)*(Ввод!$G$12:$G$31&gt;=A2475))&gt;0,1,0))</f>
        <v/>
      </c>
      <c r="F2475">
        <f>IF(OR(A2475="",B2475=""),"",IF(E2475=1,0,D2475*B2475/100/C2475))</f>
        <v/>
      </c>
      <c r="G2475">
        <f>IF(A2475="","",IF(OR(B2475&lt;&gt;B2474,C2475&lt;&gt;C2474,D2475&lt;&gt;D2474,E2475&lt;&gt;E2474),G2474+1,G2474))</f>
        <v/>
      </c>
    </row>
    <row r="2476">
      <c r="A2476" s="14">
        <f>IF(OR(NOT(ISNUMBER(Ввод!$B$5)),NOT(ISNUMBER(Ввод!$B$6))),"",IF(Ввод!$B$5+2474&gt;Ввод!$B$6,"",Ввод!$B$5+2474))</f>
        <v/>
      </c>
      <c r="B2476">
        <f>IF(A2476="","",IFERROR(INDEX(Ввод!$B$12:$B$71,MATCH(A2476,Ввод!$D$12:$D$71,1)),""))</f>
        <v/>
      </c>
      <c r="C2476">
        <f>IF(A2476="","",DATE(YEAR(A2476),12,31)-DATE(YEAR(A2476),1,1)+1)</f>
        <v/>
      </c>
      <c r="D2476">
        <f>IF(A2476="","",Ввод!$B$4-SUMIF(Оплаты!$A$6:$A$505,"&lt;"&amp;A2476,Оплаты!$B$6:$B$505))</f>
        <v/>
      </c>
      <c r="E2476">
        <f>IF(A2476="","",IF(SUMPRODUCT((Ввод!$F$12:$F$31&lt;&gt;"")*(Ввод!$F$12:$F$31&lt;=A2476)*(Ввод!$G$12:$G$31&gt;=A2476))&gt;0,1,0))</f>
        <v/>
      </c>
      <c r="F2476">
        <f>IF(OR(A2476="",B2476=""),"",IF(E2476=1,0,D2476*B2476/100/C2476))</f>
        <v/>
      </c>
      <c r="G2476">
        <f>IF(A2476="","",IF(OR(B2476&lt;&gt;B2475,C2476&lt;&gt;C2475,D2476&lt;&gt;D2475,E2476&lt;&gt;E2475),G2475+1,G2475))</f>
        <v/>
      </c>
    </row>
    <row r="2477">
      <c r="A2477" s="14">
        <f>IF(OR(NOT(ISNUMBER(Ввод!$B$5)),NOT(ISNUMBER(Ввод!$B$6))),"",IF(Ввод!$B$5+2475&gt;Ввод!$B$6,"",Ввод!$B$5+2475))</f>
        <v/>
      </c>
      <c r="B2477">
        <f>IF(A2477="","",IFERROR(INDEX(Ввод!$B$12:$B$71,MATCH(A2477,Ввод!$D$12:$D$71,1)),""))</f>
        <v/>
      </c>
      <c r="C2477">
        <f>IF(A2477="","",DATE(YEAR(A2477),12,31)-DATE(YEAR(A2477),1,1)+1)</f>
        <v/>
      </c>
      <c r="D2477">
        <f>IF(A2477="","",Ввод!$B$4-SUMIF(Оплаты!$A$6:$A$505,"&lt;"&amp;A2477,Оплаты!$B$6:$B$505))</f>
        <v/>
      </c>
      <c r="E2477">
        <f>IF(A2477="","",IF(SUMPRODUCT((Ввод!$F$12:$F$31&lt;&gt;"")*(Ввод!$F$12:$F$31&lt;=A2477)*(Ввод!$G$12:$G$31&gt;=A2477))&gt;0,1,0))</f>
        <v/>
      </c>
      <c r="F2477">
        <f>IF(OR(A2477="",B2477=""),"",IF(E2477=1,0,D2477*B2477/100/C2477))</f>
        <v/>
      </c>
      <c r="G2477">
        <f>IF(A2477="","",IF(OR(B2477&lt;&gt;B2476,C2477&lt;&gt;C2476,D2477&lt;&gt;D2476,E2477&lt;&gt;E2476),G2476+1,G2476))</f>
        <v/>
      </c>
    </row>
    <row r="2478">
      <c r="A2478" s="14">
        <f>IF(OR(NOT(ISNUMBER(Ввод!$B$5)),NOT(ISNUMBER(Ввод!$B$6))),"",IF(Ввод!$B$5+2476&gt;Ввод!$B$6,"",Ввод!$B$5+2476))</f>
        <v/>
      </c>
      <c r="B2478">
        <f>IF(A2478="","",IFERROR(INDEX(Ввод!$B$12:$B$71,MATCH(A2478,Ввод!$D$12:$D$71,1)),""))</f>
        <v/>
      </c>
      <c r="C2478">
        <f>IF(A2478="","",DATE(YEAR(A2478),12,31)-DATE(YEAR(A2478),1,1)+1)</f>
        <v/>
      </c>
      <c r="D2478">
        <f>IF(A2478="","",Ввод!$B$4-SUMIF(Оплаты!$A$6:$A$505,"&lt;"&amp;A2478,Оплаты!$B$6:$B$505))</f>
        <v/>
      </c>
      <c r="E2478">
        <f>IF(A2478="","",IF(SUMPRODUCT((Ввод!$F$12:$F$31&lt;&gt;"")*(Ввод!$F$12:$F$31&lt;=A2478)*(Ввод!$G$12:$G$31&gt;=A2478))&gt;0,1,0))</f>
        <v/>
      </c>
      <c r="F2478">
        <f>IF(OR(A2478="",B2478=""),"",IF(E2478=1,0,D2478*B2478/100/C2478))</f>
        <v/>
      </c>
      <c r="G2478">
        <f>IF(A2478="","",IF(OR(B2478&lt;&gt;B2477,C2478&lt;&gt;C2477,D2478&lt;&gt;D2477,E2478&lt;&gt;E2477),G2477+1,G2477))</f>
        <v/>
      </c>
    </row>
    <row r="2479">
      <c r="A2479" s="14">
        <f>IF(OR(NOT(ISNUMBER(Ввод!$B$5)),NOT(ISNUMBER(Ввод!$B$6))),"",IF(Ввод!$B$5+2477&gt;Ввод!$B$6,"",Ввод!$B$5+2477))</f>
        <v/>
      </c>
      <c r="B2479">
        <f>IF(A2479="","",IFERROR(INDEX(Ввод!$B$12:$B$71,MATCH(A2479,Ввод!$D$12:$D$71,1)),""))</f>
        <v/>
      </c>
      <c r="C2479">
        <f>IF(A2479="","",DATE(YEAR(A2479),12,31)-DATE(YEAR(A2479),1,1)+1)</f>
        <v/>
      </c>
      <c r="D2479">
        <f>IF(A2479="","",Ввод!$B$4-SUMIF(Оплаты!$A$6:$A$505,"&lt;"&amp;A2479,Оплаты!$B$6:$B$505))</f>
        <v/>
      </c>
      <c r="E2479">
        <f>IF(A2479="","",IF(SUMPRODUCT((Ввод!$F$12:$F$31&lt;&gt;"")*(Ввод!$F$12:$F$31&lt;=A2479)*(Ввод!$G$12:$G$31&gt;=A2479))&gt;0,1,0))</f>
        <v/>
      </c>
      <c r="F2479">
        <f>IF(OR(A2479="",B2479=""),"",IF(E2479=1,0,D2479*B2479/100/C2479))</f>
        <v/>
      </c>
      <c r="G2479">
        <f>IF(A2479="","",IF(OR(B2479&lt;&gt;B2478,C2479&lt;&gt;C2478,D2479&lt;&gt;D2478,E2479&lt;&gt;E2478),G2478+1,G2478))</f>
        <v/>
      </c>
    </row>
    <row r="2480">
      <c r="A2480" s="14">
        <f>IF(OR(NOT(ISNUMBER(Ввод!$B$5)),NOT(ISNUMBER(Ввод!$B$6))),"",IF(Ввод!$B$5+2478&gt;Ввод!$B$6,"",Ввод!$B$5+2478))</f>
        <v/>
      </c>
      <c r="B2480">
        <f>IF(A2480="","",IFERROR(INDEX(Ввод!$B$12:$B$71,MATCH(A2480,Ввод!$D$12:$D$71,1)),""))</f>
        <v/>
      </c>
      <c r="C2480">
        <f>IF(A2480="","",DATE(YEAR(A2480),12,31)-DATE(YEAR(A2480),1,1)+1)</f>
        <v/>
      </c>
      <c r="D2480">
        <f>IF(A2480="","",Ввод!$B$4-SUMIF(Оплаты!$A$6:$A$505,"&lt;"&amp;A2480,Оплаты!$B$6:$B$505))</f>
        <v/>
      </c>
      <c r="E2480">
        <f>IF(A2480="","",IF(SUMPRODUCT((Ввод!$F$12:$F$31&lt;&gt;"")*(Ввод!$F$12:$F$31&lt;=A2480)*(Ввод!$G$12:$G$31&gt;=A2480))&gt;0,1,0))</f>
        <v/>
      </c>
      <c r="F2480">
        <f>IF(OR(A2480="",B2480=""),"",IF(E2480=1,0,D2480*B2480/100/C2480))</f>
        <v/>
      </c>
      <c r="G2480">
        <f>IF(A2480="","",IF(OR(B2480&lt;&gt;B2479,C2480&lt;&gt;C2479,D2480&lt;&gt;D2479,E2480&lt;&gt;E2479),G2479+1,G2479))</f>
        <v/>
      </c>
    </row>
    <row r="2481">
      <c r="A2481" s="14">
        <f>IF(OR(NOT(ISNUMBER(Ввод!$B$5)),NOT(ISNUMBER(Ввод!$B$6))),"",IF(Ввод!$B$5+2479&gt;Ввод!$B$6,"",Ввод!$B$5+2479))</f>
        <v/>
      </c>
      <c r="B2481">
        <f>IF(A2481="","",IFERROR(INDEX(Ввод!$B$12:$B$71,MATCH(A2481,Ввод!$D$12:$D$71,1)),""))</f>
        <v/>
      </c>
      <c r="C2481">
        <f>IF(A2481="","",DATE(YEAR(A2481),12,31)-DATE(YEAR(A2481),1,1)+1)</f>
        <v/>
      </c>
      <c r="D2481">
        <f>IF(A2481="","",Ввод!$B$4-SUMIF(Оплаты!$A$6:$A$505,"&lt;"&amp;A2481,Оплаты!$B$6:$B$505))</f>
        <v/>
      </c>
      <c r="E2481">
        <f>IF(A2481="","",IF(SUMPRODUCT((Ввод!$F$12:$F$31&lt;&gt;"")*(Ввод!$F$12:$F$31&lt;=A2481)*(Ввод!$G$12:$G$31&gt;=A2481))&gt;0,1,0))</f>
        <v/>
      </c>
      <c r="F2481">
        <f>IF(OR(A2481="",B2481=""),"",IF(E2481=1,0,D2481*B2481/100/C2481))</f>
        <v/>
      </c>
      <c r="G2481">
        <f>IF(A2481="","",IF(OR(B2481&lt;&gt;B2480,C2481&lt;&gt;C2480,D2481&lt;&gt;D2480,E2481&lt;&gt;E2480),G2480+1,G2480))</f>
        <v/>
      </c>
    </row>
    <row r="2482">
      <c r="A2482" s="14">
        <f>IF(OR(NOT(ISNUMBER(Ввод!$B$5)),NOT(ISNUMBER(Ввод!$B$6))),"",IF(Ввод!$B$5+2480&gt;Ввод!$B$6,"",Ввод!$B$5+2480))</f>
        <v/>
      </c>
      <c r="B2482">
        <f>IF(A2482="","",IFERROR(INDEX(Ввод!$B$12:$B$71,MATCH(A2482,Ввод!$D$12:$D$71,1)),""))</f>
        <v/>
      </c>
      <c r="C2482">
        <f>IF(A2482="","",DATE(YEAR(A2482),12,31)-DATE(YEAR(A2482),1,1)+1)</f>
        <v/>
      </c>
      <c r="D2482">
        <f>IF(A2482="","",Ввод!$B$4-SUMIF(Оплаты!$A$6:$A$505,"&lt;"&amp;A2482,Оплаты!$B$6:$B$505))</f>
        <v/>
      </c>
      <c r="E2482">
        <f>IF(A2482="","",IF(SUMPRODUCT((Ввод!$F$12:$F$31&lt;&gt;"")*(Ввод!$F$12:$F$31&lt;=A2482)*(Ввод!$G$12:$G$31&gt;=A2482))&gt;0,1,0))</f>
        <v/>
      </c>
      <c r="F2482">
        <f>IF(OR(A2482="",B2482=""),"",IF(E2482=1,0,D2482*B2482/100/C2482))</f>
        <v/>
      </c>
      <c r="G2482">
        <f>IF(A2482="","",IF(OR(B2482&lt;&gt;B2481,C2482&lt;&gt;C2481,D2482&lt;&gt;D2481,E2482&lt;&gt;E2481),G2481+1,G2481))</f>
        <v/>
      </c>
    </row>
    <row r="2483">
      <c r="A2483" s="14">
        <f>IF(OR(NOT(ISNUMBER(Ввод!$B$5)),NOT(ISNUMBER(Ввод!$B$6))),"",IF(Ввод!$B$5+2481&gt;Ввод!$B$6,"",Ввод!$B$5+2481))</f>
        <v/>
      </c>
      <c r="B2483">
        <f>IF(A2483="","",IFERROR(INDEX(Ввод!$B$12:$B$71,MATCH(A2483,Ввод!$D$12:$D$71,1)),""))</f>
        <v/>
      </c>
      <c r="C2483">
        <f>IF(A2483="","",DATE(YEAR(A2483),12,31)-DATE(YEAR(A2483),1,1)+1)</f>
        <v/>
      </c>
      <c r="D2483">
        <f>IF(A2483="","",Ввод!$B$4-SUMIF(Оплаты!$A$6:$A$505,"&lt;"&amp;A2483,Оплаты!$B$6:$B$505))</f>
        <v/>
      </c>
      <c r="E2483">
        <f>IF(A2483="","",IF(SUMPRODUCT((Ввод!$F$12:$F$31&lt;&gt;"")*(Ввод!$F$12:$F$31&lt;=A2483)*(Ввод!$G$12:$G$31&gt;=A2483))&gt;0,1,0))</f>
        <v/>
      </c>
      <c r="F2483">
        <f>IF(OR(A2483="",B2483=""),"",IF(E2483=1,0,D2483*B2483/100/C2483))</f>
        <v/>
      </c>
      <c r="G2483">
        <f>IF(A2483="","",IF(OR(B2483&lt;&gt;B2482,C2483&lt;&gt;C2482,D2483&lt;&gt;D2482,E2483&lt;&gt;E2482),G2482+1,G2482))</f>
        <v/>
      </c>
    </row>
    <row r="2484">
      <c r="A2484" s="14">
        <f>IF(OR(NOT(ISNUMBER(Ввод!$B$5)),NOT(ISNUMBER(Ввод!$B$6))),"",IF(Ввод!$B$5+2482&gt;Ввод!$B$6,"",Ввод!$B$5+2482))</f>
        <v/>
      </c>
      <c r="B2484">
        <f>IF(A2484="","",IFERROR(INDEX(Ввод!$B$12:$B$71,MATCH(A2484,Ввод!$D$12:$D$71,1)),""))</f>
        <v/>
      </c>
      <c r="C2484">
        <f>IF(A2484="","",DATE(YEAR(A2484),12,31)-DATE(YEAR(A2484),1,1)+1)</f>
        <v/>
      </c>
      <c r="D2484">
        <f>IF(A2484="","",Ввод!$B$4-SUMIF(Оплаты!$A$6:$A$505,"&lt;"&amp;A2484,Оплаты!$B$6:$B$505))</f>
        <v/>
      </c>
      <c r="E2484">
        <f>IF(A2484="","",IF(SUMPRODUCT((Ввод!$F$12:$F$31&lt;&gt;"")*(Ввод!$F$12:$F$31&lt;=A2484)*(Ввод!$G$12:$G$31&gt;=A2484))&gt;0,1,0))</f>
        <v/>
      </c>
      <c r="F2484">
        <f>IF(OR(A2484="",B2484=""),"",IF(E2484=1,0,D2484*B2484/100/C2484))</f>
        <v/>
      </c>
      <c r="G2484">
        <f>IF(A2484="","",IF(OR(B2484&lt;&gt;B2483,C2484&lt;&gt;C2483,D2484&lt;&gt;D2483,E2484&lt;&gt;E2483),G2483+1,G2483))</f>
        <v/>
      </c>
    </row>
    <row r="2485">
      <c r="A2485" s="14">
        <f>IF(OR(NOT(ISNUMBER(Ввод!$B$5)),NOT(ISNUMBER(Ввод!$B$6))),"",IF(Ввод!$B$5+2483&gt;Ввод!$B$6,"",Ввод!$B$5+2483))</f>
        <v/>
      </c>
      <c r="B2485">
        <f>IF(A2485="","",IFERROR(INDEX(Ввод!$B$12:$B$71,MATCH(A2485,Ввод!$D$12:$D$71,1)),""))</f>
        <v/>
      </c>
      <c r="C2485">
        <f>IF(A2485="","",DATE(YEAR(A2485),12,31)-DATE(YEAR(A2485),1,1)+1)</f>
        <v/>
      </c>
      <c r="D2485">
        <f>IF(A2485="","",Ввод!$B$4-SUMIF(Оплаты!$A$6:$A$505,"&lt;"&amp;A2485,Оплаты!$B$6:$B$505))</f>
        <v/>
      </c>
      <c r="E2485">
        <f>IF(A2485="","",IF(SUMPRODUCT((Ввод!$F$12:$F$31&lt;&gt;"")*(Ввод!$F$12:$F$31&lt;=A2485)*(Ввод!$G$12:$G$31&gt;=A2485))&gt;0,1,0))</f>
        <v/>
      </c>
      <c r="F2485">
        <f>IF(OR(A2485="",B2485=""),"",IF(E2485=1,0,D2485*B2485/100/C2485))</f>
        <v/>
      </c>
      <c r="G2485">
        <f>IF(A2485="","",IF(OR(B2485&lt;&gt;B2484,C2485&lt;&gt;C2484,D2485&lt;&gt;D2484,E2485&lt;&gt;E2484),G2484+1,G2484))</f>
        <v/>
      </c>
    </row>
    <row r="2486">
      <c r="A2486" s="14">
        <f>IF(OR(NOT(ISNUMBER(Ввод!$B$5)),NOT(ISNUMBER(Ввод!$B$6))),"",IF(Ввод!$B$5+2484&gt;Ввод!$B$6,"",Ввод!$B$5+2484))</f>
        <v/>
      </c>
      <c r="B2486">
        <f>IF(A2486="","",IFERROR(INDEX(Ввод!$B$12:$B$71,MATCH(A2486,Ввод!$D$12:$D$71,1)),""))</f>
        <v/>
      </c>
      <c r="C2486">
        <f>IF(A2486="","",DATE(YEAR(A2486),12,31)-DATE(YEAR(A2486),1,1)+1)</f>
        <v/>
      </c>
      <c r="D2486">
        <f>IF(A2486="","",Ввод!$B$4-SUMIF(Оплаты!$A$6:$A$505,"&lt;"&amp;A2486,Оплаты!$B$6:$B$505))</f>
        <v/>
      </c>
      <c r="E2486">
        <f>IF(A2486="","",IF(SUMPRODUCT((Ввод!$F$12:$F$31&lt;&gt;"")*(Ввод!$F$12:$F$31&lt;=A2486)*(Ввод!$G$12:$G$31&gt;=A2486))&gt;0,1,0))</f>
        <v/>
      </c>
      <c r="F2486">
        <f>IF(OR(A2486="",B2486=""),"",IF(E2486=1,0,D2486*B2486/100/C2486))</f>
        <v/>
      </c>
      <c r="G2486">
        <f>IF(A2486="","",IF(OR(B2486&lt;&gt;B2485,C2486&lt;&gt;C2485,D2486&lt;&gt;D2485,E2486&lt;&gt;E2485),G2485+1,G2485))</f>
        <v/>
      </c>
    </row>
    <row r="2487">
      <c r="A2487" s="14">
        <f>IF(OR(NOT(ISNUMBER(Ввод!$B$5)),NOT(ISNUMBER(Ввод!$B$6))),"",IF(Ввод!$B$5+2485&gt;Ввод!$B$6,"",Ввод!$B$5+2485))</f>
        <v/>
      </c>
      <c r="B2487">
        <f>IF(A2487="","",IFERROR(INDEX(Ввод!$B$12:$B$71,MATCH(A2487,Ввод!$D$12:$D$71,1)),""))</f>
        <v/>
      </c>
      <c r="C2487">
        <f>IF(A2487="","",DATE(YEAR(A2487),12,31)-DATE(YEAR(A2487),1,1)+1)</f>
        <v/>
      </c>
      <c r="D2487">
        <f>IF(A2487="","",Ввод!$B$4-SUMIF(Оплаты!$A$6:$A$505,"&lt;"&amp;A2487,Оплаты!$B$6:$B$505))</f>
        <v/>
      </c>
      <c r="E2487">
        <f>IF(A2487="","",IF(SUMPRODUCT((Ввод!$F$12:$F$31&lt;&gt;"")*(Ввод!$F$12:$F$31&lt;=A2487)*(Ввод!$G$12:$G$31&gt;=A2487))&gt;0,1,0))</f>
        <v/>
      </c>
      <c r="F2487">
        <f>IF(OR(A2487="",B2487=""),"",IF(E2487=1,0,D2487*B2487/100/C2487))</f>
        <v/>
      </c>
      <c r="G2487">
        <f>IF(A2487="","",IF(OR(B2487&lt;&gt;B2486,C2487&lt;&gt;C2486,D2487&lt;&gt;D2486,E2487&lt;&gt;E2486),G2486+1,G2486))</f>
        <v/>
      </c>
    </row>
    <row r="2488">
      <c r="A2488" s="14">
        <f>IF(OR(NOT(ISNUMBER(Ввод!$B$5)),NOT(ISNUMBER(Ввод!$B$6))),"",IF(Ввод!$B$5+2486&gt;Ввод!$B$6,"",Ввод!$B$5+2486))</f>
        <v/>
      </c>
      <c r="B2488">
        <f>IF(A2488="","",IFERROR(INDEX(Ввод!$B$12:$B$71,MATCH(A2488,Ввод!$D$12:$D$71,1)),""))</f>
        <v/>
      </c>
      <c r="C2488">
        <f>IF(A2488="","",DATE(YEAR(A2488),12,31)-DATE(YEAR(A2488),1,1)+1)</f>
        <v/>
      </c>
      <c r="D2488">
        <f>IF(A2488="","",Ввод!$B$4-SUMIF(Оплаты!$A$6:$A$505,"&lt;"&amp;A2488,Оплаты!$B$6:$B$505))</f>
        <v/>
      </c>
      <c r="E2488">
        <f>IF(A2488="","",IF(SUMPRODUCT((Ввод!$F$12:$F$31&lt;&gt;"")*(Ввод!$F$12:$F$31&lt;=A2488)*(Ввод!$G$12:$G$31&gt;=A2488))&gt;0,1,0))</f>
        <v/>
      </c>
      <c r="F2488">
        <f>IF(OR(A2488="",B2488=""),"",IF(E2488=1,0,D2488*B2488/100/C2488))</f>
        <v/>
      </c>
      <c r="G2488">
        <f>IF(A2488="","",IF(OR(B2488&lt;&gt;B2487,C2488&lt;&gt;C2487,D2488&lt;&gt;D2487,E2488&lt;&gt;E2487),G2487+1,G2487))</f>
        <v/>
      </c>
    </row>
    <row r="2489">
      <c r="A2489" s="14">
        <f>IF(OR(NOT(ISNUMBER(Ввод!$B$5)),NOT(ISNUMBER(Ввод!$B$6))),"",IF(Ввод!$B$5+2487&gt;Ввод!$B$6,"",Ввод!$B$5+2487))</f>
        <v/>
      </c>
      <c r="B2489">
        <f>IF(A2489="","",IFERROR(INDEX(Ввод!$B$12:$B$71,MATCH(A2489,Ввод!$D$12:$D$71,1)),""))</f>
        <v/>
      </c>
      <c r="C2489">
        <f>IF(A2489="","",DATE(YEAR(A2489),12,31)-DATE(YEAR(A2489),1,1)+1)</f>
        <v/>
      </c>
      <c r="D2489">
        <f>IF(A2489="","",Ввод!$B$4-SUMIF(Оплаты!$A$6:$A$505,"&lt;"&amp;A2489,Оплаты!$B$6:$B$505))</f>
        <v/>
      </c>
      <c r="E2489">
        <f>IF(A2489="","",IF(SUMPRODUCT((Ввод!$F$12:$F$31&lt;&gt;"")*(Ввод!$F$12:$F$31&lt;=A2489)*(Ввод!$G$12:$G$31&gt;=A2489))&gt;0,1,0))</f>
        <v/>
      </c>
      <c r="F2489">
        <f>IF(OR(A2489="",B2489=""),"",IF(E2489=1,0,D2489*B2489/100/C2489))</f>
        <v/>
      </c>
      <c r="G2489">
        <f>IF(A2489="","",IF(OR(B2489&lt;&gt;B2488,C2489&lt;&gt;C2488,D2489&lt;&gt;D2488,E2489&lt;&gt;E2488),G2488+1,G2488))</f>
        <v/>
      </c>
    </row>
    <row r="2490">
      <c r="A2490" s="14">
        <f>IF(OR(NOT(ISNUMBER(Ввод!$B$5)),NOT(ISNUMBER(Ввод!$B$6))),"",IF(Ввод!$B$5+2488&gt;Ввод!$B$6,"",Ввод!$B$5+2488))</f>
        <v/>
      </c>
      <c r="B2490">
        <f>IF(A2490="","",IFERROR(INDEX(Ввод!$B$12:$B$71,MATCH(A2490,Ввод!$D$12:$D$71,1)),""))</f>
        <v/>
      </c>
      <c r="C2490">
        <f>IF(A2490="","",DATE(YEAR(A2490),12,31)-DATE(YEAR(A2490),1,1)+1)</f>
        <v/>
      </c>
      <c r="D2490">
        <f>IF(A2490="","",Ввод!$B$4-SUMIF(Оплаты!$A$6:$A$505,"&lt;"&amp;A2490,Оплаты!$B$6:$B$505))</f>
        <v/>
      </c>
      <c r="E2490">
        <f>IF(A2490="","",IF(SUMPRODUCT((Ввод!$F$12:$F$31&lt;&gt;"")*(Ввод!$F$12:$F$31&lt;=A2490)*(Ввод!$G$12:$G$31&gt;=A2490))&gt;0,1,0))</f>
        <v/>
      </c>
      <c r="F2490">
        <f>IF(OR(A2490="",B2490=""),"",IF(E2490=1,0,D2490*B2490/100/C2490))</f>
        <v/>
      </c>
      <c r="G2490">
        <f>IF(A2490="","",IF(OR(B2490&lt;&gt;B2489,C2490&lt;&gt;C2489,D2490&lt;&gt;D2489,E2490&lt;&gt;E2489),G2489+1,G2489))</f>
        <v/>
      </c>
    </row>
    <row r="2491">
      <c r="A2491" s="14">
        <f>IF(OR(NOT(ISNUMBER(Ввод!$B$5)),NOT(ISNUMBER(Ввод!$B$6))),"",IF(Ввод!$B$5+2489&gt;Ввод!$B$6,"",Ввод!$B$5+2489))</f>
        <v/>
      </c>
      <c r="B2491">
        <f>IF(A2491="","",IFERROR(INDEX(Ввод!$B$12:$B$71,MATCH(A2491,Ввод!$D$12:$D$71,1)),""))</f>
        <v/>
      </c>
      <c r="C2491">
        <f>IF(A2491="","",DATE(YEAR(A2491),12,31)-DATE(YEAR(A2491),1,1)+1)</f>
        <v/>
      </c>
      <c r="D2491">
        <f>IF(A2491="","",Ввод!$B$4-SUMIF(Оплаты!$A$6:$A$505,"&lt;"&amp;A2491,Оплаты!$B$6:$B$505))</f>
        <v/>
      </c>
      <c r="E2491">
        <f>IF(A2491="","",IF(SUMPRODUCT((Ввод!$F$12:$F$31&lt;&gt;"")*(Ввод!$F$12:$F$31&lt;=A2491)*(Ввод!$G$12:$G$31&gt;=A2491))&gt;0,1,0))</f>
        <v/>
      </c>
      <c r="F2491">
        <f>IF(OR(A2491="",B2491=""),"",IF(E2491=1,0,D2491*B2491/100/C2491))</f>
        <v/>
      </c>
      <c r="G2491">
        <f>IF(A2491="","",IF(OR(B2491&lt;&gt;B2490,C2491&lt;&gt;C2490,D2491&lt;&gt;D2490,E2491&lt;&gt;E2490),G2490+1,G2490))</f>
        <v/>
      </c>
    </row>
    <row r="2492">
      <c r="A2492" s="14">
        <f>IF(OR(NOT(ISNUMBER(Ввод!$B$5)),NOT(ISNUMBER(Ввод!$B$6))),"",IF(Ввод!$B$5+2490&gt;Ввод!$B$6,"",Ввод!$B$5+2490))</f>
        <v/>
      </c>
      <c r="B2492">
        <f>IF(A2492="","",IFERROR(INDEX(Ввод!$B$12:$B$71,MATCH(A2492,Ввод!$D$12:$D$71,1)),""))</f>
        <v/>
      </c>
      <c r="C2492">
        <f>IF(A2492="","",DATE(YEAR(A2492),12,31)-DATE(YEAR(A2492),1,1)+1)</f>
        <v/>
      </c>
      <c r="D2492">
        <f>IF(A2492="","",Ввод!$B$4-SUMIF(Оплаты!$A$6:$A$505,"&lt;"&amp;A2492,Оплаты!$B$6:$B$505))</f>
        <v/>
      </c>
      <c r="E2492">
        <f>IF(A2492="","",IF(SUMPRODUCT((Ввод!$F$12:$F$31&lt;&gt;"")*(Ввод!$F$12:$F$31&lt;=A2492)*(Ввод!$G$12:$G$31&gt;=A2492))&gt;0,1,0))</f>
        <v/>
      </c>
      <c r="F2492">
        <f>IF(OR(A2492="",B2492=""),"",IF(E2492=1,0,D2492*B2492/100/C2492))</f>
        <v/>
      </c>
      <c r="G2492">
        <f>IF(A2492="","",IF(OR(B2492&lt;&gt;B2491,C2492&lt;&gt;C2491,D2492&lt;&gt;D2491,E2492&lt;&gt;E2491),G2491+1,G2491))</f>
        <v/>
      </c>
    </row>
    <row r="2493">
      <c r="A2493" s="14">
        <f>IF(OR(NOT(ISNUMBER(Ввод!$B$5)),NOT(ISNUMBER(Ввод!$B$6))),"",IF(Ввод!$B$5+2491&gt;Ввод!$B$6,"",Ввод!$B$5+2491))</f>
        <v/>
      </c>
      <c r="B2493">
        <f>IF(A2493="","",IFERROR(INDEX(Ввод!$B$12:$B$71,MATCH(A2493,Ввод!$D$12:$D$71,1)),""))</f>
        <v/>
      </c>
      <c r="C2493">
        <f>IF(A2493="","",DATE(YEAR(A2493),12,31)-DATE(YEAR(A2493),1,1)+1)</f>
        <v/>
      </c>
      <c r="D2493">
        <f>IF(A2493="","",Ввод!$B$4-SUMIF(Оплаты!$A$6:$A$505,"&lt;"&amp;A2493,Оплаты!$B$6:$B$505))</f>
        <v/>
      </c>
      <c r="E2493">
        <f>IF(A2493="","",IF(SUMPRODUCT((Ввод!$F$12:$F$31&lt;&gt;"")*(Ввод!$F$12:$F$31&lt;=A2493)*(Ввод!$G$12:$G$31&gt;=A2493))&gt;0,1,0))</f>
        <v/>
      </c>
      <c r="F2493">
        <f>IF(OR(A2493="",B2493=""),"",IF(E2493=1,0,D2493*B2493/100/C2493))</f>
        <v/>
      </c>
      <c r="G2493">
        <f>IF(A2493="","",IF(OR(B2493&lt;&gt;B2492,C2493&lt;&gt;C2492,D2493&lt;&gt;D2492,E2493&lt;&gt;E2492),G2492+1,G2492))</f>
        <v/>
      </c>
    </row>
    <row r="2494">
      <c r="A2494" s="14">
        <f>IF(OR(NOT(ISNUMBER(Ввод!$B$5)),NOT(ISNUMBER(Ввод!$B$6))),"",IF(Ввод!$B$5+2492&gt;Ввод!$B$6,"",Ввод!$B$5+2492))</f>
        <v/>
      </c>
      <c r="B2494">
        <f>IF(A2494="","",IFERROR(INDEX(Ввод!$B$12:$B$71,MATCH(A2494,Ввод!$D$12:$D$71,1)),""))</f>
        <v/>
      </c>
      <c r="C2494">
        <f>IF(A2494="","",DATE(YEAR(A2494),12,31)-DATE(YEAR(A2494),1,1)+1)</f>
        <v/>
      </c>
      <c r="D2494">
        <f>IF(A2494="","",Ввод!$B$4-SUMIF(Оплаты!$A$6:$A$505,"&lt;"&amp;A2494,Оплаты!$B$6:$B$505))</f>
        <v/>
      </c>
      <c r="E2494">
        <f>IF(A2494="","",IF(SUMPRODUCT((Ввод!$F$12:$F$31&lt;&gt;"")*(Ввод!$F$12:$F$31&lt;=A2494)*(Ввод!$G$12:$G$31&gt;=A2494))&gt;0,1,0))</f>
        <v/>
      </c>
      <c r="F2494">
        <f>IF(OR(A2494="",B2494=""),"",IF(E2494=1,0,D2494*B2494/100/C2494))</f>
        <v/>
      </c>
      <c r="G2494">
        <f>IF(A2494="","",IF(OR(B2494&lt;&gt;B2493,C2494&lt;&gt;C2493,D2494&lt;&gt;D2493,E2494&lt;&gt;E2493),G2493+1,G2493))</f>
        <v/>
      </c>
    </row>
    <row r="2495">
      <c r="A2495" s="14">
        <f>IF(OR(NOT(ISNUMBER(Ввод!$B$5)),NOT(ISNUMBER(Ввод!$B$6))),"",IF(Ввод!$B$5+2493&gt;Ввод!$B$6,"",Ввод!$B$5+2493))</f>
        <v/>
      </c>
      <c r="B2495">
        <f>IF(A2495="","",IFERROR(INDEX(Ввод!$B$12:$B$71,MATCH(A2495,Ввод!$D$12:$D$71,1)),""))</f>
        <v/>
      </c>
      <c r="C2495">
        <f>IF(A2495="","",DATE(YEAR(A2495),12,31)-DATE(YEAR(A2495),1,1)+1)</f>
        <v/>
      </c>
      <c r="D2495">
        <f>IF(A2495="","",Ввод!$B$4-SUMIF(Оплаты!$A$6:$A$505,"&lt;"&amp;A2495,Оплаты!$B$6:$B$505))</f>
        <v/>
      </c>
      <c r="E2495">
        <f>IF(A2495="","",IF(SUMPRODUCT((Ввод!$F$12:$F$31&lt;&gt;"")*(Ввод!$F$12:$F$31&lt;=A2495)*(Ввод!$G$12:$G$31&gt;=A2495))&gt;0,1,0))</f>
        <v/>
      </c>
      <c r="F2495">
        <f>IF(OR(A2495="",B2495=""),"",IF(E2495=1,0,D2495*B2495/100/C2495))</f>
        <v/>
      </c>
      <c r="G2495">
        <f>IF(A2495="","",IF(OR(B2495&lt;&gt;B2494,C2495&lt;&gt;C2494,D2495&lt;&gt;D2494,E2495&lt;&gt;E2494),G2494+1,G2494))</f>
        <v/>
      </c>
    </row>
    <row r="2496">
      <c r="A2496" s="14">
        <f>IF(OR(NOT(ISNUMBER(Ввод!$B$5)),NOT(ISNUMBER(Ввод!$B$6))),"",IF(Ввод!$B$5+2494&gt;Ввод!$B$6,"",Ввод!$B$5+2494))</f>
        <v/>
      </c>
      <c r="B2496">
        <f>IF(A2496="","",IFERROR(INDEX(Ввод!$B$12:$B$71,MATCH(A2496,Ввод!$D$12:$D$71,1)),""))</f>
        <v/>
      </c>
      <c r="C2496">
        <f>IF(A2496="","",DATE(YEAR(A2496),12,31)-DATE(YEAR(A2496),1,1)+1)</f>
        <v/>
      </c>
      <c r="D2496">
        <f>IF(A2496="","",Ввод!$B$4-SUMIF(Оплаты!$A$6:$A$505,"&lt;"&amp;A2496,Оплаты!$B$6:$B$505))</f>
        <v/>
      </c>
      <c r="E2496">
        <f>IF(A2496="","",IF(SUMPRODUCT((Ввод!$F$12:$F$31&lt;&gt;"")*(Ввод!$F$12:$F$31&lt;=A2496)*(Ввод!$G$12:$G$31&gt;=A2496))&gt;0,1,0))</f>
        <v/>
      </c>
      <c r="F2496">
        <f>IF(OR(A2496="",B2496=""),"",IF(E2496=1,0,D2496*B2496/100/C2496))</f>
        <v/>
      </c>
      <c r="G2496">
        <f>IF(A2496="","",IF(OR(B2496&lt;&gt;B2495,C2496&lt;&gt;C2495,D2496&lt;&gt;D2495,E2496&lt;&gt;E2495),G2495+1,G2495))</f>
        <v/>
      </c>
    </row>
    <row r="2497">
      <c r="A2497" s="14">
        <f>IF(OR(NOT(ISNUMBER(Ввод!$B$5)),NOT(ISNUMBER(Ввод!$B$6))),"",IF(Ввод!$B$5+2495&gt;Ввод!$B$6,"",Ввод!$B$5+2495))</f>
        <v/>
      </c>
      <c r="B2497">
        <f>IF(A2497="","",IFERROR(INDEX(Ввод!$B$12:$B$71,MATCH(A2497,Ввод!$D$12:$D$71,1)),""))</f>
        <v/>
      </c>
      <c r="C2497">
        <f>IF(A2497="","",DATE(YEAR(A2497),12,31)-DATE(YEAR(A2497),1,1)+1)</f>
        <v/>
      </c>
      <c r="D2497">
        <f>IF(A2497="","",Ввод!$B$4-SUMIF(Оплаты!$A$6:$A$505,"&lt;"&amp;A2497,Оплаты!$B$6:$B$505))</f>
        <v/>
      </c>
      <c r="E2497">
        <f>IF(A2497="","",IF(SUMPRODUCT((Ввод!$F$12:$F$31&lt;&gt;"")*(Ввод!$F$12:$F$31&lt;=A2497)*(Ввод!$G$12:$G$31&gt;=A2497))&gt;0,1,0))</f>
        <v/>
      </c>
      <c r="F2497">
        <f>IF(OR(A2497="",B2497=""),"",IF(E2497=1,0,D2497*B2497/100/C2497))</f>
        <v/>
      </c>
      <c r="G2497">
        <f>IF(A2497="","",IF(OR(B2497&lt;&gt;B2496,C2497&lt;&gt;C2496,D2497&lt;&gt;D2496,E2497&lt;&gt;E2496),G2496+1,G2496))</f>
        <v/>
      </c>
    </row>
    <row r="2498">
      <c r="A2498" s="14">
        <f>IF(OR(NOT(ISNUMBER(Ввод!$B$5)),NOT(ISNUMBER(Ввод!$B$6))),"",IF(Ввод!$B$5+2496&gt;Ввод!$B$6,"",Ввод!$B$5+2496))</f>
        <v/>
      </c>
      <c r="B2498">
        <f>IF(A2498="","",IFERROR(INDEX(Ввод!$B$12:$B$71,MATCH(A2498,Ввод!$D$12:$D$71,1)),""))</f>
        <v/>
      </c>
      <c r="C2498">
        <f>IF(A2498="","",DATE(YEAR(A2498),12,31)-DATE(YEAR(A2498),1,1)+1)</f>
        <v/>
      </c>
      <c r="D2498">
        <f>IF(A2498="","",Ввод!$B$4-SUMIF(Оплаты!$A$6:$A$505,"&lt;"&amp;A2498,Оплаты!$B$6:$B$505))</f>
        <v/>
      </c>
      <c r="E2498">
        <f>IF(A2498="","",IF(SUMPRODUCT((Ввод!$F$12:$F$31&lt;&gt;"")*(Ввод!$F$12:$F$31&lt;=A2498)*(Ввод!$G$12:$G$31&gt;=A2498))&gt;0,1,0))</f>
        <v/>
      </c>
      <c r="F2498">
        <f>IF(OR(A2498="",B2498=""),"",IF(E2498=1,0,D2498*B2498/100/C2498))</f>
        <v/>
      </c>
      <c r="G2498">
        <f>IF(A2498="","",IF(OR(B2498&lt;&gt;B2497,C2498&lt;&gt;C2497,D2498&lt;&gt;D2497,E2498&lt;&gt;E2497),G2497+1,G2497))</f>
        <v/>
      </c>
    </row>
    <row r="2499">
      <c r="A2499" s="14">
        <f>IF(OR(NOT(ISNUMBER(Ввод!$B$5)),NOT(ISNUMBER(Ввод!$B$6))),"",IF(Ввод!$B$5+2497&gt;Ввод!$B$6,"",Ввод!$B$5+2497))</f>
        <v/>
      </c>
      <c r="B2499">
        <f>IF(A2499="","",IFERROR(INDEX(Ввод!$B$12:$B$71,MATCH(A2499,Ввод!$D$12:$D$71,1)),""))</f>
        <v/>
      </c>
      <c r="C2499">
        <f>IF(A2499="","",DATE(YEAR(A2499),12,31)-DATE(YEAR(A2499),1,1)+1)</f>
        <v/>
      </c>
      <c r="D2499">
        <f>IF(A2499="","",Ввод!$B$4-SUMIF(Оплаты!$A$6:$A$505,"&lt;"&amp;A2499,Оплаты!$B$6:$B$505))</f>
        <v/>
      </c>
      <c r="E2499">
        <f>IF(A2499="","",IF(SUMPRODUCT((Ввод!$F$12:$F$31&lt;&gt;"")*(Ввод!$F$12:$F$31&lt;=A2499)*(Ввод!$G$12:$G$31&gt;=A2499))&gt;0,1,0))</f>
        <v/>
      </c>
      <c r="F2499">
        <f>IF(OR(A2499="",B2499=""),"",IF(E2499=1,0,D2499*B2499/100/C2499))</f>
        <v/>
      </c>
      <c r="G2499">
        <f>IF(A2499="","",IF(OR(B2499&lt;&gt;B2498,C2499&lt;&gt;C2498,D2499&lt;&gt;D2498,E2499&lt;&gt;E2498),G2498+1,G2498))</f>
        <v/>
      </c>
    </row>
    <row r="2500">
      <c r="A2500" s="14">
        <f>IF(OR(NOT(ISNUMBER(Ввод!$B$5)),NOT(ISNUMBER(Ввод!$B$6))),"",IF(Ввод!$B$5+2498&gt;Ввод!$B$6,"",Ввод!$B$5+2498))</f>
        <v/>
      </c>
      <c r="B2500">
        <f>IF(A2500="","",IFERROR(INDEX(Ввод!$B$12:$B$71,MATCH(A2500,Ввод!$D$12:$D$71,1)),""))</f>
        <v/>
      </c>
      <c r="C2500">
        <f>IF(A2500="","",DATE(YEAR(A2500),12,31)-DATE(YEAR(A2500),1,1)+1)</f>
        <v/>
      </c>
      <c r="D2500">
        <f>IF(A2500="","",Ввод!$B$4-SUMIF(Оплаты!$A$6:$A$505,"&lt;"&amp;A2500,Оплаты!$B$6:$B$505))</f>
        <v/>
      </c>
      <c r="E2500">
        <f>IF(A2500="","",IF(SUMPRODUCT((Ввод!$F$12:$F$31&lt;&gt;"")*(Ввод!$F$12:$F$31&lt;=A2500)*(Ввод!$G$12:$G$31&gt;=A2500))&gt;0,1,0))</f>
        <v/>
      </c>
      <c r="F2500">
        <f>IF(OR(A2500="",B2500=""),"",IF(E2500=1,0,D2500*B2500/100/C2500))</f>
        <v/>
      </c>
      <c r="G2500">
        <f>IF(A2500="","",IF(OR(B2500&lt;&gt;B2499,C2500&lt;&gt;C2499,D2500&lt;&gt;D2499,E2500&lt;&gt;E2499),G2499+1,G2499))</f>
        <v/>
      </c>
    </row>
    <row r="2501">
      <c r="A2501" s="14">
        <f>IF(OR(NOT(ISNUMBER(Ввод!$B$5)),NOT(ISNUMBER(Ввод!$B$6))),"",IF(Ввод!$B$5+2499&gt;Ввод!$B$6,"",Ввод!$B$5+2499))</f>
        <v/>
      </c>
      <c r="B2501">
        <f>IF(A2501="","",IFERROR(INDEX(Ввод!$B$12:$B$71,MATCH(A2501,Ввод!$D$12:$D$71,1)),""))</f>
        <v/>
      </c>
      <c r="C2501">
        <f>IF(A2501="","",DATE(YEAR(A2501),12,31)-DATE(YEAR(A2501),1,1)+1)</f>
        <v/>
      </c>
      <c r="D2501">
        <f>IF(A2501="","",Ввод!$B$4-SUMIF(Оплаты!$A$6:$A$505,"&lt;"&amp;A2501,Оплаты!$B$6:$B$505))</f>
        <v/>
      </c>
      <c r="E2501">
        <f>IF(A2501="","",IF(SUMPRODUCT((Ввод!$F$12:$F$31&lt;&gt;"")*(Ввод!$F$12:$F$31&lt;=A2501)*(Ввод!$G$12:$G$31&gt;=A2501))&gt;0,1,0))</f>
        <v/>
      </c>
      <c r="F2501">
        <f>IF(OR(A2501="",B2501=""),"",IF(E2501=1,0,D2501*B2501/100/C2501))</f>
        <v/>
      </c>
      <c r="G2501">
        <f>IF(A2501="","",IF(OR(B2501&lt;&gt;B2500,C2501&lt;&gt;C2500,D2501&lt;&gt;D2500,E2501&lt;&gt;E2500),G2500+1,G2500))</f>
        <v/>
      </c>
    </row>
    <row r="2502">
      <c r="A2502" s="14">
        <f>IF(OR(NOT(ISNUMBER(Ввод!$B$5)),NOT(ISNUMBER(Ввод!$B$6))),"",IF(Ввод!$B$5+2500&gt;Ввод!$B$6,"",Ввод!$B$5+2500))</f>
        <v/>
      </c>
      <c r="B2502">
        <f>IF(A2502="","",IFERROR(INDEX(Ввод!$B$12:$B$71,MATCH(A2502,Ввод!$D$12:$D$71,1)),""))</f>
        <v/>
      </c>
      <c r="C2502">
        <f>IF(A2502="","",DATE(YEAR(A2502),12,31)-DATE(YEAR(A2502),1,1)+1)</f>
        <v/>
      </c>
      <c r="D2502">
        <f>IF(A2502="","",Ввод!$B$4-SUMIF(Оплаты!$A$6:$A$505,"&lt;"&amp;A2502,Оплаты!$B$6:$B$505))</f>
        <v/>
      </c>
      <c r="E2502">
        <f>IF(A2502="","",IF(SUMPRODUCT((Ввод!$F$12:$F$31&lt;&gt;"")*(Ввод!$F$12:$F$31&lt;=A2502)*(Ввод!$G$12:$G$31&gt;=A2502))&gt;0,1,0))</f>
        <v/>
      </c>
      <c r="F2502">
        <f>IF(OR(A2502="",B2502=""),"",IF(E2502=1,0,D2502*B2502/100/C2502))</f>
        <v/>
      </c>
      <c r="G2502">
        <f>IF(A2502="","",IF(OR(B2502&lt;&gt;B2501,C2502&lt;&gt;C2501,D2502&lt;&gt;D2501,E2502&lt;&gt;E2501),G2501+1,G2501))</f>
        <v/>
      </c>
    </row>
    <row r="2503">
      <c r="A2503" s="14">
        <f>IF(OR(NOT(ISNUMBER(Ввод!$B$5)),NOT(ISNUMBER(Ввод!$B$6))),"",IF(Ввод!$B$5+2501&gt;Ввод!$B$6,"",Ввод!$B$5+2501))</f>
        <v/>
      </c>
      <c r="B2503">
        <f>IF(A2503="","",IFERROR(INDEX(Ввод!$B$12:$B$71,MATCH(A2503,Ввод!$D$12:$D$71,1)),""))</f>
        <v/>
      </c>
      <c r="C2503">
        <f>IF(A2503="","",DATE(YEAR(A2503),12,31)-DATE(YEAR(A2503),1,1)+1)</f>
        <v/>
      </c>
      <c r="D2503">
        <f>IF(A2503="","",Ввод!$B$4-SUMIF(Оплаты!$A$6:$A$505,"&lt;"&amp;A2503,Оплаты!$B$6:$B$505))</f>
        <v/>
      </c>
      <c r="E2503">
        <f>IF(A2503="","",IF(SUMPRODUCT((Ввод!$F$12:$F$31&lt;&gt;"")*(Ввод!$F$12:$F$31&lt;=A2503)*(Ввод!$G$12:$G$31&gt;=A2503))&gt;0,1,0))</f>
        <v/>
      </c>
      <c r="F2503">
        <f>IF(OR(A2503="",B2503=""),"",IF(E2503=1,0,D2503*B2503/100/C2503))</f>
        <v/>
      </c>
      <c r="G2503">
        <f>IF(A2503="","",IF(OR(B2503&lt;&gt;B2502,C2503&lt;&gt;C2502,D2503&lt;&gt;D2502,E2503&lt;&gt;E2502),G2502+1,G2502))</f>
        <v/>
      </c>
    </row>
    <row r="2504">
      <c r="A2504" s="14">
        <f>IF(OR(NOT(ISNUMBER(Ввод!$B$5)),NOT(ISNUMBER(Ввод!$B$6))),"",IF(Ввод!$B$5+2502&gt;Ввод!$B$6,"",Ввод!$B$5+2502))</f>
        <v/>
      </c>
      <c r="B2504">
        <f>IF(A2504="","",IFERROR(INDEX(Ввод!$B$12:$B$71,MATCH(A2504,Ввод!$D$12:$D$71,1)),""))</f>
        <v/>
      </c>
      <c r="C2504">
        <f>IF(A2504="","",DATE(YEAR(A2504),12,31)-DATE(YEAR(A2504),1,1)+1)</f>
        <v/>
      </c>
      <c r="D2504">
        <f>IF(A2504="","",Ввод!$B$4-SUMIF(Оплаты!$A$6:$A$505,"&lt;"&amp;A2504,Оплаты!$B$6:$B$505))</f>
        <v/>
      </c>
      <c r="E2504">
        <f>IF(A2504="","",IF(SUMPRODUCT((Ввод!$F$12:$F$31&lt;&gt;"")*(Ввод!$F$12:$F$31&lt;=A2504)*(Ввод!$G$12:$G$31&gt;=A2504))&gt;0,1,0))</f>
        <v/>
      </c>
      <c r="F2504">
        <f>IF(OR(A2504="",B2504=""),"",IF(E2504=1,0,D2504*B2504/100/C2504))</f>
        <v/>
      </c>
      <c r="G2504">
        <f>IF(A2504="","",IF(OR(B2504&lt;&gt;B2503,C2504&lt;&gt;C2503,D2504&lt;&gt;D2503,E2504&lt;&gt;E2503),G2503+1,G2503))</f>
        <v/>
      </c>
    </row>
    <row r="2505">
      <c r="A2505" s="14">
        <f>IF(OR(NOT(ISNUMBER(Ввод!$B$5)),NOT(ISNUMBER(Ввод!$B$6))),"",IF(Ввод!$B$5+2503&gt;Ввод!$B$6,"",Ввод!$B$5+2503))</f>
        <v/>
      </c>
      <c r="B2505">
        <f>IF(A2505="","",IFERROR(INDEX(Ввод!$B$12:$B$71,MATCH(A2505,Ввод!$D$12:$D$71,1)),""))</f>
        <v/>
      </c>
      <c r="C2505">
        <f>IF(A2505="","",DATE(YEAR(A2505),12,31)-DATE(YEAR(A2505),1,1)+1)</f>
        <v/>
      </c>
      <c r="D2505">
        <f>IF(A2505="","",Ввод!$B$4-SUMIF(Оплаты!$A$6:$A$505,"&lt;"&amp;A2505,Оплаты!$B$6:$B$505))</f>
        <v/>
      </c>
      <c r="E2505">
        <f>IF(A2505="","",IF(SUMPRODUCT((Ввод!$F$12:$F$31&lt;&gt;"")*(Ввод!$F$12:$F$31&lt;=A2505)*(Ввод!$G$12:$G$31&gt;=A2505))&gt;0,1,0))</f>
        <v/>
      </c>
      <c r="F2505">
        <f>IF(OR(A2505="",B2505=""),"",IF(E2505=1,0,D2505*B2505/100/C2505))</f>
        <v/>
      </c>
      <c r="G2505">
        <f>IF(A2505="","",IF(OR(B2505&lt;&gt;B2504,C2505&lt;&gt;C2504,D2505&lt;&gt;D2504,E2505&lt;&gt;E2504),G2504+1,G2504))</f>
        <v/>
      </c>
    </row>
    <row r="2506">
      <c r="A2506" s="14">
        <f>IF(OR(NOT(ISNUMBER(Ввод!$B$5)),NOT(ISNUMBER(Ввод!$B$6))),"",IF(Ввод!$B$5+2504&gt;Ввод!$B$6,"",Ввод!$B$5+2504))</f>
        <v/>
      </c>
      <c r="B2506">
        <f>IF(A2506="","",IFERROR(INDEX(Ввод!$B$12:$B$71,MATCH(A2506,Ввод!$D$12:$D$71,1)),""))</f>
        <v/>
      </c>
      <c r="C2506">
        <f>IF(A2506="","",DATE(YEAR(A2506),12,31)-DATE(YEAR(A2506),1,1)+1)</f>
        <v/>
      </c>
      <c r="D2506">
        <f>IF(A2506="","",Ввод!$B$4-SUMIF(Оплаты!$A$6:$A$505,"&lt;"&amp;A2506,Оплаты!$B$6:$B$505))</f>
        <v/>
      </c>
      <c r="E2506">
        <f>IF(A2506="","",IF(SUMPRODUCT((Ввод!$F$12:$F$31&lt;&gt;"")*(Ввод!$F$12:$F$31&lt;=A2506)*(Ввод!$G$12:$G$31&gt;=A2506))&gt;0,1,0))</f>
        <v/>
      </c>
      <c r="F2506">
        <f>IF(OR(A2506="",B2506=""),"",IF(E2506=1,0,D2506*B2506/100/C2506))</f>
        <v/>
      </c>
      <c r="G2506">
        <f>IF(A2506="","",IF(OR(B2506&lt;&gt;B2505,C2506&lt;&gt;C2505,D2506&lt;&gt;D2505,E2506&lt;&gt;E2505),G2505+1,G2505))</f>
        <v/>
      </c>
    </row>
    <row r="2507">
      <c r="A2507" s="14">
        <f>IF(OR(NOT(ISNUMBER(Ввод!$B$5)),NOT(ISNUMBER(Ввод!$B$6))),"",IF(Ввод!$B$5+2505&gt;Ввод!$B$6,"",Ввод!$B$5+2505))</f>
        <v/>
      </c>
      <c r="B2507">
        <f>IF(A2507="","",IFERROR(INDEX(Ввод!$B$12:$B$71,MATCH(A2507,Ввод!$D$12:$D$71,1)),""))</f>
        <v/>
      </c>
      <c r="C2507">
        <f>IF(A2507="","",DATE(YEAR(A2507),12,31)-DATE(YEAR(A2507),1,1)+1)</f>
        <v/>
      </c>
      <c r="D2507">
        <f>IF(A2507="","",Ввод!$B$4-SUMIF(Оплаты!$A$6:$A$505,"&lt;"&amp;A2507,Оплаты!$B$6:$B$505))</f>
        <v/>
      </c>
      <c r="E2507">
        <f>IF(A2507="","",IF(SUMPRODUCT((Ввод!$F$12:$F$31&lt;&gt;"")*(Ввод!$F$12:$F$31&lt;=A2507)*(Ввод!$G$12:$G$31&gt;=A2507))&gt;0,1,0))</f>
        <v/>
      </c>
      <c r="F2507">
        <f>IF(OR(A2507="",B2507=""),"",IF(E2507=1,0,D2507*B2507/100/C2507))</f>
        <v/>
      </c>
      <c r="G2507">
        <f>IF(A2507="","",IF(OR(B2507&lt;&gt;B2506,C2507&lt;&gt;C2506,D2507&lt;&gt;D2506,E2507&lt;&gt;E2506),G2506+1,G2506))</f>
        <v/>
      </c>
    </row>
    <row r="2508">
      <c r="A2508" s="14">
        <f>IF(OR(NOT(ISNUMBER(Ввод!$B$5)),NOT(ISNUMBER(Ввод!$B$6))),"",IF(Ввод!$B$5+2506&gt;Ввод!$B$6,"",Ввод!$B$5+2506))</f>
        <v/>
      </c>
      <c r="B2508">
        <f>IF(A2508="","",IFERROR(INDEX(Ввод!$B$12:$B$71,MATCH(A2508,Ввод!$D$12:$D$71,1)),""))</f>
        <v/>
      </c>
      <c r="C2508">
        <f>IF(A2508="","",DATE(YEAR(A2508),12,31)-DATE(YEAR(A2508),1,1)+1)</f>
        <v/>
      </c>
      <c r="D2508">
        <f>IF(A2508="","",Ввод!$B$4-SUMIF(Оплаты!$A$6:$A$505,"&lt;"&amp;A2508,Оплаты!$B$6:$B$505))</f>
        <v/>
      </c>
      <c r="E2508">
        <f>IF(A2508="","",IF(SUMPRODUCT((Ввод!$F$12:$F$31&lt;&gt;"")*(Ввод!$F$12:$F$31&lt;=A2508)*(Ввод!$G$12:$G$31&gt;=A2508))&gt;0,1,0))</f>
        <v/>
      </c>
      <c r="F2508">
        <f>IF(OR(A2508="",B2508=""),"",IF(E2508=1,0,D2508*B2508/100/C2508))</f>
        <v/>
      </c>
      <c r="G2508">
        <f>IF(A2508="","",IF(OR(B2508&lt;&gt;B2507,C2508&lt;&gt;C2507,D2508&lt;&gt;D2507,E2508&lt;&gt;E2507),G2507+1,G2507))</f>
        <v/>
      </c>
    </row>
    <row r="2509">
      <c r="A2509" s="14">
        <f>IF(OR(NOT(ISNUMBER(Ввод!$B$5)),NOT(ISNUMBER(Ввод!$B$6))),"",IF(Ввод!$B$5+2507&gt;Ввод!$B$6,"",Ввод!$B$5+2507))</f>
        <v/>
      </c>
      <c r="B2509">
        <f>IF(A2509="","",IFERROR(INDEX(Ввод!$B$12:$B$71,MATCH(A2509,Ввод!$D$12:$D$71,1)),""))</f>
        <v/>
      </c>
      <c r="C2509">
        <f>IF(A2509="","",DATE(YEAR(A2509),12,31)-DATE(YEAR(A2509),1,1)+1)</f>
        <v/>
      </c>
      <c r="D2509">
        <f>IF(A2509="","",Ввод!$B$4-SUMIF(Оплаты!$A$6:$A$505,"&lt;"&amp;A2509,Оплаты!$B$6:$B$505))</f>
        <v/>
      </c>
      <c r="E2509">
        <f>IF(A2509="","",IF(SUMPRODUCT((Ввод!$F$12:$F$31&lt;&gt;"")*(Ввод!$F$12:$F$31&lt;=A2509)*(Ввод!$G$12:$G$31&gt;=A2509))&gt;0,1,0))</f>
        <v/>
      </c>
      <c r="F2509">
        <f>IF(OR(A2509="",B2509=""),"",IF(E2509=1,0,D2509*B2509/100/C2509))</f>
        <v/>
      </c>
      <c r="G2509">
        <f>IF(A2509="","",IF(OR(B2509&lt;&gt;B2508,C2509&lt;&gt;C2508,D2509&lt;&gt;D2508,E2509&lt;&gt;E2508),G2508+1,G2508))</f>
        <v/>
      </c>
    </row>
    <row r="2510">
      <c r="A2510" s="14">
        <f>IF(OR(NOT(ISNUMBER(Ввод!$B$5)),NOT(ISNUMBER(Ввод!$B$6))),"",IF(Ввод!$B$5+2508&gt;Ввод!$B$6,"",Ввод!$B$5+2508))</f>
        <v/>
      </c>
      <c r="B2510">
        <f>IF(A2510="","",IFERROR(INDEX(Ввод!$B$12:$B$71,MATCH(A2510,Ввод!$D$12:$D$71,1)),""))</f>
        <v/>
      </c>
      <c r="C2510">
        <f>IF(A2510="","",DATE(YEAR(A2510),12,31)-DATE(YEAR(A2510),1,1)+1)</f>
        <v/>
      </c>
      <c r="D2510">
        <f>IF(A2510="","",Ввод!$B$4-SUMIF(Оплаты!$A$6:$A$505,"&lt;"&amp;A2510,Оплаты!$B$6:$B$505))</f>
        <v/>
      </c>
      <c r="E2510">
        <f>IF(A2510="","",IF(SUMPRODUCT((Ввод!$F$12:$F$31&lt;&gt;"")*(Ввод!$F$12:$F$31&lt;=A2510)*(Ввод!$G$12:$G$31&gt;=A2510))&gt;0,1,0))</f>
        <v/>
      </c>
      <c r="F2510">
        <f>IF(OR(A2510="",B2510=""),"",IF(E2510=1,0,D2510*B2510/100/C2510))</f>
        <v/>
      </c>
      <c r="G2510">
        <f>IF(A2510="","",IF(OR(B2510&lt;&gt;B2509,C2510&lt;&gt;C2509,D2510&lt;&gt;D2509,E2510&lt;&gt;E2509),G2509+1,G2509))</f>
        <v/>
      </c>
    </row>
    <row r="2511">
      <c r="A2511" s="14">
        <f>IF(OR(NOT(ISNUMBER(Ввод!$B$5)),NOT(ISNUMBER(Ввод!$B$6))),"",IF(Ввод!$B$5+2509&gt;Ввод!$B$6,"",Ввод!$B$5+2509))</f>
        <v/>
      </c>
      <c r="B2511">
        <f>IF(A2511="","",IFERROR(INDEX(Ввод!$B$12:$B$71,MATCH(A2511,Ввод!$D$12:$D$71,1)),""))</f>
        <v/>
      </c>
      <c r="C2511">
        <f>IF(A2511="","",DATE(YEAR(A2511),12,31)-DATE(YEAR(A2511),1,1)+1)</f>
        <v/>
      </c>
      <c r="D2511">
        <f>IF(A2511="","",Ввод!$B$4-SUMIF(Оплаты!$A$6:$A$505,"&lt;"&amp;A2511,Оплаты!$B$6:$B$505))</f>
        <v/>
      </c>
      <c r="E2511">
        <f>IF(A2511="","",IF(SUMPRODUCT((Ввод!$F$12:$F$31&lt;&gt;"")*(Ввод!$F$12:$F$31&lt;=A2511)*(Ввод!$G$12:$G$31&gt;=A2511))&gt;0,1,0))</f>
        <v/>
      </c>
      <c r="F2511">
        <f>IF(OR(A2511="",B2511=""),"",IF(E2511=1,0,D2511*B2511/100/C2511))</f>
        <v/>
      </c>
      <c r="G2511">
        <f>IF(A2511="","",IF(OR(B2511&lt;&gt;B2510,C2511&lt;&gt;C2510,D2511&lt;&gt;D2510,E2511&lt;&gt;E2510),G2510+1,G2510))</f>
        <v/>
      </c>
    </row>
    <row r="2512">
      <c r="A2512" s="14">
        <f>IF(OR(NOT(ISNUMBER(Ввод!$B$5)),NOT(ISNUMBER(Ввод!$B$6))),"",IF(Ввод!$B$5+2510&gt;Ввод!$B$6,"",Ввод!$B$5+2510))</f>
        <v/>
      </c>
      <c r="B2512">
        <f>IF(A2512="","",IFERROR(INDEX(Ввод!$B$12:$B$71,MATCH(A2512,Ввод!$D$12:$D$71,1)),""))</f>
        <v/>
      </c>
      <c r="C2512">
        <f>IF(A2512="","",DATE(YEAR(A2512),12,31)-DATE(YEAR(A2512),1,1)+1)</f>
        <v/>
      </c>
      <c r="D2512">
        <f>IF(A2512="","",Ввод!$B$4-SUMIF(Оплаты!$A$6:$A$505,"&lt;"&amp;A2512,Оплаты!$B$6:$B$505))</f>
        <v/>
      </c>
      <c r="E2512">
        <f>IF(A2512="","",IF(SUMPRODUCT((Ввод!$F$12:$F$31&lt;&gt;"")*(Ввод!$F$12:$F$31&lt;=A2512)*(Ввод!$G$12:$G$31&gt;=A2512))&gt;0,1,0))</f>
        <v/>
      </c>
      <c r="F2512">
        <f>IF(OR(A2512="",B2512=""),"",IF(E2512=1,0,D2512*B2512/100/C2512))</f>
        <v/>
      </c>
      <c r="G2512">
        <f>IF(A2512="","",IF(OR(B2512&lt;&gt;B2511,C2512&lt;&gt;C2511,D2512&lt;&gt;D2511,E2512&lt;&gt;E2511),G2511+1,G2511))</f>
        <v/>
      </c>
    </row>
    <row r="2513">
      <c r="A2513" s="14">
        <f>IF(OR(NOT(ISNUMBER(Ввод!$B$5)),NOT(ISNUMBER(Ввод!$B$6))),"",IF(Ввод!$B$5+2511&gt;Ввод!$B$6,"",Ввод!$B$5+2511))</f>
        <v/>
      </c>
      <c r="B2513">
        <f>IF(A2513="","",IFERROR(INDEX(Ввод!$B$12:$B$71,MATCH(A2513,Ввод!$D$12:$D$71,1)),""))</f>
        <v/>
      </c>
      <c r="C2513">
        <f>IF(A2513="","",DATE(YEAR(A2513),12,31)-DATE(YEAR(A2513),1,1)+1)</f>
        <v/>
      </c>
      <c r="D2513">
        <f>IF(A2513="","",Ввод!$B$4-SUMIF(Оплаты!$A$6:$A$505,"&lt;"&amp;A2513,Оплаты!$B$6:$B$505))</f>
        <v/>
      </c>
      <c r="E2513">
        <f>IF(A2513="","",IF(SUMPRODUCT((Ввод!$F$12:$F$31&lt;&gt;"")*(Ввод!$F$12:$F$31&lt;=A2513)*(Ввод!$G$12:$G$31&gt;=A2513))&gt;0,1,0))</f>
        <v/>
      </c>
      <c r="F2513">
        <f>IF(OR(A2513="",B2513=""),"",IF(E2513=1,0,D2513*B2513/100/C2513))</f>
        <v/>
      </c>
      <c r="G2513">
        <f>IF(A2513="","",IF(OR(B2513&lt;&gt;B2512,C2513&lt;&gt;C2512,D2513&lt;&gt;D2512,E2513&lt;&gt;E2512),G2512+1,G2512))</f>
        <v/>
      </c>
    </row>
    <row r="2514">
      <c r="A2514" s="14">
        <f>IF(OR(NOT(ISNUMBER(Ввод!$B$5)),NOT(ISNUMBER(Ввод!$B$6))),"",IF(Ввод!$B$5+2512&gt;Ввод!$B$6,"",Ввод!$B$5+2512))</f>
        <v/>
      </c>
      <c r="B2514">
        <f>IF(A2514="","",IFERROR(INDEX(Ввод!$B$12:$B$71,MATCH(A2514,Ввод!$D$12:$D$71,1)),""))</f>
        <v/>
      </c>
      <c r="C2514">
        <f>IF(A2514="","",DATE(YEAR(A2514),12,31)-DATE(YEAR(A2514),1,1)+1)</f>
        <v/>
      </c>
      <c r="D2514">
        <f>IF(A2514="","",Ввод!$B$4-SUMIF(Оплаты!$A$6:$A$505,"&lt;"&amp;A2514,Оплаты!$B$6:$B$505))</f>
        <v/>
      </c>
      <c r="E2514">
        <f>IF(A2514="","",IF(SUMPRODUCT((Ввод!$F$12:$F$31&lt;&gt;"")*(Ввод!$F$12:$F$31&lt;=A2514)*(Ввод!$G$12:$G$31&gt;=A2514))&gt;0,1,0))</f>
        <v/>
      </c>
      <c r="F2514">
        <f>IF(OR(A2514="",B2514=""),"",IF(E2514=1,0,D2514*B2514/100/C2514))</f>
        <v/>
      </c>
      <c r="G2514">
        <f>IF(A2514="","",IF(OR(B2514&lt;&gt;B2513,C2514&lt;&gt;C2513,D2514&lt;&gt;D2513,E2514&lt;&gt;E2513),G2513+1,G2513))</f>
        <v/>
      </c>
    </row>
    <row r="2515">
      <c r="A2515" s="14">
        <f>IF(OR(NOT(ISNUMBER(Ввод!$B$5)),NOT(ISNUMBER(Ввод!$B$6))),"",IF(Ввод!$B$5+2513&gt;Ввод!$B$6,"",Ввод!$B$5+2513))</f>
        <v/>
      </c>
      <c r="B2515">
        <f>IF(A2515="","",IFERROR(INDEX(Ввод!$B$12:$B$71,MATCH(A2515,Ввод!$D$12:$D$71,1)),""))</f>
        <v/>
      </c>
      <c r="C2515">
        <f>IF(A2515="","",DATE(YEAR(A2515),12,31)-DATE(YEAR(A2515),1,1)+1)</f>
        <v/>
      </c>
      <c r="D2515">
        <f>IF(A2515="","",Ввод!$B$4-SUMIF(Оплаты!$A$6:$A$505,"&lt;"&amp;A2515,Оплаты!$B$6:$B$505))</f>
        <v/>
      </c>
      <c r="E2515">
        <f>IF(A2515="","",IF(SUMPRODUCT((Ввод!$F$12:$F$31&lt;&gt;"")*(Ввод!$F$12:$F$31&lt;=A2515)*(Ввод!$G$12:$G$31&gt;=A2515))&gt;0,1,0))</f>
        <v/>
      </c>
      <c r="F2515">
        <f>IF(OR(A2515="",B2515=""),"",IF(E2515=1,0,D2515*B2515/100/C2515))</f>
        <v/>
      </c>
      <c r="G2515">
        <f>IF(A2515="","",IF(OR(B2515&lt;&gt;B2514,C2515&lt;&gt;C2514,D2515&lt;&gt;D2514,E2515&lt;&gt;E2514),G2514+1,G2514))</f>
        <v/>
      </c>
    </row>
    <row r="2516">
      <c r="A2516" s="14">
        <f>IF(OR(NOT(ISNUMBER(Ввод!$B$5)),NOT(ISNUMBER(Ввод!$B$6))),"",IF(Ввод!$B$5+2514&gt;Ввод!$B$6,"",Ввод!$B$5+2514))</f>
        <v/>
      </c>
      <c r="B2516">
        <f>IF(A2516="","",IFERROR(INDEX(Ввод!$B$12:$B$71,MATCH(A2516,Ввод!$D$12:$D$71,1)),""))</f>
        <v/>
      </c>
      <c r="C2516">
        <f>IF(A2516="","",DATE(YEAR(A2516),12,31)-DATE(YEAR(A2516),1,1)+1)</f>
        <v/>
      </c>
      <c r="D2516">
        <f>IF(A2516="","",Ввод!$B$4-SUMIF(Оплаты!$A$6:$A$505,"&lt;"&amp;A2516,Оплаты!$B$6:$B$505))</f>
        <v/>
      </c>
      <c r="E2516">
        <f>IF(A2516="","",IF(SUMPRODUCT((Ввод!$F$12:$F$31&lt;&gt;"")*(Ввод!$F$12:$F$31&lt;=A2516)*(Ввод!$G$12:$G$31&gt;=A2516))&gt;0,1,0))</f>
        <v/>
      </c>
      <c r="F2516">
        <f>IF(OR(A2516="",B2516=""),"",IF(E2516=1,0,D2516*B2516/100/C2516))</f>
        <v/>
      </c>
      <c r="G2516">
        <f>IF(A2516="","",IF(OR(B2516&lt;&gt;B2515,C2516&lt;&gt;C2515,D2516&lt;&gt;D2515,E2516&lt;&gt;E2515),G2515+1,G2515))</f>
        <v/>
      </c>
    </row>
    <row r="2517">
      <c r="A2517" s="14">
        <f>IF(OR(NOT(ISNUMBER(Ввод!$B$5)),NOT(ISNUMBER(Ввод!$B$6))),"",IF(Ввод!$B$5+2515&gt;Ввод!$B$6,"",Ввод!$B$5+2515))</f>
        <v/>
      </c>
      <c r="B2517">
        <f>IF(A2517="","",IFERROR(INDEX(Ввод!$B$12:$B$71,MATCH(A2517,Ввод!$D$12:$D$71,1)),""))</f>
        <v/>
      </c>
      <c r="C2517">
        <f>IF(A2517="","",DATE(YEAR(A2517),12,31)-DATE(YEAR(A2517),1,1)+1)</f>
        <v/>
      </c>
      <c r="D2517">
        <f>IF(A2517="","",Ввод!$B$4-SUMIF(Оплаты!$A$6:$A$505,"&lt;"&amp;A2517,Оплаты!$B$6:$B$505))</f>
        <v/>
      </c>
      <c r="E2517">
        <f>IF(A2517="","",IF(SUMPRODUCT((Ввод!$F$12:$F$31&lt;&gt;"")*(Ввод!$F$12:$F$31&lt;=A2517)*(Ввод!$G$12:$G$31&gt;=A2517))&gt;0,1,0))</f>
        <v/>
      </c>
      <c r="F2517">
        <f>IF(OR(A2517="",B2517=""),"",IF(E2517=1,0,D2517*B2517/100/C2517))</f>
        <v/>
      </c>
      <c r="G2517">
        <f>IF(A2517="","",IF(OR(B2517&lt;&gt;B2516,C2517&lt;&gt;C2516,D2517&lt;&gt;D2516,E2517&lt;&gt;E2516),G2516+1,G2516))</f>
        <v/>
      </c>
    </row>
    <row r="2518">
      <c r="A2518" s="14">
        <f>IF(OR(NOT(ISNUMBER(Ввод!$B$5)),NOT(ISNUMBER(Ввод!$B$6))),"",IF(Ввод!$B$5+2516&gt;Ввод!$B$6,"",Ввод!$B$5+2516))</f>
        <v/>
      </c>
      <c r="B2518">
        <f>IF(A2518="","",IFERROR(INDEX(Ввод!$B$12:$B$71,MATCH(A2518,Ввод!$D$12:$D$71,1)),""))</f>
        <v/>
      </c>
      <c r="C2518">
        <f>IF(A2518="","",DATE(YEAR(A2518),12,31)-DATE(YEAR(A2518),1,1)+1)</f>
        <v/>
      </c>
      <c r="D2518">
        <f>IF(A2518="","",Ввод!$B$4-SUMIF(Оплаты!$A$6:$A$505,"&lt;"&amp;A2518,Оплаты!$B$6:$B$505))</f>
        <v/>
      </c>
      <c r="E2518">
        <f>IF(A2518="","",IF(SUMPRODUCT((Ввод!$F$12:$F$31&lt;&gt;"")*(Ввод!$F$12:$F$31&lt;=A2518)*(Ввод!$G$12:$G$31&gt;=A2518))&gt;0,1,0))</f>
        <v/>
      </c>
      <c r="F2518">
        <f>IF(OR(A2518="",B2518=""),"",IF(E2518=1,0,D2518*B2518/100/C2518))</f>
        <v/>
      </c>
      <c r="G2518">
        <f>IF(A2518="","",IF(OR(B2518&lt;&gt;B2517,C2518&lt;&gt;C2517,D2518&lt;&gt;D2517,E2518&lt;&gt;E2517),G2517+1,G2517))</f>
        <v/>
      </c>
    </row>
    <row r="2519">
      <c r="A2519" s="14">
        <f>IF(OR(NOT(ISNUMBER(Ввод!$B$5)),NOT(ISNUMBER(Ввод!$B$6))),"",IF(Ввод!$B$5+2517&gt;Ввод!$B$6,"",Ввод!$B$5+2517))</f>
        <v/>
      </c>
      <c r="B2519">
        <f>IF(A2519="","",IFERROR(INDEX(Ввод!$B$12:$B$71,MATCH(A2519,Ввод!$D$12:$D$71,1)),""))</f>
        <v/>
      </c>
      <c r="C2519">
        <f>IF(A2519="","",DATE(YEAR(A2519),12,31)-DATE(YEAR(A2519),1,1)+1)</f>
        <v/>
      </c>
      <c r="D2519">
        <f>IF(A2519="","",Ввод!$B$4-SUMIF(Оплаты!$A$6:$A$505,"&lt;"&amp;A2519,Оплаты!$B$6:$B$505))</f>
        <v/>
      </c>
      <c r="E2519">
        <f>IF(A2519="","",IF(SUMPRODUCT((Ввод!$F$12:$F$31&lt;&gt;"")*(Ввод!$F$12:$F$31&lt;=A2519)*(Ввод!$G$12:$G$31&gt;=A2519))&gt;0,1,0))</f>
        <v/>
      </c>
      <c r="F2519">
        <f>IF(OR(A2519="",B2519=""),"",IF(E2519=1,0,D2519*B2519/100/C2519))</f>
        <v/>
      </c>
      <c r="G2519">
        <f>IF(A2519="","",IF(OR(B2519&lt;&gt;B2518,C2519&lt;&gt;C2518,D2519&lt;&gt;D2518,E2519&lt;&gt;E2518),G2518+1,G2518))</f>
        <v/>
      </c>
    </row>
    <row r="2520">
      <c r="A2520" s="14">
        <f>IF(OR(NOT(ISNUMBER(Ввод!$B$5)),NOT(ISNUMBER(Ввод!$B$6))),"",IF(Ввод!$B$5+2518&gt;Ввод!$B$6,"",Ввод!$B$5+2518))</f>
        <v/>
      </c>
      <c r="B2520">
        <f>IF(A2520="","",IFERROR(INDEX(Ввод!$B$12:$B$71,MATCH(A2520,Ввод!$D$12:$D$71,1)),""))</f>
        <v/>
      </c>
      <c r="C2520">
        <f>IF(A2520="","",DATE(YEAR(A2520),12,31)-DATE(YEAR(A2520),1,1)+1)</f>
        <v/>
      </c>
      <c r="D2520">
        <f>IF(A2520="","",Ввод!$B$4-SUMIF(Оплаты!$A$6:$A$505,"&lt;"&amp;A2520,Оплаты!$B$6:$B$505))</f>
        <v/>
      </c>
      <c r="E2520">
        <f>IF(A2520="","",IF(SUMPRODUCT((Ввод!$F$12:$F$31&lt;&gt;"")*(Ввод!$F$12:$F$31&lt;=A2520)*(Ввод!$G$12:$G$31&gt;=A2520))&gt;0,1,0))</f>
        <v/>
      </c>
      <c r="F2520">
        <f>IF(OR(A2520="",B2520=""),"",IF(E2520=1,0,D2520*B2520/100/C2520))</f>
        <v/>
      </c>
      <c r="G2520">
        <f>IF(A2520="","",IF(OR(B2520&lt;&gt;B2519,C2520&lt;&gt;C2519,D2520&lt;&gt;D2519,E2520&lt;&gt;E2519),G2519+1,G2519))</f>
        <v/>
      </c>
    </row>
    <row r="2521">
      <c r="A2521" s="14">
        <f>IF(OR(NOT(ISNUMBER(Ввод!$B$5)),NOT(ISNUMBER(Ввод!$B$6))),"",IF(Ввод!$B$5+2519&gt;Ввод!$B$6,"",Ввод!$B$5+2519))</f>
        <v/>
      </c>
      <c r="B2521">
        <f>IF(A2521="","",IFERROR(INDEX(Ввод!$B$12:$B$71,MATCH(A2521,Ввод!$D$12:$D$71,1)),""))</f>
        <v/>
      </c>
      <c r="C2521">
        <f>IF(A2521="","",DATE(YEAR(A2521),12,31)-DATE(YEAR(A2521),1,1)+1)</f>
        <v/>
      </c>
      <c r="D2521">
        <f>IF(A2521="","",Ввод!$B$4-SUMIF(Оплаты!$A$6:$A$505,"&lt;"&amp;A2521,Оплаты!$B$6:$B$505))</f>
        <v/>
      </c>
      <c r="E2521">
        <f>IF(A2521="","",IF(SUMPRODUCT((Ввод!$F$12:$F$31&lt;&gt;"")*(Ввод!$F$12:$F$31&lt;=A2521)*(Ввод!$G$12:$G$31&gt;=A2521))&gt;0,1,0))</f>
        <v/>
      </c>
      <c r="F2521">
        <f>IF(OR(A2521="",B2521=""),"",IF(E2521=1,0,D2521*B2521/100/C2521))</f>
        <v/>
      </c>
      <c r="G2521">
        <f>IF(A2521="","",IF(OR(B2521&lt;&gt;B2520,C2521&lt;&gt;C2520,D2521&lt;&gt;D2520,E2521&lt;&gt;E2520),G2520+1,G2520))</f>
        <v/>
      </c>
    </row>
    <row r="2522">
      <c r="A2522" s="14">
        <f>IF(OR(NOT(ISNUMBER(Ввод!$B$5)),NOT(ISNUMBER(Ввод!$B$6))),"",IF(Ввод!$B$5+2520&gt;Ввод!$B$6,"",Ввод!$B$5+2520))</f>
        <v/>
      </c>
      <c r="B2522">
        <f>IF(A2522="","",IFERROR(INDEX(Ввод!$B$12:$B$71,MATCH(A2522,Ввод!$D$12:$D$71,1)),""))</f>
        <v/>
      </c>
      <c r="C2522">
        <f>IF(A2522="","",DATE(YEAR(A2522),12,31)-DATE(YEAR(A2522),1,1)+1)</f>
        <v/>
      </c>
      <c r="D2522">
        <f>IF(A2522="","",Ввод!$B$4-SUMIF(Оплаты!$A$6:$A$505,"&lt;"&amp;A2522,Оплаты!$B$6:$B$505))</f>
        <v/>
      </c>
      <c r="E2522">
        <f>IF(A2522="","",IF(SUMPRODUCT((Ввод!$F$12:$F$31&lt;&gt;"")*(Ввод!$F$12:$F$31&lt;=A2522)*(Ввод!$G$12:$G$31&gt;=A2522))&gt;0,1,0))</f>
        <v/>
      </c>
      <c r="F2522">
        <f>IF(OR(A2522="",B2522=""),"",IF(E2522=1,0,D2522*B2522/100/C2522))</f>
        <v/>
      </c>
      <c r="G2522">
        <f>IF(A2522="","",IF(OR(B2522&lt;&gt;B2521,C2522&lt;&gt;C2521,D2522&lt;&gt;D2521,E2522&lt;&gt;E2521),G2521+1,G2521))</f>
        <v/>
      </c>
    </row>
    <row r="2523">
      <c r="A2523" s="14">
        <f>IF(OR(NOT(ISNUMBER(Ввод!$B$5)),NOT(ISNUMBER(Ввод!$B$6))),"",IF(Ввод!$B$5+2521&gt;Ввод!$B$6,"",Ввод!$B$5+2521))</f>
        <v/>
      </c>
      <c r="B2523">
        <f>IF(A2523="","",IFERROR(INDEX(Ввод!$B$12:$B$71,MATCH(A2523,Ввод!$D$12:$D$71,1)),""))</f>
        <v/>
      </c>
      <c r="C2523">
        <f>IF(A2523="","",DATE(YEAR(A2523),12,31)-DATE(YEAR(A2523),1,1)+1)</f>
        <v/>
      </c>
      <c r="D2523">
        <f>IF(A2523="","",Ввод!$B$4-SUMIF(Оплаты!$A$6:$A$505,"&lt;"&amp;A2523,Оплаты!$B$6:$B$505))</f>
        <v/>
      </c>
      <c r="E2523">
        <f>IF(A2523="","",IF(SUMPRODUCT((Ввод!$F$12:$F$31&lt;&gt;"")*(Ввод!$F$12:$F$31&lt;=A2523)*(Ввод!$G$12:$G$31&gt;=A2523))&gt;0,1,0))</f>
        <v/>
      </c>
      <c r="F2523">
        <f>IF(OR(A2523="",B2523=""),"",IF(E2523=1,0,D2523*B2523/100/C2523))</f>
        <v/>
      </c>
      <c r="G2523">
        <f>IF(A2523="","",IF(OR(B2523&lt;&gt;B2522,C2523&lt;&gt;C2522,D2523&lt;&gt;D2522,E2523&lt;&gt;E2522),G2522+1,G2522))</f>
        <v/>
      </c>
    </row>
    <row r="2524">
      <c r="A2524" s="14">
        <f>IF(OR(NOT(ISNUMBER(Ввод!$B$5)),NOT(ISNUMBER(Ввод!$B$6))),"",IF(Ввод!$B$5+2522&gt;Ввод!$B$6,"",Ввод!$B$5+2522))</f>
        <v/>
      </c>
      <c r="B2524">
        <f>IF(A2524="","",IFERROR(INDEX(Ввод!$B$12:$B$71,MATCH(A2524,Ввод!$D$12:$D$71,1)),""))</f>
        <v/>
      </c>
      <c r="C2524">
        <f>IF(A2524="","",DATE(YEAR(A2524),12,31)-DATE(YEAR(A2524),1,1)+1)</f>
        <v/>
      </c>
      <c r="D2524">
        <f>IF(A2524="","",Ввод!$B$4-SUMIF(Оплаты!$A$6:$A$505,"&lt;"&amp;A2524,Оплаты!$B$6:$B$505))</f>
        <v/>
      </c>
      <c r="E2524">
        <f>IF(A2524="","",IF(SUMPRODUCT((Ввод!$F$12:$F$31&lt;&gt;"")*(Ввод!$F$12:$F$31&lt;=A2524)*(Ввод!$G$12:$G$31&gt;=A2524))&gt;0,1,0))</f>
        <v/>
      </c>
      <c r="F2524">
        <f>IF(OR(A2524="",B2524=""),"",IF(E2524=1,0,D2524*B2524/100/C2524))</f>
        <v/>
      </c>
      <c r="G2524">
        <f>IF(A2524="","",IF(OR(B2524&lt;&gt;B2523,C2524&lt;&gt;C2523,D2524&lt;&gt;D2523,E2524&lt;&gt;E2523),G2523+1,G2523))</f>
        <v/>
      </c>
    </row>
    <row r="2525">
      <c r="A2525" s="14">
        <f>IF(OR(NOT(ISNUMBER(Ввод!$B$5)),NOT(ISNUMBER(Ввод!$B$6))),"",IF(Ввод!$B$5+2523&gt;Ввод!$B$6,"",Ввод!$B$5+2523))</f>
        <v/>
      </c>
      <c r="B2525">
        <f>IF(A2525="","",IFERROR(INDEX(Ввод!$B$12:$B$71,MATCH(A2525,Ввод!$D$12:$D$71,1)),""))</f>
        <v/>
      </c>
      <c r="C2525">
        <f>IF(A2525="","",DATE(YEAR(A2525),12,31)-DATE(YEAR(A2525),1,1)+1)</f>
        <v/>
      </c>
      <c r="D2525">
        <f>IF(A2525="","",Ввод!$B$4-SUMIF(Оплаты!$A$6:$A$505,"&lt;"&amp;A2525,Оплаты!$B$6:$B$505))</f>
        <v/>
      </c>
      <c r="E2525">
        <f>IF(A2525="","",IF(SUMPRODUCT((Ввод!$F$12:$F$31&lt;&gt;"")*(Ввод!$F$12:$F$31&lt;=A2525)*(Ввод!$G$12:$G$31&gt;=A2525))&gt;0,1,0))</f>
        <v/>
      </c>
      <c r="F2525">
        <f>IF(OR(A2525="",B2525=""),"",IF(E2525=1,0,D2525*B2525/100/C2525))</f>
        <v/>
      </c>
      <c r="G2525">
        <f>IF(A2525="","",IF(OR(B2525&lt;&gt;B2524,C2525&lt;&gt;C2524,D2525&lt;&gt;D2524,E2525&lt;&gt;E2524),G2524+1,G2524))</f>
        <v/>
      </c>
    </row>
    <row r="2526">
      <c r="A2526" s="14">
        <f>IF(OR(NOT(ISNUMBER(Ввод!$B$5)),NOT(ISNUMBER(Ввод!$B$6))),"",IF(Ввод!$B$5+2524&gt;Ввод!$B$6,"",Ввод!$B$5+2524))</f>
        <v/>
      </c>
      <c r="B2526">
        <f>IF(A2526="","",IFERROR(INDEX(Ввод!$B$12:$B$71,MATCH(A2526,Ввод!$D$12:$D$71,1)),""))</f>
        <v/>
      </c>
      <c r="C2526">
        <f>IF(A2526="","",DATE(YEAR(A2526),12,31)-DATE(YEAR(A2526),1,1)+1)</f>
        <v/>
      </c>
      <c r="D2526">
        <f>IF(A2526="","",Ввод!$B$4-SUMIF(Оплаты!$A$6:$A$505,"&lt;"&amp;A2526,Оплаты!$B$6:$B$505))</f>
        <v/>
      </c>
      <c r="E2526">
        <f>IF(A2526="","",IF(SUMPRODUCT((Ввод!$F$12:$F$31&lt;&gt;"")*(Ввод!$F$12:$F$31&lt;=A2526)*(Ввод!$G$12:$G$31&gt;=A2526))&gt;0,1,0))</f>
        <v/>
      </c>
      <c r="F2526">
        <f>IF(OR(A2526="",B2526=""),"",IF(E2526=1,0,D2526*B2526/100/C2526))</f>
        <v/>
      </c>
      <c r="G2526">
        <f>IF(A2526="","",IF(OR(B2526&lt;&gt;B2525,C2526&lt;&gt;C2525,D2526&lt;&gt;D2525,E2526&lt;&gt;E2525),G2525+1,G2525))</f>
        <v/>
      </c>
    </row>
    <row r="2527">
      <c r="A2527" s="14">
        <f>IF(OR(NOT(ISNUMBER(Ввод!$B$5)),NOT(ISNUMBER(Ввод!$B$6))),"",IF(Ввод!$B$5+2525&gt;Ввод!$B$6,"",Ввод!$B$5+2525))</f>
        <v/>
      </c>
      <c r="B2527">
        <f>IF(A2527="","",IFERROR(INDEX(Ввод!$B$12:$B$71,MATCH(A2527,Ввод!$D$12:$D$71,1)),""))</f>
        <v/>
      </c>
      <c r="C2527">
        <f>IF(A2527="","",DATE(YEAR(A2527),12,31)-DATE(YEAR(A2527),1,1)+1)</f>
        <v/>
      </c>
      <c r="D2527">
        <f>IF(A2527="","",Ввод!$B$4-SUMIF(Оплаты!$A$6:$A$505,"&lt;"&amp;A2527,Оплаты!$B$6:$B$505))</f>
        <v/>
      </c>
      <c r="E2527">
        <f>IF(A2527="","",IF(SUMPRODUCT((Ввод!$F$12:$F$31&lt;&gt;"")*(Ввод!$F$12:$F$31&lt;=A2527)*(Ввод!$G$12:$G$31&gt;=A2527))&gt;0,1,0))</f>
        <v/>
      </c>
      <c r="F2527">
        <f>IF(OR(A2527="",B2527=""),"",IF(E2527=1,0,D2527*B2527/100/C2527))</f>
        <v/>
      </c>
      <c r="G2527">
        <f>IF(A2527="","",IF(OR(B2527&lt;&gt;B2526,C2527&lt;&gt;C2526,D2527&lt;&gt;D2526,E2527&lt;&gt;E2526),G2526+1,G2526))</f>
        <v/>
      </c>
    </row>
    <row r="2528">
      <c r="A2528" s="14">
        <f>IF(OR(NOT(ISNUMBER(Ввод!$B$5)),NOT(ISNUMBER(Ввод!$B$6))),"",IF(Ввод!$B$5+2526&gt;Ввод!$B$6,"",Ввод!$B$5+2526))</f>
        <v/>
      </c>
      <c r="B2528">
        <f>IF(A2528="","",IFERROR(INDEX(Ввод!$B$12:$B$71,MATCH(A2528,Ввод!$D$12:$D$71,1)),""))</f>
        <v/>
      </c>
      <c r="C2528">
        <f>IF(A2528="","",DATE(YEAR(A2528),12,31)-DATE(YEAR(A2528),1,1)+1)</f>
        <v/>
      </c>
      <c r="D2528">
        <f>IF(A2528="","",Ввод!$B$4-SUMIF(Оплаты!$A$6:$A$505,"&lt;"&amp;A2528,Оплаты!$B$6:$B$505))</f>
        <v/>
      </c>
      <c r="E2528">
        <f>IF(A2528="","",IF(SUMPRODUCT((Ввод!$F$12:$F$31&lt;&gt;"")*(Ввод!$F$12:$F$31&lt;=A2528)*(Ввод!$G$12:$G$31&gt;=A2528))&gt;0,1,0))</f>
        <v/>
      </c>
      <c r="F2528">
        <f>IF(OR(A2528="",B2528=""),"",IF(E2528=1,0,D2528*B2528/100/C2528))</f>
        <v/>
      </c>
      <c r="G2528">
        <f>IF(A2528="","",IF(OR(B2528&lt;&gt;B2527,C2528&lt;&gt;C2527,D2528&lt;&gt;D2527,E2528&lt;&gt;E2527),G2527+1,G2527))</f>
        <v/>
      </c>
    </row>
    <row r="2529">
      <c r="A2529" s="14">
        <f>IF(OR(NOT(ISNUMBER(Ввод!$B$5)),NOT(ISNUMBER(Ввод!$B$6))),"",IF(Ввод!$B$5+2527&gt;Ввод!$B$6,"",Ввод!$B$5+2527))</f>
        <v/>
      </c>
      <c r="B2529">
        <f>IF(A2529="","",IFERROR(INDEX(Ввод!$B$12:$B$71,MATCH(A2529,Ввод!$D$12:$D$71,1)),""))</f>
        <v/>
      </c>
      <c r="C2529">
        <f>IF(A2529="","",DATE(YEAR(A2529),12,31)-DATE(YEAR(A2529),1,1)+1)</f>
        <v/>
      </c>
      <c r="D2529">
        <f>IF(A2529="","",Ввод!$B$4-SUMIF(Оплаты!$A$6:$A$505,"&lt;"&amp;A2529,Оплаты!$B$6:$B$505))</f>
        <v/>
      </c>
      <c r="E2529">
        <f>IF(A2529="","",IF(SUMPRODUCT((Ввод!$F$12:$F$31&lt;&gt;"")*(Ввод!$F$12:$F$31&lt;=A2529)*(Ввод!$G$12:$G$31&gt;=A2529))&gt;0,1,0))</f>
        <v/>
      </c>
      <c r="F2529">
        <f>IF(OR(A2529="",B2529=""),"",IF(E2529=1,0,D2529*B2529/100/C2529))</f>
        <v/>
      </c>
      <c r="G2529">
        <f>IF(A2529="","",IF(OR(B2529&lt;&gt;B2528,C2529&lt;&gt;C2528,D2529&lt;&gt;D2528,E2529&lt;&gt;E2528),G2528+1,G2528))</f>
        <v/>
      </c>
    </row>
    <row r="2530">
      <c r="A2530" s="14">
        <f>IF(OR(NOT(ISNUMBER(Ввод!$B$5)),NOT(ISNUMBER(Ввод!$B$6))),"",IF(Ввод!$B$5+2528&gt;Ввод!$B$6,"",Ввод!$B$5+2528))</f>
        <v/>
      </c>
      <c r="B2530">
        <f>IF(A2530="","",IFERROR(INDEX(Ввод!$B$12:$B$71,MATCH(A2530,Ввод!$D$12:$D$71,1)),""))</f>
        <v/>
      </c>
      <c r="C2530">
        <f>IF(A2530="","",DATE(YEAR(A2530),12,31)-DATE(YEAR(A2530),1,1)+1)</f>
        <v/>
      </c>
      <c r="D2530">
        <f>IF(A2530="","",Ввод!$B$4-SUMIF(Оплаты!$A$6:$A$505,"&lt;"&amp;A2530,Оплаты!$B$6:$B$505))</f>
        <v/>
      </c>
      <c r="E2530">
        <f>IF(A2530="","",IF(SUMPRODUCT((Ввод!$F$12:$F$31&lt;&gt;"")*(Ввод!$F$12:$F$31&lt;=A2530)*(Ввод!$G$12:$G$31&gt;=A2530))&gt;0,1,0))</f>
        <v/>
      </c>
      <c r="F2530">
        <f>IF(OR(A2530="",B2530=""),"",IF(E2530=1,0,D2530*B2530/100/C2530))</f>
        <v/>
      </c>
      <c r="G2530">
        <f>IF(A2530="","",IF(OR(B2530&lt;&gt;B2529,C2530&lt;&gt;C2529,D2530&lt;&gt;D2529,E2530&lt;&gt;E2529),G2529+1,G2529))</f>
        <v/>
      </c>
    </row>
    <row r="2531">
      <c r="A2531" s="14">
        <f>IF(OR(NOT(ISNUMBER(Ввод!$B$5)),NOT(ISNUMBER(Ввод!$B$6))),"",IF(Ввод!$B$5+2529&gt;Ввод!$B$6,"",Ввод!$B$5+2529))</f>
        <v/>
      </c>
      <c r="B2531">
        <f>IF(A2531="","",IFERROR(INDEX(Ввод!$B$12:$B$71,MATCH(A2531,Ввод!$D$12:$D$71,1)),""))</f>
        <v/>
      </c>
      <c r="C2531">
        <f>IF(A2531="","",DATE(YEAR(A2531),12,31)-DATE(YEAR(A2531),1,1)+1)</f>
        <v/>
      </c>
      <c r="D2531">
        <f>IF(A2531="","",Ввод!$B$4-SUMIF(Оплаты!$A$6:$A$505,"&lt;"&amp;A2531,Оплаты!$B$6:$B$505))</f>
        <v/>
      </c>
      <c r="E2531">
        <f>IF(A2531="","",IF(SUMPRODUCT((Ввод!$F$12:$F$31&lt;&gt;"")*(Ввод!$F$12:$F$31&lt;=A2531)*(Ввод!$G$12:$G$31&gt;=A2531))&gt;0,1,0))</f>
        <v/>
      </c>
      <c r="F2531">
        <f>IF(OR(A2531="",B2531=""),"",IF(E2531=1,0,D2531*B2531/100/C2531))</f>
        <v/>
      </c>
      <c r="G2531">
        <f>IF(A2531="","",IF(OR(B2531&lt;&gt;B2530,C2531&lt;&gt;C2530,D2531&lt;&gt;D2530,E2531&lt;&gt;E2530),G2530+1,G2530))</f>
        <v/>
      </c>
    </row>
    <row r="2532">
      <c r="A2532" s="14">
        <f>IF(OR(NOT(ISNUMBER(Ввод!$B$5)),NOT(ISNUMBER(Ввод!$B$6))),"",IF(Ввод!$B$5+2530&gt;Ввод!$B$6,"",Ввод!$B$5+2530))</f>
        <v/>
      </c>
      <c r="B2532">
        <f>IF(A2532="","",IFERROR(INDEX(Ввод!$B$12:$B$71,MATCH(A2532,Ввод!$D$12:$D$71,1)),""))</f>
        <v/>
      </c>
      <c r="C2532">
        <f>IF(A2532="","",DATE(YEAR(A2532),12,31)-DATE(YEAR(A2532),1,1)+1)</f>
        <v/>
      </c>
      <c r="D2532">
        <f>IF(A2532="","",Ввод!$B$4-SUMIF(Оплаты!$A$6:$A$505,"&lt;"&amp;A2532,Оплаты!$B$6:$B$505))</f>
        <v/>
      </c>
      <c r="E2532">
        <f>IF(A2532="","",IF(SUMPRODUCT((Ввод!$F$12:$F$31&lt;&gt;"")*(Ввод!$F$12:$F$31&lt;=A2532)*(Ввод!$G$12:$G$31&gt;=A2532))&gt;0,1,0))</f>
        <v/>
      </c>
      <c r="F2532">
        <f>IF(OR(A2532="",B2532=""),"",IF(E2532=1,0,D2532*B2532/100/C2532))</f>
        <v/>
      </c>
      <c r="G2532">
        <f>IF(A2532="","",IF(OR(B2532&lt;&gt;B2531,C2532&lt;&gt;C2531,D2532&lt;&gt;D2531,E2532&lt;&gt;E2531),G2531+1,G2531))</f>
        <v/>
      </c>
    </row>
    <row r="2533">
      <c r="A2533" s="14">
        <f>IF(OR(NOT(ISNUMBER(Ввод!$B$5)),NOT(ISNUMBER(Ввод!$B$6))),"",IF(Ввод!$B$5+2531&gt;Ввод!$B$6,"",Ввод!$B$5+2531))</f>
        <v/>
      </c>
      <c r="B2533">
        <f>IF(A2533="","",IFERROR(INDEX(Ввод!$B$12:$B$71,MATCH(A2533,Ввод!$D$12:$D$71,1)),""))</f>
        <v/>
      </c>
      <c r="C2533">
        <f>IF(A2533="","",DATE(YEAR(A2533),12,31)-DATE(YEAR(A2533),1,1)+1)</f>
        <v/>
      </c>
      <c r="D2533">
        <f>IF(A2533="","",Ввод!$B$4-SUMIF(Оплаты!$A$6:$A$505,"&lt;"&amp;A2533,Оплаты!$B$6:$B$505))</f>
        <v/>
      </c>
      <c r="E2533">
        <f>IF(A2533="","",IF(SUMPRODUCT((Ввод!$F$12:$F$31&lt;&gt;"")*(Ввод!$F$12:$F$31&lt;=A2533)*(Ввод!$G$12:$G$31&gt;=A2533))&gt;0,1,0))</f>
        <v/>
      </c>
      <c r="F2533">
        <f>IF(OR(A2533="",B2533=""),"",IF(E2533=1,0,D2533*B2533/100/C2533))</f>
        <v/>
      </c>
      <c r="G2533">
        <f>IF(A2533="","",IF(OR(B2533&lt;&gt;B2532,C2533&lt;&gt;C2532,D2533&lt;&gt;D2532,E2533&lt;&gt;E2532),G2532+1,G2532))</f>
        <v/>
      </c>
    </row>
    <row r="2534">
      <c r="A2534" s="14">
        <f>IF(OR(NOT(ISNUMBER(Ввод!$B$5)),NOT(ISNUMBER(Ввод!$B$6))),"",IF(Ввод!$B$5+2532&gt;Ввод!$B$6,"",Ввод!$B$5+2532))</f>
        <v/>
      </c>
      <c r="B2534">
        <f>IF(A2534="","",IFERROR(INDEX(Ввод!$B$12:$B$71,MATCH(A2534,Ввод!$D$12:$D$71,1)),""))</f>
        <v/>
      </c>
      <c r="C2534">
        <f>IF(A2534="","",DATE(YEAR(A2534),12,31)-DATE(YEAR(A2534),1,1)+1)</f>
        <v/>
      </c>
      <c r="D2534">
        <f>IF(A2534="","",Ввод!$B$4-SUMIF(Оплаты!$A$6:$A$505,"&lt;"&amp;A2534,Оплаты!$B$6:$B$505))</f>
        <v/>
      </c>
      <c r="E2534">
        <f>IF(A2534="","",IF(SUMPRODUCT((Ввод!$F$12:$F$31&lt;&gt;"")*(Ввод!$F$12:$F$31&lt;=A2534)*(Ввод!$G$12:$G$31&gt;=A2534))&gt;0,1,0))</f>
        <v/>
      </c>
      <c r="F2534">
        <f>IF(OR(A2534="",B2534=""),"",IF(E2534=1,0,D2534*B2534/100/C2534))</f>
        <v/>
      </c>
      <c r="G2534">
        <f>IF(A2534="","",IF(OR(B2534&lt;&gt;B2533,C2534&lt;&gt;C2533,D2534&lt;&gt;D2533,E2534&lt;&gt;E2533),G2533+1,G2533))</f>
        <v/>
      </c>
    </row>
    <row r="2535">
      <c r="A2535" s="14">
        <f>IF(OR(NOT(ISNUMBER(Ввод!$B$5)),NOT(ISNUMBER(Ввод!$B$6))),"",IF(Ввод!$B$5+2533&gt;Ввод!$B$6,"",Ввод!$B$5+2533))</f>
        <v/>
      </c>
      <c r="B2535">
        <f>IF(A2535="","",IFERROR(INDEX(Ввод!$B$12:$B$71,MATCH(A2535,Ввод!$D$12:$D$71,1)),""))</f>
        <v/>
      </c>
      <c r="C2535">
        <f>IF(A2535="","",DATE(YEAR(A2535),12,31)-DATE(YEAR(A2535),1,1)+1)</f>
        <v/>
      </c>
      <c r="D2535">
        <f>IF(A2535="","",Ввод!$B$4-SUMIF(Оплаты!$A$6:$A$505,"&lt;"&amp;A2535,Оплаты!$B$6:$B$505))</f>
        <v/>
      </c>
      <c r="E2535">
        <f>IF(A2535="","",IF(SUMPRODUCT((Ввод!$F$12:$F$31&lt;&gt;"")*(Ввод!$F$12:$F$31&lt;=A2535)*(Ввод!$G$12:$G$31&gt;=A2535))&gt;0,1,0))</f>
        <v/>
      </c>
      <c r="F2535">
        <f>IF(OR(A2535="",B2535=""),"",IF(E2535=1,0,D2535*B2535/100/C2535))</f>
        <v/>
      </c>
      <c r="G2535">
        <f>IF(A2535="","",IF(OR(B2535&lt;&gt;B2534,C2535&lt;&gt;C2534,D2535&lt;&gt;D2534,E2535&lt;&gt;E2534),G2534+1,G2534))</f>
        <v/>
      </c>
    </row>
    <row r="2536">
      <c r="A2536" s="14">
        <f>IF(OR(NOT(ISNUMBER(Ввод!$B$5)),NOT(ISNUMBER(Ввод!$B$6))),"",IF(Ввод!$B$5+2534&gt;Ввод!$B$6,"",Ввод!$B$5+2534))</f>
        <v/>
      </c>
      <c r="B2536">
        <f>IF(A2536="","",IFERROR(INDEX(Ввод!$B$12:$B$71,MATCH(A2536,Ввод!$D$12:$D$71,1)),""))</f>
        <v/>
      </c>
      <c r="C2536">
        <f>IF(A2536="","",DATE(YEAR(A2536),12,31)-DATE(YEAR(A2536),1,1)+1)</f>
        <v/>
      </c>
      <c r="D2536">
        <f>IF(A2536="","",Ввод!$B$4-SUMIF(Оплаты!$A$6:$A$505,"&lt;"&amp;A2536,Оплаты!$B$6:$B$505))</f>
        <v/>
      </c>
      <c r="E2536">
        <f>IF(A2536="","",IF(SUMPRODUCT((Ввод!$F$12:$F$31&lt;&gt;"")*(Ввод!$F$12:$F$31&lt;=A2536)*(Ввод!$G$12:$G$31&gt;=A2536))&gt;0,1,0))</f>
        <v/>
      </c>
      <c r="F2536">
        <f>IF(OR(A2536="",B2536=""),"",IF(E2536=1,0,D2536*B2536/100/C2536))</f>
        <v/>
      </c>
      <c r="G2536">
        <f>IF(A2536="","",IF(OR(B2536&lt;&gt;B2535,C2536&lt;&gt;C2535,D2536&lt;&gt;D2535,E2536&lt;&gt;E2535),G2535+1,G2535))</f>
        <v/>
      </c>
    </row>
    <row r="2537">
      <c r="A2537" s="14">
        <f>IF(OR(NOT(ISNUMBER(Ввод!$B$5)),NOT(ISNUMBER(Ввод!$B$6))),"",IF(Ввод!$B$5+2535&gt;Ввод!$B$6,"",Ввод!$B$5+2535))</f>
        <v/>
      </c>
      <c r="B2537">
        <f>IF(A2537="","",IFERROR(INDEX(Ввод!$B$12:$B$71,MATCH(A2537,Ввод!$D$12:$D$71,1)),""))</f>
        <v/>
      </c>
      <c r="C2537">
        <f>IF(A2537="","",DATE(YEAR(A2537),12,31)-DATE(YEAR(A2537),1,1)+1)</f>
        <v/>
      </c>
      <c r="D2537">
        <f>IF(A2537="","",Ввод!$B$4-SUMIF(Оплаты!$A$6:$A$505,"&lt;"&amp;A2537,Оплаты!$B$6:$B$505))</f>
        <v/>
      </c>
      <c r="E2537">
        <f>IF(A2537="","",IF(SUMPRODUCT((Ввод!$F$12:$F$31&lt;&gt;"")*(Ввод!$F$12:$F$31&lt;=A2537)*(Ввод!$G$12:$G$31&gt;=A2537))&gt;0,1,0))</f>
        <v/>
      </c>
      <c r="F2537">
        <f>IF(OR(A2537="",B2537=""),"",IF(E2537=1,0,D2537*B2537/100/C2537))</f>
        <v/>
      </c>
      <c r="G2537">
        <f>IF(A2537="","",IF(OR(B2537&lt;&gt;B2536,C2537&lt;&gt;C2536,D2537&lt;&gt;D2536,E2537&lt;&gt;E2536),G2536+1,G2536))</f>
        <v/>
      </c>
    </row>
    <row r="2538">
      <c r="A2538" s="14">
        <f>IF(OR(NOT(ISNUMBER(Ввод!$B$5)),NOT(ISNUMBER(Ввод!$B$6))),"",IF(Ввод!$B$5+2536&gt;Ввод!$B$6,"",Ввод!$B$5+2536))</f>
        <v/>
      </c>
      <c r="B2538">
        <f>IF(A2538="","",IFERROR(INDEX(Ввод!$B$12:$B$71,MATCH(A2538,Ввод!$D$12:$D$71,1)),""))</f>
        <v/>
      </c>
      <c r="C2538">
        <f>IF(A2538="","",DATE(YEAR(A2538),12,31)-DATE(YEAR(A2538),1,1)+1)</f>
        <v/>
      </c>
      <c r="D2538">
        <f>IF(A2538="","",Ввод!$B$4-SUMIF(Оплаты!$A$6:$A$505,"&lt;"&amp;A2538,Оплаты!$B$6:$B$505))</f>
        <v/>
      </c>
      <c r="E2538">
        <f>IF(A2538="","",IF(SUMPRODUCT((Ввод!$F$12:$F$31&lt;&gt;"")*(Ввод!$F$12:$F$31&lt;=A2538)*(Ввод!$G$12:$G$31&gt;=A2538))&gt;0,1,0))</f>
        <v/>
      </c>
      <c r="F2538">
        <f>IF(OR(A2538="",B2538=""),"",IF(E2538=1,0,D2538*B2538/100/C2538))</f>
        <v/>
      </c>
      <c r="G2538">
        <f>IF(A2538="","",IF(OR(B2538&lt;&gt;B2537,C2538&lt;&gt;C2537,D2538&lt;&gt;D2537,E2538&lt;&gt;E2537),G2537+1,G2537))</f>
        <v/>
      </c>
    </row>
    <row r="2539">
      <c r="A2539" s="14">
        <f>IF(OR(NOT(ISNUMBER(Ввод!$B$5)),NOT(ISNUMBER(Ввод!$B$6))),"",IF(Ввод!$B$5+2537&gt;Ввод!$B$6,"",Ввод!$B$5+2537))</f>
        <v/>
      </c>
      <c r="B2539">
        <f>IF(A2539="","",IFERROR(INDEX(Ввод!$B$12:$B$71,MATCH(A2539,Ввод!$D$12:$D$71,1)),""))</f>
        <v/>
      </c>
      <c r="C2539">
        <f>IF(A2539="","",DATE(YEAR(A2539),12,31)-DATE(YEAR(A2539),1,1)+1)</f>
        <v/>
      </c>
      <c r="D2539">
        <f>IF(A2539="","",Ввод!$B$4-SUMIF(Оплаты!$A$6:$A$505,"&lt;"&amp;A2539,Оплаты!$B$6:$B$505))</f>
        <v/>
      </c>
      <c r="E2539">
        <f>IF(A2539="","",IF(SUMPRODUCT((Ввод!$F$12:$F$31&lt;&gt;"")*(Ввод!$F$12:$F$31&lt;=A2539)*(Ввод!$G$12:$G$31&gt;=A2539))&gt;0,1,0))</f>
        <v/>
      </c>
      <c r="F2539">
        <f>IF(OR(A2539="",B2539=""),"",IF(E2539=1,0,D2539*B2539/100/C2539))</f>
        <v/>
      </c>
      <c r="G2539">
        <f>IF(A2539="","",IF(OR(B2539&lt;&gt;B2538,C2539&lt;&gt;C2538,D2539&lt;&gt;D2538,E2539&lt;&gt;E2538),G2538+1,G2538))</f>
        <v/>
      </c>
    </row>
    <row r="2540">
      <c r="A2540" s="14">
        <f>IF(OR(NOT(ISNUMBER(Ввод!$B$5)),NOT(ISNUMBER(Ввод!$B$6))),"",IF(Ввод!$B$5+2538&gt;Ввод!$B$6,"",Ввод!$B$5+2538))</f>
        <v/>
      </c>
      <c r="B2540">
        <f>IF(A2540="","",IFERROR(INDEX(Ввод!$B$12:$B$71,MATCH(A2540,Ввод!$D$12:$D$71,1)),""))</f>
        <v/>
      </c>
      <c r="C2540">
        <f>IF(A2540="","",DATE(YEAR(A2540),12,31)-DATE(YEAR(A2540),1,1)+1)</f>
        <v/>
      </c>
      <c r="D2540">
        <f>IF(A2540="","",Ввод!$B$4-SUMIF(Оплаты!$A$6:$A$505,"&lt;"&amp;A2540,Оплаты!$B$6:$B$505))</f>
        <v/>
      </c>
      <c r="E2540">
        <f>IF(A2540="","",IF(SUMPRODUCT((Ввод!$F$12:$F$31&lt;&gt;"")*(Ввод!$F$12:$F$31&lt;=A2540)*(Ввод!$G$12:$G$31&gt;=A2540))&gt;0,1,0))</f>
        <v/>
      </c>
      <c r="F2540">
        <f>IF(OR(A2540="",B2540=""),"",IF(E2540=1,0,D2540*B2540/100/C2540))</f>
        <v/>
      </c>
      <c r="G2540">
        <f>IF(A2540="","",IF(OR(B2540&lt;&gt;B2539,C2540&lt;&gt;C2539,D2540&lt;&gt;D2539,E2540&lt;&gt;E2539),G2539+1,G2539))</f>
        <v/>
      </c>
    </row>
    <row r="2541">
      <c r="A2541" s="14">
        <f>IF(OR(NOT(ISNUMBER(Ввод!$B$5)),NOT(ISNUMBER(Ввод!$B$6))),"",IF(Ввод!$B$5+2539&gt;Ввод!$B$6,"",Ввод!$B$5+2539))</f>
        <v/>
      </c>
      <c r="B2541">
        <f>IF(A2541="","",IFERROR(INDEX(Ввод!$B$12:$B$71,MATCH(A2541,Ввод!$D$12:$D$71,1)),""))</f>
        <v/>
      </c>
      <c r="C2541">
        <f>IF(A2541="","",DATE(YEAR(A2541),12,31)-DATE(YEAR(A2541),1,1)+1)</f>
        <v/>
      </c>
      <c r="D2541">
        <f>IF(A2541="","",Ввод!$B$4-SUMIF(Оплаты!$A$6:$A$505,"&lt;"&amp;A2541,Оплаты!$B$6:$B$505))</f>
        <v/>
      </c>
      <c r="E2541">
        <f>IF(A2541="","",IF(SUMPRODUCT((Ввод!$F$12:$F$31&lt;&gt;"")*(Ввод!$F$12:$F$31&lt;=A2541)*(Ввод!$G$12:$G$31&gt;=A2541))&gt;0,1,0))</f>
        <v/>
      </c>
      <c r="F2541">
        <f>IF(OR(A2541="",B2541=""),"",IF(E2541=1,0,D2541*B2541/100/C2541))</f>
        <v/>
      </c>
      <c r="G2541">
        <f>IF(A2541="","",IF(OR(B2541&lt;&gt;B2540,C2541&lt;&gt;C2540,D2541&lt;&gt;D2540,E2541&lt;&gt;E2540),G2540+1,G2540))</f>
        <v/>
      </c>
    </row>
    <row r="2542">
      <c r="A2542" s="14">
        <f>IF(OR(NOT(ISNUMBER(Ввод!$B$5)),NOT(ISNUMBER(Ввод!$B$6))),"",IF(Ввод!$B$5+2540&gt;Ввод!$B$6,"",Ввод!$B$5+2540))</f>
        <v/>
      </c>
      <c r="B2542">
        <f>IF(A2542="","",IFERROR(INDEX(Ввод!$B$12:$B$71,MATCH(A2542,Ввод!$D$12:$D$71,1)),""))</f>
        <v/>
      </c>
      <c r="C2542">
        <f>IF(A2542="","",DATE(YEAR(A2542),12,31)-DATE(YEAR(A2542),1,1)+1)</f>
        <v/>
      </c>
      <c r="D2542">
        <f>IF(A2542="","",Ввод!$B$4-SUMIF(Оплаты!$A$6:$A$505,"&lt;"&amp;A2542,Оплаты!$B$6:$B$505))</f>
        <v/>
      </c>
      <c r="E2542">
        <f>IF(A2542="","",IF(SUMPRODUCT((Ввод!$F$12:$F$31&lt;&gt;"")*(Ввод!$F$12:$F$31&lt;=A2542)*(Ввод!$G$12:$G$31&gt;=A2542))&gt;0,1,0))</f>
        <v/>
      </c>
      <c r="F2542">
        <f>IF(OR(A2542="",B2542=""),"",IF(E2542=1,0,D2542*B2542/100/C2542))</f>
        <v/>
      </c>
      <c r="G2542">
        <f>IF(A2542="","",IF(OR(B2542&lt;&gt;B2541,C2542&lt;&gt;C2541,D2542&lt;&gt;D2541,E2542&lt;&gt;E2541),G2541+1,G2541))</f>
        <v/>
      </c>
    </row>
    <row r="2543">
      <c r="A2543" s="14">
        <f>IF(OR(NOT(ISNUMBER(Ввод!$B$5)),NOT(ISNUMBER(Ввод!$B$6))),"",IF(Ввод!$B$5+2541&gt;Ввод!$B$6,"",Ввод!$B$5+2541))</f>
        <v/>
      </c>
      <c r="B2543">
        <f>IF(A2543="","",IFERROR(INDEX(Ввод!$B$12:$B$71,MATCH(A2543,Ввод!$D$12:$D$71,1)),""))</f>
        <v/>
      </c>
      <c r="C2543">
        <f>IF(A2543="","",DATE(YEAR(A2543),12,31)-DATE(YEAR(A2543),1,1)+1)</f>
        <v/>
      </c>
      <c r="D2543">
        <f>IF(A2543="","",Ввод!$B$4-SUMIF(Оплаты!$A$6:$A$505,"&lt;"&amp;A2543,Оплаты!$B$6:$B$505))</f>
        <v/>
      </c>
      <c r="E2543">
        <f>IF(A2543="","",IF(SUMPRODUCT((Ввод!$F$12:$F$31&lt;&gt;"")*(Ввод!$F$12:$F$31&lt;=A2543)*(Ввод!$G$12:$G$31&gt;=A2543))&gt;0,1,0))</f>
        <v/>
      </c>
      <c r="F2543">
        <f>IF(OR(A2543="",B2543=""),"",IF(E2543=1,0,D2543*B2543/100/C2543))</f>
        <v/>
      </c>
      <c r="G2543">
        <f>IF(A2543="","",IF(OR(B2543&lt;&gt;B2542,C2543&lt;&gt;C2542,D2543&lt;&gt;D2542,E2543&lt;&gt;E2542),G2542+1,G2542))</f>
        <v/>
      </c>
    </row>
    <row r="2544">
      <c r="A2544" s="14">
        <f>IF(OR(NOT(ISNUMBER(Ввод!$B$5)),NOT(ISNUMBER(Ввод!$B$6))),"",IF(Ввод!$B$5+2542&gt;Ввод!$B$6,"",Ввод!$B$5+2542))</f>
        <v/>
      </c>
      <c r="B2544">
        <f>IF(A2544="","",IFERROR(INDEX(Ввод!$B$12:$B$71,MATCH(A2544,Ввод!$D$12:$D$71,1)),""))</f>
        <v/>
      </c>
      <c r="C2544">
        <f>IF(A2544="","",DATE(YEAR(A2544),12,31)-DATE(YEAR(A2544),1,1)+1)</f>
        <v/>
      </c>
      <c r="D2544">
        <f>IF(A2544="","",Ввод!$B$4-SUMIF(Оплаты!$A$6:$A$505,"&lt;"&amp;A2544,Оплаты!$B$6:$B$505))</f>
        <v/>
      </c>
      <c r="E2544">
        <f>IF(A2544="","",IF(SUMPRODUCT((Ввод!$F$12:$F$31&lt;&gt;"")*(Ввод!$F$12:$F$31&lt;=A2544)*(Ввод!$G$12:$G$31&gt;=A2544))&gt;0,1,0))</f>
        <v/>
      </c>
      <c r="F2544">
        <f>IF(OR(A2544="",B2544=""),"",IF(E2544=1,0,D2544*B2544/100/C2544))</f>
        <v/>
      </c>
      <c r="G2544">
        <f>IF(A2544="","",IF(OR(B2544&lt;&gt;B2543,C2544&lt;&gt;C2543,D2544&lt;&gt;D2543,E2544&lt;&gt;E2543),G2543+1,G2543))</f>
        <v/>
      </c>
    </row>
    <row r="2545">
      <c r="A2545" s="14">
        <f>IF(OR(NOT(ISNUMBER(Ввод!$B$5)),NOT(ISNUMBER(Ввод!$B$6))),"",IF(Ввод!$B$5+2543&gt;Ввод!$B$6,"",Ввод!$B$5+2543))</f>
        <v/>
      </c>
      <c r="B2545">
        <f>IF(A2545="","",IFERROR(INDEX(Ввод!$B$12:$B$71,MATCH(A2545,Ввод!$D$12:$D$71,1)),""))</f>
        <v/>
      </c>
      <c r="C2545">
        <f>IF(A2545="","",DATE(YEAR(A2545),12,31)-DATE(YEAR(A2545),1,1)+1)</f>
        <v/>
      </c>
      <c r="D2545">
        <f>IF(A2545="","",Ввод!$B$4-SUMIF(Оплаты!$A$6:$A$505,"&lt;"&amp;A2545,Оплаты!$B$6:$B$505))</f>
        <v/>
      </c>
      <c r="E2545">
        <f>IF(A2545="","",IF(SUMPRODUCT((Ввод!$F$12:$F$31&lt;&gt;"")*(Ввод!$F$12:$F$31&lt;=A2545)*(Ввод!$G$12:$G$31&gt;=A2545))&gt;0,1,0))</f>
        <v/>
      </c>
      <c r="F2545">
        <f>IF(OR(A2545="",B2545=""),"",IF(E2545=1,0,D2545*B2545/100/C2545))</f>
        <v/>
      </c>
      <c r="G2545">
        <f>IF(A2545="","",IF(OR(B2545&lt;&gt;B2544,C2545&lt;&gt;C2544,D2545&lt;&gt;D2544,E2545&lt;&gt;E2544),G2544+1,G2544))</f>
        <v/>
      </c>
    </row>
    <row r="2546">
      <c r="A2546" s="14">
        <f>IF(OR(NOT(ISNUMBER(Ввод!$B$5)),NOT(ISNUMBER(Ввод!$B$6))),"",IF(Ввод!$B$5+2544&gt;Ввод!$B$6,"",Ввод!$B$5+2544))</f>
        <v/>
      </c>
      <c r="B2546">
        <f>IF(A2546="","",IFERROR(INDEX(Ввод!$B$12:$B$71,MATCH(A2546,Ввод!$D$12:$D$71,1)),""))</f>
        <v/>
      </c>
      <c r="C2546">
        <f>IF(A2546="","",DATE(YEAR(A2546),12,31)-DATE(YEAR(A2546),1,1)+1)</f>
        <v/>
      </c>
      <c r="D2546">
        <f>IF(A2546="","",Ввод!$B$4-SUMIF(Оплаты!$A$6:$A$505,"&lt;"&amp;A2546,Оплаты!$B$6:$B$505))</f>
        <v/>
      </c>
      <c r="E2546">
        <f>IF(A2546="","",IF(SUMPRODUCT((Ввод!$F$12:$F$31&lt;&gt;"")*(Ввод!$F$12:$F$31&lt;=A2546)*(Ввод!$G$12:$G$31&gt;=A2546))&gt;0,1,0))</f>
        <v/>
      </c>
      <c r="F2546">
        <f>IF(OR(A2546="",B2546=""),"",IF(E2546=1,0,D2546*B2546/100/C2546))</f>
        <v/>
      </c>
      <c r="G2546">
        <f>IF(A2546="","",IF(OR(B2546&lt;&gt;B2545,C2546&lt;&gt;C2545,D2546&lt;&gt;D2545,E2546&lt;&gt;E2545),G2545+1,G2545))</f>
        <v/>
      </c>
    </row>
    <row r="2547">
      <c r="A2547" s="14">
        <f>IF(OR(NOT(ISNUMBER(Ввод!$B$5)),NOT(ISNUMBER(Ввод!$B$6))),"",IF(Ввод!$B$5+2545&gt;Ввод!$B$6,"",Ввод!$B$5+2545))</f>
        <v/>
      </c>
      <c r="B2547">
        <f>IF(A2547="","",IFERROR(INDEX(Ввод!$B$12:$B$71,MATCH(A2547,Ввод!$D$12:$D$71,1)),""))</f>
        <v/>
      </c>
      <c r="C2547">
        <f>IF(A2547="","",DATE(YEAR(A2547),12,31)-DATE(YEAR(A2547),1,1)+1)</f>
        <v/>
      </c>
      <c r="D2547">
        <f>IF(A2547="","",Ввод!$B$4-SUMIF(Оплаты!$A$6:$A$505,"&lt;"&amp;A2547,Оплаты!$B$6:$B$505))</f>
        <v/>
      </c>
      <c r="E2547">
        <f>IF(A2547="","",IF(SUMPRODUCT((Ввод!$F$12:$F$31&lt;&gt;"")*(Ввод!$F$12:$F$31&lt;=A2547)*(Ввод!$G$12:$G$31&gt;=A2547))&gt;0,1,0))</f>
        <v/>
      </c>
      <c r="F2547">
        <f>IF(OR(A2547="",B2547=""),"",IF(E2547=1,0,D2547*B2547/100/C2547))</f>
        <v/>
      </c>
      <c r="G2547">
        <f>IF(A2547="","",IF(OR(B2547&lt;&gt;B2546,C2547&lt;&gt;C2546,D2547&lt;&gt;D2546,E2547&lt;&gt;E2546),G2546+1,G2546))</f>
        <v/>
      </c>
    </row>
    <row r="2548">
      <c r="A2548" s="14">
        <f>IF(OR(NOT(ISNUMBER(Ввод!$B$5)),NOT(ISNUMBER(Ввод!$B$6))),"",IF(Ввод!$B$5+2546&gt;Ввод!$B$6,"",Ввод!$B$5+2546))</f>
        <v/>
      </c>
      <c r="B2548">
        <f>IF(A2548="","",IFERROR(INDEX(Ввод!$B$12:$B$71,MATCH(A2548,Ввод!$D$12:$D$71,1)),""))</f>
        <v/>
      </c>
      <c r="C2548">
        <f>IF(A2548="","",DATE(YEAR(A2548),12,31)-DATE(YEAR(A2548),1,1)+1)</f>
        <v/>
      </c>
      <c r="D2548">
        <f>IF(A2548="","",Ввод!$B$4-SUMIF(Оплаты!$A$6:$A$505,"&lt;"&amp;A2548,Оплаты!$B$6:$B$505))</f>
        <v/>
      </c>
      <c r="E2548">
        <f>IF(A2548="","",IF(SUMPRODUCT((Ввод!$F$12:$F$31&lt;&gt;"")*(Ввод!$F$12:$F$31&lt;=A2548)*(Ввод!$G$12:$G$31&gt;=A2548))&gt;0,1,0))</f>
        <v/>
      </c>
      <c r="F2548">
        <f>IF(OR(A2548="",B2548=""),"",IF(E2548=1,0,D2548*B2548/100/C2548))</f>
        <v/>
      </c>
      <c r="G2548">
        <f>IF(A2548="","",IF(OR(B2548&lt;&gt;B2547,C2548&lt;&gt;C2547,D2548&lt;&gt;D2547,E2548&lt;&gt;E2547),G2547+1,G2547))</f>
        <v/>
      </c>
    </row>
    <row r="2549">
      <c r="A2549" s="14">
        <f>IF(OR(NOT(ISNUMBER(Ввод!$B$5)),NOT(ISNUMBER(Ввод!$B$6))),"",IF(Ввод!$B$5+2547&gt;Ввод!$B$6,"",Ввод!$B$5+2547))</f>
        <v/>
      </c>
      <c r="B2549">
        <f>IF(A2549="","",IFERROR(INDEX(Ввод!$B$12:$B$71,MATCH(A2549,Ввод!$D$12:$D$71,1)),""))</f>
        <v/>
      </c>
      <c r="C2549">
        <f>IF(A2549="","",DATE(YEAR(A2549),12,31)-DATE(YEAR(A2549),1,1)+1)</f>
        <v/>
      </c>
      <c r="D2549">
        <f>IF(A2549="","",Ввод!$B$4-SUMIF(Оплаты!$A$6:$A$505,"&lt;"&amp;A2549,Оплаты!$B$6:$B$505))</f>
        <v/>
      </c>
      <c r="E2549">
        <f>IF(A2549="","",IF(SUMPRODUCT((Ввод!$F$12:$F$31&lt;&gt;"")*(Ввод!$F$12:$F$31&lt;=A2549)*(Ввод!$G$12:$G$31&gt;=A2549))&gt;0,1,0))</f>
        <v/>
      </c>
      <c r="F2549">
        <f>IF(OR(A2549="",B2549=""),"",IF(E2549=1,0,D2549*B2549/100/C2549))</f>
        <v/>
      </c>
      <c r="G2549">
        <f>IF(A2549="","",IF(OR(B2549&lt;&gt;B2548,C2549&lt;&gt;C2548,D2549&lt;&gt;D2548,E2549&lt;&gt;E2548),G2548+1,G2548))</f>
        <v/>
      </c>
    </row>
    <row r="2550">
      <c r="A2550" s="14">
        <f>IF(OR(NOT(ISNUMBER(Ввод!$B$5)),NOT(ISNUMBER(Ввод!$B$6))),"",IF(Ввод!$B$5+2548&gt;Ввод!$B$6,"",Ввод!$B$5+2548))</f>
        <v/>
      </c>
      <c r="B2550">
        <f>IF(A2550="","",IFERROR(INDEX(Ввод!$B$12:$B$71,MATCH(A2550,Ввод!$D$12:$D$71,1)),""))</f>
        <v/>
      </c>
      <c r="C2550">
        <f>IF(A2550="","",DATE(YEAR(A2550),12,31)-DATE(YEAR(A2550),1,1)+1)</f>
        <v/>
      </c>
      <c r="D2550">
        <f>IF(A2550="","",Ввод!$B$4-SUMIF(Оплаты!$A$6:$A$505,"&lt;"&amp;A2550,Оплаты!$B$6:$B$505))</f>
        <v/>
      </c>
      <c r="E2550">
        <f>IF(A2550="","",IF(SUMPRODUCT((Ввод!$F$12:$F$31&lt;&gt;"")*(Ввод!$F$12:$F$31&lt;=A2550)*(Ввод!$G$12:$G$31&gt;=A2550))&gt;0,1,0))</f>
        <v/>
      </c>
      <c r="F2550">
        <f>IF(OR(A2550="",B2550=""),"",IF(E2550=1,0,D2550*B2550/100/C2550))</f>
        <v/>
      </c>
      <c r="G2550">
        <f>IF(A2550="","",IF(OR(B2550&lt;&gt;B2549,C2550&lt;&gt;C2549,D2550&lt;&gt;D2549,E2550&lt;&gt;E2549),G2549+1,G2549))</f>
        <v/>
      </c>
    </row>
    <row r="2551">
      <c r="A2551" s="14">
        <f>IF(OR(NOT(ISNUMBER(Ввод!$B$5)),NOT(ISNUMBER(Ввод!$B$6))),"",IF(Ввод!$B$5+2549&gt;Ввод!$B$6,"",Ввод!$B$5+2549))</f>
        <v/>
      </c>
      <c r="B2551">
        <f>IF(A2551="","",IFERROR(INDEX(Ввод!$B$12:$B$71,MATCH(A2551,Ввод!$D$12:$D$71,1)),""))</f>
        <v/>
      </c>
      <c r="C2551">
        <f>IF(A2551="","",DATE(YEAR(A2551),12,31)-DATE(YEAR(A2551),1,1)+1)</f>
        <v/>
      </c>
      <c r="D2551">
        <f>IF(A2551="","",Ввод!$B$4-SUMIF(Оплаты!$A$6:$A$505,"&lt;"&amp;A2551,Оплаты!$B$6:$B$505))</f>
        <v/>
      </c>
      <c r="E2551">
        <f>IF(A2551="","",IF(SUMPRODUCT((Ввод!$F$12:$F$31&lt;&gt;"")*(Ввод!$F$12:$F$31&lt;=A2551)*(Ввод!$G$12:$G$31&gt;=A2551))&gt;0,1,0))</f>
        <v/>
      </c>
      <c r="F2551">
        <f>IF(OR(A2551="",B2551=""),"",IF(E2551=1,0,D2551*B2551/100/C2551))</f>
        <v/>
      </c>
      <c r="G2551">
        <f>IF(A2551="","",IF(OR(B2551&lt;&gt;B2550,C2551&lt;&gt;C2550,D2551&lt;&gt;D2550,E2551&lt;&gt;E2550),G2550+1,G2550))</f>
        <v/>
      </c>
    </row>
    <row r="2552">
      <c r="A2552" s="14">
        <f>IF(OR(NOT(ISNUMBER(Ввод!$B$5)),NOT(ISNUMBER(Ввод!$B$6))),"",IF(Ввод!$B$5+2550&gt;Ввод!$B$6,"",Ввод!$B$5+2550))</f>
        <v/>
      </c>
      <c r="B2552">
        <f>IF(A2552="","",IFERROR(INDEX(Ввод!$B$12:$B$71,MATCH(A2552,Ввод!$D$12:$D$71,1)),""))</f>
        <v/>
      </c>
      <c r="C2552">
        <f>IF(A2552="","",DATE(YEAR(A2552),12,31)-DATE(YEAR(A2552),1,1)+1)</f>
        <v/>
      </c>
      <c r="D2552">
        <f>IF(A2552="","",Ввод!$B$4-SUMIF(Оплаты!$A$6:$A$505,"&lt;"&amp;A2552,Оплаты!$B$6:$B$505))</f>
        <v/>
      </c>
      <c r="E2552">
        <f>IF(A2552="","",IF(SUMPRODUCT((Ввод!$F$12:$F$31&lt;&gt;"")*(Ввод!$F$12:$F$31&lt;=A2552)*(Ввод!$G$12:$G$31&gt;=A2552))&gt;0,1,0))</f>
        <v/>
      </c>
      <c r="F2552">
        <f>IF(OR(A2552="",B2552=""),"",IF(E2552=1,0,D2552*B2552/100/C2552))</f>
        <v/>
      </c>
      <c r="G2552">
        <f>IF(A2552="","",IF(OR(B2552&lt;&gt;B2551,C2552&lt;&gt;C2551,D2552&lt;&gt;D2551,E2552&lt;&gt;E2551),G2551+1,G2551))</f>
        <v/>
      </c>
    </row>
    <row r="2553">
      <c r="A2553" s="14">
        <f>IF(OR(NOT(ISNUMBER(Ввод!$B$5)),NOT(ISNUMBER(Ввод!$B$6))),"",IF(Ввод!$B$5+2551&gt;Ввод!$B$6,"",Ввод!$B$5+2551))</f>
        <v/>
      </c>
      <c r="B2553">
        <f>IF(A2553="","",IFERROR(INDEX(Ввод!$B$12:$B$71,MATCH(A2553,Ввод!$D$12:$D$71,1)),""))</f>
        <v/>
      </c>
      <c r="C2553">
        <f>IF(A2553="","",DATE(YEAR(A2553),12,31)-DATE(YEAR(A2553),1,1)+1)</f>
        <v/>
      </c>
      <c r="D2553">
        <f>IF(A2553="","",Ввод!$B$4-SUMIF(Оплаты!$A$6:$A$505,"&lt;"&amp;A2553,Оплаты!$B$6:$B$505))</f>
        <v/>
      </c>
      <c r="E2553">
        <f>IF(A2553="","",IF(SUMPRODUCT((Ввод!$F$12:$F$31&lt;&gt;"")*(Ввод!$F$12:$F$31&lt;=A2553)*(Ввод!$G$12:$G$31&gt;=A2553))&gt;0,1,0))</f>
        <v/>
      </c>
      <c r="F2553">
        <f>IF(OR(A2553="",B2553=""),"",IF(E2553=1,0,D2553*B2553/100/C2553))</f>
        <v/>
      </c>
      <c r="G2553">
        <f>IF(A2553="","",IF(OR(B2553&lt;&gt;B2552,C2553&lt;&gt;C2552,D2553&lt;&gt;D2552,E2553&lt;&gt;E2552),G2552+1,G2552))</f>
        <v/>
      </c>
    </row>
    <row r="2554">
      <c r="A2554" s="14">
        <f>IF(OR(NOT(ISNUMBER(Ввод!$B$5)),NOT(ISNUMBER(Ввод!$B$6))),"",IF(Ввод!$B$5+2552&gt;Ввод!$B$6,"",Ввод!$B$5+2552))</f>
        <v/>
      </c>
      <c r="B2554">
        <f>IF(A2554="","",IFERROR(INDEX(Ввод!$B$12:$B$71,MATCH(A2554,Ввод!$D$12:$D$71,1)),""))</f>
        <v/>
      </c>
      <c r="C2554">
        <f>IF(A2554="","",DATE(YEAR(A2554),12,31)-DATE(YEAR(A2554),1,1)+1)</f>
        <v/>
      </c>
      <c r="D2554">
        <f>IF(A2554="","",Ввод!$B$4-SUMIF(Оплаты!$A$6:$A$505,"&lt;"&amp;A2554,Оплаты!$B$6:$B$505))</f>
        <v/>
      </c>
      <c r="E2554">
        <f>IF(A2554="","",IF(SUMPRODUCT((Ввод!$F$12:$F$31&lt;&gt;"")*(Ввод!$F$12:$F$31&lt;=A2554)*(Ввод!$G$12:$G$31&gt;=A2554))&gt;0,1,0))</f>
        <v/>
      </c>
      <c r="F2554">
        <f>IF(OR(A2554="",B2554=""),"",IF(E2554=1,0,D2554*B2554/100/C2554))</f>
        <v/>
      </c>
      <c r="G2554">
        <f>IF(A2554="","",IF(OR(B2554&lt;&gt;B2553,C2554&lt;&gt;C2553,D2554&lt;&gt;D2553,E2554&lt;&gt;E2553),G2553+1,G2553))</f>
        <v/>
      </c>
    </row>
    <row r="2555">
      <c r="A2555" s="14">
        <f>IF(OR(NOT(ISNUMBER(Ввод!$B$5)),NOT(ISNUMBER(Ввод!$B$6))),"",IF(Ввод!$B$5+2553&gt;Ввод!$B$6,"",Ввод!$B$5+2553))</f>
        <v/>
      </c>
      <c r="B2555">
        <f>IF(A2555="","",IFERROR(INDEX(Ввод!$B$12:$B$71,MATCH(A2555,Ввод!$D$12:$D$71,1)),""))</f>
        <v/>
      </c>
      <c r="C2555">
        <f>IF(A2555="","",DATE(YEAR(A2555),12,31)-DATE(YEAR(A2555),1,1)+1)</f>
        <v/>
      </c>
      <c r="D2555">
        <f>IF(A2555="","",Ввод!$B$4-SUMIF(Оплаты!$A$6:$A$505,"&lt;"&amp;A2555,Оплаты!$B$6:$B$505))</f>
        <v/>
      </c>
      <c r="E2555">
        <f>IF(A2555="","",IF(SUMPRODUCT((Ввод!$F$12:$F$31&lt;&gt;"")*(Ввод!$F$12:$F$31&lt;=A2555)*(Ввод!$G$12:$G$31&gt;=A2555))&gt;0,1,0))</f>
        <v/>
      </c>
      <c r="F2555">
        <f>IF(OR(A2555="",B2555=""),"",IF(E2555=1,0,D2555*B2555/100/C2555))</f>
        <v/>
      </c>
      <c r="G2555">
        <f>IF(A2555="","",IF(OR(B2555&lt;&gt;B2554,C2555&lt;&gt;C2554,D2555&lt;&gt;D2554,E2555&lt;&gt;E2554),G2554+1,G2554))</f>
        <v/>
      </c>
    </row>
    <row r="2556">
      <c r="A2556" s="14">
        <f>IF(OR(NOT(ISNUMBER(Ввод!$B$5)),NOT(ISNUMBER(Ввод!$B$6))),"",IF(Ввод!$B$5+2554&gt;Ввод!$B$6,"",Ввод!$B$5+2554))</f>
        <v/>
      </c>
      <c r="B2556">
        <f>IF(A2556="","",IFERROR(INDEX(Ввод!$B$12:$B$71,MATCH(A2556,Ввод!$D$12:$D$71,1)),""))</f>
        <v/>
      </c>
      <c r="C2556">
        <f>IF(A2556="","",DATE(YEAR(A2556),12,31)-DATE(YEAR(A2556),1,1)+1)</f>
        <v/>
      </c>
      <c r="D2556">
        <f>IF(A2556="","",Ввод!$B$4-SUMIF(Оплаты!$A$6:$A$505,"&lt;"&amp;A2556,Оплаты!$B$6:$B$505))</f>
        <v/>
      </c>
      <c r="E2556">
        <f>IF(A2556="","",IF(SUMPRODUCT((Ввод!$F$12:$F$31&lt;&gt;"")*(Ввод!$F$12:$F$31&lt;=A2556)*(Ввод!$G$12:$G$31&gt;=A2556))&gt;0,1,0))</f>
        <v/>
      </c>
      <c r="F2556">
        <f>IF(OR(A2556="",B2556=""),"",IF(E2556=1,0,D2556*B2556/100/C2556))</f>
        <v/>
      </c>
      <c r="G2556">
        <f>IF(A2556="","",IF(OR(B2556&lt;&gt;B2555,C2556&lt;&gt;C2555,D2556&lt;&gt;D2555,E2556&lt;&gt;E2555),G2555+1,G2555))</f>
        <v/>
      </c>
    </row>
    <row r="2557">
      <c r="A2557" s="14">
        <f>IF(OR(NOT(ISNUMBER(Ввод!$B$5)),NOT(ISNUMBER(Ввод!$B$6))),"",IF(Ввод!$B$5+2555&gt;Ввод!$B$6,"",Ввод!$B$5+2555))</f>
        <v/>
      </c>
      <c r="B2557">
        <f>IF(A2557="","",IFERROR(INDEX(Ввод!$B$12:$B$71,MATCH(A2557,Ввод!$D$12:$D$71,1)),""))</f>
        <v/>
      </c>
      <c r="C2557">
        <f>IF(A2557="","",DATE(YEAR(A2557),12,31)-DATE(YEAR(A2557),1,1)+1)</f>
        <v/>
      </c>
      <c r="D2557">
        <f>IF(A2557="","",Ввод!$B$4-SUMIF(Оплаты!$A$6:$A$505,"&lt;"&amp;A2557,Оплаты!$B$6:$B$505))</f>
        <v/>
      </c>
      <c r="E2557">
        <f>IF(A2557="","",IF(SUMPRODUCT((Ввод!$F$12:$F$31&lt;&gt;"")*(Ввод!$F$12:$F$31&lt;=A2557)*(Ввод!$G$12:$G$31&gt;=A2557))&gt;0,1,0))</f>
        <v/>
      </c>
      <c r="F2557">
        <f>IF(OR(A2557="",B2557=""),"",IF(E2557=1,0,D2557*B2557/100/C2557))</f>
        <v/>
      </c>
      <c r="G2557">
        <f>IF(A2557="","",IF(OR(B2557&lt;&gt;B2556,C2557&lt;&gt;C2556,D2557&lt;&gt;D2556,E2557&lt;&gt;E2556),G2556+1,G2556))</f>
        <v/>
      </c>
    </row>
    <row r="2558">
      <c r="A2558" s="14">
        <f>IF(OR(NOT(ISNUMBER(Ввод!$B$5)),NOT(ISNUMBER(Ввод!$B$6))),"",IF(Ввод!$B$5+2556&gt;Ввод!$B$6,"",Ввод!$B$5+2556))</f>
        <v/>
      </c>
      <c r="B2558">
        <f>IF(A2558="","",IFERROR(INDEX(Ввод!$B$12:$B$71,MATCH(A2558,Ввод!$D$12:$D$71,1)),""))</f>
        <v/>
      </c>
      <c r="C2558">
        <f>IF(A2558="","",DATE(YEAR(A2558),12,31)-DATE(YEAR(A2558),1,1)+1)</f>
        <v/>
      </c>
      <c r="D2558">
        <f>IF(A2558="","",Ввод!$B$4-SUMIF(Оплаты!$A$6:$A$505,"&lt;"&amp;A2558,Оплаты!$B$6:$B$505))</f>
        <v/>
      </c>
      <c r="E2558">
        <f>IF(A2558="","",IF(SUMPRODUCT((Ввод!$F$12:$F$31&lt;&gt;"")*(Ввод!$F$12:$F$31&lt;=A2558)*(Ввод!$G$12:$G$31&gt;=A2558))&gt;0,1,0))</f>
        <v/>
      </c>
      <c r="F2558">
        <f>IF(OR(A2558="",B2558=""),"",IF(E2558=1,0,D2558*B2558/100/C2558))</f>
        <v/>
      </c>
      <c r="G2558">
        <f>IF(A2558="","",IF(OR(B2558&lt;&gt;B2557,C2558&lt;&gt;C2557,D2558&lt;&gt;D2557,E2558&lt;&gt;E2557),G2557+1,G2557))</f>
        <v/>
      </c>
    </row>
    <row r="2559">
      <c r="A2559" s="14">
        <f>IF(OR(NOT(ISNUMBER(Ввод!$B$5)),NOT(ISNUMBER(Ввод!$B$6))),"",IF(Ввод!$B$5+2557&gt;Ввод!$B$6,"",Ввод!$B$5+2557))</f>
        <v/>
      </c>
      <c r="B2559">
        <f>IF(A2559="","",IFERROR(INDEX(Ввод!$B$12:$B$71,MATCH(A2559,Ввод!$D$12:$D$71,1)),""))</f>
        <v/>
      </c>
      <c r="C2559">
        <f>IF(A2559="","",DATE(YEAR(A2559),12,31)-DATE(YEAR(A2559),1,1)+1)</f>
        <v/>
      </c>
      <c r="D2559">
        <f>IF(A2559="","",Ввод!$B$4-SUMIF(Оплаты!$A$6:$A$505,"&lt;"&amp;A2559,Оплаты!$B$6:$B$505))</f>
        <v/>
      </c>
      <c r="E2559">
        <f>IF(A2559="","",IF(SUMPRODUCT((Ввод!$F$12:$F$31&lt;&gt;"")*(Ввод!$F$12:$F$31&lt;=A2559)*(Ввод!$G$12:$G$31&gt;=A2559))&gt;0,1,0))</f>
        <v/>
      </c>
      <c r="F2559">
        <f>IF(OR(A2559="",B2559=""),"",IF(E2559=1,0,D2559*B2559/100/C2559))</f>
        <v/>
      </c>
      <c r="G2559">
        <f>IF(A2559="","",IF(OR(B2559&lt;&gt;B2558,C2559&lt;&gt;C2558,D2559&lt;&gt;D2558,E2559&lt;&gt;E2558),G2558+1,G2558))</f>
        <v/>
      </c>
    </row>
    <row r="2560">
      <c r="A2560" s="14">
        <f>IF(OR(NOT(ISNUMBER(Ввод!$B$5)),NOT(ISNUMBER(Ввод!$B$6))),"",IF(Ввод!$B$5+2558&gt;Ввод!$B$6,"",Ввод!$B$5+2558))</f>
        <v/>
      </c>
      <c r="B2560">
        <f>IF(A2560="","",IFERROR(INDEX(Ввод!$B$12:$B$71,MATCH(A2560,Ввод!$D$12:$D$71,1)),""))</f>
        <v/>
      </c>
      <c r="C2560">
        <f>IF(A2560="","",DATE(YEAR(A2560),12,31)-DATE(YEAR(A2560),1,1)+1)</f>
        <v/>
      </c>
      <c r="D2560">
        <f>IF(A2560="","",Ввод!$B$4-SUMIF(Оплаты!$A$6:$A$505,"&lt;"&amp;A2560,Оплаты!$B$6:$B$505))</f>
        <v/>
      </c>
      <c r="E2560">
        <f>IF(A2560="","",IF(SUMPRODUCT((Ввод!$F$12:$F$31&lt;&gt;"")*(Ввод!$F$12:$F$31&lt;=A2560)*(Ввод!$G$12:$G$31&gt;=A2560))&gt;0,1,0))</f>
        <v/>
      </c>
      <c r="F2560">
        <f>IF(OR(A2560="",B2560=""),"",IF(E2560=1,0,D2560*B2560/100/C2560))</f>
        <v/>
      </c>
      <c r="G2560">
        <f>IF(A2560="","",IF(OR(B2560&lt;&gt;B2559,C2560&lt;&gt;C2559,D2560&lt;&gt;D2559,E2560&lt;&gt;E2559),G2559+1,G2559))</f>
        <v/>
      </c>
    </row>
    <row r="2561">
      <c r="A2561" s="14">
        <f>IF(OR(NOT(ISNUMBER(Ввод!$B$5)),NOT(ISNUMBER(Ввод!$B$6))),"",IF(Ввод!$B$5+2559&gt;Ввод!$B$6,"",Ввод!$B$5+2559))</f>
        <v/>
      </c>
      <c r="B2561">
        <f>IF(A2561="","",IFERROR(INDEX(Ввод!$B$12:$B$71,MATCH(A2561,Ввод!$D$12:$D$71,1)),""))</f>
        <v/>
      </c>
      <c r="C2561">
        <f>IF(A2561="","",DATE(YEAR(A2561),12,31)-DATE(YEAR(A2561),1,1)+1)</f>
        <v/>
      </c>
      <c r="D2561">
        <f>IF(A2561="","",Ввод!$B$4-SUMIF(Оплаты!$A$6:$A$505,"&lt;"&amp;A2561,Оплаты!$B$6:$B$505))</f>
        <v/>
      </c>
      <c r="E2561">
        <f>IF(A2561="","",IF(SUMPRODUCT((Ввод!$F$12:$F$31&lt;&gt;"")*(Ввод!$F$12:$F$31&lt;=A2561)*(Ввод!$G$12:$G$31&gt;=A2561))&gt;0,1,0))</f>
        <v/>
      </c>
      <c r="F2561">
        <f>IF(OR(A2561="",B2561=""),"",IF(E2561=1,0,D2561*B2561/100/C2561))</f>
        <v/>
      </c>
      <c r="G2561">
        <f>IF(A2561="","",IF(OR(B2561&lt;&gt;B2560,C2561&lt;&gt;C2560,D2561&lt;&gt;D2560,E2561&lt;&gt;E2560),G2560+1,G2560))</f>
        <v/>
      </c>
    </row>
    <row r="2562">
      <c r="A2562" s="14">
        <f>IF(OR(NOT(ISNUMBER(Ввод!$B$5)),NOT(ISNUMBER(Ввод!$B$6))),"",IF(Ввод!$B$5+2560&gt;Ввод!$B$6,"",Ввод!$B$5+2560))</f>
        <v/>
      </c>
      <c r="B2562">
        <f>IF(A2562="","",IFERROR(INDEX(Ввод!$B$12:$B$71,MATCH(A2562,Ввод!$D$12:$D$71,1)),""))</f>
        <v/>
      </c>
      <c r="C2562">
        <f>IF(A2562="","",DATE(YEAR(A2562),12,31)-DATE(YEAR(A2562),1,1)+1)</f>
        <v/>
      </c>
      <c r="D2562">
        <f>IF(A2562="","",Ввод!$B$4-SUMIF(Оплаты!$A$6:$A$505,"&lt;"&amp;A2562,Оплаты!$B$6:$B$505))</f>
        <v/>
      </c>
      <c r="E2562">
        <f>IF(A2562="","",IF(SUMPRODUCT((Ввод!$F$12:$F$31&lt;&gt;"")*(Ввод!$F$12:$F$31&lt;=A2562)*(Ввод!$G$12:$G$31&gt;=A2562))&gt;0,1,0))</f>
        <v/>
      </c>
      <c r="F2562">
        <f>IF(OR(A2562="",B2562=""),"",IF(E2562=1,0,D2562*B2562/100/C2562))</f>
        <v/>
      </c>
      <c r="G2562">
        <f>IF(A2562="","",IF(OR(B2562&lt;&gt;B2561,C2562&lt;&gt;C2561,D2562&lt;&gt;D2561,E2562&lt;&gt;E2561),G2561+1,G2561))</f>
        <v/>
      </c>
    </row>
    <row r="2563">
      <c r="A2563" s="14">
        <f>IF(OR(NOT(ISNUMBER(Ввод!$B$5)),NOT(ISNUMBER(Ввод!$B$6))),"",IF(Ввод!$B$5+2561&gt;Ввод!$B$6,"",Ввод!$B$5+2561))</f>
        <v/>
      </c>
      <c r="B2563">
        <f>IF(A2563="","",IFERROR(INDEX(Ввод!$B$12:$B$71,MATCH(A2563,Ввод!$D$12:$D$71,1)),""))</f>
        <v/>
      </c>
      <c r="C2563">
        <f>IF(A2563="","",DATE(YEAR(A2563),12,31)-DATE(YEAR(A2563),1,1)+1)</f>
        <v/>
      </c>
      <c r="D2563">
        <f>IF(A2563="","",Ввод!$B$4-SUMIF(Оплаты!$A$6:$A$505,"&lt;"&amp;A2563,Оплаты!$B$6:$B$505))</f>
        <v/>
      </c>
      <c r="E2563">
        <f>IF(A2563="","",IF(SUMPRODUCT((Ввод!$F$12:$F$31&lt;&gt;"")*(Ввод!$F$12:$F$31&lt;=A2563)*(Ввод!$G$12:$G$31&gt;=A2563))&gt;0,1,0))</f>
        <v/>
      </c>
      <c r="F2563">
        <f>IF(OR(A2563="",B2563=""),"",IF(E2563=1,0,D2563*B2563/100/C2563))</f>
        <v/>
      </c>
      <c r="G2563">
        <f>IF(A2563="","",IF(OR(B2563&lt;&gt;B2562,C2563&lt;&gt;C2562,D2563&lt;&gt;D2562,E2563&lt;&gt;E2562),G2562+1,G2562))</f>
        <v/>
      </c>
    </row>
    <row r="2564">
      <c r="A2564" s="14">
        <f>IF(OR(NOT(ISNUMBER(Ввод!$B$5)),NOT(ISNUMBER(Ввод!$B$6))),"",IF(Ввод!$B$5+2562&gt;Ввод!$B$6,"",Ввод!$B$5+2562))</f>
        <v/>
      </c>
      <c r="B2564">
        <f>IF(A2564="","",IFERROR(INDEX(Ввод!$B$12:$B$71,MATCH(A2564,Ввод!$D$12:$D$71,1)),""))</f>
        <v/>
      </c>
      <c r="C2564">
        <f>IF(A2564="","",DATE(YEAR(A2564),12,31)-DATE(YEAR(A2564),1,1)+1)</f>
        <v/>
      </c>
      <c r="D2564">
        <f>IF(A2564="","",Ввод!$B$4-SUMIF(Оплаты!$A$6:$A$505,"&lt;"&amp;A2564,Оплаты!$B$6:$B$505))</f>
        <v/>
      </c>
      <c r="E2564">
        <f>IF(A2564="","",IF(SUMPRODUCT((Ввод!$F$12:$F$31&lt;&gt;"")*(Ввод!$F$12:$F$31&lt;=A2564)*(Ввод!$G$12:$G$31&gt;=A2564))&gt;0,1,0))</f>
        <v/>
      </c>
      <c r="F2564">
        <f>IF(OR(A2564="",B2564=""),"",IF(E2564=1,0,D2564*B2564/100/C2564))</f>
        <v/>
      </c>
      <c r="G2564">
        <f>IF(A2564="","",IF(OR(B2564&lt;&gt;B2563,C2564&lt;&gt;C2563,D2564&lt;&gt;D2563,E2564&lt;&gt;E2563),G2563+1,G2563))</f>
        <v/>
      </c>
    </row>
    <row r="2565">
      <c r="A2565" s="14">
        <f>IF(OR(NOT(ISNUMBER(Ввод!$B$5)),NOT(ISNUMBER(Ввод!$B$6))),"",IF(Ввод!$B$5+2563&gt;Ввод!$B$6,"",Ввод!$B$5+2563))</f>
        <v/>
      </c>
      <c r="B2565">
        <f>IF(A2565="","",IFERROR(INDEX(Ввод!$B$12:$B$71,MATCH(A2565,Ввод!$D$12:$D$71,1)),""))</f>
        <v/>
      </c>
      <c r="C2565">
        <f>IF(A2565="","",DATE(YEAR(A2565),12,31)-DATE(YEAR(A2565),1,1)+1)</f>
        <v/>
      </c>
      <c r="D2565">
        <f>IF(A2565="","",Ввод!$B$4-SUMIF(Оплаты!$A$6:$A$505,"&lt;"&amp;A2565,Оплаты!$B$6:$B$505))</f>
        <v/>
      </c>
      <c r="E2565">
        <f>IF(A2565="","",IF(SUMPRODUCT((Ввод!$F$12:$F$31&lt;&gt;"")*(Ввод!$F$12:$F$31&lt;=A2565)*(Ввод!$G$12:$G$31&gt;=A2565))&gt;0,1,0))</f>
        <v/>
      </c>
      <c r="F2565">
        <f>IF(OR(A2565="",B2565=""),"",IF(E2565=1,0,D2565*B2565/100/C2565))</f>
        <v/>
      </c>
      <c r="G2565">
        <f>IF(A2565="","",IF(OR(B2565&lt;&gt;B2564,C2565&lt;&gt;C2564,D2565&lt;&gt;D2564,E2565&lt;&gt;E2564),G2564+1,G2564))</f>
        <v/>
      </c>
    </row>
    <row r="2566">
      <c r="A2566" s="14">
        <f>IF(OR(NOT(ISNUMBER(Ввод!$B$5)),NOT(ISNUMBER(Ввод!$B$6))),"",IF(Ввод!$B$5+2564&gt;Ввод!$B$6,"",Ввод!$B$5+2564))</f>
        <v/>
      </c>
      <c r="B2566">
        <f>IF(A2566="","",IFERROR(INDEX(Ввод!$B$12:$B$71,MATCH(A2566,Ввод!$D$12:$D$71,1)),""))</f>
        <v/>
      </c>
      <c r="C2566">
        <f>IF(A2566="","",DATE(YEAR(A2566),12,31)-DATE(YEAR(A2566),1,1)+1)</f>
        <v/>
      </c>
      <c r="D2566">
        <f>IF(A2566="","",Ввод!$B$4-SUMIF(Оплаты!$A$6:$A$505,"&lt;"&amp;A2566,Оплаты!$B$6:$B$505))</f>
        <v/>
      </c>
      <c r="E2566">
        <f>IF(A2566="","",IF(SUMPRODUCT((Ввод!$F$12:$F$31&lt;&gt;"")*(Ввод!$F$12:$F$31&lt;=A2566)*(Ввод!$G$12:$G$31&gt;=A2566))&gt;0,1,0))</f>
        <v/>
      </c>
      <c r="F2566">
        <f>IF(OR(A2566="",B2566=""),"",IF(E2566=1,0,D2566*B2566/100/C2566))</f>
        <v/>
      </c>
      <c r="G2566">
        <f>IF(A2566="","",IF(OR(B2566&lt;&gt;B2565,C2566&lt;&gt;C2565,D2566&lt;&gt;D2565,E2566&lt;&gt;E2565),G2565+1,G2565))</f>
        <v/>
      </c>
    </row>
    <row r="2567">
      <c r="A2567" s="14">
        <f>IF(OR(NOT(ISNUMBER(Ввод!$B$5)),NOT(ISNUMBER(Ввод!$B$6))),"",IF(Ввод!$B$5+2565&gt;Ввод!$B$6,"",Ввод!$B$5+2565))</f>
        <v/>
      </c>
      <c r="B2567">
        <f>IF(A2567="","",IFERROR(INDEX(Ввод!$B$12:$B$71,MATCH(A2567,Ввод!$D$12:$D$71,1)),""))</f>
        <v/>
      </c>
      <c r="C2567">
        <f>IF(A2567="","",DATE(YEAR(A2567),12,31)-DATE(YEAR(A2567),1,1)+1)</f>
        <v/>
      </c>
      <c r="D2567">
        <f>IF(A2567="","",Ввод!$B$4-SUMIF(Оплаты!$A$6:$A$505,"&lt;"&amp;A2567,Оплаты!$B$6:$B$505))</f>
        <v/>
      </c>
      <c r="E2567">
        <f>IF(A2567="","",IF(SUMPRODUCT((Ввод!$F$12:$F$31&lt;&gt;"")*(Ввод!$F$12:$F$31&lt;=A2567)*(Ввод!$G$12:$G$31&gt;=A2567))&gt;0,1,0))</f>
        <v/>
      </c>
      <c r="F2567">
        <f>IF(OR(A2567="",B2567=""),"",IF(E2567=1,0,D2567*B2567/100/C2567))</f>
        <v/>
      </c>
      <c r="G2567">
        <f>IF(A2567="","",IF(OR(B2567&lt;&gt;B2566,C2567&lt;&gt;C2566,D2567&lt;&gt;D2566,E2567&lt;&gt;E2566),G2566+1,G2566))</f>
        <v/>
      </c>
    </row>
    <row r="2568">
      <c r="A2568" s="14">
        <f>IF(OR(NOT(ISNUMBER(Ввод!$B$5)),NOT(ISNUMBER(Ввод!$B$6))),"",IF(Ввод!$B$5+2566&gt;Ввод!$B$6,"",Ввод!$B$5+2566))</f>
        <v/>
      </c>
      <c r="B2568">
        <f>IF(A2568="","",IFERROR(INDEX(Ввод!$B$12:$B$71,MATCH(A2568,Ввод!$D$12:$D$71,1)),""))</f>
        <v/>
      </c>
      <c r="C2568">
        <f>IF(A2568="","",DATE(YEAR(A2568),12,31)-DATE(YEAR(A2568),1,1)+1)</f>
        <v/>
      </c>
      <c r="D2568">
        <f>IF(A2568="","",Ввод!$B$4-SUMIF(Оплаты!$A$6:$A$505,"&lt;"&amp;A2568,Оплаты!$B$6:$B$505))</f>
        <v/>
      </c>
      <c r="E2568">
        <f>IF(A2568="","",IF(SUMPRODUCT((Ввод!$F$12:$F$31&lt;&gt;"")*(Ввод!$F$12:$F$31&lt;=A2568)*(Ввод!$G$12:$G$31&gt;=A2568))&gt;0,1,0))</f>
        <v/>
      </c>
      <c r="F2568">
        <f>IF(OR(A2568="",B2568=""),"",IF(E2568=1,0,D2568*B2568/100/C2568))</f>
        <v/>
      </c>
      <c r="G2568">
        <f>IF(A2568="","",IF(OR(B2568&lt;&gt;B2567,C2568&lt;&gt;C2567,D2568&lt;&gt;D2567,E2568&lt;&gt;E2567),G2567+1,G2567))</f>
        <v/>
      </c>
    </row>
    <row r="2569">
      <c r="A2569" s="14">
        <f>IF(OR(NOT(ISNUMBER(Ввод!$B$5)),NOT(ISNUMBER(Ввод!$B$6))),"",IF(Ввод!$B$5+2567&gt;Ввод!$B$6,"",Ввод!$B$5+2567))</f>
        <v/>
      </c>
      <c r="B2569">
        <f>IF(A2569="","",IFERROR(INDEX(Ввод!$B$12:$B$71,MATCH(A2569,Ввод!$D$12:$D$71,1)),""))</f>
        <v/>
      </c>
      <c r="C2569">
        <f>IF(A2569="","",DATE(YEAR(A2569),12,31)-DATE(YEAR(A2569),1,1)+1)</f>
        <v/>
      </c>
      <c r="D2569">
        <f>IF(A2569="","",Ввод!$B$4-SUMIF(Оплаты!$A$6:$A$505,"&lt;"&amp;A2569,Оплаты!$B$6:$B$505))</f>
        <v/>
      </c>
      <c r="E2569">
        <f>IF(A2569="","",IF(SUMPRODUCT((Ввод!$F$12:$F$31&lt;&gt;"")*(Ввод!$F$12:$F$31&lt;=A2569)*(Ввод!$G$12:$G$31&gt;=A2569))&gt;0,1,0))</f>
        <v/>
      </c>
      <c r="F2569">
        <f>IF(OR(A2569="",B2569=""),"",IF(E2569=1,0,D2569*B2569/100/C2569))</f>
        <v/>
      </c>
      <c r="G2569">
        <f>IF(A2569="","",IF(OR(B2569&lt;&gt;B2568,C2569&lt;&gt;C2568,D2569&lt;&gt;D2568,E2569&lt;&gt;E2568),G2568+1,G2568))</f>
        <v/>
      </c>
    </row>
    <row r="2570">
      <c r="A2570" s="14">
        <f>IF(OR(NOT(ISNUMBER(Ввод!$B$5)),NOT(ISNUMBER(Ввод!$B$6))),"",IF(Ввод!$B$5+2568&gt;Ввод!$B$6,"",Ввод!$B$5+2568))</f>
        <v/>
      </c>
      <c r="B2570">
        <f>IF(A2570="","",IFERROR(INDEX(Ввод!$B$12:$B$71,MATCH(A2570,Ввод!$D$12:$D$71,1)),""))</f>
        <v/>
      </c>
      <c r="C2570">
        <f>IF(A2570="","",DATE(YEAR(A2570),12,31)-DATE(YEAR(A2570),1,1)+1)</f>
        <v/>
      </c>
      <c r="D2570">
        <f>IF(A2570="","",Ввод!$B$4-SUMIF(Оплаты!$A$6:$A$505,"&lt;"&amp;A2570,Оплаты!$B$6:$B$505))</f>
        <v/>
      </c>
      <c r="E2570">
        <f>IF(A2570="","",IF(SUMPRODUCT((Ввод!$F$12:$F$31&lt;&gt;"")*(Ввод!$F$12:$F$31&lt;=A2570)*(Ввод!$G$12:$G$31&gt;=A2570))&gt;0,1,0))</f>
        <v/>
      </c>
      <c r="F2570">
        <f>IF(OR(A2570="",B2570=""),"",IF(E2570=1,0,D2570*B2570/100/C2570))</f>
        <v/>
      </c>
      <c r="G2570">
        <f>IF(A2570="","",IF(OR(B2570&lt;&gt;B2569,C2570&lt;&gt;C2569,D2570&lt;&gt;D2569,E2570&lt;&gt;E2569),G2569+1,G2569))</f>
        <v/>
      </c>
    </row>
    <row r="2571">
      <c r="A2571" s="14">
        <f>IF(OR(NOT(ISNUMBER(Ввод!$B$5)),NOT(ISNUMBER(Ввод!$B$6))),"",IF(Ввод!$B$5+2569&gt;Ввод!$B$6,"",Ввод!$B$5+2569))</f>
        <v/>
      </c>
      <c r="B2571">
        <f>IF(A2571="","",IFERROR(INDEX(Ввод!$B$12:$B$71,MATCH(A2571,Ввод!$D$12:$D$71,1)),""))</f>
        <v/>
      </c>
      <c r="C2571">
        <f>IF(A2571="","",DATE(YEAR(A2571),12,31)-DATE(YEAR(A2571),1,1)+1)</f>
        <v/>
      </c>
      <c r="D2571">
        <f>IF(A2571="","",Ввод!$B$4-SUMIF(Оплаты!$A$6:$A$505,"&lt;"&amp;A2571,Оплаты!$B$6:$B$505))</f>
        <v/>
      </c>
      <c r="E2571">
        <f>IF(A2571="","",IF(SUMPRODUCT((Ввод!$F$12:$F$31&lt;&gt;"")*(Ввод!$F$12:$F$31&lt;=A2571)*(Ввод!$G$12:$G$31&gt;=A2571))&gt;0,1,0))</f>
        <v/>
      </c>
      <c r="F2571">
        <f>IF(OR(A2571="",B2571=""),"",IF(E2571=1,0,D2571*B2571/100/C2571))</f>
        <v/>
      </c>
      <c r="G2571">
        <f>IF(A2571="","",IF(OR(B2571&lt;&gt;B2570,C2571&lt;&gt;C2570,D2571&lt;&gt;D2570,E2571&lt;&gt;E2570),G2570+1,G2570))</f>
        <v/>
      </c>
    </row>
    <row r="2572">
      <c r="A2572" s="14">
        <f>IF(OR(NOT(ISNUMBER(Ввод!$B$5)),NOT(ISNUMBER(Ввод!$B$6))),"",IF(Ввод!$B$5+2570&gt;Ввод!$B$6,"",Ввод!$B$5+2570))</f>
        <v/>
      </c>
      <c r="B2572">
        <f>IF(A2572="","",IFERROR(INDEX(Ввод!$B$12:$B$71,MATCH(A2572,Ввод!$D$12:$D$71,1)),""))</f>
        <v/>
      </c>
      <c r="C2572">
        <f>IF(A2572="","",DATE(YEAR(A2572),12,31)-DATE(YEAR(A2572),1,1)+1)</f>
        <v/>
      </c>
      <c r="D2572">
        <f>IF(A2572="","",Ввод!$B$4-SUMIF(Оплаты!$A$6:$A$505,"&lt;"&amp;A2572,Оплаты!$B$6:$B$505))</f>
        <v/>
      </c>
      <c r="E2572">
        <f>IF(A2572="","",IF(SUMPRODUCT((Ввод!$F$12:$F$31&lt;&gt;"")*(Ввод!$F$12:$F$31&lt;=A2572)*(Ввод!$G$12:$G$31&gt;=A2572))&gt;0,1,0))</f>
        <v/>
      </c>
      <c r="F2572">
        <f>IF(OR(A2572="",B2572=""),"",IF(E2572=1,0,D2572*B2572/100/C2572))</f>
        <v/>
      </c>
      <c r="G2572">
        <f>IF(A2572="","",IF(OR(B2572&lt;&gt;B2571,C2572&lt;&gt;C2571,D2572&lt;&gt;D2571,E2572&lt;&gt;E2571),G2571+1,G2571))</f>
        <v/>
      </c>
    </row>
    <row r="2573">
      <c r="A2573" s="14">
        <f>IF(OR(NOT(ISNUMBER(Ввод!$B$5)),NOT(ISNUMBER(Ввод!$B$6))),"",IF(Ввод!$B$5+2571&gt;Ввод!$B$6,"",Ввод!$B$5+2571))</f>
        <v/>
      </c>
      <c r="B2573">
        <f>IF(A2573="","",IFERROR(INDEX(Ввод!$B$12:$B$71,MATCH(A2573,Ввод!$D$12:$D$71,1)),""))</f>
        <v/>
      </c>
      <c r="C2573">
        <f>IF(A2573="","",DATE(YEAR(A2573),12,31)-DATE(YEAR(A2573),1,1)+1)</f>
        <v/>
      </c>
      <c r="D2573">
        <f>IF(A2573="","",Ввод!$B$4-SUMIF(Оплаты!$A$6:$A$505,"&lt;"&amp;A2573,Оплаты!$B$6:$B$505))</f>
        <v/>
      </c>
      <c r="E2573">
        <f>IF(A2573="","",IF(SUMPRODUCT((Ввод!$F$12:$F$31&lt;&gt;"")*(Ввод!$F$12:$F$31&lt;=A2573)*(Ввод!$G$12:$G$31&gt;=A2573))&gt;0,1,0))</f>
        <v/>
      </c>
      <c r="F2573">
        <f>IF(OR(A2573="",B2573=""),"",IF(E2573=1,0,D2573*B2573/100/C2573))</f>
        <v/>
      </c>
      <c r="G2573">
        <f>IF(A2573="","",IF(OR(B2573&lt;&gt;B2572,C2573&lt;&gt;C2572,D2573&lt;&gt;D2572,E2573&lt;&gt;E2572),G2572+1,G2572))</f>
        <v/>
      </c>
    </row>
    <row r="2574">
      <c r="A2574" s="14">
        <f>IF(OR(NOT(ISNUMBER(Ввод!$B$5)),NOT(ISNUMBER(Ввод!$B$6))),"",IF(Ввод!$B$5+2572&gt;Ввод!$B$6,"",Ввод!$B$5+2572))</f>
        <v/>
      </c>
      <c r="B2574">
        <f>IF(A2574="","",IFERROR(INDEX(Ввод!$B$12:$B$71,MATCH(A2574,Ввод!$D$12:$D$71,1)),""))</f>
        <v/>
      </c>
      <c r="C2574">
        <f>IF(A2574="","",DATE(YEAR(A2574),12,31)-DATE(YEAR(A2574),1,1)+1)</f>
        <v/>
      </c>
      <c r="D2574">
        <f>IF(A2574="","",Ввод!$B$4-SUMIF(Оплаты!$A$6:$A$505,"&lt;"&amp;A2574,Оплаты!$B$6:$B$505))</f>
        <v/>
      </c>
      <c r="E2574">
        <f>IF(A2574="","",IF(SUMPRODUCT((Ввод!$F$12:$F$31&lt;&gt;"")*(Ввод!$F$12:$F$31&lt;=A2574)*(Ввод!$G$12:$G$31&gt;=A2574))&gt;0,1,0))</f>
        <v/>
      </c>
      <c r="F2574">
        <f>IF(OR(A2574="",B2574=""),"",IF(E2574=1,0,D2574*B2574/100/C2574))</f>
        <v/>
      </c>
      <c r="G2574">
        <f>IF(A2574="","",IF(OR(B2574&lt;&gt;B2573,C2574&lt;&gt;C2573,D2574&lt;&gt;D2573,E2574&lt;&gt;E2573),G2573+1,G2573))</f>
        <v/>
      </c>
    </row>
    <row r="2575">
      <c r="A2575" s="14">
        <f>IF(OR(NOT(ISNUMBER(Ввод!$B$5)),NOT(ISNUMBER(Ввод!$B$6))),"",IF(Ввод!$B$5+2573&gt;Ввод!$B$6,"",Ввод!$B$5+2573))</f>
        <v/>
      </c>
      <c r="B2575">
        <f>IF(A2575="","",IFERROR(INDEX(Ввод!$B$12:$B$71,MATCH(A2575,Ввод!$D$12:$D$71,1)),""))</f>
        <v/>
      </c>
      <c r="C2575">
        <f>IF(A2575="","",DATE(YEAR(A2575),12,31)-DATE(YEAR(A2575),1,1)+1)</f>
        <v/>
      </c>
      <c r="D2575">
        <f>IF(A2575="","",Ввод!$B$4-SUMIF(Оплаты!$A$6:$A$505,"&lt;"&amp;A2575,Оплаты!$B$6:$B$505))</f>
        <v/>
      </c>
      <c r="E2575">
        <f>IF(A2575="","",IF(SUMPRODUCT((Ввод!$F$12:$F$31&lt;&gt;"")*(Ввод!$F$12:$F$31&lt;=A2575)*(Ввод!$G$12:$G$31&gt;=A2575))&gt;0,1,0))</f>
        <v/>
      </c>
      <c r="F2575">
        <f>IF(OR(A2575="",B2575=""),"",IF(E2575=1,0,D2575*B2575/100/C2575))</f>
        <v/>
      </c>
      <c r="G2575">
        <f>IF(A2575="","",IF(OR(B2575&lt;&gt;B2574,C2575&lt;&gt;C2574,D2575&lt;&gt;D2574,E2575&lt;&gt;E2574),G2574+1,G2574))</f>
        <v/>
      </c>
    </row>
    <row r="2576">
      <c r="A2576" s="14">
        <f>IF(OR(NOT(ISNUMBER(Ввод!$B$5)),NOT(ISNUMBER(Ввод!$B$6))),"",IF(Ввод!$B$5+2574&gt;Ввод!$B$6,"",Ввод!$B$5+2574))</f>
        <v/>
      </c>
      <c r="B2576">
        <f>IF(A2576="","",IFERROR(INDEX(Ввод!$B$12:$B$71,MATCH(A2576,Ввод!$D$12:$D$71,1)),""))</f>
        <v/>
      </c>
      <c r="C2576">
        <f>IF(A2576="","",DATE(YEAR(A2576),12,31)-DATE(YEAR(A2576),1,1)+1)</f>
        <v/>
      </c>
      <c r="D2576">
        <f>IF(A2576="","",Ввод!$B$4-SUMIF(Оплаты!$A$6:$A$505,"&lt;"&amp;A2576,Оплаты!$B$6:$B$505))</f>
        <v/>
      </c>
      <c r="E2576">
        <f>IF(A2576="","",IF(SUMPRODUCT((Ввод!$F$12:$F$31&lt;&gt;"")*(Ввод!$F$12:$F$31&lt;=A2576)*(Ввод!$G$12:$G$31&gt;=A2576))&gt;0,1,0))</f>
        <v/>
      </c>
      <c r="F2576">
        <f>IF(OR(A2576="",B2576=""),"",IF(E2576=1,0,D2576*B2576/100/C2576))</f>
        <v/>
      </c>
      <c r="G2576">
        <f>IF(A2576="","",IF(OR(B2576&lt;&gt;B2575,C2576&lt;&gt;C2575,D2576&lt;&gt;D2575,E2576&lt;&gt;E2575),G2575+1,G2575))</f>
        <v/>
      </c>
    </row>
    <row r="2577">
      <c r="A2577" s="14">
        <f>IF(OR(NOT(ISNUMBER(Ввод!$B$5)),NOT(ISNUMBER(Ввод!$B$6))),"",IF(Ввод!$B$5+2575&gt;Ввод!$B$6,"",Ввод!$B$5+2575))</f>
        <v/>
      </c>
      <c r="B2577">
        <f>IF(A2577="","",IFERROR(INDEX(Ввод!$B$12:$B$71,MATCH(A2577,Ввод!$D$12:$D$71,1)),""))</f>
        <v/>
      </c>
      <c r="C2577">
        <f>IF(A2577="","",DATE(YEAR(A2577),12,31)-DATE(YEAR(A2577),1,1)+1)</f>
        <v/>
      </c>
      <c r="D2577">
        <f>IF(A2577="","",Ввод!$B$4-SUMIF(Оплаты!$A$6:$A$505,"&lt;"&amp;A2577,Оплаты!$B$6:$B$505))</f>
        <v/>
      </c>
      <c r="E2577">
        <f>IF(A2577="","",IF(SUMPRODUCT((Ввод!$F$12:$F$31&lt;&gt;"")*(Ввод!$F$12:$F$31&lt;=A2577)*(Ввод!$G$12:$G$31&gt;=A2577))&gt;0,1,0))</f>
        <v/>
      </c>
      <c r="F2577">
        <f>IF(OR(A2577="",B2577=""),"",IF(E2577=1,0,D2577*B2577/100/C2577))</f>
        <v/>
      </c>
      <c r="G2577">
        <f>IF(A2577="","",IF(OR(B2577&lt;&gt;B2576,C2577&lt;&gt;C2576,D2577&lt;&gt;D2576,E2577&lt;&gt;E2576),G2576+1,G2576))</f>
        <v/>
      </c>
    </row>
    <row r="2578">
      <c r="A2578" s="14">
        <f>IF(OR(NOT(ISNUMBER(Ввод!$B$5)),NOT(ISNUMBER(Ввод!$B$6))),"",IF(Ввод!$B$5+2576&gt;Ввод!$B$6,"",Ввод!$B$5+2576))</f>
        <v/>
      </c>
      <c r="B2578">
        <f>IF(A2578="","",IFERROR(INDEX(Ввод!$B$12:$B$71,MATCH(A2578,Ввод!$D$12:$D$71,1)),""))</f>
        <v/>
      </c>
      <c r="C2578">
        <f>IF(A2578="","",DATE(YEAR(A2578),12,31)-DATE(YEAR(A2578),1,1)+1)</f>
        <v/>
      </c>
      <c r="D2578">
        <f>IF(A2578="","",Ввод!$B$4-SUMIF(Оплаты!$A$6:$A$505,"&lt;"&amp;A2578,Оплаты!$B$6:$B$505))</f>
        <v/>
      </c>
      <c r="E2578">
        <f>IF(A2578="","",IF(SUMPRODUCT((Ввод!$F$12:$F$31&lt;&gt;"")*(Ввод!$F$12:$F$31&lt;=A2578)*(Ввод!$G$12:$G$31&gt;=A2578))&gt;0,1,0))</f>
        <v/>
      </c>
      <c r="F2578">
        <f>IF(OR(A2578="",B2578=""),"",IF(E2578=1,0,D2578*B2578/100/C2578))</f>
        <v/>
      </c>
      <c r="G2578">
        <f>IF(A2578="","",IF(OR(B2578&lt;&gt;B2577,C2578&lt;&gt;C2577,D2578&lt;&gt;D2577,E2578&lt;&gt;E2577),G2577+1,G2577))</f>
        <v/>
      </c>
    </row>
    <row r="2579">
      <c r="A2579" s="14">
        <f>IF(OR(NOT(ISNUMBER(Ввод!$B$5)),NOT(ISNUMBER(Ввод!$B$6))),"",IF(Ввод!$B$5+2577&gt;Ввод!$B$6,"",Ввод!$B$5+2577))</f>
        <v/>
      </c>
      <c r="B2579">
        <f>IF(A2579="","",IFERROR(INDEX(Ввод!$B$12:$B$71,MATCH(A2579,Ввод!$D$12:$D$71,1)),""))</f>
        <v/>
      </c>
      <c r="C2579">
        <f>IF(A2579="","",DATE(YEAR(A2579),12,31)-DATE(YEAR(A2579),1,1)+1)</f>
        <v/>
      </c>
      <c r="D2579">
        <f>IF(A2579="","",Ввод!$B$4-SUMIF(Оплаты!$A$6:$A$505,"&lt;"&amp;A2579,Оплаты!$B$6:$B$505))</f>
        <v/>
      </c>
      <c r="E2579">
        <f>IF(A2579="","",IF(SUMPRODUCT((Ввод!$F$12:$F$31&lt;&gt;"")*(Ввод!$F$12:$F$31&lt;=A2579)*(Ввод!$G$12:$G$31&gt;=A2579))&gt;0,1,0))</f>
        <v/>
      </c>
      <c r="F2579">
        <f>IF(OR(A2579="",B2579=""),"",IF(E2579=1,0,D2579*B2579/100/C2579))</f>
        <v/>
      </c>
      <c r="G2579">
        <f>IF(A2579="","",IF(OR(B2579&lt;&gt;B2578,C2579&lt;&gt;C2578,D2579&lt;&gt;D2578,E2579&lt;&gt;E2578),G2578+1,G2578))</f>
        <v/>
      </c>
    </row>
    <row r="2580">
      <c r="A2580" s="14">
        <f>IF(OR(NOT(ISNUMBER(Ввод!$B$5)),NOT(ISNUMBER(Ввод!$B$6))),"",IF(Ввод!$B$5+2578&gt;Ввод!$B$6,"",Ввод!$B$5+2578))</f>
        <v/>
      </c>
      <c r="B2580">
        <f>IF(A2580="","",IFERROR(INDEX(Ввод!$B$12:$B$71,MATCH(A2580,Ввод!$D$12:$D$71,1)),""))</f>
        <v/>
      </c>
      <c r="C2580">
        <f>IF(A2580="","",DATE(YEAR(A2580),12,31)-DATE(YEAR(A2580),1,1)+1)</f>
        <v/>
      </c>
      <c r="D2580">
        <f>IF(A2580="","",Ввод!$B$4-SUMIF(Оплаты!$A$6:$A$505,"&lt;"&amp;A2580,Оплаты!$B$6:$B$505))</f>
        <v/>
      </c>
      <c r="E2580">
        <f>IF(A2580="","",IF(SUMPRODUCT((Ввод!$F$12:$F$31&lt;&gt;"")*(Ввод!$F$12:$F$31&lt;=A2580)*(Ввод!$G$12:$G$31&gt;=A2580))&gt;0,1,0))</f>
        <v/>
      </c>
      <c r="F2580">
        <f>IF(OR(A2580="",B2580=""),"",IF(E2580=1,0,D2580*B2580/100/C2580))</f>
        <v/>
      </c>
      <c r="G2580">
        <f>IF(A2580="","",IF(OR(B2580&lt;&gt;B2579,C2580&lt;&gt;C2579,D2580&lt;&gt;D2579,E2580&lt;&gt;E2579),G2579+1,G2579))</f>
        <v/>
      </c>
    </row>
    <row r="2581">
      <c r="A2581" s="14">
        <f>IF(OR(NOT(ISNUMBER(Ввод!$B$5)),NOT(ISNUMBER(Ввод!$B$6))),"",IF(Ввод!$B$5+2579&gt;Ввод!$B$6,"",Ввод!$B$5+2579))</f>
        <v/>
      </c>
      <c r="B2581">
        <f>IF(A2581="","",IFERROR(INDEX(Ввод!$B$12:$B$71,MATCH(A2581,Ввод!$D$12:$D$71,1)),""))</f>
        <v/>
      </c>
      <c r="C2581">
        <f>IF(A2581="","",DATE(YEAR(A2581),12,31)-DATE(YEAR(A2581),1,1)+1)</f>
        <v/>
      </c>
      <c r="D2581">
        <f>IF(A2581="","",Ввод!$B$4-SUMIF(Оплаты!$A$6:$A$505,"&lt;"&amp;A2581,Оплаты!$B$6:$B$505))</f>
        <v/>
      </c>
      <c r="E2581">
        <f>IF(A2581="","",IF(SUMPRODUCT((Ввод!$F$12:$F$31&lt;&gt;"")*(Ввод!$F$12:$F$31&lt;=A2581)*(Ввод!$G$12:$G$31&gt;=A2581))&gt;0,1,0))</f>
        <v/>
      </c>
      <c r="F2581">
        <f>IF(OR(A2581="",B2581=""),"",IF(E2581=1,0,D2581*B2581/100/C2581))</f>
        <v/>
      </c>
      <c r="G2581">
        <f>IF(A2581="","",IF(OR(B2581&lt;&gt;B2580,C2581&lt;&gt;C2580,D2581&lt;&gt;D2580,E2581&lt;&gt;E2580),G2580+1,G2580))</f>
        <v/>
      </c>
    </row>
    <row r="2582">
      <c r="A2582" s="14">
        <f>IF(OR(NOT(ISNUMBER(Ввод!$B$5)),NOT(ISNUMBER(Ввод!$B$6))),"",IF(Ввод!$B$5+2580&gt;Ввод!$B$6,"",Ввод!$B$5+2580))</f>
        <v/>
      </c>
      <c r="B2582">
        <f>IF(A2582="","",IFERROR(INDEX(Ввод!$B$12:$B$71,MATCH(A2582,Ввод!$D$12:$D$71,1)),""))</f>
        <v/>
      </c>
      <c r="C2582">
        <f>IF(A2582="","",DATE(YEAR(A2582),12,31)-DATE(YEAR(A2582),1,1)+1)</f>
        <v/>
      </c>
      <c r="D2582">
        <f>IF(A2582="","",Ввод!$B$4-SUMIF(Оплаты!$A$6:$A$505,"&lt;"&amp;A2582,Оплаты!$B$6:$B$505))</f>
        <v/>
      </c>
      <c r="E2582">
        <f>IF(A2582="","",IF(SUMPRODUCT((Ввод!$F$12:$F$31&lt;&gt;"")*(Ввод!$F$12:$F$31&lt;=A2582)*(Ввод!$G$12:$G$31&gt;=A2582))&gt;0,1,0))</f>
        <v/>
      </c>
      <c r="F2582">
        <f>IF(OR(A2582="",B2582=""),"",IF(E2582=1,0,D2582*B2582/100/C2582))</f>
        <v/>
      </c>
      <c r="G2582">
        <f>IF(A2582="","",IF(OR(B2582&lt;&gt;B2581,C2582&lt;&gt;C2581,D2582&lt;&gt;D2581,E2582&lt;&gt;E2581),G2581+1,G2581))</f>
        <v/>
      </c>
    </row>
    <row r="2583">
      <c r="A2583" s="14">
        <f>IF(OR(NOT(ISNUMBER(Ввод!$B$5)),NOT(ISNUMBER(Ввод!$B$6))),"",IF(Ввод!$B$5+2581&gt;Ввод!$B$6,"",Ввод!$B$5+2581))</f>
        <v/>
      </c>
      <c r="B2583">
        <f>IF(A2583="","",IFERROR(INDEX(Ввод!$B$12:$B$71,MATCH(A2583,Ввод!$D$12:$D$71,1)),""))</f>
        <v/>
      </c>
      <c r="C2583">
        <f>IF(A2583="","",DATE(YEAR(A2583),12,31)-DATE(YEAR(A2583),1,1)+1)</f>
        <v/>
      </c>
      <c r="D2583">
        <f>IF(A2583="","",Ввод!$B$4-SUMIF(Оплаты!$A$6:$A$505,"&lt;"&amp;A2583,Оплаты!$B$6:$B$505))</f>
        <v/>
      </c>
      <c r="E2583">
        <f>IF(A2583="","",IF(SUMPRODUCT((Ввод!$F$12:$F$31&lt;&gt;"")*(Ввод!$F$12:$F$31&lt;=A2583)*(Ввод!$G$12:$G$31&gt;=A2583))&gt;0,1,0))</f>
        <v/>
      </c>
      <c r="F2583">
        <f>IF(OR(A2583="",B2583=""),"",IF(E2583=1,0,D2583*B2583/100/C2583))</f>
        <v/>
      </c>
      <c r="G2583">
        <f>IF(A2583="","",IF(OR(B2583&lt;&gt;B2582,C2583&lt;&gt;C2582,D2583&lt;&gt;D2582,E2583&lt;&gt;E2582),G2582+1,G2582))</f>
        <v/>
      </c>
    </row>
    <row r="2584">
      <c r="A2584" s="14">
        <f>IF(OR(NOT(ISNUMBER(Ввод!$B$5)),NOT(ISNUMBER(Ввод!$B$6))),"",IF(Ввод!$B$5+2582&gt;Ввод!$B$6,"",Ввод!$B$5+2582))</f>
        <v/>
      </c>
      <c r="B2584">
        <f>IF(A2584="","",IFERROR(INDEX(Ввод!$B$12:$B$71,MATCH(A2584,Ввод!$D$12:$D$71,1)),""))</f>
        <v/>
      </c>
      <c r="C2584">
        <f>IF(A2584="","",DATE(YEAR(A2584),12,31)-DATE(YEAR(A2584),1,1)+1)</f>
        <v/>
      </c>
      <c r="D2584">
        <f>IF(A2584="","",Ввод!$B$4-SUMIF(Оплаты!$A$6:$A$505,"&lt;"&amp;A2584,Оплаты!$B$6:$B$505))</f>
        <v/>
      </c>
      <c r="E2584">
        <f>IF(A2584="","",IF(SUMPRODUCT((Ввод!$F$12:$F$31&lt;&gt;"")*(Ввод!$F$12:$F$31&lt;=A2584)*(Ввод!$G$12:$G$31&gt;=A2584))&gt;0,1,0))</f>
        <v/>
      </c>
      <c r="F2584">
        <f>IF(OR(A2584="",B2584=""),"",IF(E2584=1,0,D2584*B2584/100/C2584))</f>
        <v/>
      </c>
      <c r="G2584">
        <f>IF(A2584="","",IF(OR(B2584&lt;&gt;B2583,C2584&lt;&gt;C2583,D2584&lt;&gt;D2583,E2584&lt;&gt;E2583),G2583+1,G2583))</f>
        <v/>
      </c>
    </row>
    <row r="2585">
      <c r="A2585" s="14">
        <f>IF(OR(NOT(ISNUMBER(Ввод!$B$5)),NOT(ISNUMBER(Ввод!$B$6))),"",IF(Ввод!$B$5+2583&gt;Ввод!$B$6,"",Ввод!$B$5+2583))</f>
        <v/>
      </c>
      <c r="B2585">
        <f>IF(A2585="","",IFERROR(INDEX(Ввод!$B$12:$B$71,MATCH(A2585,Ввод!$D$12:$D$71,1)),""))</f>
        <v/>
      </c>
      <c r="C2585">
        <f>IF(A2585="","",DATE(YEAR(A2585),12,31)-DATE(YEAR(A2585),1,1)+1)</f>
        <v/>
      </c>
      <c r="D2585">
        <f>IF(A2585="","",Ввод!$B$4-SUMIF(Оплаты!$A$6:$A$505,"&lt;"&amp;A2585,Оплаты!$B$6:$B$505))</f>
        <v/>
      </c>
      <c r="E2585">
        <f>IF(A2585="","",IF(SUMPRODUCT((Ввод!$F$12:$F$31&lt;&gt;"")*(Ввод!$F$12:$F$31&lt;=A2585)*(Ввод!$G$12:$G$31&gt;=A2585))&gt;0,1,0))</f>
        <v/>
      </c>
      <c r="F2585">
        <f>IF(OR(A2585="",B2585=""),"",IF(E2585=1,0,D2585*B2585/100/C2585))</f>
        <v/>
      </c>
      <c r="G2585">
        <f>IF(A2585="","",IF(OR(B2585&lt;&gt;B2584,C2585&lt;&gt;C2584,D2585&lt;&gt;D2584,E2585&lt;&gt;E2584),G2584+1,G2584))</f>
        <v/>
      </c>
    </row>
    <row r="2586">
      <c r="A2586" s="14">
        <f>IF(OR(NOT(ISNUMBER(Ввод!$B$5)),NOT(ISNUMBER(Ввод!$B$6))),"",IF(Ввод!$B$5+2584&gt;Ввод!$B$6,"",Ввод!$B$5+2584))</f>
        <v/>
      </c>
      <c r="B2586">
        <f>IF(A2586="","",IFERROR(INDEX(Ввод!$B$12:$B$71,MATCH(A2586,Ввод!$D$12:$D$71,1)),""))</f>
        <v/>
      </c>
      <c r="C2586">
        <f>IF(A2586="","",DATE(YEAR(A2586),12,31)-DATE(YEAR(A2586),1,1)+1)</f>
        <v/>
      </c>
      <c r="D2586">
        <f>IF(A2586="","",Ввод!$B$4-SUMIF(Оплаты!$A$6:$A$505,"&lt;"&amp;A2586,Оплаты!$B$6:$B$505))</f>
        <v/>
      </c>
      <c r="E2586">
        <f>IF(A2586="","",IF(SUMPRODUCT((Ввод!$F$12:$F$31&lt;&gt;"")*(Ввод!$F$12:$F$31&lt;=A2586)*(Ввод!$G$12:$G$31&gt;=A2586))&gt;0,1,0))</f>
        <v/>
      </c>
      <c r="F2586">
        <f>IF(OR(A2586="",B2586=""),"",IF(E2586=1,0,D2586*B2586/100/C2586))</f>
        <v/>
      </c>
      <c r="G2586">
        <f>IF(A2586="","",IF(OR(B2586&lt;&gt;B2585,C2586&lt;&gt;C2585,D2586&lt;&gt;D2585,E2586&lt;&gt;E2585),G2585+1,G2585))</f>
        <v/>
      </c>
    </row>
    <row r="2587">
      <c r="A2587" s="14">
        <f>IF(OR(NOT(ISNUMBER(Ввод!$B$5)),NOT(ISNUMBER(Ввод!$B$6))),"",IF(Ввод!$B$5+2585&gt;Ввод!$B$6,"",Ввод!$B$5+2585))</f>
        <v/>
      </c>
      <c r="B2587">
        <f>IF(A2587="","",IFERROR(INDEX(Ввод!$B$12:$B$71,MATCH(A2587,Ввод!$D$12:$D$71,1)),""))</f>
        <v/>
      </c>
      <c r="C2587">
        <f>IF(A2587="","",DATE(YEAR(A2587),12,31)-DATE(YEAR(A2587),1,1)+1)</f>
        <v/>
      </c>
      <c r="D2587">
        <f>IF(A2587="","",Ввод!$B$4-SUMIF(Оплаты!$A$6:$A$505,"&lt;"&amp;A2587,Оплаты!$B$6:$B$505))</f>
        <v/>
      </c>
      <c r="E2587">
        <f>IF(A2587="","",IF(SUMPRODUCT((Ввод!$F$12:$F$31&lt;&gt;"")*(Ввод!$F$12:$F$31&lt;=A2587)*(Ввод!$G$12:$G$31&gt;=A2587))&gt;0,1,0))</f>
        <v/>
      </c>
      <c r="F2587">
        <f>IF(OR(A2587="",B2587=""),"",IF(E2587=1,0,D2587*B2587/100/C2587))</f>
        <v/>
      </c>
      <c r="G2587">
        <f>IF(A2587="","",IF(OR(B2587&lt;&gt;B2586,C2587&lt;&gt;C2586,D2587&lt;&gt;D2586,E2587&lt;&gt;E2586),G2586+1,G2586))</f>
        <v/>
      </c>
    </row>
    <row r="2588">
      <c r="A2588" s="14">
        <f>IF(OR(NOT(ISNUMBER(Ввод!$B$5)),NOT(ISNUMBER(Ввод!$B$6))),"",IF(Ввод!$B$5+2586&gt;Ввод!$B$6,"",Ввод!$B$5+2586))</f>
        <v/>
      </c>
      <c r="B2588">
        <f>IF(A2588="","",IFERROR(INDEX(Ввод!$B$12:$B$71,MATCH(A2588,Ввод!$D$12:$D$71,1)),""))</f>
        <v/>
      </c>
      <c r="C2588">
        <f>IF(A2588="","",DATE(YEAR(A2588),12,31)-DATE(YEAR(A2588),1,1)+1)</f>
        <v/>
      </c>
      <c r="D2588">
        <f>IF(A2588="","",Ввод!$B$4-SUMIF(Оплаты!$A$6:$A$505,"&lt;"&amp;A2588,Оплаты!$B$6:$B$505))</f>
        <v/>
      </c>
      <c r="E2588">
        <f>IF(A2588="","",IF(SUMPRODUCT((Ввод!$F$12:$F$31&lt;&gt;"")*(Ввод!$F$12:$F$31&lt;=A2588)*(Ввод!$G$12:$G$31&gt;=A2588))&gt;0,1,0))</f>
        <v/>
      </c>
      <c r="F2588">
        <f>IF(OR(A2588="",B2588=""),"",IF(E2588=1,0,D2588*B2588/100/C2588))</f>
        <v/>
      </c>
      <c r="G2588">
        <f>IF(A2588="","",IF(OR(B2588&lt;&gt;B2587,C2588&lt;&gt;C2587,D2588&lt;&gt;D2587,E2588&lt;&gt;E2587),G2587+1,G2587))</f>
        <v/>
      </c>
    </row>
    <row r="2589">
      <c r="A2589" s="14">
        <f>IF(OR(NOT(ISNUMBER(Ввод!$B$5)),NOT(ISNUMBER(Ввод!$B$6))),"",IF(Ввод!$B$5+2587&gt;Ввод!$B$6,"",Ввод!$B$5+2587))</f>
        <v/>
      </c>
      <c r="B2589">
        <f>IF(A2589="","",IFERROR(INDEX(Ввод!$B$12:$B$71,MATCH(A2589,Ввод!$D$12:$D$71,1)),""))</f>
        <v/>
      </c>
      <c r="C2589">
        <f>IF(A2589="","",DATE(YEAR(A2589),12,31)-DATE(YEAR(A2589),1,1)+1)</f>
        <v/>
      </c>
      <c r="D2589">
        <f>IF(A2589="","",Ввод!$B$4-SUMIF(Оплаты!$A$6:$A$505,"&lt;"&amp;A2589,Оплаты!$B$6:$B$505))</f>
        <v/>
      </c>
      <c r="E2589">
        <f>IF(A2589="","",IF(SUMPRODUCT((Ввод!$F$12:$F$31&lt;&gt;"")*(Ввод!$F$12:$F$31&lt;=A2589)*(Ввод!$G$12:$G$31&gt;=A2589))&gt;0,1,0))</f>
        <v/>
      </c>
      <c r="F2589">
        <f>IF(OR(A2589="",B2589=""),"",IF(E2589=1,0,D2589*B2589/100/C2589))</f>
        <v/>
      </c>
      <c r="G2589">
        <f>IF(A2589="","",IF(OR(B2589&lt;&gt;B2588,C2589&lt;&gt;C2588,D2589&lt;&gt;D2588,E2589&lt;&gt;E2588),G2588+1,G2588))</f>
        <v/>
      </c>
    </row>
    <row r="2590">
      <c r="A2590" s="14">
        <f>IF(OR(NOT(ISNUMBER(Ввод!$B$5)),NOT(ISNUMBER(Ввод!$B$6))),"",IF(Ввод!$B$5+2588&gt;Ввод!$B$6,"",Ввод!$B$5+2588))</f>
        <v/>
      </c>
      <c r="B2590">
        <f>IF(A2590="","",IFERROR(INDEX(Ввод!$B$12:$B$71,MATCH(A2590,Ввод!$D$12:$D$71,1)),""))</f>
        <v/>
      </c>
      <c r="C2590">
        <f>IF(A2590="","",DATE(YEAR(A2590),12,31)-DATE(YEAR(A2590),1,1)+1)</f>
        <v/>
      </c>
      <c r="D2590">
        <f>IF(A2590="","",Ввод!$B$4-SUMIF(Оплаты!$A$6:$A$505,"&lt;"&amp;A2590,Оплаты!$B$6:$B$505))</f>
        <v/>
      </c>
      <c r="E2590">
        <f>IF(A2590="","",IF(SUMPRODUCT((Ввод!$F$12:$F$31&lt;&gt;"")*(Ввод!$F$12:$F$31&lt;=A2590)*(Ввод!$G$12:$G$31&gt;=A2590))&gt;0,1,0))</f>
        <v/>
      </c>
      <c r="F2590">
        <f>IF(OR(A2590="",B2590=""),"",IF(E2590=1,0,D2590*B2590/100/C2590))</f>
        <v/>
      </c>
      <c r="G2590">
        <f>IF(A2590="","",IF(OR(B2590&lt;&gt;B2589,C2590&lt;&gt;C2589,D2590&lt;&gt;D2589,E2590&lt;&gt;E2589),G2589+1,G2589))</f>
        <v/>
      </c>
    </row>
    <row r="2591">
      <c r="A2591" s="14">
        <f>IF(OR(NOT(ISNUMBER(Ввод!$B$5)),NOT(ISNUMBER(Ввод!$B$6))),"",IF(Ввод!$B$5+2589&gt;Ввод!$B$6,"",Ввод!$B$5+2589))</f>
        <v/>
      </c>
      <c r="B2591">
        <f>IF(A2591="","",IFERROR(INDEX(Ввод!$B$12:$B$71,MATCH(A2591,Ввод!$D$12:$D$71,1)),""))</f>
        <v/>
      </c>
      <c r="C2591">
        <f>IF(A2591="","",DATE(YEAR(A2591),12,31)-DATE(YEAR(A2591),1,1)+1)</f>
        <v/>
      </c>
      <c r="D2591">
        <f>IF(A2591="","",Ввод!$B$4-SUMIF(Оплаты!$A$6:$A$505,"&lt;"&amp;A2591,Оплаты!$B$6:$B$505))</f>
        <v/>
      </c>
      <c r="E2591">
        <f>IF(A2591="","",IF(SUMPRODUCT((Ввод!$F$12:$F$31&lt;&gt;"")*(Ввод!$F$12:$F$31&lt;=A2591)*(Ввод!$G$12:$G$31&gt;=A2591))&gt;0,1,0))</f>
        <v/>
      </c>
      <c r="F2591">
        <f>IF(OR(A2591="",B2591=""),"",IF(E2591=1,0,D2591*B2591/100/C2591))</f>
        <v/>
      </c>
      <c r="G2591">
        <f>IF(A2591="","",IF(OR(B2591&lt;&gt;B2590,C2591&lt;&gt;C2590,D2591&lt;&gt;D2590,E2591&lt;&gt;E2590),G2590+1,G2590))</f>
        <v/>
      </c>
    </row>
    <row r="2592">
      <c r="A2592" s="14">
        <f>IF(OR(NOT(ISNUMBER(Ввод!$B$5)),NOT(ISNUMBER(Ввод!$B$6))),"",IF(Ввод!$B$5+2590&gt;Ввод!$B$6,"",Ввод!$B$5+2590))</f>
        <v/>
      </c>
      <c r="B2592">
        <f>IF(A2592="","",IFERROR(INDEX(Ввод!$B$12:$B$71,MATCH(A2592,Ввод!$D$12:$D$71,1)),""))</f>
        <v/>
      </c>
      <c r="C2592">
        <f>IF(A2592="","",DATE(YEAR(A2592),12,31)-DATE(YEAR(A2592),1,1)+1)</f>
        <v/>
      </c>
      <c r="D2592">
        <f>IF(A2592="","",Ввод!$B$4-SUMIF(Оплаты!$A$6:$A$505,"&lt;"&amp;A2592,Оплаты!$B$6:$B$505))</f>
        <v/>
      </c>
      <c r="E2592">
        <f>IF(A2592="","",IF(SUMPRODUCT((Ввод!$F$12:$F$31&lt;&gt;"")*(Ввод!$F$12:$F$31&lt;=A2592)*(Ввод!$G$12:$G$31&gt;=A2592))&gt;0,1,0))</f>
        <v/>
      </c>
      <c r="F2592">
        <f>IF(OR(A2592="",B2592=""),"",IF(E2592=1,0,D2592*B2592/100/C2592))</f>
        <v/>
      </c>
      <c r="G2592">
        <f>IF(A2592="","",IF(OR(B2592&lt;&gt;B2591,C2592&lt;&gt;C2591,D2592&lt;&gt;D2591,E2592&lt;&gt;E2591),G2591+1,G2591))</f>
        <v/>
      </c>
    </row>
    <row r="2593">
      <c r="A2593" s="14">
        <f>IF(OR(NOT(ISNUMBER(Ввод!$B$5)),NOT(ISNUMBER(Ввод!$B$6))),"",IF(Ввод!$B$5+2591&gt;Ввод!$B$6,"",Ввод!$B$5+2591))</f>
        <v/>
      </c>
      <c r="B2593">
        <f>IF(A2593="","",IFERROR(INDEX(Ввод!$B$12:$B$71,MATCH(A2593,Ввод!$D$12:$D$71,1)),""))</f>
        <v/>
      </c>
      <c r="C2593">
        <f>IF(A2593="","",DATE(YEAR(A2593),12,31)-DATE(YEAR(A2593),1,1)+1)</f>
        <v/>
      </c>
      <c r="D2593">
        <f>IF(A2593="","",Ввод!$B$4-SUMIF(Оплаты!$A$6:$A$505,"&lt;"&amp;A2593,Оплаты!$B$6:$B$505))</f>
        <v/>
      </c>
      <c r="E2593">
        <f>IF(A2593="","",IF(SUMPRODUCT((Ввод!$F$12:$F$31&lt;&gt;"")*(Ввод!$F$12:$F$31&lt;=A2593)*(Ввод!$G$12:$G$31&gt;=A2593))&gt;0,1,0))</f>
        <v/>
      </c>
      <c r="F2593">
        <f>IF(OR(A2593="",B2593=""),"",IF(E2593=1,0,D2593*B2593/100/C2593))</f>
        <v/>
      </c>
      <c r="G2593">
        <f>IF(A2593="","",IF(OR(B2593&lt;&gt;B2592,C2593&lt;&gt;C2592,D2593&lt;&gt;D2592,E2593&lt;&gt;E2592),G2592+1,G2592))</f>
        <v/>
      </c>
    </row>
    <row r="2594">
      <c r="A2594" s="14">
        <f>IF(OR(NOT(ISNUMBER(Ввод!$B$5)),NOT(ISNUMBER(Ввод!$B$6))),"",IF(Ввод!$B$5+2592&gt;Ввод!$B$6,"",Ввод!$B$5+2592))</f>
        <v/>
      </c>
      <c r="B2594">
        <f>IF(A2594="","",IFERROR(INDEX(Ввод!$B$12:$B$71,MATCH(A2594,Ввод!$D$12:$D$71,1)),""))</f>
        <v/>
      </c>
      <c r="C2594">
        <f>IF(A2594="","",DATE(YEAR(A2594),12,31)-DATE(YEAR(A2594),1,1)+1)</f>
        <v/>
      </c>
      <c r="D2594">
        <f>IF(A2594="","",Ввод!$B$4-SUMIF(Оплаты!$A$6:$A$505,"&lt;"&amp;A2594,Оплаты!$B$6:$B$505))</f>
        <v/>
      </c>
      <c r="E2594">
        <f>IF(A2594="","",IF(SUMPRODUCT((Ввод!$F$12:$F$31&lt;&gt;"")*(Ввод!$F$12:$F$31&lt;=A2594)*(Ввод!$G$12:$G$31&gt;=A2594))&gt;0,1,0))</f>
        <v/>
      </c>
      <c r="F2594">
        <f>IF(OR(A2594="",B2594=""),"",IF(E2594=1,0,D2594*B2594/100/C2594))</f>
        <v/>
      </c>
      <c r="G2594">
        <f>IF(A2594="","",IF(OR(B2594&lt;&gt;B2593,C2594&lt;&gt;C2593,D2594&lt;&gt;D2593,E2594&lt;&gt;E2593),G2593+1,G2593))</f>
        <v/>
      </c>
    </row>
    <row r="2595">
      <c r="A2595" s="14">
        <f>IF(OR(NOT(ISNUMBER(Ввод!$B$5)),NOT(ISNUMBER(Ввод!$B$6))),"",IF(Ввод!$B$5+2593&gt;Ввод!$B$6,"",Ввод!$B$5+2593))</f>
        <v/>
      </c>
      <c r="B2595">
        <f>IF(A2595="","",IFERROR(INDEX(Ввод!$B$12:$B$71,MATCH(A2595,Ввод!$D$12:$D$71,1)),""))</f>
        <v/>
      </c>
      <c r="C2595">
        <f>IF(A2595="","",DATE(YEAR(A2595),12,31)-DATE(YEAR(A2595),1,1)+1)</f>
        <v/>
      </c>
      <c r="D2595">
        <f>IF(A2595="","",Ввод!$B$4-SUMIF(Оплаты!$A$6:$A$505,"&lt;"&amp;A2595,Оплаты!$B$6:$B$505))</f>
        <v/>
      </c>
      <c r="E2595">
        <f>IF(A2595="","",IF(SUMPRODUCT((Ввод!$F$12:$F$31&lt;&gt;"")*(Ввод!$F$12:$F$31&lt;=A2595)*(Ввод!$G$12:$G$31&gt;=A2595))&gt;0,1,0))</f>
        <v/>
      </c>
      <c r="F2595">
        <f>IF(OR(A2595="",B2595=""),"",IF(E2595=1,0,D2595*B2595/100/C2595))</f>
        <v/>
      </c>
      <c r="G2595">
        <f>IF(A2595="","",IF(OR(B2595&lt;&gt;B2594,C2595&lt;&gt;C2594,D2595&lt;&gt;D2594,E2595&lt;&gt;E2594),G2594+1,G2594))</f>
        <v/>
      </c>
    </row>
    <row r="2596">
      <c r="A2596" s="14">
        <f>IF(OR(NOT(ISNUMBER(Ввод!$B$5)),NOT(ISNUMBER(Ввод!$B$6))),"",IF(Ввод!$B$5+2594&gt;Ввод!$B$6,"",Ввод!$B$5+2594))</f>
        <v/>
      </c>
      <c r="B2596">
        <f>IF(A2596="","",IFERROR(INDEX(Ввод!$B$12:$B$71,MATCH(A2596,Ввод!$D$12:$D$71,1)),""))</f>
        <v/>
      </c>
      <c r="C2596">
        <f>IF(A2596="","",DATE(YEAR(A2596),12,31)-DATE(YEAR(A2596),1,1)+1)</f>
        <v/>
      </c>
      <c r="D2596">
        <f>IF(A2596="","",Ввод!$B$4-SUMIF(Оплаты!$A$6:$A$505,"&lt;"&amp;A2596,Оплаты!$B$6:$B$505))</f>
        <v/>
      </c>
      <c r="E2596">
        <f>IF(A2596="","",IF(SUMPRODUCT((Ввод!$F$12:$F$31&lt;&gt;"")*(Ввод!$F$12:$F$31&lt;=A2596)*(Ввод!$G$12:$G$31&gt;=A2596))&gt;0,1,0))</f>
        <v/>
      </c>
      <c r="F2596">
        <f>IF(OR(A2596="",B2596=""),"",IF(E2596=1,0,D2596*B2596/100/C2596))</f>
        <v/>
      </c>
      <c r="G2596">
        <f>IF(A2596="","",IF(OR(B2596&lt;&gt;B2595,C2596&lt;&gt;C2595,D2596&lt;&gt;D2595,E2596&lt;&gt;E2595),G2595+1,G2595))</f>
        <v/>
      </c>
    </row>
    <row r="2597">
      <c r="A2597" s="14">
        <f>IF(OR(NOT(ISNUMBER(Ввод!$B$5)),NOT(ISNUMBER(Ввод!$B$6))),"",IF(Ввод!$B$5+2595&gt;Ввод!$B$6,"",Ввод!$B$5+2595))</f>
        <v/>
      </c>
      <c r="B2597">
        <f>IF(A2597="","",IFERROR(INDEX(Ввод!$B$12:$B$71,MATCH(A2597,Ввод!$D$12:$D$71,1)),""))</f>
        <v/>
      </c>
      <c r="C2597">
        <f>IF(A2597="","",DATE(YEAR(A2597),12,31)-DATE(YEAR(A2597),1,1)+1)</f>
        <v/>
      </c>
      <c r="D2597">
        <f>IF(A2597="","",Ввод!$B$4-SUMIF(Оплаты!$A$6:$A$505,"&lt;"&amp;A2597,Оплаты!$B$6:$B$505))</f>
        <v/>
      </c>
      <c r="E2597">
        <f>IF(A2597="","",IF(SUMPRODUCT((Ввод!$F$12:$F$31&lt;&gt;"")*(Ввод!$F$12:$F$31&lt;=A2597)*(Ввод!$G$12:$G$31&gt;=A2597))&gt;0,1,0))</f>
        <v/>
      </c>
      <c r="F2597">
        <f>IF(OR(A2597="",B2597=""),"",IF(E2597=1,0,D2597*B2597/100/C2597))</f>
        <v/>
      </c>
      <c r="G2597">
        <f>IF(A2597="","",IF(OR(B2597&lt;&gt;B2596,C2597&lt;&gt;C2596,D2597&lt;&gt;D2596,E2597&lt;&gt;E2596),G2596+1,G2596))</f>
        <v/>
      </c>
    </row>
    <row r="2598">
      <c r="A2598" s="14">
        <f>IF(OR(NOT(ISNUMBER(Ввод!$B$5)),NOT(ISNUMBER(Ввод!$B$6))),"",IF(Ввод!$B$5+2596&gt;Ввод!$B$6,"",Ввод!$B$5+2596))</f>
        <v/>
      </c>
      <c r="B2598">
        <f>IF(A2598="","",IFERROR(INDEX(Ввод!$B$12:$B$71,MATCH(A2598,Ввод!$D$12:$D$71,1)),""))</f>
        <v/>
      </c>
      <c r="C2598">
        <f>IF(A2598="","",DATE(YEAR(A2598),12,31)-DATE(YEAR(A2598),1,1)+1)</f>
        <v/>
      </c>
      <c r="D2598">
        <f>IF(A2598="","",Ввод!$B$4-SUMIF(Оплаты!$A$6:$A$505,"&lt;"&amp;A2598,Оплаты!$B$6:$B$505))</f>
        <v/>
      </c>
      <c r="E2598">
        <f>IF(A2598="","",IF(SUMPRODUCT((Ввод!$F$12:$F$31&lt;&gt;"")*(Ввод!$F$12:$F$31&lt;=A2598)*(Ввод!$G$12:$G$31&gt;=A2598))&gt;0,1,0))</f>
        <v/>
      </c>
      <c r="F2598">
        <f>IF(OR(A2598="",B2598=""),"",IF(E2598=1,0,D2598*B2598/100/C2598))</f>
        <v/>
      </c>
      <c r="G2598">
        <f>IF(A2598="","",IF(OR(B2598&lt;&gt;B2597,C2598&lt;&gt;C2597,D2598&lt;&gt;D2597,E2598&lt;&gt;E2597),G2597+1,G2597))</f>
        <v/>
      </c>
    </row>
    <row r="2599">
      <c r="A2599" s="14">
        <f>IF(OR(NOT(ISNUMBER(Ввод!$B$5)),NOT(ISNUMBER(Ввод!$B$6))),"",IF(Ввод!$B$5+2597&gt;Ввод!$B$6,"",Ввод!$B$5+2597))</f>
        <v/>
      </c>
      <c r="B2599">
        <f>IF(A2599="","",IFERROR(INDEX(Ввод!$B$12:$B$71,MATCH(A2599,Ввод!$D$12:$D$71,1)),""))</f>
        <v/>
      </c>
      <c r="C2599">
        <f>IF(A2599="","",DATE(YEAR(A2599),12,31)-DATE(YEAR(A2599),1,1)+1)</f>
        <v/>
      </c>
      <c r="D2599">
        <f>IF(A2599="","",Ввод!$B$4-SUMIF(Оплаты!$A$6:$A$505,"&lt;"&amp;A2599,Оплаты!$B$6:$B$505))</f>
        <v/>
      </c>
      <c r="E2599">
        <f>IF(A2599="","",IF(SUMPRODUCT((Ввод!$F$12:$F$31&lt;&gt;"")*(Ввод!$F$12:$F$31&lt;=A2599)*(Ввод!$G$12:$G$31&gt;=A2599))&gt;0,1,0))</f>
        <v/>
      </c>
      <c r="F2599">
        <f>IF(OR(A2599="",B2599=""),"",IF(E2599=1,0,D2599*B2599/100/C2599))</f>
        <v/>
      </c>
      <c r="G2599">
        <f>IF(A2599="","",IF(OR(B2599&lt;&gt;B2598,C2599&lt;&gt;C2598,D2599&lt;&gt;D2598,E2599&lt;&gt;E2598),G2598+1,G2598))</f>
        <v/>
      </c>
    </row>
    <row r="2600">
      <c r="A2600" s="14">
        <f>IF(OR(NOT(ISNUMBER(Ввод!$B$5)),NOT(ISNUMBER(Ввод!$B$6))),"",IF(Ввод!$B$5+2598&gt;Ввод!$B$6,"",Ввод!$B$5+2598))</f>
        <v/>
      </c>
      <c r="B2600">
        <f>IF(A2600="","",IFERROR(INDEX(Ввод!$B$12:$B$71,MATCH(A2600,Ввод!$D$12:$D$71,1)),""))</f>
        <v/>
      </c>
      <c r="C2600">
        <f>IF(A2600="","",DATE(YEAR(A2600),12,31)-DATE(YEAR(A2600),1,1)+1)</f>
        <v/>
      </c>
      <c r="D2600">
        <f>IF(A2600="","",Ввод!$B$4-SUMIF(Оплаты!$A$6:$A$505,"&lt;"&amp;A2600,Оплаты!$B$6:$B$505))</f>
        <v/>
      </c>
      <c r="E2600">
        <f>IF(A2600="","",IF(SUMPRODUCT((Ввод!$F$12:$F$31&lt;&gt;"")*(Ввод!$F$12:$F$31&lt;=A2600)*(Ввод!$G$12:$G$31&gt;=A2600))&gt;0,1,0))</f>
        <v/>
      </c>
      <c r="F2600">
        <f>IF(OR(A2600="",B2600=""),"",IF(E2600=1,0,D2600*B2600/100/C2600))</f>
        <v/>
      </c>
      <c r="G2600">
        <f>IF(A2600="","",IF(OR(B2600&lt;&gt;B2599,C2600&lt;&gt;C2599,D2600&lt;&gt;D2599,E2600&lt;&gt;E2599),G2599+1,G2599))</f>
        <v/>
      </c>
    </row>
    <row r="2601">
      <c r="A2601" s="14">
        <f>IF(OR(NOT(ISNUMBER(Ввод!$B$5)),NOT(ISNUMBER(Ввод!$B$6))),"",IF(Ввод!$B$5+2599&gt;Ввод!$B$6,"",Ввод!$B$5+2599))</f>
        <v/>
      </c>
      <c r="B2601">
        <f>IF(A2601="","",IFERROR(INDEX(Ввод!$B$12:$B$71,MATCH(A2601,Ввод!$D$12:$D$71,1)),""))</f>
        <v/>
      </c>
      <c r="C2601">
        <f>IF(A2601="","",DATE(YEAR(A2601),12,31)-DATE(YEAR(A2601),1,1)+1)</f>
        <v/>
      </c>
      <c r="D2601">
        <f>IF(A2601="","",Ввод!$B$4-SUMIF(Оплаты!$A$6:$A$505,"&lt;"&amp;A2601,Оплаты!$B$6:$B$505))</f>
        <v/>
      </c>
      <c r="E2601">
        <f>IF(A2601="","",IF(SUMPRODUCT((Ввод!$F$12:$F$31&lt;&gt;"")*(Ввод!$F$12:$F$31&lt;=A2601)*(Ввод!$G$12:$G$31&gt;=A2601))&gt;0,1,0))</f>
        <v/>
      </c>
      <c r="F2601">
        <f>IF(OR(A2601="",B2601=""),"",IF(E2601=1,0,D2601*B2601/100/C2601))</f>
        <v/>
      </c>
      <c r="G2601">
        <f>IF(A2601="","",IF(OR(B2601&lt;&gt;B2600,C2601&lt;&gt;C2600,D2601&lt;&gt;D2600,E2601&lt;&gt;E2600),G2600+1,G2600))</f>
        <v/>
      </c>
    </row>
    <row r="2602">
      <c r="A2602" s="14">
        <f>IF(OR(NOT(ISNUMBER(Ввод!$B$5)),NOT(ISNUMBER(Ввод!$B$6))),"",IF(Ввод!$B$5+2600&gt;Ввод!$B$6,"",Ввод!$B$5+2600))</f>
        <v/>
      </c>
      <c r="B2602">
        <f>IF(A2602="","",IFERROR(INDEX(Ввод!$B$12:$B$71,MATCH(A2602,Ввод!$D$12:$D$71,1)),""))</f>
        <v/>
      </c>
      <c r="C2602">
        <f>IF(A2602="","",DATE(YEAR(A2602),12,31)-DATE(YEAR(A2602),1,1)+1)</f>
        <v/>
      </c>
      <c r="D2602">
        <f>IF(A2602="","",Ввод!$B$4-SUMIF(Оплаты!$A$6:$A$505,"&lt;"&amp;A2602,Оплаты!$B$6:$B$505))</f>
        <v/>
      </c>
      <c r="E2602">
        <f>IF(A2602="","",IF(SUMPRODUCT((Ввод!$F$12:$F$31&lt;&gt;"")*(Ввод!$F$12:$F$31&lt;=A2602)*(Ввод!$G$12:$G$31&gt;=A2602))&gt;0,1,0))</f>
        <v/>
      </c>
      <c r="F2602">
        <f>IF(OR(A2602="",B2602=""),"",IF(E2602=1,0,D2602*B2602/100/C2602))</f>
        <v/>
      </c>
      <c r="G2602">
        <f>IF(A2602="","",IF(OR(B2602&lt;&gt;B2601,C2602&lt;&gt;C2601,D2602&lt;&gt;D2601,E2602&lt;&gt;E2601),G2601+1,G2601))</f>
        <v/>
      </c>
    </row>
    <row r="2603">
      <c r="A2603" s="14">
        <f>IF(OR(NOT(ISNUMBER(Ввод!$B$5)),NOT(ISNUMBER(Ввод!$B$6))),"",IF(Ввод!$B$5+2601&gt;Ввод!$B$6,"",Ввод!$B$5+2601))</f>
        <v/>
      </c>
      <c r="B2603">
        <f>IF(A2603="","",IFERROR(INDEX(Ввод!$B$12:$B$71,MATCH(A2603,Ввод!$D$12:$D$71,1)),""))</f>
        <v/>
      </c>
      <c r="C2603">
        <f>IF(A2603="","",DATE(YEAR(A2603),12,31)-DATE(YEAR(A2603),1,1)+1)</f>
        <v/>
      </c>
      <c r="D2603">
        <f>IF(A2603="","",Ввод!$B$4-SUMIF(Оплаты!$A$6:$A$505,"&lt;"&amp;A2603,Оплаты!$B$6:$B$505))</f>
        <v/>
      </c>
      <c r="E2603">
        <f>IF(A2603="","",IF(SUMPRODUCT((Ввод!$F$12:$F$31&lt;&gt;"")*(Ввод!$F$12:$F$31&lt;=A2603)*(Ввод!$G$12:$G$31&gt;=A2603))&gt;0,1,0))</f>
        <v/>
      </c>
      <c r="F2603">
        <f>IF(OR(A2603="",B2603=""),"",IF(E2603=1,0,D2603*B2603/100/C2603))</f>
        <v/>
      </c>
      <c r="G2603">
        <f>IF(A2603="","",IF(OR(B2603&lt;&gt;B2602,C2603&lt;&gt;C2602,D2603&lt;&gt;D2602,E2603&lt;&gt;E2602),G2602+1,G2602))</f>
        <v/>
      </c>
    </row>
    <row r="2604">
      <c r="A2604" s="14">
        <f>IF(OR(NOT(ISNUMBER(Ввод!$B$5)),NOT(ISNUMBER(Ввод!$B$6))),"",IF(Ввод!$B$5+2602&gt;Ввод!$B$6,"",Ввод!$B$5+2602))</f>
        <v/>
      </c>
      <c r="B2604">
        <f>IF(A2604="","",IFERROR(INDEX(Ввод!$B$12:$B$71,MATCH(A2604,Ввод!$D$12:$D$71,1)),""))</f>
        <v/>
      </c>
      <c r="C2604">
        <f>IF(A2604="","",DATE(YEAR(A2604),12,31)-DATE(YEAR(A2604),1,1)+1)</f>
        <v/>
      </c>
      <c r="D2604">
        <f>IF(A2604="","",Ввод!$B$4-SUMIF(Оплаты!$A$6:$A$505,"&lt;"&amp;A2604,Оплаты!$B$6:$B$505))</f>
        <v/>
      </c>
      <c r="E2604">
        <f>IF(A2604="","",IF(SUMPRODUCT((Ввод!$F$12:$F$31&lt;&gt;"")*(Ввод!$F$12:$F$31&lt;=A2604)*(Ввод!$G$12:$G$31&gt;=A2604))&gt;0,1,0))</f>
        <v/>
      </c>
      <c r="F2604">
        <f>IF(OR(A2604="",B2604=""),"",IF(E2604=1,0,D2604*B2604/100/C2604))</f>
        <v/>
      </c>
      <c r="G2604">
        <f>IF(A2604="","",IF(OR(B2604&lt;&gt;B2603,C2604&lt;&gt;C2603,D2604&lt;&gt;D2603,E2604&lt;&gt;E2603),G2603+1,G2603))</f>
        <v/>
      </c>
    </row>
    <row r="2605">
      <c r="A2605" s="14">
        <f>IF(OR(NOT(ISNUMBER(Ввод!$B$5)),NOT(ISNUMBER(Ввод!$B$6))),"",IF(Ввод!$B$5+2603&gt;Ввод!$B$6,"",Ввод!$B$5+2603))</f>
        <v/>
      </c>
      <c r="B2605">
        <f>IF(A2605="","",IFERROR(INDEX(Ввод!$B$12:$B$71,MATCH(A2605,Ввод!$D$12:$D$71,1)),""))</f>
        <v/>
      </c>
      <c r="C2605">
        <f>IF(A2605="","",DATE(YEAR(A2605),12,31)-DATE(YEAR(A2605),1,1)+1)</f>
        <v/>
      </c>
      <c r="D2605">
        <f>IF(A2605="","",Ввод!$B$4-SUMIF(Оплаты!$A$6:$A$505,"&lt;"&amp;A2605,Оплаты!$B$6:$B$505))</f>
        <v/>
      </c>
      <c r="E2605">
        <f>IF(A2605="","",IF(SUMPRODUCT((Ввод!$F$12:$F$31&lt;&gt;"")*(Ввод!$F$12:$F$31&lt;=A2605)*(Ввод!$G$12:$G$31&gt;=A2605))&gt;0,1,0))</f>
        <v/>
      </c>
      <c r="F2605">
        <f>IF(OR(A2605="",B2605=""),"",IF(E2605=1,0,D2605*B2605/100/C2605))</f>
        <v/>
      </c>
      <c r="G2605">
        <f>IF(A2605="","",IF(OR(B2605&lt;&gt;B2604,C2605&lt;&gt;C2604,D2605&lt;&gt;D2604,E2605&lt;&gt;E2604),G2604+1,G2604))</f>
        <v/>
      </c>
    </row>
    <row r="2606">
      <c r="A2606" s="14">
        <f>IF(OR(NOT(ISNUMBER(Ввод!$B$5)),NOT(ISNUMBER(Ввод!$B$6))),"",IF(Ввод!$B$5+2604&gt;Ввод!$B$6,"",Ввод!$B$5+2604))</f>
        <v/>
      </c>
      <c r="B2606">
        <f>IF(A2606="","",IFERROR(INDEX(Ввод!$B$12:$B$71,MATCH(A2606,Ввод!$D$12:$D$71,1)),""))</f>
        <v/>
      </c>
      <c r="C2606">
        <f>IF(A2606="","",DATE(YEAR(A2606),12,31)-DATE(YEAR(A2606),1,1)+1)</f>
        <v/>
      </c>
      <c r="D2606">
        <f>IF(A2606="","",Ввод!$B$4-SUMIF(Оплаты!$A$6:$A$505,"&lt;"&amp;A2606,Оплаты!$B$6:$B$505))</f>
        <v/>
      </c>
      <c r="E2606">
        <f>IF(A2606="","",IF(SUMPRODUCT((Ввод!$F$12:$F$31&lt;&gt;"")*(Ввод!$F$12:$F$31&lt;=A2606)*(Ввод!$G$12:$G$31&gt;=A2606))&gt;0,1,0))</f>
        <v/>
      </c>
      <c r="F2606">
        <f>IF(OR(A2606="",B2606=""),"",IF(E2606=1,0,D2606*B2606/100/C2606))</f>
        <v/>
      </c>
      <c r="G2606">
        <f>IF(A2606="","",IF(OR(B2606&lt;&gt;B2605,C2606&lt;&gt;C2605,D2606&lt;&gt;D2605,E2606&lt;&gt;E2605),G2605+1,G2605))</f>
        <v/>
      </c>
    </row>
    <row r="2607">
      <c r="A2607" s="14">
        <f>IF(OR(NOT(ISNUMBER(Ввод!$B$5)),NOT(ISNUMBER(Ввод!$B$6))),"",IF(Ввод!$B$5+2605&gt;Ввод!$B$6,"",Ввод!$B$5+2605))</f>
        <v/>
      </c>
      <c r="B2607">
        <f>IF(A2607="","",IFERROR(INDEX(Ввод!$B$12:$B$71,MATCH(A2607,Ввод!$D$12:$D$71,1)),""))</f>
        <v/>
      </c>
      <c r="C2607">
        <f>IF(A2607="","",DATE(YEAR(A2607),12,31)-DATE(YEAR(A2607),1,1)+1)</f>
        <v/>
      </c>
      <c r="D2607">
        <f>IF(A2607="","",Ввод!$B$4-SUMIF(Оплаты!$A$6:$A$505,"&lt;"&amp;A2607,Оплаты!$B$6:$B$505))</f>
        <v/>
      </c>
      <c r="E2607">
        <f>IF(A2607="","",IF(SUMPRODUCT((Ввод!$F$12:$F$31&lt;&gt;"")*(Ввод!$F$12:$F$31&lt;=A2607)*(Ввод!$G$12:$G$31&gt;=A2607))&gt;0,1,0))</f>
        <v/>
      </c>
      <c r="F2607">
        <f>IF(OR(A2607="",B2607=""),"",IF(E2607=1,0,D2607*B2607/100/C2607))</f>
        <v/>
      </c>
      <c r="G2607">
        <f>IF(A2607="","",IF(OR(B2607&lt;&gt;B2606,C2607&lt;&gt;C2606,D2607&lt;&gt;D2606,E2607&lt;&gt;E2606),G2606+1,G2606))</f>
        <v/>
      </c>
    </row>
    <row r="2608">
      <c r="A2608" s="14">
        <f>IF(OR(NOT(ISNUMBER(Ввод!$B$5)),NOT(ISNUMBER(Ввод!$B$6))),"",IF(Ввод!$B$5+2606&gt;Ввод!$B$6,"",Ввод!$B$5+2606))</f>
        <v/>
      </c>
      <c r="B2608">
        <f>IF(A2608="","",IFERROR(INDEX(Ввод!$B$12:$B$71,MATCH(A2608,Ввод!$D$12:$D$71,1)),""))</f>
        <v/>
      </c>
      <c r="C2608">
        <f>IF(A2608="","",DATE(YEAR(A2608),12,31)-DATE(YEAR(A2608),1,1)+1)</f>
        <v/>
      </c>
      <c r="D2608">
        <f>IF(A2608="","",Ввод!$B$4-SUMIF(Оплаты!$A$6:$A$505,"&lt;"&amp;A2608,Оплаты!$B$6:$B$505))</f>
        <v/>
      </c>
      <c r="E2608">
        <f>IF(A2608="","",IF(SUMPRODUCT((Ввод!$F$12:$F$31&lt;&gt;"")*(Ввод!$F$12:$F$31&lt;=A2608)*(Ввод!$G$12:$G$31&gt;=A2608))&gt;0,1,0))</f>
        <v/>
      </c>
      <c r="F2608">
        <f>IF(OR(A2608="",B2608=""),"",IF(E2608=1,0,D2608*B2608/100/C2608))</f>
        <v/>
      </c>
      <c r="G2608">
        <f>IF(A2608="","",IF(OR(B2608&lt;&gt;B2607,C2608&lt;&gt;C2607,D2608&lt;&gt;D2607,E2608&lt;&gt;E2607),G2607+1,G2607))</f>
        <v/>
      </c>
    </row>
    <row r="2609">
      <c r="A2609" s="14">
        <f>IF(OR(NOT(ISNUMBER(Ввод!$B$5)),NOT(ISNUMBER(Ввод!$B$6))),"",IF(Ввод!$B$5+2607&gt;Ввод!$B$6,"",Ввод!$B$5+2607))</f>
        <v/>
      </c>
      <c r="B2609">
        <f>IF(A2609="","",IFERROR(INDEX(Ввод!$B$12:$B$71,MATCH(A2609,Ввод!$D$12:$D$71,1)),""))</f>
        <v/>
      </c>
      <c r="C2609">
        <f>IF(A2609="","",DATE(YEAR(A2609),12,31)-DATE(YEAR(A2609),1,1)+1)</f>
        <v/>
      </c>
      <c r="D2609">
        <f>IF(A2609="","",Ввод!$B$4-SUMIF(Оплаты!$A$6:$A$505,"&lt;"&amp;A2609,Оплаты!$B$6:$B$505))</f>
        <v/>
      </c>
      <c r="E2609">
        <f>IF(A2609="","",IF(SUMPRODUCT((Ввод!$F$12:$F$31&lt;&gt;"")*(Ввод!$F$12:$F$31&lt;=A2609)*(Ввод!$G$12:$G$31&gt;=A2609))&gt;0,1,0))</f>
        <v/>
      </c>
      <c r="F2609">
        <f>IF(OR(A2609="",B2609=""),"",IF(E2609=1,0,D2609*B2609/100/C2609))</f>
        <v/>
      </c>
      <c r="G2609">
        <f>IF(A2609="","",IF(OR(B2609&lt;&gt;B2608,C2609&lt;&gt;C2608,D2609&lt;&gt;D2608,E2609&lt;&gt;E2608),G2608+1,G2608))</f>
        <v/>
      </c>
    </row>
    <row r="2610">
      <c r="A2610" s="14">
        <f>IF(OR(NOT(ISNUMBER(Ввод!$B$5)),NOT(ISNUMBER(Ввод!$B$6))),"",IF(Ввод!$B$5+2608&gt;Ввод!$B$6,"",Ввод!$B$5+2608))</f>
        <v/>
      </c>
      <c r="B2610">
        <f>IF(A2610="","",IFERROR(INDEX(Ввод!$B$12:$B$71,MATCH(A2610,Ввод!$D$12:$D$71,1)),""))</f>
        <v/>
      </c>
      <c r="C2610">
        <f>IF(A2610="","",DATE(YEAR(A2610),12,31)-DATE(YEAR(A2610),1,1)+1)</f>
        <v/>
      </c>
      <c r="D2610">
        <f>IF(A2610="","",Ввод!$B$4-SUMIF(Оплаты!$A$6:$A$505,"&lt;"&amp;A2610,Оплаты!$B$6:$B$505))</f>
        <v/>
      </c>
      <c r="E2610">
        <f>IF(A2610="","",IF(SUMPRODUCT((Ввод!$F$12:$F$31&lt;&gt;"")*(Ввод!$F$12:$F$31&lt;=A2610)*(Ввод!$G$12:$G$31&gt;=A2610))&gt;0,1,0))</f>
        <v/>
      </c>
      <c r="F2610">
        <f>IF(OR(A2610="",B2610=""),"",IF(E2610=1,0,D2610*B2610/100/C2610))</f>
        <v/>
      </c>
      <c r="G2610">
        <f>IF(A2610="","",IF(OR(B2610&lt;&gt;B2609,C2610&lt;&gt;C2609,D2610&lt;&gt;D2609,E2610&lt;&gt;E2609),G2609+1,G2609))</f>
        <v/>
      </c>
    </row>
    <row r="2611">
      <c r="A2611" s="14">
        <f>IF(OR(NOT(ISNUMBER(Ввод!$B$5)),NOT(ISNUMBER(Ввод!$B$6))),"",IF(Ввод!$B$5+2609&gt;Ввод!$B$6,"",Ввод!$B$5+2609))</f>
        <v/>
      </c>
      <c r="B2611">
        <f>IF(A2611="","",IFERROR(INDEX(Ввод!$B$12:$B$71,MATCH(A2611,Ввод!$D$12:$D$71,1)),""))</f>
        <v/>
      </c>
      <c r="C2611">
        <f>IF(A2611="","",DATE(YEAR(A2611),12,31)-DATE(YEAR(A2611),1,1)+1)</f>
        <v/>
      </c>
      <c r="D2611">
        <f>IF(A2611="","",Ввод!$B$4-SUMIF(Оплаты!$A$6:$A$505,"&lt;"&amp;A2611,Оплаты!$B$6:$B$505))</f>
        <v/>
      </c>
      <c r="E2611">
        <f>IF(A2611="","",IF(SUMPRODUCT((Ввод!$F$12:$F$31&lt;&gt;"")*(Ввод!$F$12:$F$31&lt;=A2611)*(Ввод!$G$12:$G$31&gt;=A2611))&gt;0,1,0))</f>
        <v/>
      </c>
      <c r="F2611">
        <f>IF(OR(A2611="",B2611=""),"",IF(E2611=1,0,D2611*B2611/100/C2611))</f>
        <v/>
      </c>
      <c r="G2611">
        <f>IF(A2611="","",IF(OR(B2611&lt;&gt;B2610,C2611&lt;&gt;C2610,D2611&lt;&gt;D2610,E2611&lt;&gt;E2610),G2610+1,G2610))</f>
        <v/>
      </c>
    </row>
    <row r="2612">
      <c r="A2612" s="14">
        <f>IF(OR(NOT(ISNUMBER(Ввод!$B$5)),NOT(ISNUMBER(Ввод!$B$6))),"",IF(Ввод!$B$5+2610&gt;Ввод!$B$6,"",Ввод!$B$5+2610))</f>
        <v/>
      </c>
      <c r="B2612">
        <f>IF(A2612="","",IFERROR(INDEX(Ввод!$B$12:$B$71,MATCH(A2612,Ввод!$D$12:$D$71,1)),""))</f>
        <v/>
      </c>
      <c r="C2612">
        <f>IF(A2612="","",DATE(YEAR(A2612),12,31)-DATE(YEAR(A2612),1,1)+1)</f>
        <v/>
      </c>
      <c r="D2612">
        <f>IF(A2612="","",Ввод!$B$4-SUMIF(Оплаты!$A$6:$A$505,"&lt;"&amp;A2612,Оплаты!$B$6:$B$505))</f>
        <v/>
      </c>
      <c r="E2612">
        <f>IF(A2612="","",IF(SUMPRODUCT((Ввод!$F$12:$F$31&lt;&gt;"")*(Ввод!$F$12:$F$31&lt;=A2612)*(Ввод!$G$12:$G$31&gt;=A2612))&gt;0,1,0))</f>
        <v/>
      </c>
      <c r="F2612">
        <f>IF(OR(A2612="",B2612=""),"",IF(E2612=1,0,D2612*B2612/100/C2612))</f>
        <v/>
      </c>
      <c r="G2612">
        <f>IF(A2612="","",IF(OR(B2612&lt;&gt;B2611,C2612&lt;&gt;C2611,D2612&lt;&gt;D2611,E2612&lt;&gt;E2611),G2611+1,G2611))</f>
        <v/>
      </c>
    </row>
    <row r="2613">
      <c r="A2613" s="14">
        <f>IF(OR(NOT(ISNUMBER(Ввод!$B$5)),NOT(ISNUMBER(Ввод!$B$6))),"",IF(Ввод!$B$5+2611&gt;Ввод!$B$6,"",Ввод!$B$5+2611))</f>
        <v/>
      </c>
      <c r="B2613">
        <f>IF(A2613="","",IFERROR(INDEX(Ввод!$B$12:$B$71,MATCH(A2613,Ввод!$D$12:$D$71,1)),""))</f>
        <v/>
      </c>
      <c r="C2613">
        <f>IF(A2613="","",DATE(YEAR(A2613),12,31)-DATE(YEAR(A2613),1,1)+1)</f>
        <v/>
      </c>
      <c r="D2613">
        <f>IF(A2613="","",Ввод!$B$4-SUMIF(Оплаты!$A$6:$A$505,"&lt;"&amp;A2613,Оплаты!$B$6:$B$505))</f>
        <v/>
      </c>
      <c r="E2613">
        <f>IF(A2613="","",IF(SUMPRODUCT((Ввод!$F$12:$F$31&lt;&gt;"")*(Ввод!$F$12:$F$31&lt;=A2613)*(Ввод!$G$12:$G$31&gt;=A2613))&gt;0,1,0))</f>
        <v/>
      </c>
      <c r="F2613">
        <f>IF(OR(A2613="",B2613=""),"",IF(E2613=1,0,D2613*B2613/100/C2613))</f>
        <v/>
      </c>
      <c r="G2613">
        <f>IF(A2613="","",IF(OR(B2613&lt;&gt;B2612,C2613&lt;&gt;C2612,D2613&lt;&gt;D2612,E2613&lt;&gt;E2612),G2612+1,G2612))</f>
        <v/>
      </c>
    </row>
    <row r="2614">
      <c r="A2614" s="14">
        <f>IF(OR(NOT(ISNUMBER(Ввод!$B$5)),NOT(ISNUMBER(Ввод!$B$6))),"",IF(Ввод!$B$5+2612&gt;Ввод!$B$6,"",Ввод!$B$5+2612))</f>
        <v/>
      </c>
      <c r="B2614">
        <f>IF(A2614="","",IFERROR(INDEX(Ввод!$B$12:$B$71,MATCH(A2614,Ввод!$D$12:$D$71,1)),""))</f>
        <v/>
      </c>
      <c r="C2614">
        <f>IF(A2614="","",DATE(YEAR(A2614),12,31)-DATE(YEAR(A2614),1,1)+1)</f>
        <v/>
      </c>
      <c r="D2614">
        <f>IF(A2614="","",Ввод!$B$4-SUMIF(Оплаты!$A$6:$A$505,"&lt;"&amp;A2614,Оплаты!$B$6:$B$505))</f>
        <v/>
      </c>
      <c r="E2614">
        <f>IF(A2614="","",IF(SUMPRODUCT((Ввод!$F$12:$F$31&lt;&gt;"")*(Ввод!$F$12:$F$31&lt;=A2614)*(Ввод!$G$12:$G$31&gt;=A2614))&gt;0,1,0))</f>
        <v/>
      </c>
      <c r="F2614">
        <f>IF(OR(A2614="",B2614=""),"",IF(E2614=1,0,D2614*B2614/100/C2614))</f>
        <v/>
      </c>
      <c r="G2614">
        <f>IF(A2614="","",IF(OR(B2614&lt;&gt;B2613,C2614&lt;&gt;C2613,D2614&lt;&gt;D2613,E2614&lt;&gt;E2613),G2613+1,G2613))</f>
        <v/>
      </c>
    </row>
    <row r="2615">
      <c r="A2615" s="14">
        <f>IF(OR(NOT(ISNUMBER(Ввод!$B$5)),NOT(ISNUMBER(Ввод!$B$6))),"",IF(Ввод!$B$5+2613&gt;Ввод!$B$6,"",Ввод!$B$5+2613))</f>
        <v/>
      </c>
      <c r="B2615">
        <f>IF(A2615="","",IFERROR(INDEX(Ввод!$B$12:$B$71,MATCH(A2615,Ввод!$D$12:$D$71,1)),""))</f>
        <v/>
      </c>
      <c r="C2615">
        <f>IF(A2615="","",DATE(YEAR(A2615),12,31)-DATE(YEAR(A2615),1,1)+1)</f>
        <v/>
      </c>
      <c r="D2615">
        <f>IF(A2615="","",Ввод!$B$4-SUMIF(Оплаты!$A$6:$A$505,"&lt;"&amp;A2615,Оплаты!$B$6:$B$505))</f>
        <v/>
      </c>
      <c r="E2615">
        <f>IF(A2615="","",IF(SUMPRODUCT((Ввод!$F$12:$F$31&lt;&gt;"")*(Ввод!$F$12:$F$31&lt;=A2615)*(Ввод!$G$12:$G$31&gt;=A2615))&gt;0,1,0))</f>
        <v/>
      </c>
      <c r="F2615">
        <f>IF(OR(A2615="",B2615=""),"",IF(E2615=1,0,D2615*B2615/100/C2615))</f>
        <v/>
      </c>
      <c r="G2615">
        <f>IF(A2615="","",IF(OR(B2615&lt;&gt;B2614,C2615&lt;&gt;C2614,D2615&lt;&gt;D2614,E2615&lt;&gt;E2614),G2614+1,G2614))</f>
        <v/>
      </c>
    </row>
    <row r="2616">
      <c r="A2616" s="14">
        <f>IF(OR(NOT(ISNUMBER(Ввод!$B$5)),NOT(ISNUMBER(Ввод!$B$6))),"",IF(Ввод!$B$5+2614&gt;Ввод!$B$6,"",Ввод!$B$5+2614))</f>
        <v/>
      </c>
      <c r="B2616">
        <f>IF(A2616="","",IFERROR(INDEX(Ввод!$B$12:$B$71,MATCH(A2616,Ввод!$D$12:$D$71,1)),""))</f>
        <v/>
      </c>
      <c r="C2616">
        <f>IF(A2616="","",DATE(YEAR(A2616),12,31)-DATE(YEAR(A2616),1,1)+1)</f>
        <v/>
      </c>
      <c r="D2616">
        <f>IF(A2616="","",Ввод!$B$4-SUMIF(Оплаты!$A$6:$A$505,"&lt;"&amp;A2616,Оплаты!$B$6:$B$505))</f>
        <v/>
      </c>
      <c r="E2616">
        <f>IF(A2616="","",IF(SUMPRODUCT((Ввод!$F$12:$F$31&lt;&gt;"")*(Ввод!$F$12:$F$31&lt;=A2616)*(Ввод!$G$12:$G$31&gt;=A2616))&gt;0,1,0))</f>
        <v/>
      </c>
      <c r="F2616">
        <f>IF(OR(A2616="",B2616=""),"",IF(E2616=1,0,D2616*B2616/100/C2616))</f>
        <v/>
      </c>
      <c r="G2616">
        <f>IF(A2616="","",IF(OR(B2616&lt;&gt;B2615,C2616&lt;&gt;C2615,D2616&lt;&gt;D2615,E2616&lt;&gt;E2615),G2615+1,G2615))</f>
        <v/>
      </c>
    </row>
    <row r="2617">
      <c r="A2617" s="14">
        <f>IF(OR(NOT(ISNUMBER(Ввод!$B$5)),NOT(ISNUMBER(Ввод!$B$6))),"",IF(Ввод!$B$5+2615&gt;Ввод!$B$6,"",Ввод!$B$5+2615))</f>
        <v/>
      </c>
      <c r="B2617">
        <f>IF(A2617="","",IFERROR(INDEX(Ввод!$B$12:$B$71,MATCH(A2617,Ввод!$D$12:$D$71,1)),""))</f>
        <v/>
      </c>
      <c r="C2617">
        <f>IF(A2617="","",DATE(YEAR(A2617),12,31)-DATE(YEAR(A2617),1,1)+1)</f>
        <v/>
      </c>
      <c r="D2617">
        <f>IF(A2617="","",Ввод!$B$4-SUMIF(Оплаты!$A$6:$A$505,"&lt;"&amp;A2617,Оплаты!$B$6:$B$505))</f>
        <v/>
      </c>
      <c r="E2617">
        <f>IF(A2617="","",IF(SUMPRODUCT((Ввод!$F$12:$F$31&lt;&gt;"")*(Ввод!$F$12:$F$31&lt;=A2617)*(Ввод!$G$12:$G$31&gt;=A2617))&gt;0,1,0))</f>
        <v/>
      </c>
      <c r="F2617">
        <f>IF(OR(A2617="",B2617=""),"",IF(E2617=1,0,D2617*B2617/100/C2617))</f>
        <v/>
      </c>
      <c r="G2617">
        <f>IF(A2617="","",IF(OR(B2617&lt;&gt;B2616,C2617&lt;&gt;C2616,D2617&lt;&gt;D2616,E2617&lt;&gt;E2616),G2616+1,G2616))</f>
        <v/>
      </c>
    </row>
    <row r="2618">
      <c r="A2618" s="14">
        <f>IF(OR(NOT(ISNUMBER(Ввод!$B$5)),NOT(ISNUMBER(Ввод!$B$6))),"",IF(Ввод!$B$5+2616&gt;Ввод!$B$6,"",Ввод!$B$5+2616))</f>
        <v/>
      </c>
      <c r="B2618">
        <f>IF(A2618="","",IFERROR(INDEX(Ввод!$B$12:$B$71,MATCH(A2618,Ввод!$D$12:$D$71,1)),""))</f>
        <v/>
      </c>
      <c r="C2618">
        <f>IF(A2618="","",DATE(YEAR(A2618),12,31)-DATE(YEAR(A2618),1,1)+1)</f>
        <v/>
      </c>
      <c r="D2618">
        <f>IF(A2618="","",Ввод!$B$4-SUMIF(Оплаты!$A$6:$A$505,"&lt;"&amp;A2618,Оплаты!$B$6:$B$505))</f>
        <v/>
      </c>
      <c r="E2618">
        <f>IF(A2618="","",IF(SUMPRODUCT((Ввод!$F$12:$F$31&lt;&gt;"")*(Ввод!$F$12:$F$31&lt;=A2618)*(Ввод!$G$12:$G$31&gt;=A2618))&gt;0,1,0))</f>
        <v/>
      </c>
      <c r="F2618">
        <f>IF(OR(A2618="",B2618=""),"",IF(E2618=1,0,D2618*B2618/100/C2618))</f>
        <v/>
      </c>
      <c r="G2618">
        <f>IF(A2618="","",IF(OR(B2618&lt;&gt;B2617,C2618&lt;&gt;C2617,D2618&lt;&gt;D2617,E2618&lt;&gt;E2617),G2617+1,G2617))</f>
        <v/>
      </c>
    </row>
    <row r="2619">
      <c r="A2619" s="14">
        <f>IF(OR(NOT(ISNUMBER(Ввод!$B$5)),NOT(ISNUMBER(Ввод!$B$6))),"",IF(Ввод!$B$5+2617&gt;Ввод!$B$6,"",Ввод!$B$5+2617))</f>
        <v/>
      </c>
      <c r="B2619">
        <f>IF(A2619="","",IFERROR(INDEX(Ввод!$B$12:$B$71,MATCH(A2619,Ввод!$D$12:$D$71,1)),""))</f>
        <v/>
      </c>
      <c r="C2619">
        <f>IF(A2619="","",DATE(YEAR(A2619),12,31)-DATE(YEAR(A2619),1,1)+1)</f>
        <v/>
      </c>
      <c r="D2619">
        <f>IF(A2619="","",Ввод!$B$4-SUMIF(Оплаты!$A$6:$A$505,"&lt;"&amp;A2619,Оплаты!$B$6:$B$505))</f>
        <v/>
      </c>
      <c r="E2619">
        <f>IF(A2619="","",IF(SUMPRODUCT((Ввод!$F$12:$F$31&lt;&gt;"")*(Ввод!$F$12:$F$31&lt;=A2619)*(Ввод!$G$12:$G$31&gt;=A2619))&gt;0,1,0))</f>
        <v/>
      </c>
      <c r="F2619">
        <f>IF(OR(A2619="",B2619=""),"",IF(E2619=1,0,D2619*B2619/100/C2619))</f>
        <v/>
      </c>
      <c r="G2619">
        <f>IF(A2619="","",IF(OR(B2619&lt;&gt;B2618,C2619&lt;&gt;C2618,D2619&lt;&gt;D2618,E2619&lt;&gt;E2618),G2618+1,G2618))</f>
        <v/>
      </c>
    </row>
    <row r="2620">
      <c r="A2620" s="14">
        <f>IF(OR(NOT(ISNUMBER(Ввод!$B$5)),NOT(ISNUMBER(Ввод!$B$6))),"",IF(Ввод!$B$5+2618&gt;Ввод!$B$6,"",Ввод!$B$5+2618))</f>
        <v/>
      </c>
      <c r="B2620">
        <f>IF(A2620="","",IFERROR(INDEX(Ввод!$B$12:$B$71,MATCH(A2620,Ввод!$D$12:$D$71,1)),""))</f>
        <v/>
      </c>
      <c r="C2620">
        <f>IF(A2620="","",DATE(YEAR(A2620),12,31)-DATE(YEAR(A2620),1,1)+1)</f>
        <v/>
      </c>
      <c r="D2620">
        <f>IF(A2620="","",Ввод!$B$4-SUMIF(Оплаты!$A$6:$A$505,"&lt;"&amp;A2620,Оплаты!$B$6:$B$505))</f>
        <v/>
      </c>
      <c r="E2620">
        <f>IF(A2620="","",IF(SUMPRODUCT((Ввод!$F$12:$F$31&lt;&gt;"")*(Ввод!$F$12:$F$31&lt;=A2620)*(Ввод!$G$12:$G$31&gt;=A2620))&gt;0,1,0))</f>
        <v/>
      </c>
      <c r="F2620">
        <f>IF(OR(A2620="",B2620=""),"",IF(E2620=1,0,D2620*B2620/100/C2620))</f>
        <v/>
      </c>
      <c r="G2620">
        <f>IF(A2620="","",IF(OR(B2620&lt;&gt;B2619,C2620&lt;&gt;C2619,D2620&lt;&gt;D2619,E2620&lt;&gt;E2619),G2619+1,G2619))</f>
        <v/>
      </c>
    </row>
    <row r="2621">
      <c r="A2621" s="14">
        <f>IF(OR(NOT(ISNUMBER(Ввод!$B$5)),NOT(ISNUMBER(Ввод!$B$6))),"",IF(Ввод!$B$5+2619&gt;Ввод!$B$6,"",Ввод!$B$5+2619))</f>
        <v/>
      </c>
      <c r="B2621">
        <f>IF(A2621="","",IFERROR(INDEX(Ввод!$B$12:$B$71,MATCH(A2621,Ввод!$D$12:$D$71,1)),""))</f>
        <v/>
      </c>
      <c r="C2621">
        <f>IF(A2621="","",DATE(YEAR(A2621),12,31)-DATE(YEAR(A2621),1,1)+1)</f>
        <v/>
      </c>
      <c r="D2621">
        <f>IF(A2621="","",Ввод!$B$4-SUMIF(Оплаты!$A$6:$A$505,"&lt;"&amp;A2621,Оплаты!$B$6:$B$505))</f>
        <v/>
      </c>
      <c r="E2621">
        <f>IF(A2621="","",IF(SUMPRODUCT((Ввод!$F$12:$F$31&lt;&gt;"")*(Ввод!$F$12:$F$31&lt;=A2621)*(Ввод!$G$12:$G$31&gt;=A2621))&gt;0,1,0))</f>
        <v/>
      </c>
      <c r="F2621">
        <f>IF(OR(A2621="",B2621=""),"",IF(E2621=1,0,D2621*B2621/100/C2621))</f>
        <v/>
      </c>
      <c r="G2621">
        <f>IF(A2621="","",IF(OR(B2621&lt;&gt;B2620,C2621&lt;&gt;C2620,D2621&lt;&gt;D2620,E2621&lt;&gt;E2620),G2620+1,G2620))</f>
        <v/>
      </c>
    </row>
    <row r="2622">
      <c r="A2622" s="14">
        <f>IF(OR(NOT(ISNUMBER(Ввод!$B$5)),NOT(ISNUMBER(Ввод!$B$6))),"",IF(Ввод!$B$5+2620&gt;Ввод!$B$6,"",Ввод!$B$5+2620))</f>
        <v/>
      </c>
      <c r="B2622">
        <f>IF(A2622="","",IFERROR(INDEX(Ввод!$B$12:$B$71,MATCH(A2622,Ввод!$D$12:$D$71,1)),""))</f>
        <v/>
      </c>
      <c r="C2622">
        <f>IF(A2622="","",DATE(YEAR(A2622),12,31)-DATE(YEAR(A2622),1,1)+1)</f>
        <v/>
      </c>
      <c r="D2622">
        <f>IF(A2622="","",Ввод!$B$4-SUMIF(Оплаты!$A$6:$A$505,"&lt;"&amp;A2622,Оплаты!$B$6:$B$505))</f>
        <v/>
      </c>
      <c r="E2622">
        <f>IF(A2622="","",IF(SUMPRODUCT((Ввод!$F$12:$F$31&lt;&gt;"")*(Ввод!$F$12:$F$31&lt;=A2622)*(Ввод!$G$12:$G$31&gt;=A2622))&gt;0,1,0))</f>
        <v/>
      </c>
      <c r="F2622">
        <f>IF(OR(A2622="",B2622=""),"",IF(E2622=1,0,D2622*B2622/100/C2622))</f>
        <v/>
      </c>
      <c r="G2622">
        <f>IF(A2622="","",IF(OR(B2622&lt;&gt;B2621,C2622&lt;&gt;C2621,D2622&lt;&gt;D2621,E2622&lt;&gt;E2621),G2621+1,G2621))</f>
        <v/>
      </c>
    </row>
    <row r="2623">
      <c r="A2623" s="14">
        <f>IF(OR(NOT(ISNUMBER(Ввод!$B$5)),NOT(ISNUMBER(Ввод!$B$6))),"",IF(Ввод!$B$5+2621&gt;Ввод!$B$6,"",Ввод!$B$5+2621))</f>
        <v/>
      </c>
      <c r="B2623">
        <f>IF(A2623="","",IFERROR(INDEX(Ввод!$B$12:$B$71,MATCH(A2623,Ввод!$D$12:$D$71,1)),""))</f>
        <v/>
      </c>
      <c r="C2623">
        <f>IF(A2623="","",DATE(YEAR(A2623),12,31)-DATE(YEAR(A2623),1,1)+1)</f>
        <v/>
      </c>
      <c r="D2623">
        <f>IF(A2623="","",Ввод!$B$4-SUMIF(Оплаты!$A$6:$A$505,"&lt;"&amp;A2623,Оплаты!$B$6:$B$505))</f>
        <v/>
      </c>
      <c r="E2623">
        <f>IF(A2623="","",IF(SUMPRODUCT((Ввод!$F$12:$F$31&lt;&gt;"")*(Ввод!$F$12:$F$31&lt;=A2623)*(Ввод!$G$12:$G$31&gt;=A2623))&gt;0,1,0))</f>
        <v/>
      </c>
      <c r="F2623">
        <f>IF(OR(A2623="",B2623=""),"",IF(E2623=1,0,D2623*B2623/100/C2623))</f>
        <v/>
      </c>
      <c r="G2623">
        <f>IF(A2623="","",IF(OR(B2623&lt;&gt;B2622,C2623&lt;&gt;C2622,D2623&lt;&gt;D2622,E2623&lt;&gt;E2622),G2622+1,G2622))</f>
        <v/>
      </c>
    </row>
    <row r="2624">
      <c r="A2624" s="14">
        <f>IF(OR(NOT(ISNUMBER(Ввод!$B$5)),NOT(ISNUMBER(Ввод!$B$6))),"",IF(Ввод!$B$5+2622&gt;Ввод!$B$6,"",Ввод!$B$5+2622))</f>
        <v/>
      </c>
      <c r="B2624">
        <f>IF(A2624="","",IFERROR(INDEX(Ввод!$B$12:$B$71,MATCH(A2624,Ввод!$D$12:$D$71,1)),""))</f>
        <v/>
      </c>
      <c r="C2624">
        <f>IF(A2624="","",DATE(YEAR(A2624),12,31)-DATE(YEAR(A2624),1,1)+1)</f>
        <v/>
      </c>
      <c r="D2624">
        <f>IF(A2624="","",Ввод!$B$4-SUMIF(Оплаты!$A$6:$A$505,"&lt;"&amp;A2624,Оплаты!$B$6:$B$505))</f>
        <v/>
      </c>
      <c r="E2624">
        <f>IF(A2624="","",IF(SUMPRODUCT((Ввод!$F$12:$F$31&lt;&gt;"")*(Ввод!$F$12:$F$31&lt;=A2624)*(Ввод!$G$12:$G$31&gt;=A2624))&gt;0,1,0))</f>
        <v/>
      </c>
      <c r="F2624">
        <f>IF(OR(A2624="",B2624=""),"",IF(E2624=1,0,D2624*B2624/100/C2624))</f>
        <v/>
      </c>
      <c r="G2624">
        <f>IF(A2624="","",IF(OR(B2624&lt;&gt;B2623,C2624&lt;&gt;C2623,D2624&lt;&gt;D2623,E2624&lt;&gt;E2623),G2623+1,G2623))</f>
        <v/>
      </c>
    </row>
    <row r="2625">
      <c r="A2625" s="14">
        <f>IF(OR(NOT(ISNUMBER(Ввод!$B$5)),NOT(ISNUMBER(Ввод!$B$6))),"",IF(Ввод!$B$5+2623&gt;Ввод!$B$6,"",Ввод!$B$5+2623))</f>
        <v/>
      </c>
      <c r="B2625">
        <f>IF(A2625="","",IFERROR(INDEX(Ввод!$B$12:$B$71,MATCH(A2625,Ввод!$D$12:$D$71,1)),""))</f>
        <v/>
      </c>
      <c r="C2625">
        <f>IF(A2625="","",DATE(YEAR(A2625),12,31)-DATE(YEAR(A2625),1,1)+1)</f>
        <v/>
      </c>
      <c r="D2625">
        <f>IF(A2625="","",Ввод!$B$4-SUMIF(Оплаты!$A$6:$A$505,"&lt;"&amp;A2625,Оплаты!$B$6:$B$505))</f>
        <v/>
      </c>
      <c r="E2625">
        <f>IF(A2625="","",IF(SUMPRODUCT((Ввод!$F$12:$F$31&lt;&gt;"")*(Ввод!$F$12:$F$31&lt;=A2625)*(Ввод!$G$12:$G$31&gt;=A2625))&gt;0,1,0))</f>
        <v/>
      </c>
      <c r="F2625">
        <f>IF(OR(A2625="",B2625=""),"",IF(E2625=1,0,D2625*B2625/100/C2625))</f>
        <v/>
      </c>
      <c r="G2625">
        <f>IF(A2625="","",IF(OR(B2625&lt;&gt;B2624,C2625&lt;&gt;C2624,D2625&lt;&gt;D2624,E2625&lt;&gt;E2624),G2624+1,G2624))</f>
        <v/>
      </c>
    </row>
    <row r="2626">
      <c r="A2626" s="14">
        <f>IF(OR(NOT(ISNUMBER(Ввод!$B$5)),NOT(ISNUMBER(Ввод!$B$6))),"",IF(Ввод!$B$5+2624&gt;Ввод!$B$6,"",Ввод!$B$5+2624))</f>
        <v/>
      </c>
      <c r="B2626">
        <f>IF(A2626="","",IFERROR(INDEX(Ввод!$B$12:$B$71,MATCH(A2626,Ввод!$D$12:$D$71,1)),""))</f>
        <v/>
      </c>
      <c r="C2626">
        <f>IF(A2626="","",DATE(YEAR(A2626),12,31)-DATE(YEAR(A2626),1,1)+1)</f>
        <v/>
      </c>
      <c r="D2626">
        <f>IF(A2626="","",Ввод!$B$4-SUMIF(Оплаты!$A$6:$A$505,"&lt;"&amp;A2626,Оплаты!$B$6:$B$505))</f>
        <v/>
      </c>
      <c r="E2626">
        <f>IF(A2626="","",IF(SUMPRODUCT((Ввод!$F$12:$F$31&lt;&gt;"")*(Ввод!$F$12:$F$31&lt;=A2626)*(Ввод!$G$12:$G$31&gt;=A2626))&gt;0,1,0))</f>
        <v/>
      </c>
      <c r="F2626">
        <f>IF(OR(A2626="",B2626=""),"",IF(E2626=1,0,D2626*B2626/100/C2626))</f>
        <v/>
      </c>
      <c r="G2626">
        <f>IF(A2626="","",IF(OR(B2626&lt;&gt;B2625,C2626&lt;&gt;C2625,D2626&lt;&gt;D2625,E2626&lt;&gt;E2625),G2625+1,G2625))</f>
        <v/>
      </c>
    </row>
    <row r="2627">
      <c r="A2627" s="14">
        <f>IF(OR(NOT(ISNUMBER(Ввод!$B$5)),NOT(ISNUMBER(Ввод!$B$6))),"",IF(Ввод!$B$5+2625&gt;Ввод!$B$6,"",Ввод!$B$5+2625))</f>
        <v/>
      </c>
      <c r="B2627">
        <f>IF(A2627="","",IFERROR(INDEX(Ввод!$B$12:$B$71,MATCH(A2627,Ввод!$D$12:$D$71,1)),""))</f>
        <v/>
      </c>
      <c r="C2627">
        <f>IF(A2627="","",DATE(YEAR(A2627),12,31)-DATE(YEAR(A2627),1,1)+1)</f>
        <v/>
      </c>
      <c r="D2627">
        <f>IF(A2627="","",Ввод!$B$4-SUMIF(Оплаты!$A$6:$A$505,"&lt;"&amp;A2627,Оплаты!$B$6:$B$505))</f>
        <v/>
      </c>
      <c r="E2627">
        <f>IF(A2627="","",IF(SUMPRODUCT((Ввод!$F$12:$F$31&lt;&gt;"")*(Ввод!$F$12:$F$31&lt;=A2627)*(Ввод!$G$12:$G$31&gt;=A2627))&gt;0,1,0))</f>
        <v/>
      </c>
      <c r="F2627">
        <f>IF(OR(A2627="",B2627=""),"",IF(E2627=1,0,D2627*B2627/100/C2627))</f>
        <v/>
      </c>
      <c r="G2627">
        <f>IF(A2627="","",IF(OR(B2627&lt;&gt;B2626,C2627&lt;&gt;C2626,D2627&lt;&gt;D2626,E2627&lt;&gt;E2626),G2626+1,G2626))</f>
        <v/>
      </c>
    </row>
    <row r="2628">
      <c r="A2628" s="14">
        <f>IF(OR(NOT(ISNUMBER(Ввод!$B$5)),NOT(ISNUMBER(Ввод!$B$6))),"",IF(Ввод!$B$5+2626&gt;Ввод!$B$6,"",Ввод!$B$5+2626))</f>
        <v/>
      </c>
      <c r="B2628">
        <f>IF(A2628="","",IFERROR(INDEX(Ввод!$B$12:$B$71,MATCH(A2628,Ввод!$D$12:$D$71,1)),""))</f>
        <v/>
      </c>
      <c r="C2628">
        <f>IF(A2628="","",DATE(YEAR(A2628),12,31)-DATE(YEAR(A2628),1,1)+1)</f>
        <v/>
      </c>
      <c r="D2628">
        <f>IF(A2628="","",Ввод!$B$4-SUMIF(Оплаты!$A$6:$A$505,"&lt;"&amp;A2628,Оплаты!$B$6:$B$505))</f>
        <v/>
      </c>
      <c r="E2628">
        <f>IF(A2628="","",IF(SUMPRODUCT((Ввод!$F$12:$F$31&lt;&gt;"")*(Ввод!$F$12:$F$31&lt;=A2628)*(Ввод!$G$12:$G$31&gt;=A2628))&gt;0,1,0))</f>
        <v/>
      </c>
      <c r="F2628">
        <f>IF(OR(A2628="",B2628=""),"",IF(E2628=1,0,D2628*B2628/100/C2628))</f>
        <v/>
      </c>
      <c r="G2628">
        <f>IF(A2628="","",IF(OR(B2628&lt;&gt;B2627,C2628&lt;&gt;C2627,D2628&lt;&gt;D2627,E2628&lt;&gt;E2627),G2627+1,G2627))</f>
        <v/>
      </c>
    </row>
    <row r="2629">
      <c r="A2629" s="14">
        <f>IF(OR(NOT(ISNUMBER(Ввод!$B$5)),NOT(ISNUMBER(Ввод!$B$6))),"",IF(Ввод!$B$5+2627&gt;Ввод!$B$6,"",Ввод!$B$5+2627))</f>
        <v/>
      </c>
      <c r="B2629">
        <f>IF(A2629="","",IFERROR(INDEX(Ввод!$B$12:$B$71,MATCH(A2629,Ввод!$D$12:$D$71,1)),""))</f>
        <v/>
      </c>
      <c r="C2629">
        <f>IF(A2629="","",DATE(YEAR(A2629),12,31)-DATE(YEAR(A2629),1,1)+1)</f>
        <v/>
      </c>
      <c r="D2629">
        <f>IF(A2629="","",Ввод!$B$4-SUMIF(Оплаты!$A$6:$A$505,"&lt;"&amp;A2629,Оплаты!$B$6:$B$505))</f>
        <v/>
      </c>
      <c r="E2629">
        <f>IF(A2629="","",IF(SUMPRODUCT((Ввод!$F$12:$F$31&lt;&gt;"")*(Ввод!$F$12:$F$31&lt;=A2629)*(Ввод!$G$12:$G$31&gt;=A2629))&gt;0,1,0))</f>
        <v/>
      </c>
      <c r="F2629">
        <f>IF(OR(A2629="",B2629=""),"",IF(E2629=1,0,D2629*B2629/100/C2629))</f>
        <v/>
      </c>
      <c r="G2629">
        <f>IF(A2629="","",IF(OR(B2629&lt;&gt;B2628,C2629&lt;&gt;C2628,D2629&lt;&gt;D2628,E2629&lt;&gt;E2628),G2628+1,G2628))</f>
        <v/>
      </c>
    </row>
    <row r="2630">
      <c r="A2630" s="14">
        <f>IF(OR(NOT(ISNUMBER(Ввод!$B$5)),NOT(ISNUMBER(Ввод!$B$6))),"",IF(Ввод!$B$5+2628&gt;Ввод!$B$6,"",Ввод!$B$5+2628))</f>
        <v/>
      </c>
      <c r="B2630">
        <f>IF(A2630="","",IFERROR(INDEX(Ввод!$B$12:$B$71,MATCH(A2630,Ввод!$D$12:$D$71,1)),""))</f>
        <v/>
      </c>
      <c r="C2630">
        <f>IF(A2630="","",DATE(YEAR(A2630),12,31)-DATE(YEAR(A2630),1,1)+1)</f>
        <v/>
      </c>
      <c r="D2630">
        <f>IF(A2630="","",Ввод!$B$4-SUMIF(Оплаты!$A$6:$A$505,"&lt;"&amp;A2630,Оплаты!$B$6:$B$505))</f>
        <v/>
      </c>
      <c r="E2630">
        <f>IF(A2630="","",IF(SUMPRODUCT((Ввод!$F$12:$F$31&lt;&gt;"")*(Ввод!$F$12:$F$31&lt;=A2630)*(Ввод!$G$12:$G$31&gt;=A2630))&gt;0,1,0))</f>
        <v/>
      </c>
      <c r="F2630">
        <f>IF(OR(A2630="",B2630=""),"",IF(E2630=1,0,D2630*B2630/100/C2630))</f>
        <v/>
      </c>
      <c r="G2630">
        <f>IF(A2630="","",IF(OR(B2630&lt;&gt;B2629,C2630&lt;&gt;C2629,D2630&lt;&gt;D2629,E2630&lt;&gt;E2629),G2629+1,G2629))</f>
        <v/>
      </c>
    </row>
    <row r="2631">
      <c r="A2631" s="14">
        <f>IF(OR(NOT(ISNUMBER(Ввод!$B$5)),NOT(ISNUMBER(Ввод!$B$6))),"",IF(Ввод!$B$5+2629&gt;Ввод!$B$6,"",Ввод!$B$5+2629))</f>
        <v/>
      </c>
      <c r="B2631">
        <f>IF(A2631="","",IFERROR(INDEX(Ввод!$B$12:$B$71,MATCH(A2631,Ввод!$D$12:$D$71,1)),""))</f>
        <v/>
      </c>
      <c r="C2631">
        <f>IF(A2631="","",DATE(YEAR(A2631),12,31)-DATE(YEAR(A2631),1,1)+1)</f>
        <v/>
      </c>
      <c r="D2631">
        <f>IF(A2631="","",Ввод!$B$4-SUMIF(Оплаты!$A$6:$A$505,"&lt;"&amp;A2631,Оплаты!$B$6:$B$505))</f>
        <v/>
      </c>
      <c r="E2631">
        <f>IF(A2631="","",IF(SUMPRODUCT((Ввод!$F$12:$F$31&lt;&gt;"")*(Ввод!$F$12:$F$31&lt;=A2631)*(Ввод!$G$12:$G$31&gt;=A2631))&gt;0,1,0))</f>
        <v/>
      </c>
      <c r="F2631">
        <f>IF(OR(A2631="",B2631=""),"",IF(E2631=1,0,D2631*B2631/100/C2631))</f>
        <v/>
      </c>
      <c r="G2631">
        <f>IF(A2631="","",IF(OR(B2631&lt;&gt;B2630,C2631&lt;&gt;C2630,D2631&lt;&gt;D2630,E2631&lt;&gt;E2630),G2630+1,G2630))</f>
        <v/>
      </c>
    </row>
    <row r="2632">
      <c r="A2632" s="14">
        <f>IF(OR(NOT(ISNUMBER(Ввод!$B$5)),NOT(ISNUMBER(Ввод!$B$6))),"",IF(Ввод!$B$5+2630&gt;Ввод!$B$6,"",Ввод!$B$5+2630))</f>
        <v/>
      </c>
      <c r="B2632">
        <f>IF(A2632="","",IFERROR(INDEX(Ввод!$B$12:$B$71,MATCH(A2632,Ввод!$D$12:$D$71,1)),""))</f>
        <v/>
      </c>
      <c r="C2632">
        <f>IF(A2632="","",DATE(YEAR(A2632),12,31)-DATE(YEAR(A2632),1,1)+1)</f>
        <v/>
      </c>
      <c r="D2632">
        <f>IF(A2632="","",Ввод!$B$4-SUMIF(Оплаты!$A$6:$A$505,"&lt;"&amp;A2632,Оплаты!$B$6:$B$505))</f>
        <v/>
      </c>
      <c r="E2632">
        <f>IF(A2632="","",IF(SUMPRODUCT((Ввод!$F$12:$F$31&lt;&gt;"")*(Ввод!$F$12:$F$31&lt;=A2632)*(Ввод!$G$12:$G$31&gt;=A2632))&gt;0,1,0))</f>
        <v/>
      </c>
      <c r="F2632">
        <f>IF(OR(A2632="",B2632=""),"",IF(E2632=1,0,D2632*B2632/100/C2632))</f>
        <v/>
      </c>
      <c r="G2632">
        <f>IF(A2632="","",IF(OR(B2632&lt;&gt;B2631,C2632&lt;&gt;C2631,D2632&lt;&gt;D2631,E2632&lt;&gt;E2631),G2631+1,G2631))</f>
        <v/>
      </c>
    </row>
    <row r="2633">
      <c r="A2633" s="14">
        <f>IF(OR(NOT(ISNUMBER(Ввод!$B$5)),NOT(ISNUMBER(Ввод!$B$6))),"",IF(Ввод!$B$5+2631&gt;Ввод!$B$6,"",Ввод!$B$5+2631))</f>
        <v/>
      </c>
      <c r="B2633">
        <f>IF(A2633="","",IFERROR(INDEX(Ввод!$B$12:$B$71,MATCH(A2633,Ввод!$D$12:$D$71,1)),""))</f>
        <v/>
      </c>
      <c r="C2633">
        <f>IF(A2633="","",DATE(YEAR(A2633),12,31)-DATE(YEAR(A2633),1,1)+1)</f>
        <v/>
      </c>
      <c r="D2633">
        <f>IF(A2633="","",Ввод!$B$4-SUMIF(Оплаты!$A$6:$A$505,"&lt;"&amp;A2633,Оплаты!$B$6:$B$505))</f>
        <v/>
      </c>
      <c r="E2633">
        <f>IF(A2633="","",IF(SUMPRODUCT((Ввод!$F$12:$F$31&lt;&gt;"")*(Ввод!$F$12:$F$31&lt;=A2633)*(Ввод!$G$12:$G$31&gt;=A2633))&gt;0,1,0))</f>
        <v/>
      </c>
      <c r="F2633">
        <f>IF(OR(A2633="",B2633=""),"",IF(E2633=1,0,D2633*B2633/100/C2633))</f>
        <v/>
      </c>
      <c r="G2633">
        <f>IF(A2633="","",IF(OR(B2633&lt;&gt;B2632,C2633&lt;&gt;C2632,D2633&lt;&gt;D2632,E2633&lt;&gt;E2632),G2632+1,G2632))</f>
        <v/>
      </c>
    </row>
    <row r="2634">
      <c r="A2634" s="14">
        <f>IF(OR(NOT(ISNUMBER(Ввод!$B$5)),NOT(ISNUMBER(Ввод!$B$6))),"",IF(Ввод!$B$5+2632&gt;Ввод!$B$6,"",Ввод!$B$5+2632))</f>
        <v/>
      </c>
      <c r="B2634">
        <f>IF(A2634="","",IFERROR(INDEX(Ввод!$B$12:$B$71,MATCH(A2634,Ввод!$D$12:$D$71,1)),""))</f>
        <v/>
      </c>
      <c r="C2634">
        <f>IF(A2634="","",DATE(YEAR(A2634),12,31)-DATE(YEAR(A2634),1,1)+1)</f>
        <v/>
      </c>
      <c r="D2634">
        <f>IF(A2634="","",Ввод!$B$4-SUMIF(Оплаты!$A$6:$A$505,"&lt;"&amp;A2634,Оплаты!$B$6:$B$505))</f>
        <v/>
      </c>
      <c r="E2634">
        <f>IF(A2634="","",IF(SUMPRODUCT((Ввод!$F$12:$F$31&lt;&gt;"")*(Ввод!$F$12:$F$31&lt;=A2634)*(Ввод!$G$12:$G$31&gt;=A2634))&gt;0,1,0))</f>
        <v/>
      </c>
      <c r="F2634">
        <f>IF(OR(A2634="",B2634=""),"",IF(E2634=1,0,D2634*B2634/100/C2634))</f>
        <v/>
      </c>
      <c r="G2634">
        <f>IF(A2634="","",IF(OR(B2634&lt;&gt;B2633,C2634&lt;&gt;C2633,D2634&lt;&gt;D2633,E2634&lt;&gt;E2633),G2633+1,G2633))</f>
        <v/>
      </c>
    </row>
    <row r="2635">
      <c r="A2635" s="14">
        <f>IF(OR(NOT(ISNUMBER(Ввод!$B$5)),NOT(ISNUMBER(Ввод!$B$6))),"",IF(Ввод!$B$5+2633&gt;Ввод!$B$6,"",Ввод!$B$5+2633))</f>
        <v/>
      </c>
      <c r="B2635">
        <f>IF(A2635="","",IFERROR(INDEX(Ввод!$B$12:$B$71,MATCH(A2635,Ввод!$D$12:$D$71,1)),""))</f>
        <v/>
      </c>
      <c r="C2635">
        <f>IF(A2635="","",DATE(YEAR(A2635),12,31)-DATE(YEAR(A2635),1,1)+1)</f>
        <v/>
      </c>
      <c r="D2635">
        <f>IF(A2635="","",Ввод!$B$4-SUMIF(Оплаты!$A$6:$A$505,"&lt;"&amp;A2635,Оплаты!$B$6:$B$505))</f>
        <v/>
      </c>
      <c r="E2635">
        <f>IF(A2635="","",IF(SUMPRODUCT((Ввод!$F$12:$F$31&lt;&gt;"")*(Ввод!$F$12:$F$31&lt;=A2635)*(Ввод!$G$12:$G$31&gt;=A2635))&gt;0,1,0))</f>
        <v/>
      </c>
      <c r="F2635">
        <f>IF(OR(A2635="",B2635=""),"",IF(E2635=1,0,D2635*B2635/100/C2635))</f>
        <v/>
      </c>
      <c r="G2635">
        <f>IF(A2635="","",IF(OR(B2635&lt;&gt;B2634,C2635&lt;&gt;C2634,D2635&lt;&gt;D2634,E2635&lt;&gt;E2634),G2634+1,G2634))</f>
        <v/>
      </c>
    </row>
    <row r="2636">
      <c r="A2636" s="14">
        <f>IF(OR(NOT(ISNUMBER(Ввод!$B$5)),NOT(ISNUMBER(Ввод!$B$6))),"",IF(Ввод!$B$5+2634&gt;Ввод!$B$6,"",Ввод!$B$5+2634))</f>
        <v/>
      </c>
      <c r="B2636">
        <f>IF(A2636="","",IFERROR(INDEX(Ввод!$B$12:$B$71,MATCH(A2636,Ввод!$D$12:$D$71,1)),""))</f>
        <v/>
      </c>
      <c r="C2636">
        <f>IF(A2636="","",DATE(YEAR(A2636),12,31)-DATE(YEAR(A2636),1,1)+1)</f>
        <v/>
      </c>
      <c r="D2636">
        <f>IF(A2636="","",Ввод!$B$4-SUMIF(Оплаты!$A$6:$A$505,"&lt;"&amp;A2636,Оплаты!$B$6:$B$505))</f>
        <v/>
      </c>
      <c r="E2636">
        <f>IF(A2636="","",IF(SUMPRODUCT((Ввод!$F$12:$F$31&lt;&gt;"")*(Ввод!$F$12:$F$31&lt;=A2636)*(Ввод!$G$12:$G$31&gt;=A2636))&gt;0,1,0))</f>
        <v/>
      </c>
      <c r="F2636">
        <f>IF(OR(A2636="",B2636=""),"",IF(E2636=1,0,D2636*B2636/100/C2636))</f>
        <v/>
      </c>
      <c r="G2636">
        <f>IF(A2636="","",IF(OR(B2636&lt;&gt;B2635,C2636&lt;&gt;C2635,D2636&lt;&gt;D2635,E2636&lt;&gt;E2635),G2635+1,G2635))</f>
        <v/>
      </c>
    </row>
    <row r="2637">
      <c r="A2637" s="14">
        <f>IF(OR(NOT(ISNUMBER(Ввод!$B$5)),NOT(ISNUMBER(Ввод!$B$6))),"",IF(Ввод!$B$5+2635&gt;Ввод!$B$6,"",Ввод!$B$5+2635))</f>
        <v/>
      </c>
      <c r="B2637">
        <f>IF(A2637="","",IFERROR(INDEX(Ввод!$B$12:$B$71,MATCH(A2637,Ввод!$D$12:$D$71,1)),""))</f>
        <v/>
      </c>
      <c r="C2637">
        <f>IF(A2637="","",DATE(YEAR(A2637),12,31)-DATE(YEAR(A2637),1,1)+1)</f>
        <v/>
      </c>
      <c r="D2637">
        <f>IF(A2637="","",Ввод!$B$4-SUMIF(Оплаты!$A$6:$A$505,"&lt;"&amp;A2637,Оплаты!$B$6:$B$505))</f>
        <v/>
      </c>
      <c r="E2637">
        <f>IF(A2637="","",IF(SUMPRODUCT((Ввод!$F$12:$F$31&lt;&gt;"")*(Ввод!$F$12:$F$31&lt;=A2637)*(Ввод!$G$12:$G$31&gt;=A2637))&gt;0,1,0))</f>
        <v/>
      </c>
      <c r="F2637">
        <f>IF(OR(A2637="",B2637=""),"",IF(E2637=1,0,D2637*B2637/100/C2637))</f>
        <v/>
      </c>
      <c r="G2637">
        <f>IF(A2637="","",IF(OR(B2637&lt;&gt;B2636,C2637&lt;&gt;C2636,D2637&lt;&gt;D2636,E2637&lt;&gt;E2636),G2636+1,G2636))</f>
        <v/>
      </c>
    </row>
    <row r="2638">
      <c r="A2638" s="14">
        <f>IF(OR(NOT(ISNUMBER(Ввод!$B$5)),NOT(ISNUMBER(Ввод!$B$6))),"",IF(Ввод!$B$5+2636&gt;Ввод!$B$6,"",Ввод!$B$5+2636))</f>
        <v/>
      </c>
      <c r="B2638">
        <f>IF(A2638="","",IFERROR(INDEX(Ввод!$B$12:$B$71,MATCH(A2638,Ввод!$D$12:$D$71,1)),""))</f>
        <v/>
      </c>
      <c r="C2638">
        <f>IF(A2638="","",DATE(YEAR(A2638),12,31)-DATE(YEAR(A2638),1,1)+1)</f>
        <v/>
      </c>
      <c r="D2638">
        <f>IF(A2638="","",Ввод!$B$4-SUMIF(Оплаты!$A$6:$A$505,"&lt;"&amp;A2638,Оплаты!$B$6:$B$505))</f>
        <v/>
      </c>
      <c r="E2638">
        <f>IF(A2638="","",IF(SUMPRODUCT((Ввод!$F$12:$F$31&lt;&gt;"")*(Ввод!$F$12:$F$31&lt;=A2638)*(Ввод!$G$12:$G$31&gt;=A2638))&gt;0,1,0))</f>
        <v/>
      </c>
      <c r="F2638">
        <f>IF(OR(A2638="",B2638=""),"",IF(E2638=1,0,D2638*B2638/100/C2638))</f>
        <v/>
      </c>
      <c r="G2638">
        <f>IF(A2638="","",IF(OR(B2638&lt;&gt;B2637,C2638&lt;&gt;C2637,D2638&lt;&gt;D2637,E2638&lt;&gt;E2637),G2637+1,G2637))</f>
        <v/>
      </c>
    </row>
    <row r="2639">
      <c r="A2639" s="14">
        <f>IF(OR(NOT(ISNUMBER(Ввод!$B$5)),NOT(ISNUMBER(Ввод!$B$6))),"",IF(Ввод!$B$5+2637&gt;Ввод!$B$6,"",Ввод!$B$5+2637))</f>
        <v/>
      </c>
      <c r="B2639">
        <f>IF(A2639="","",IFERROR(INDEX(Ввод!$B$12:$B$71,MATCH(A2639,Ввод!$D$12:$D$71,1)),""))</f>
        <v/>
      </c>
      <c r="C2639">
        <f>IF(A2639="","",DATE(YEAR(A2639),12,31)-DATE(YEAR(A2639),1,1)+1)</f>
        <v/>
      </c>
      <c r="D2639">
        <f>IF(A2639="","",Ввод!$B$4-SUMIF(Оплаты!$A$6:$A$505,"&lt;"&amp;A2639,Оплаты!$B$6:$B$505))</f>
        <v/>
      </c>
      <c r="E2639">
        <f>IF(A2639="","",IF(SUMPRODUCT((Ввод!$F$12:$F$31&lt;&gt;"")*(Ввод!$F$12:$F$31&lt;=A2639)*(Ввод!$G$12:$G$31&gt;=A2639))&gt;0,1,0))</f>
        <v/>
      </c>
      <c r="F2639">
        <f>IF(OR(A2639="",B2639=""),"",IF(E2639=1,0,D2639*B2639/100/C2639))</f>
        <v/>
      </c>
      <c r="G2639">
        <f>IF(A2639="","",IF(OR(B2639&lt;&gt;B2638,C2639&lt;&gt;C2638,D2639&lt;&gt;D2638,E2639&lt;&gt;E2638),G2638+1,G2638))</f>
        <v/>
      </c>
    </row>
    <row r="2640">
      <c r="A2640" s="14">
        <f>IF(OR(NOT(ISNUMBER(Ввод!$B$5)),NOT(ISNUMBER(Ввод!$B$6))),"",IF(Ввод!$B$5+2638&gt;Ввод!$B$6,"",Ввод!$B$5+2638))</f>
        <v/>
      </c>
      <c r="B2640">
        <f>IF(A2640="","",IFERROR(INDEX(Ввод!$B$12:$B$71,MATCH(A2640,Ввод!$D$12:$D$71,1)),""))</f>
        <v/>
      </c>
      <c r="C2640">
        <f>IF(A2640="","",DATE(YEAR(A2640),12,31)-DATE(YEAR(A2640),1,1)+1)</f>
        <v/>
      </c>
      <c r="D2640">
        <f>IF(A2640="","",Ввод!$B$4-SUMIF(Оплаты!$A$6:$A$505,"&lt;"&amp;A2640,Оплаты!$B$6:$B$505))</f>
        <v/>
      </c>
      <c r="E2640">
        <f>IF(A2640="","",IF(SUMPRODUCT((Ввод!$F$12:$F$31&lt;&gt;"")*(Ввод!$F$12:$F$31&lt;=A2640)*(Ввод!$G$12:$G$31&gt;=A2640))&gt;0,1,0))</f>
        <v/>
      </c>
      <c r="F2640">
        <f>IF(OR(A2640="",B2640=""),"",IF(E2640=1,0,D2640*B2640/100/C2640))</f>
        <v/>
      </c>
      <c r="G2640">
        <f>IF(A2640="","",IF(OR(B2640&lt;&gt;B2639,C2640&lt;&gt;C2639,D2640&lt;&gt;D2639,E2640&lt;&gt;E2639),G2639+1,G2639))</f>
        <v/>
      </c>
    </row>
    <row r="2641">
      <c r="A2641" s="14">
        <f>IF(OR(NOT(ISNUMBER(Ввод!$B$5)),NOT(ISNUMBER(Ввод!$B$6))),"",IF(Ввод!$B$5+2639&gt;Ввод!$B$6,"",Ввод!$B$5+2639))</f>
        <v/>
      </c>
      <c r="B2641">
        <f>IF(A2641="","",IFERROR(INDEX(Ввод!$B$12:$B$71,MATCH(A2641,Ввод!$D$12:$D$71,1)),""))</f>
        <v/>
      </c>
      <c r="C2641">
        <f>IF(A2641="","",DATE(YEAR(A2641),12,31)-DATE(YEAR(A2641),1,1)+1)</f>
        <v/>
      </c>
      <c r="D2641">
        <f>IF(A2641="","",Ввод!$B$4-SUMIF(Оплаты!$A$6:$A$505,"&lt;"&amp;A2641,Оплаты!$B$6:$B$505))</f>
        <v/>
      </c>
      <c r="E2641">
        <f>IF(A2641="","",IF(SUMPRODUCT((Ввод!$F$12:$F$31&lt;&gt;"")*(Ввод!$F$12:$F$31&lt;=A2641)*(Ввод!$G$12:$G$31&gt;=A2641))&gt;0,1,0))</f>
        <v/>
      </c>
      <c r="F2641">
        <f>IF(OR(A2641="",B2641=""),"",IF(E2641=1,0,D2641*B2641/100/C2641))</f>
        <v/>
      </c>
      <c r="G2641">
        <f>IF(A2641="","",IF(OR(B2641&lt;&gt;B2640,C2641&lt;&gt;C2640,D2641&lt;&gt;D2640,E2641&lt;&gt;E2640),G2640+1,G2640))</f>
        <v/>
      </c>
    </row>
    <row r="2642">
      <c r="A2642" s="14">
        <f>IF(OR(NOT(ISNUMBER(Ввод!$B$5)),NOT(ISNUMBER(Ввод!$B$6))),"",IF(Ввод!$B$5+2640&gt;Ввод!$B$6,"",Ввод!$B$5+2640))</f>
        <v/>
      </c>
      <c r="B2642">
        <f>IF(A2642="","",IFERROR(INDEX(Ввод!$B$12:$B$71,MATCH(A2642,Ввод!$D$12:$D$71,1)),""))</f>
        <v/>
      </c>
      <c r="C2642">
        <f>IF(A2642="","",DATE(YEAR(A2642),12,31)-DATE(YEAR(A2642),1,1)+1)</f>
        <v/>
      </c>
      <c r="D2642">
        <f>IF(A2642="","",Ввод!$B$4-SUMIF(Оплаты!$A$6:$A$505,"&lt;"&amp;A2642,Оплаты!$B$6:$B$505))</f>
        <v/>
      </c>
      <c r="E2642">
        <f>IF(A2642="","",IF(SUMPRODUCT((Ввод!$F$12:$F$31&lt;&gt;"")*(Ввод!$F$12:$F$31&lt;=A2642)*(Ввод!$G$12:$G$31&gt;=A2642))&gt;0,1,0))</f>
        <v/>
      </c>
      <c r="F2642">
        <f>IF(OR(A2642="",B2642=""),"",IF(E2642=1,0,D2642*B2642/100/C2642))</f>
        <v/>
      </c>
      <c r="G2642">
        <f>IF(A2642="","",IF(OR(B2642&lt;&gt;B2641,C2642&lt;&gt;C2641,D2642&lt;&gt;D2641,E2642&lt;&gt;E2641),G2641+1,G2641))</f>
        <v/>
      </c>
    </row>
    <row r="2643">
      <c r="A2643" s="14">
        <f>IF(OR(NOT(ISNUMBER(Ввод!$B$5)),NOT(ISNUMBER(Ввод!$B$6))),"",IF(Ввод!$B$5+2641&gt;Ввод!$B$6,"",Ввод!$B$5+2641))</f>
        <v/>
      </c>
      <c r="B2643">
        <f>IF(A2643="","",IFERROR(INDEX(Ввод!$B$12:$B$71,MATCH(A2643,Ввод!$D$12:$D$71,1)),""))</f>
        <v/>
      </c>
      <c r="C2643">
        <f>IF(A2643="","",DATE(YEAR(A2643),12,31)-DATE(YEAR(A2643),1,1)+1)</f>
        <v/>
      </c>
      <c r="D2643">
        <f>IF(A2643="","",Ввод!$B$4-SUMIF(Оплаты!$A$6:$A$505,"&lt;"&amp;A2643,Оплаты!$B$6:$B$505))</f>
        <v/>
      </c>
      <c r="E2643">
        <f>IF(A2643="","",IF(SUMPRODUCT((Ввод!$F$12:$F$31&lt;&gt;"")*(Ввод!$F$12:$F$31&lt;=A2643)*(Ввод!$G$12:$G$31&gt;=A2643))&gt;0,1,0))</f>
        <v/>
      </c>
      <c r="F2643">
        <f>IF(OR(A2643="",B2643=""),"",IF(E2643=1,0,D2643*B2643/100/C2643))</f>
        <v/>
      </c>
      <c r="G2643">
        <f>IF(A2643="","",IF(OR(B2643&lt;&gt;B2642,C2643&lt;&gt;C2642,D2643&lt;&gt;D2642,E2643&lt;&gt;E2642),G2642+1,G2642))</f>
        <v/>
      </c>
    </row>
    <row r="2644">
      <c r="A2644" s="14">
        <f>IF(OR(NOT(ISNUMBER(Ввод!$B$5)),NOT(ISNUMBER(Ввод!$B$6))),"",IF(Ввод!$B$5+2642&gt;Ввод!$B$6,"",Ввод!$B$5+2642))</f>
        <v/>
      </c>
      <c r="B2644">
        <f>IF(A2644="","",IFERROR(INDEX(Ввод!$B$12:$B$71,MATCH(A2644,Ввод!$D$12:$D$71,1)),""))</f>
        <v/>
      </c>
      <c r="C2644">
        <f>IF(A2644="","",DATE(YEAR(A2644),12,31)-DATE(YEAR(A2644),1,1)+1)</f>
        <v/>
      </c>
      <c r="D2644">
        <f>IF(A2644="","",Ввод!$B$4-SUMIF(Оплаты!$A$6:$A$505,"&lt;"&amp;A2644,Оплаты!$B$6:$B$505))</f>
        <v/>
      </c>
      <c r="E2644">
        <f>IF(A2644="","",IF(SUMPRODUCT((Ввод!$F$12:$F$31&lt;&gt;"")*(Ввод!$F$12:$F$31&lt;=A2644)*(Ввод!$G$12:$G$31&gt;=A2644))&gt;0,1,0))</f>
        <v/>
      </c>
      <c r="F2644">
        <f>IF(OR(A2644="",B2644=""),"",IF(E2644=1,0,D2644*B2644/100/C2644))</f>
        <v/>
      </c>
      <c r="G2644">
        <f>IF(A2644="","",IF(OR(B2644&lt;&gt;B2643,C2644&lt;&gt;C2643,D2644&lt;&gt;D2643,E2644&lt;&gt;E2643),G2643+1,G2643))</f>
        <v/>
      </c>
    </row>
    <row r="2645">
      <c r="A2645" s="14">
        <f>IF(OR(NOT(ISNUMBER(Ввод!$B$5)),NOT(ISNUMBER(Ввод!$B$6))),"",IF(Ввод!$B$5+2643&gt;Ввод!$B$6,"",Ввод!$B$5+2643))</f>
        <v/>
      </c>
      <c r="B2645">
        <f>IF(A2645="","",IFERROR(INDEX(Ввод!$B$12:$B$71,MATCH(A2645,Ввод!$D$12:$D$71,1)),""))</f>
        <v/>
      </c>
      <c r="C2645">
        <f>IF(A2645="","",DATE(YEAR(A2645),12,31)-DATE(YEAR(A2645),1,1)+1)</f>
        <v/>
      </c>
      <c r="D2645">
        <f>IF(A2645="","",Ввод!$B$4-SUMIF(Оплаты!$A$6:$A$505,"&lt;"&amp;A2645,Оплаты!$B$6:$B$505))</f>
        <v/>
      </c>
      <c r="E2645">
        <f>IF(A2645="","",IF(SUMPRODUCT((Ввод!$F$12:$F$31&lt;&gt;"")*(Ввод!$F$12:$F$31&lt;=A2645)*(Ввод!$G$12:$G$31&gt;=A2645))&gt;0,1,0))</f>
        <v/>
      </c>
      <c r="F2645">
        <f>IF(OR(A2645="",B2645=""),"",IF(E2645=1,0,D2645*B2645/100/C2645))</f>
        <v/>
      </c>
      <c r="G2645">
        <f>IF(A2645="","",IF(OR(B2645&lt;&gt;B2644,C2645&lt;&gt;C2644,D2645&lt;&gt;D2644,E2645&lt;&gt;E2644),G2644+1,G2644))</f>
        <v/>
      </c>
    </row>
    <row r="2646">
      <c r="A2646" s="14">
        <f>IF(OR(NOT(ISNUMBER(Ввод!$B$5)),NOT(ISNUMBER(Ввод!$B$6))),"",IF(Ввод!$B$5+2644&gt;Ввод!$B$6,"",Ввод!$B$5+2644))</f>
        <v/>
      </c>
      <c r="B2646">
        <f>IF(A2646="","",IFERROR(INDEX(Ввод!$B$12:$B$71,MATCH(A2646,Ввод!$D$12:$D$71,1)),""))</f>
        <v/>
      </c>
      <c r="C2646">
        <f>IF(A2646="","",DATE(YEAR(A2646),12,31)-DATE(YEAR(A2646),1,1)+1)</f>
        <v/>
      </c>
      <c r="D2646">
        <f>IF(A2646="","",Ввод!$B$4-SUMIF(Оплаты!$A$6:$A$505,"&lt;"&amp;A2646,Оплаты!$B$6:$B$505))</f>
        <v/>
      </c>
      <c r="E2646">
        <f>IF(A2646="","",IF(SUMPRODUCT((Ввод!$F$12:$F$31&lt;&gt;"")*(Ввод!$F$12:$F$31&lt;=A2646)*(Ввод!$G$12:$G$31&gt;=A2646))&gt;0,1,0))</f>
        <v/>
      </c>
      <c r="F2646">
        <f>IF(OR(A2646="",B2646=""),"",IF(E2646=1,0,D2646*B2646/100/C2646))</f>
        <v/>
      </c>
      <c r="G2646">
        <f>IF(A2646="","",IF(OR(B2646&lt;&gt;B2645,C2646&lt;&gt;C2645,D2646&lt;&gt;D2645,E2646&lt;&gt;E2645),G2645+1,G2645))</f>
        <v/>
      </c>
    </row>
    <row r="2647">
      <c r="A2647" s="14">
        <f>IF(OR(NOT(ISNUMBER(Ввод!$B$5)),NOT(ISNUMBER(Ввод!$B$6))),"",IF(Ввод!$B$5+2645&gt;Ввод!$B$6,"",Ввод!$B$5+2645))</f>
        <v/>
      </c>
      <c r="B2647">
        <f>IF(A2647="","",IFERROR(INDEX(Ввод!$B$12:$B$71,MATCH(A2647,Ввод!$D$12:$D$71,1)),""))</f>
        <v/>
      </c>
      <c r="C2647">
        <f>IF(A2647="","",DATE(YEAR(A2647),12,31)-DATE(YEAR(A2647),1,1)+1)</f>
        <v/>
      </c>
      <c r="D2647">
        <f>IF(A2647="","",Ввод!$B$4-SUMIF(Оплаты!$A$6:$A$505,"&lt;"&amp;A2647,Оплаты!$B$6:$B$505))</f>
        <v/>
      </c>
      <c r="E2647">
        <f>IF(A2647="","",IF(SUMPRODUCT((Ввод!$F$12:$F$31&lt;&gt;"")*(Ввод!$F$12:$F$31&lt;=A2647)*(Ввод!$G$12:$G$31&gt;=A2647))&gt;0,1,0))</f>
        <v/>
      </c>
      <c r="F2647">
        <f>IF(OR(A2647="",B2647=""),"",IF(E2647=1,0,D2647*B2647/100/C2647))</f>
        <v/>
      </c>
      <c r="G2647">
        <f>IF(A2647="","",IF(OR(B2647&lt;&gt;B2646,C2647&lt;&gt;C2646,D2647&lt;&gt;D2646,E2647&lt;&gt;E2646),G2646+1,G2646))</f>
        <v/>
      </c>
    </row>
    <row r="2648">
      <c r="A2648" s="14">
        <f>IF(OR(NOT(ISNUMBER(Ввод!$B$5)),NOT(ISNUMBER(Ввод!$B$6))),"",IF(Ввод!$B$5+2646&gt;Ввод!$B$6,"",Ввод!$B$5+2646))</f>
        <v/>
      </c>
      <c r="B2648">
        <f>IF(A2648="","",IFERROR(INDEX(Ввод!$B$12:$B$71,MATCH(A2648,Ввод!$D$12:$D$71,1)),""))</f>
        <v/>
      </c>
      <c r="C2648">
        <f>IF(A2648="","",DATE(YEAR(A2648),12,31)-DATE(YEAR(A2648),1,1)+1)</f>
        <v/>
      </c>
      <c r="D2648">
        <f>IF(A2648="","",Ввод!$B$4-SUMIF(Оплаты!$A$6:$A$505,"&lt;"&amp;A2648,Оплаты!$B$6:$B$505))</f>
        <v/>
      </c>
      <c r="E2648">
        <f>IF(A2648="","",IF(SUMPRODUCT((Ввод!$F$12:$F$31&lt;&gt;"")*(Ввод!$F$12:$F$31&lt;=A2648)*(Ввод!$G$12:$G$31&gt;=A2648))&gt;0,1,0))</f>
        <v/>
      </c>
      <c r="F2648">
        <f>IF(OR(A2648="",B2648=""),"",IF(E2648=1,0,D2648*B2648/100/C2648))</f>
        <v/>
      </c>
      <c r="G2648">
        <f>IF(A2648="","",IF(OR(B2648&lt;&gt;B2647,C2648&lt;&gt;C2647,D2648&lt;&gt;D2647,E2648&lt;&gt;E2647),G2647+1,G2647))</f>
        <v/>
      </c>
    </row>
    <row r="2649">
      <c r="A2649" s="14">
        <f>IF(OR(NOT(ISNUMBER(Ввод!$B$5)),NOT(ISNUMBER(Ввод!$B$6))),"",IF(Ввод!$B$5+2647&gt;Ввод!$B$6,"",Ввод!$B$5+2647))</f>
        <v/>
      </c>
      <c r="B2649">
        <f>IF(A2649="","",IFERROR(INDEX(Ввод!$B$12:$B$71,MATCH(A2649,Ввод!$D$12:$D$71,1)),""))</f>
        <v/>
      </c>
      <c r="C2649">
        <f>IF(A2649="","",DATE(YEAR(A2649),12,31)-DATE(YEAR(A2649),1,1)+1)</f>
        <v/>
      </c>
      <c r="D2649">
        <f>IF(A2649="","",Ввод!$B$4-SUMIF(Оплаты!$A$6:$A$505,"&lt;"&amp;A2649,Оплаты!$B$6:$B$505))</f>
        <v/>
      </c>
      <c r="E2649">
        <f>IF(A2649="","",IF(SUMPRODUCT((Ввод!$F$12:$F$31&lt;&gt;"")*(Ввод!$F$12:$F$31&lt;=A2649)*(Ввод!$G$12:$G$31&gt;=A2649))&gt;0,1,0))</f>
        <v/>
      </c>
      <c r="F2649">
        <f>IF(OR(A2649="",B2649=""),"",IF(E2649=1,0,D2649*B2649/100/C2649))</f>
        <v/>
      </c>
      <c r="G2649">
        <f>IF(A2649="","",IF(OR(B2649&lt;&gt;B2648,C2649&lt;&gt;C2648,D2649&lt;&gt;D2648,E2649&lt;&gt;E2648),G2648+1,G2648))</f>
        <v/>
      </c>
    </row>
    <row r="2650">
      <c r="A2650" s="14">
        <f>IF(OR(NOT(ISNUMBER(Ввод!$B$5)),NOT(ISNUMBER(Ввод!$B$6))),"",IF(Ввод!$B$5+2648&gt;Ввод!$B$6,"",Ввод!$B$5+2648))</f>
        <v/>
      </c>
      <c r="B2650">
        <f>IF(A2650="","",IFERROR(INDEX(Ввод!$B$12:$B$71,MATCH(A2650,Ввод!$D$12:$D$71,1)),""))</f>
        <v/>
      </c>
      <c r="C2650">
        <f>IF(A2650="","",DATE(YEAR(A2650),12,31)-DATE(YEAR(A2650),1,1)+1)</f>
        <v/>
      </c>
      <c r="D2650">
        <f>IF(A2650="","",Ввод!$B$4-SUMIF(Оплаты!$A$6:$A$505,"&lt;"&amp;A2650,Оплаты!$B$6:$B$505))</f>
        <v/>
      </c>
      <c r="E2650">
        <f>IF(A2650="","",IF(SUMPRODUCT((Ввод!$F$12:$F$31&lt;&gt;"")*(Ввод!$F$12:$F$31&lt;=A2650)*(Ввод!$G$12:$G$31&gt;=A2650))&gt;0,1,0))</f>
        <v/>
      </c>
      <c r="F2650">
        <f>IF(OR(A2650="",B2650=""),"",IF(E2650=1,0,D2650*B2650/100/C2650))</f>
        <v/>
      </c>
      <c r="G2650">
        <f>IF(A2650="","",IF(OR(B2650&lt;&gt;B2649,C2650&lt;&gt;C2649,D2650&lt;&gt;D2649,E2650&lt;&gt;E2649),G2649+1,G2649))</f>
        <v/>
      </c>
    </row>
    <row r="2651">
      <c r="A2651" s="14">
        <f>IF(OR(NOT(ISNUMBER(Ввод!$B$5)),NOT(ISNUMBER(Ввод!$B$6))),"",IF(Ввод!$B$5+2649&gt;Ввод!$B$6,"",Ввод!$B$5+2649))</f>
        <v/>
      </c>
      <c r="B2651">
        <f>IF(A2651="","",IFERROR(INDEX(Ввод!$B$12:$B$71,MATCH(A2651,Ввод!$D$12:$D$71,1)),""))</f>
        <v/>
      </c>
      <c r="C2651">
        <f>IF(A2651="","",DATE(YEAR(A2651),12,31)-DATE(YEAR(A2651),1,1)+1)</f>
        <v/>
      </c>
      <c r="D2651">
        <f>IF(A2651="","",Ввод!$B$4-SUMIF(Оплаты!$A$6:$A$505,"&lt;"&amp;A2651,Оплаты!$B$6:$B$505))</f>
        <v/>
      </c>
      <c r="E2651">
        <f>IF(A2651="","",IF(SUMPRODUCT((Ввод!$F$12:$F$31&lt;&gt;"")*(Ввод!$F$12:$F$31&lt;=A2651)*(Ввод!$G$12:$G$31&gt;=A2651))&gt;0,1,0))</f>
        <v/>
      </c>
      <c r="F2651">
        <f>IF(OR(A2651="",B2651=""),"",IF(E2651=1,0,D2651*B2651/100/C2651))</f>
        <v/>
      </c>
      <c r="G2651">
        <f>IF(A2651="","",IF(OR(B2651&lt;&gt;B2650,C2651&lt;&gt;C2650,D2651&lt;&gt;D2650,E2651&lt;&gt;E2650),G2650+1,G2650))</f>
        <v/>
      </c>
    </row>
    <row r="2652">
      <c r="A2652" s="14">
        <f>IF(OR(NOT(ISNUMBER(Ввод!$B$5)),NOT(ISNUMBER(Ввод!$B$6))),"",IF(Ввод!$B$5+2650&gt;Ввод!$B$6,"",Ввод!$B$5+2650))</f>
        <v/>
      </c>
      <c r="B2652">
        <f>IF(A2652="","",IFERROR(INDEX(Ввод!$B$12:$B$71,MATCH(A2652,Ввод!$D$12:$D$71,1)),""))</f>
        <v/>
      </c>
      <c r="C2652">
        <f>IF(A2652="","",DATE(YEAR(A2652),12,31)-DATE(YEAR(A2652),1,1)+1)</f>
        <v/>
      </c>
      <c r="D2652">
        <f>IF(A2652="","",Ввод!$B$4-SUMIF(Оплаты!$A$6:$A$505,"&lt;"&amp;A2652,Оплаты!$B$6:$B$505))</f>
        <v/>
      </c>
      <c r="E2652">
        <f>IF(A2652="","",IF(SUMPRODUCT((Ввод!$F$12:$F$31&lt;&gt;"")*(Ввод!$F$12:$F$31&lt;=A2652)*(Ввод!$G$12:$G$31&gt;=A2652))&gt;0,1,0))</f>
        <v/>
      </c>
      <c r="F2652">
        <f>IF(OR(A2652="",B2652=""),"",IF(E2652=1,0,D2652*B2652/100/C2652))</f>
        <v/>
      </c>
      <c r="G2652">
        <f>IF(A2652="","",IF(OR(B2652&lt;&gt;B2651,C2652&lt;&gt;C2651,D2652&lt;&gt;D2651,E2652&lt;&gt;E2651),G2651+1,G2651))</f>
        <v/>
      </c>
    </row>
    <row r="2653">
      <c r="A2653" s="14">
        <f>IF(OR(NOT(ISNUMBER(Ввод!$B$5)),NOT(ISNUMBER(Ввод!$B$6))),"",IF(Ввод!$B$5+2651&gt;Ввод!$B$6,"",Ввод!$B$5+2651))</f>
        <v/>
      </c>
      <c r="B2653">
        <f>IF(A2653="","",IFERROR(INDEX(Ввод!$B$12:$B$71,MATCH(A2653,Ввод!$D$12:$D$71,1)),""))</f>
        <v/>
      </c>
      <c r="C2653">
        <f>IF(A2653="","",DATE(YEAR(A2653),12,31)-DATE(YEAR(A2653),1,1)+1)</f>
        <v/>
      </c>
      <c r="D2653">
        <f>IF(A2653="","",Ввод!$B$4-SUMIF(Оплаты!$A$6:$A$505,"&lt;"&amp;A2653,Оплаты!$B$6:$B$505))</f>
        <v/>
      </c>
      <c r="E2653">
        <f>IF(A2653="","",IF(SUMPRODUCT((Ввод!$F$12:$F$31&lt;&gt;"")*(Ввод!$F$12:$F$31&lt;=A2653)*(Ввод!$G$12:$G$31&gt;=A2653))&gt;0,1,0))</f>
        <v/>
      </c>
      <c r="F2653">
        <f>IF(OR(A2653="",B2653=""),"",IF(E2653=1,0,D2653*B2653/100/C2653))</f>
        <v/>
      </c>
      <c r="G2653">
        <f>IF(A2653="","",IF(OR(B2653&lt;&gt;B2652,C2653&lt;&gt;C2652,D2653&lt;&gt;D2652,E2653&lt;&gt;E2652),G2652+1,G2652))</f>
        <v/>
      </c>
    </row>
    <row r="2654">
      <c r="A2654" s="14">
        <f>IF(OR(NOT(ISNUMBER(Ввод!$B$5)),NOT(ISNUMBER(Ввод!$B$6))),"",IF(Ввод!$B$5+2652&gt;Ввод!$B$6,"",Ввод!$B$5+2652))</f>
        <v/>
      </c>
      <c r="B2654">
        <f>IF(A2654="","",IFERROR(INDEX(Ввод!$B$12:$B$71,MATCH(A2654,Ввод!$D$12:$D$71,1)),""))</f>
        <v/>
      </c>
      <c r="C2654">
        <f>IF(A2654="","",DATE(YEAR(A2654),12,31)-DATE(YEAR(A2654),1,1)+1)</f>
        <v/>
      </c>
      <c r="D2654">
        <f>IF(A2654="","",Ввод!$B$4-SUMIF(Оплаты!$A$6:$A$505,"&lt;"&amp;A2654,Оплаты!$B$6:$B$505))</f>
        <v/>
      </c>
      <c r="E2654">
        <f>IF(A2654="","",IF(SUMPRODUCT((Ввод!$F$12:$F$31&lt;&gt;"")*(Ввод!$F$12:$F$31&lt;=A2654)*(Ввод!$G$12:$G$31&gt;=A2654))&gt;0,1,0))</f>
        <v/>
      </c>
      <c r="F2654">
        <f>IF(OR(A2654="",B2654=""),"",IF(E2654=1,0,D2654*B2654/100/C2654))</f>
        <v/>
      </c>
      <c r="G2654">
        <f>IF(A2654="","",IF(OR(B2654&lt;&gt;B2653,C2654&lt;&gt;C2653,D2654&lt;&gt;D2653,E2654&lt;&gt;E2653),G2653+1,G2653))</f>
        <v/>
      </c>
    </row>
    <row r="2655">
      <c r="A2655" s="14">
        <f>IF(OR(NOT(ISNUMBER(Ввод!$B$5)),NOT(ISNUMBER(Ввод!$B$6))),"",IF(Ввод!$B$5+2653&gt;Ввод!$B$6,"",Ввод!$B$5+2653))</f>
        <v/>
      </c>
      <c r="B2655">
        <f>IF(A2655="","",IFERROR(INDEX(Ввод!$B$12:$B$71,MATCH(A2655,Ввод!$D$12:$D$71,1)),""))</f>
        <v/>
      </c>
      <c r="C2655">
        <f>IF(A2655="","",DATE(YEAR(A2655),12,31)-DATE(YEAR(A2655),1,1)+1)</f>
        <v/>
      </c>
      <c r="D2655">
        <f>IF(A2655="","",Ввод!$B$4-SUMIF(Оплаты!$A$6:$A$505,"&lt;"&amp;A2655,Оплаты!$B$6:$B$505))</f>
        <v/>
      </c>
      <c r="E2655">
        <f>IF(A2655="","",IF(SUMPRODUCT((Ввод!$F$12:$F$31&lt;&gt;"")*(Ввод!$F$12:$F$31&lt;=A2655)*(Ввод!$G$12:$G$31&gt;=A2655))&gt;0,1,0))</f>
        <v/>
      </c>
      <c r="F2655">
        <f>IF(OR(A2655="",B2655=""),"",IF(E2655=1,0,D2655*B2655/100/C2655))</f>
        <v/>
      </c>
      <c r="G2655">
        <f>IF(A2655="","",IF(OR(B2655&lt;&gt;B2654,C2655&lt;&gt;C2654,D2655&lt;&gt;D2654,E2655&lt;&gt;E2654),G2654+1,G2654))</f>
        <v/>
      </c>
    </row>
    <row r="2656">
      <c r="A2656" s="14">
        <f>IF(OR(NOT(ISNUMBER(Ввод!$B$5)),NOT(ISNUMBER(Ввод!$B$6))),"",IF(Ввод!$B$5+2654&gt;Ввод!$B$6,"",Ввод!$B$5+2654))</f>
        <v/>
      </c>
      <c r="B2656">
        <f>IF(A2656="","",IFERROR(INDEX(Ввод!$B$12:$B$71,MATCH(A2656,Ввод!$D$12:$D$71,1)),""))</f>
        <v/>
      </c>
      <c r="C2656">
        <f>IF(A2656="","",DATE(YEAR(A2656),12,31)-DATE(YEAR(A2656),1,1)+1)</f>
        <v/>
      </c>
      <c r="D2656">
        <f>IF(A2656="","",Ввод!$B$4-SUMIF(Оплаты!$A$6:$A$505,"&lt;"&amp;A2656,Оплаты!$B$6:$B$505))</f>
        <v/>
      </c>
      <c r="E2656">
        <f>IF(A2656="","",IF(SUMPRODUCT((Ввод!$F$12:$F$31&lt;&gt;"")*(Ввод!$F$12:$F$31&lt;=A2656)*(Ввод!$G$12:$G$31&gt;=A2656))&gt;0,1,0))</f>
        <v/>
      </c>
      <c r="F2656">
        <f>IF(OR(A2656="",B2656=""),"",IF(E2656=1,0,D2656*B2656/100/C2656))</f>
        <v/>
      </c>
      <c r="G2656">
        <f>IF(A2656="","",IF(OR(B2656&lt;&gt;B2655,C2656&lt;&gt;C2655,D2656&lt;&gt;D2655,E2656&lt;&gt;E2655),G2655+1,G2655))</f>
        <v/>
      </c>
    </row>
    <row r="2657">
      <c r="A2657" s="14">
        <f>IF(OR(NOT(ISNUMBER(Ввод!$B$5)),NOT(ISNUMBER(Ввод!$B$6))),"",IF(Ввод!$B$5+2655&gt;Ввод!$B$6,"",Ввод!$B$5+2655))</f>
        <v/>
      </c>
      <c r="B2657">
        <f>IF(A2657="","",IFERROR(INDEX(Ввод!$B$12:$B$71,MATCH(A2657,Ввод!$D$12:$D$71,1)),""))</f>
        <v/>
      </c>
      <c r="C2657">
        <f>IF(A2657="","",DATE(YEAR(A2657),12,31)-DATE(YEAR(A2657),1,1)+1)</f>
        <v/>
      </c>
      <c r="D2657">
        <f>IF(A2657="","",Ввод!$B$4-SUMIF(Оплаты!$A$6:$A$505,"&lt;"&amp;A2657,Оплаты!$B$6:$B$505))</f>
        <v/>
      </c>
      <c r="E2657">
        <f>IF(A2657="","",IF(SUMPRODUCT((Ввод!$F$12:$F$31&lt;&gt;"")*(Ввод!$F$12:$F$31&lt;=A2657)*(Ввод!$G$12:$G$31&gt;=A2657))&gt;0,1,0))</f>
        <v/>
      </c>
      <c r="F2657">
        <f>IF(OR(A2657="",B2657=""),"",IF(E2657=1,0,D2657*B2657/100/C2657))</f>
        <v/>
      </c>
      <c r="G2657">
        <f>IF(A2657="","",IF(OR(B2657&lt;&gt;B2656,C2657&lt;&gt;C2656,D2657&lt;&gt;D2656,E2657&lt;&gt;E2656),G2656+1,G2656))</f>
        <v/>
      </c>
    </row>
    <row r="2658">
      <c r="A2658" s="14">
        <f>IF(OR(NOT(ISNUMBER(Ввод!$B$5)),NOT(ISNUMBER(Ввод!$B$6))),"",IF(Ввод!$B$5+2656&gt;Ввод!$B$6,"",Ввод!$B$5+2656))</f>
        <v/>
      </c>
      <c r="B2658">
        <f>IF(A2658="","",IFERROR(INDEX(Ввод!$B$12:$B$71,MATCH(A2658,Ввод!$D$12:$D$71,1)),""))</f>
        <v/>
      </c>
      <c r="C2658">
        <f>IF(A2658="","",DATE(YEAR(A2658),12,31)-DATE(YEAR(A2658),1,1)+1)</f>
        <v/>
      </c>
      <c r="D2658">
        <f>IF(A2658="","",Ввод!$B$4-SUMIF(Оплаты!$A$6:$A$505,"&lt;"&amp;A2658,Оплаты!$B$6:$B$505))</f>
        <v/>
      </c>
      <c r="E2658">
        <f>IF(A2658="","",IF(SUMPRODUCT((Ввод!$F$12:$F$31&lt;&gt;"")*(Ввод!$F$12:$F$31&lt;=A2658)*(Ввод!$G$12:$G$31&gt;=A2658))&gt;0,1,0))</f>
        <v/>
      </c>
      <c r="F2658">
        <f>IF(OR(A2658="",B2658=""),"",IF(E2658=1,0,D2658*B2658/100/C2658))</f>
        <v/>
      </c>
      <c r="G2658">
        <f>IF(A2658="","",IF(OR(B2658&lt;&gt;B2657,C2658&lt;&gt;C2657,D2658&lt;&gt;D2657,E2658&lt;&gt;E2657),G2657+1,G2657))</f>
        <v/>
      </c>
    </row>
    <row r="2659">
      <c r="A2659" s="14">
        <f>IF(OR(NOT(ISNUMBER(Ввод!$B$5)),NOT(ISNUMBER(Ввод!$B$6))),"",IF(Ввод!$B$5+2657&gt;Ввод!$B$6,"",Ввод!$B$5+2657))</f>
        <v/>
      </c>
      <c r="B2659">
        <f>IF(A2659="","",IFERROR(INDEX(Ввод!$B$12:$B$71,MATCH(A2659,Ввод!$D$12:$D$71,1)),""))</f>
        <v/>
      </c>
      <c r="C2659">
        <f>IF(A2659="","",DATE(YEAR(A2659),12,31)-DATE(YEAR(A2659),1,1)+1)</f>
        <v/>
      </c>
      <c r="D2659">
        <f>IF(A2659="","",Ввод!$B$4-SUMIF(Оплаты!$A$6:$A$505,"&lt;"&amp;A2659,Оплаты!$B$6:$B$505))</f>
        <v/>
      </c>
      <c r="E2659">
        <f>IF(A2659="","",IF(SUMPRODUCT((Ввод!$F$12:$F$31&lt;&gt;"")*(Ввод!$F$12:$F$31&lt;=A2659)*(Ввод!$G$12:$G$31&gt;=A2659))&gt;0,1,0))</f>
        <v/>
      </c>
      <c r="F2659">
        <f>IF(OR(A2659="",B2659=""),"",IF(E2659=1,0,D2659*B2659/100/C2659))</f>
        <v/>
      </c>
      <c r="G2659">
        <f>IF(A2659="","",IF(OR(B2659&lt;&gt;B2658,C2659&lt;&gt;C2658,D2659&lt;&gt;D2658,E2659&lt;&gt;E2658),G2658+1,G2658))</f>
        <v/>
      </c>
    </row>
    <row r="2660">
      <c r="A2660" s="14">
        <f>IF(OR(NOT(ISNUMBER(Ввод!$B$5)),NOT(ISNUMBER(Ввод!$B$6))),"",IF(Ввод!$B$5+2658&gt;Ввод!$B$6,"",Ввод!$B$5+2658))</f>
        <v/>
      </c>
      <c r="B2660">
        <f>IF(A2660="","",IFERROR(INDEX(Ввод!$B$12:$B$71,MATCH(A2660,Ввод!$D$12:$D$71,1)),""))</f>
        <v/>
      </c>
      <c r="C2660">
        <f>IF(A2660="","",DATE(YEAR(A2660),12,31)-DATE(YEAR(A2660),1,1)+1)</f>
        <v/>
      </c>
      <c r="D2660">
        <f>IF(A2660="","",Ввод!$B$4-SUMIF(Оплаты!$A$6:$A$505,"&lt;"&amp;A2660,Оплаты!$B$6:$B$505))</f>
        <v/>
      </c>
      <c r="E2660">
        <f>IF(A2660="","",IF(SUMPRODUCT((Ввод!$F$12:$F$31&lt;&gt;"")*(Ввод!$F$12:$F$31&lt;=A2660)*(Ввод!$G$12:$G$31&gt;=A2660))&gt;0,1,0))</f>
        <v/>
      </c>
      <c r="F2660">
        <f>IF(OR(A2660="",B2660=""),"",IF(E2660=1,0,D2660*B2660/100/C2660))</f>
        <v/>
      </c>
      <c r="G2660">
        <f>IF(A2660="","",IF(OR(B2660&lt;&gt;B2659,C2660&lt;&gt;C2659,D2660&lt;&gt;D2659,E2660&lt;&gt;E2659),G2659+1,G2659))</f>
        <v/>
      </c>
    </row>
    <row r="2661">
      <c r="A2661" s="14">
        <f>IF(OR(NOT(ISNUMBER(Ввод!$B$5)),NOT(ISNUMBER(Ввод!$B$6))),"",IF(Ввод!$B$5+2659&gt;Ввод!$B$6,"",Ввод!$B$5+2659))</f>
        <v/>
      </c>
      <c r="B2661">
        <f>IF(A2661="","",IFERROR(INDEX(Ввод!$B$12:$B$71,MATCH(A2661,Ввод!$D$12:$D$71,1)),""))</f>
        <v/>
      </c>
      <c r="C2661">
        <f>IF(A2661="","",DATE(YEAR(A2661),12,31)-DATE(YEAR(A2661),1,1)+1)</f>
        <v/>
      </c>
      <c r="D2661">
        <f>IF(A2661="","",Ввод!$B$4-SUMIF(Оплаты!$A$6:$A$505,"&lt;"&amp;A2661,Оплаты!$B$6:$B$505))</f>
        <v/>
      </c>
      <c r="E2661">
        <f>IF(A2661="","",IF(SUMPRODUCT((Ввод!$F$12:$F$31&lt;&gt;"")*(Ввод!$F$12:$F$31&lt;=A2661)*(Ввод!$G$12:$G$31&gt;=A2661))&gt;0,1,0))</f>
        <v/>
      </c>
      <c r="F2661">
        <f>IF(OR(A2661="",B2661=""),"",IF(E2661=1,0,D2661*B2661/100/C2661))</f>
        <v/>
      </c>
      <c r="G2661">
        <f>IF(A2661="","",IF(OR(B2661&lt;&gt;B2660,C2661&lt;&gt;C2660,D2661&lt;&gt;D2660,E2661&lt;&gt;E2660),G2660+1,G2660))</f>
        <v/>
      </c>
    </row>
    <row r="2662">
      <c r="A2662" s="14">
        <f>IF(OR(NOT(ISNUMBER(Ввод!$B$5)),NOT(ISNUMBER(Ввод!$B$6))),"",IF(Ввод!$B$5+2660&gt;Ввод!$B$6,"",Ввод!$B$5+2660))</f>
        <v/>
      </c>
      <c r="B2662">
        <f>IF(A2662="","",IFERROR(INDEX(Ввод!$B$12:$B$71,MATCH(A2662,Ввод!$D$12:$D$71,1)),""))</f>
        <v/>
      </c>
      <c r="C2662">
        <f>IF(A2662="","",DATE(YEAR(A2662),12,31)-DATE(YEAR(A2662),1,1)+1)</f>
        <v/>
      </c>
      <c r="D2662">
        <f>IF(A2662="","",Ввод!$B$4-SUMIF(Оплаты!$A$6:$A$505,"&lt;"&amp;A2662,Оплаты!$B$6:$B$505))</f>
        <v/>
      </c>
      <c r="E2662">
        <f>IF(A2662="","",IF(SUMPRODUCT((Ввод!$F$12:$F$31&lt;&gt;"")*(Ввод!$F$12:$F$31&lt;=A2662)*(Ввод!$G$12:$G$31&gt;=A2662))&gt;0,1,0))</f>
        <v/>
      </c>
      <c r="F2662">
        <f>IF(OR(A2662="",B2662=""),"",IF(E2662=1,0,D2662*B2662/100/C2662))</f>
        <v/>
      </c>
      <c r="G2662">
        <f>IF(A2662="","",IF(OR(B2662&lt;&gt;B2661,C2662&lt;&gt;C2661,D2662&lt;&gt;D2661,E2662&lt;&gt;E2661),G2661+1,G2661))</f>
        <v/>
      </c>
    </row>
    <row r="2663">
      <c r="A2663" s="14">
        <f>IF(OR(NOT(ISNUMBER(Ввод!$B$5)),NOT(ISNUMBER(Ввод!$B$6))),"",IF(Ввод!$B$5+2661&gt;Ввод!$B$6,"",Ввод!$B$5+2661))</f>
        <v/>
      </c>
      <c r="B2663">
        <f>IF(A2663="","",IFERROR(INDEX(Ввод!$B$12:$B$71,MATCH(A2663,Ввод!$D$12:$D$71,1)),""))</f>
        <v/>
      </c>
      <c r="C2663">
        <f>IF(A2663="","",DATE(YEAR(A2663),12,31)-DATE(YEAR(A2663),1,1)+1)</f>
        <v/>
      </c>
      <c r="D2663">
        <f>IF(A2663="","",Ввод!$B$4-SUMIF(Оплаты!$A$6:$A$505,"&lt;"&amp;A2663,Оплаты!$B$6:$B$505))</f>
        <v/>
      </c>
      <c r="E2663">
        <f>IF(A2663="","",IF(SUMPRODUCT((Ввод!$F$12:$F$31&lt;&gt;"")*(Ввод!$F$12:$F$31&lt;=A2663)*(Ввод!$G$12:$G$31&gt;=A2663))&gt;0,1,0))</f>
        <v/>
      </c>
      <c r="F2663">
        <f>IF(OR(A2663="",B2663=""),"",IF(E2663=1,0,D2663*B2663/100/C2663))</f>
        <v/>
      </c>
      <c r="G2663">
        <f>IF(A2663="","",IF(OR(B2663&lt;&gt;B2662,C2663&lt;&gt;C2662,D2663&lt;&gt;D2662,E2663&lt;&gt;E2662),G2662+1,G2662))</f>
        <v/>
      </c>
    </row>
    <row r="2664">
      <c r="A2664" s="14">
        <f>IF(OR(NOT(ISNUMBER(Ввод!$B$5)),NOT(ISNUMBER(Ввод!$B$6))),"",IF(Ввод!$B$5+2662&gt;Ввод!$B$6,"",Ввод!$B$5+2662))</f>
        <v/>
      </c>
      <c r="B2664">
        <f>IF(A2664="","",IFERROR(INDEX(Ввод!$B$12:$B$71,MATCH(A2664,Ввод!$D$12:$D$71,1)),""))</f>
        <v/>
      </c>
      <c r="C2664">
        <f>IF(A2664="","",DATE(YEAR(A2664),12,31)-DATE(YEAR(A2664),1,1)+1)</f>
        <v/>
      </c>
      <c r="D2664">
        <f>IF(A2664="","",Ввод!$B$4-SUMIF(Оплаты!$A$6:$A$505,"&lt;"&amp;A2664,Оплаты!$B$6:$B$505))</f>
        <v/>
      </c>
      <c r="E2664">
        <f>IF(A2664="","",IF(SUMPRODUCT((Ввод!$F$12:$F$31&lt;&gt;"")*(Ввод!$F$12:$F$31&lt;=A2664)*(Ввод!$G$12:$G$31&gt;=A2664))&gt;0,1,0))</f>
        <v/>
      </c>
      <c r="F2664">
        <f>IF(OR(A2664="",B2664=""),"",IF(E2664=1,0,D2664*B2664/100/C2664))</f>
        <v/>
      </c>
      <c r="G2664">
        <f>IF(A2664="","",IF(OR(B2664&lt;&gt;B2663,C2664&lt;&gt;C2663,D2664&lt;&gt;D2663,E2664&lt;&gt;E2663),G2663+1,G2663))</f>
        <v/>
      </c>
    </row>
    <row r="2665">
      <c r="A2665" s="14">
        <f>IF(OR(NOT(ISNUMBER(Ввод!$B$5)),NOT(ISNUMBER(Ввод!$B$6))),"",IF(Ввод!$B$5+2663&gt;Ввод!$B$6,"",Ввод!$B$5+2663))</f>
        <v/>
      </c>
      <c r="B2665">
        <f>IF(A2665="","",IFERROR(INDEX(Ввод!$B$12:$B$71,MATCH(A2665,Ввод!$D$12:$D$71,1)),""))</f>
        <v/>
      </c>
      <c r="C2665">
        <f>IF(A2665="","",DATE(YEAR(A2665),12,31)-DATE(YEAR(A2665),1,1)+1)</f>
        <v/>
      </c>
      <c r="D2665">
        <f>IF(A2665="","",Ввод!$B$4-SUMIF(Оплаты!$A$6:$A$505,"&lt;"&amp;A2665,Оплаты!$B$6:$B$505))</f>
        <v/>
      </c>
      <c r="E2665">
        <f>IF(A2665="","",IF(SUMPRODUCT((Ввод!$F$12:$F$31&lt;&gt;"")*(Ввод!$F$12:$F$31&lt;=A2665)*(Ввод!$G$12:$G$31&gt;=A2665))&gt;0,1,0))</f>
        <v/>
      </c>
      <c r="F2665">
        <f>IF(OR(A2665="",B2665=""),"",IF(E2665=1,0,D2665*B2665/100/C2665))</f>
        <v/>
      </c>
      <c r="G2665">
        <f>IF(A2665="","",IF(OR(B2665&lt;&gt;B2664,C2665&lt;&gt;C2664,D2665&lt;&gt;D2664,E2665&lt;&gt;E2664),G2664+1,G2664))</f>
        <v/>
      </c>
    </row>
    <row r="2666">
      <c r="A2666" s="14">
        <f>IF(OR(NOT(ISNUMBER(Ввод!$B$5)),NOT(ISNUMBER(Ввод!$B$6))),"",IF(Ввод!$B$5+2664&gt;Ввод!$B$6,"",Ввод!$B$5+2664))</f>
        <v/>
      </c>
      <c r="B2666">
        <f>IF(A2666="","",IFERROR(INDEX(Ввод!$B$12:$B$71,MATCH(A2666,Ввод!$D$12:$D$71,1)),""))</f>
        <v/>
      </c>
      <c r="C2666">
        <f>IF(A2666="","",DATE(YEAR(A2666),12,31)-DATE(YEAR(A2666),1,1)+1)</f>
        <v/>
      </c>
      <c r="D2666">
        <f>IF(A2666="","",Ввод!$B$4-SUMIF(Оплаты!$A$6:$A$505,"&lt;"&amp;A2666,Оплаты!$B$6:$B$505))</f>
        <v/>
      </c>
      <c r="E2666">
        <f>IF(A2666="","",IF(SUMPRODUCT((Ввод!$F$12:$F$31&lt;&gt;"")*(Ввод!$F$12:$F$31&lt;=A2666)*(Ввод!$G$12:$G$31&gt;=A2666))&gt;0,1,0))</f>
        <v/>
      </c>
      <c r="F2666">
        <f>IF(OR(A2666="",B2666=""),"",IF(E2666=1,0,D2666*B2666/100/C2666))</f>
        <v/>
      </c>
      <c r="G2666">
        <f>IF(A2666="","",IF(OR(B2666&lt;&gt;B2665,C2666&lt;&gt;C2665,D2666&lt;&gt;D2665,E2666&lt;&gt;E2665),G2665+1,G2665))</f>
        <v/>
      </c>
    </row>
    <row r="2667">
      <c r="A2667" s="14">
        <f>IF(OR(NOT(ISNUMBER(Ввод!$B$5)),NOT(ISNUMBER(Ввод!$B$6))),"",IF(Ввод!$B$5+2665&gt;Ввод!$B$6,"",Ввод!$B$5+2665))</f>
        <v/>
      </c>
      <c r="B2667">
        <f>IF(A2667="","",IFERROR(INDEX(Ввод!$B$12:$B$71,MATCH(A2667,Ввод!$D$12:$D$71,1)),""))</f>
        <v/>
      </c>
      <c r="C2667">
        <f>IF(A2667="","",DATE(YEAR(A2667),12,31)-DATE(YEAR(A2667),1,1)+1)</f>
        <v/>
      </c>
      <c r="D2667">
        <f>IF(A2667="","",Ввод!$B$4-SUMIF(Оплаты!$A$6:$A$505,"&lt;"&amp;A2667,Оплаты!$B$6:$B$505))</f>
        <v/>
      </c>
      <c r="E2667">
        <f>IF(A2667="","",IF(SUMPRODUCT((Ввод!$F$12:$F$31&lt;&gt;"")*(Ввод!$F$12:$F$31&lt;=A2667)*(Ввод!$G$12:$G$31&gt;=A2667))&gt;0,1,0))</f>
        <v/>
      </c>
      <c r="F2667">
        <f>IF(OR(A2667="",B2667=""),"",IF(E2667=1,0,D2667*B2667/100/C2667))</f>
        <v/>
      </c>
      <c r="G2667">
        <f>IF(A2667="","",IF(OR(B2667&lt;&gt;B2666,C2667&lt;&gt;C2666,D2667&lt;&gt;D2666,E2667&lt;&gt;E2666),G2666+1,G2666))</f>
        <v/>
      </c>
    </row>
    <row r="2668">
      <c r="A2668" s="14">
        <f>IF(OR(NOT(ISNUMBER(Ввод!$B$5)),NOT(ISNUMBER(Ввод!$B$6))),"",IF(Ввод!$B$5+2666&gt;Ввод!$B$6,"",Ввод!$B$5+2666))</f>
        <v/>
      </c>
      <c r="B2668">
        <f>IF(A2668="","",IFERROR(INDEX(Ввод!$B$12:$B$71,MATCH(A2668,Ввод!$D$12:$D$71,1)),""))</f>
        <v/>
      </c>
      <c r="C2668">
        <f>IF(A2668="","",DATE(YEAR(A2668),12,31)-DATE(YEAR(A2668),1,1)+1)</f>
        <v/>
      </c>
      <c r="D2668">
        <f>IF(A2668="","",Ввод!$B$4-SUMIF(Оплаты!$A$6:$A$505,"&lt;"&amp;A2668,Оплаты!$B$6:$B$505))</f>
        <v/>
      </c>
      <c r="E2668">
        <f>IF(A2668="","",IF(SUMPRODUCT((Ввод!$F$12:$F$31&lt;&gt;"")*(Ввод!$F$12:$F$31&lt;=A2668)*(Ввод!$G$12:$G$31&gt;=A2668))&gt;0,1,0))</f>
        <v/>
      </c>
      <c r="F2668">
        <f>IF(OR(A2668="",B2668=""),"",IF(E2668=1,0,D2668*B2668/100/C2668))</f>
        <v/>
      </c>
      <c r="G2668">
        <f>IF(A2668="","",IF(OR(B2668&lt;&gt;B2667,C2668&lt;&gt;C2667,D2668&lt;&gt;D2667,E2668&lt;&gt;E2667),G2667+1,G2667))</f>
        <v/>
      </c>
    </row>
    <row r="2669">
      <c r="A2669" s="14">
        <f>IF(OR(NOT(ISNUMBER(Ввод!$B$5)),NOT(ISNUMBER(Ввод!$B$6))),"",IF(Ввод!$B$5+2667&gt;Ввод!$B$6,"",Ввод!$B$5+2667))</f>
        <v/>
      </c>
      <c r="B2669">
        <f>IF(A2669="","",IFERROR(INDEX(Ввод!$B$12:$B$71,MATCH(A2669,Ввод!$D$12:$D$71,1)),""))</f>
        <v/>
      </c>
      <c r="C2669">
        <f>IF(A2669="","",DATE(YEAR(A2669),12,31)-DATE(YEAR(A2669),1,1)+1)</f>
        <v/>
      </c>
      <c r="D2669">
        <f>IF(A2669="","",Ввод!$B$4-SUMIF(Оплаты!$A$6:$A$505,"&lt;"&amp;A2669,Оплаты!$B$6:$B$505))</f>
        <v/>
      </c>
      <c r="E2669">
        <f>IF(A2669="","",IF(SUMPRODUCT((Ввод!$F$12:$F$31&lt;&gt;"")*(Ввод!$F$12:$F$31&lt;=A2669)*(Ввод!$G$12:$G$31&gt;=A2669))&gt;0,1,0))</f>
        <v/>
      </c>
      <c r="F2669">
        <f>IF(OR(A2669="",B2669=""),"",IF(E2669=1,0,D2669*B2669/100/C2669))</f>
        <v/>
      </c>
      <c r="G2669">
        <f>IF(A2669="","",IF(OR(B2669&lt;&gt;B2668,C2669&lt;&gt;C2668,D2669&lt;&gt;D2668,E2669&lt;&gt;E2668),G2668+1,G2668))</f>
        <v/>
      </c>
    </row>
    <row r="2670">
      <c r="A2670" s="14">
        <f>IF(OR(NOT(ISNUMBER(Ввод!$B$5)),NOT(ISNUMBER(Ввод!$B$6))),"",IF(Ввод!$B$5+2668&gt;Ввод!$B$6,"",Ввод!$B$5+2668))</f>
        <v/>
      </c>
      <c r="B2670">
        <f>IF(A2670="","",IFERROR(INDEX(Ввод!$B$12:$B$71,MATCH(A2670,Ввод!$D$12:$D$71,1)),""))</f>
        <v/>
      </c>
      <c r="C2670">
        <f>IF(A2670="","",DATE(YEAR(A2670),12,31)-DATE(YEAR(A2670),1,1)+1)</f>
        <v/>
      </c>
      <c r="D2670">
        <f>IF(A2670="","",Ввод!$B$4-SUMIF(Оплаты!$A$6:$A$505,"&lt;"&amp;A2670,Оплаты!$B$6:$B$505))</f>
        <v/>
      </c>
      <c r="E2670">
        <f>IF(A2670="","",IF(SUMPRODUCT((Ввод!$F$12:$F$31&lt;&gt;"")*(Ввод!$F$12:$F$31&lt;=A2670)*(Ввод!$G$12:$G$31&gt;=A2670))&gt;0,1,0))</f>
        <v/>
      </c>
      <c r="F2670">
        <f>IF(OR(A2670="",B2670=""),"",IF(E2670=1,0,D2670*B2670/100/C2670))</f>
        <v/>
      </c>
      <c r="G2670">
        <f>IF(A2670="","",IF(OR(B2670&lt;&gt;B2669,C2670&lt;&gt;C2669,D2670&lt;&gt;D2669,E2670&lt;&gt;E2669),G2669+1,G2669))</f>
        <v/>
      </c>
    </row>
    <row r="2671">
      <c r="A2671" s="14">
        <f>IF(OR(NOT(ISNUMBER(Ввод!$B$5)),NOT(ISNUMBER(Ввод!$B$6))),"",IF(Ввод!$B$5+2669&gt;Ввод!$B$6,"",Ввод!$B$5+2669))</f>
        <v/>
      </c>
      <c r="B2671">
        <f>IF(A2671="","",IFERROR(INDEX(Ввод!$B$12:$B$71,MATCH(A2671,Ввод!$D$12:$D$71,1)),""))</f>
        <v/>
      </c>
      <c r="C2671">
        <f>IF(A2671="","",DATE(YEAR(A2671),12,31)-DATE(YEAR(A2671),1,1)+1)</f>
        <v/>
      </c>
      <c r="D2671">
        <f>IF(A2671="","",Ввод!$B$4-SUMIF(Оплаты!$A$6:$A$505,"&lt;"&amp;A2671,Оплаты!$B$6:$B$505))</f>
        <v/>
      </c>
      <c r="E2671">
        <f>IF(A2671="","",IF(SUMPRODUCT((Ввод!$F$12:$F$31&lt;&gt;"")*(Ввод!$F$12:$F$31&lt;=A2671)*(Ввод!$G$12:$G$31&gt;=A2671))&gt;0,1,0))</f>
        <v/>
      </c>
      <c r="F2671">
        <f>IF(OR(A2671="",B2671=""),"",IF(E2671=1,0,D2671*B2671/100/C2671))</f>
        <v/>
      </c>
      <c r="G2671">
        <f>IF(A2671="","",IF(OR(B2671&lt;&gt;B2670,C2671&lt;&gt;C2670,D2671&lt;&gt;D2670,E2671&lt;&gt;E2670),G2670+1,G2670))</f>
        <v/>
      </c>
    </row>
    <row r="2672">
      <c r="A2672" s="14">
        <f>IF(OR(NOT(ISNUMBER(Ввод!$B$5)),NOT(ISNUMBER(Ввод!$B$6))),"",IF(Ввод!$B$5+2670&gt;Ввод!$B$6,"",Ввод!$B$5+2670))</f>
        <v/>
      </c>
      <c r="B2672">
        <f>IF(A2672="","",IFERROR(INDEX(Ввод!$B$12:$B$71,MATCH(A2672,Ввод!$D$12:$D$71,1)),""))</f>
        <v/>
      </c>
      <c r="C2672">
        <f>IF(A2672="","",DATE(YEAR(A2672),12,31)-DATE(YEAR(A2672),1,1)+1)</f>
        <v/>
      </c>
      <c r="D2672">
        <f>IF(A2672="","",Ввод!$B$4-SUMIF(Оплаты!$A$6:$A$505,"&lt;"&amp;A2672,Оплаты!$B$6:$B$505))</f>
        <v/>
      </c>
      <c r="E2672">
        <f>IF(A2672="","",IF(SUMPRODUCT((Ввод!$F$12:$F$31&lt;&gt;"")*(Ввод!$F$12:$F$31&lt;=A2672)*(Ввод!$G$12:$G$31&gt;=A2672))&gt;0,1,0))</f>
        <v/>
      </c>
      <c r="F2672">
        <f>IF(OR(A2672="",B2672=""),"",IF(E2672=1,0,D2672*B2672/100/C2672))</f>
        <v/>
      </c>
      <c r="G2672">
        <f>IF(A2672="","",IF(OR(B2672&lt;&gt;B2671,C2672&lt;&gt;C2671,D2672&lt;&gt;D2671,E2672&lt;&gt;E2671),G2671+1,G2671))</f>
        <v/>
      </c>
    </row>
    <row r="2673">
      <c r="A2673" s="14">
        <f>IF(OR(NOT(ISNUMBER(Ввод!$B$5)),NOT(ISNUMBER(Ввод!$B$6))),"",IF(Ввод!$B$5+2671&gt;Ввод!$B$6,"",Ввод!$B$5+2671))</f>
        <v/>
      </c>
      <c r="B2673">
        <f>IF(A2673="","",IFERROR(INDEX(Ввод!$B$12:$B$71,MATCH(A2673,Ввод!$D$12:$D$71,1)),""))</f>
        <v/>
      </c>
      <c r="C2673">
        <f>IF(A2673="","",DATE(YEAR(A2673),12,31)-DATE(YEAR(A2673),1,1)+1)</f>
        <v/>
      </c>
      <c r="D2673">
        <f>IF(A2673="","",Ввод!$B$4-SUMIF(Оплаты!$A$6:$A$505,"&lt;"&amp;A2673,Оплаты!$B$6:$B$505))</f>
        <v/>
      </c>
      <c r="E2673">
        <f>IF(A2673="","",IF(SUMPRODUCT((Ввод!$F$12:$F$31&lt;&gt;"")*(Ввод!$F$12:$F$31&lt;=A2673)*(Ввод!$G$12:$G$31&gt;=A2673))&gt;0,1,0))</f>
        <v/>
      </c>
      <c r="F2673">
        <f>IF(OR(A2673="",B2673=""),"",IF(E2673=1,0,D2673*B2673/100/C2673))</f>
        <v/>
      </c>
      <c r="G2673">
        <f>IF(A2673="","",IF(OR(B2673&lt;&gt;B2672,C2673&lt;&gt;C2672,D2673&lt;&gt;D2672,E2673&lt;&gt;E2672),G2672+1,G2672))</f>
        <v/>
      </c>
    </row>
    <row r="2674">
      <c r="A2674" s="14">
        <f>IF(OR(NOT(ISNUMBER(Ввод!$B$5)),NOT(ISNUMBER(Ввод!$B$6))),"",IF(Ввод!$B$5+2672&gt;Ввод!$B$6,"",Ввод!$B$5+2672))</f>
        <v/>
      </c>
      <c r="B2674">
        <f>IF(A2674="","",IFERROR(INDEX(Ввод!$B$12:$B$71,MATCH(A2674,Ввод!$D$12:$D$71,1)),""))</f>
        <v/>
      </c>
      <c r="C2674">
        <f>IF(A2674="","",DATE(YEAR(A2674),12,31)-DATE(YEAR(A2674),1,1)+1)</f>
        <v/>
      </c>
      <c r="D2674">
        <f>IF(A2674="","",Ввод!$B$4-SUMIF(Оплаты!$A$6:$A$505,"&lt;"&amp;A2674,Оплаты!$B$6:$B$505))</f>
        <v/>
      </c>
      <c r="E2674">
        <f>IF(A2674="","",IF(SUMPRODUCT((Ввод!$F$12:$F$31&lt;&gt;"")*(Ввод!$F$12:$F$31&lt;=A2674)*(Ввод!$G$12:$G$31&gt;=A2674))&gt;0,1,0))</f>
        <v/>
      </c>
      <c r="F2674">
        <f>IF(OR(A2674="",B2674=""),"",IF(E2674=1,0,D2674*B2674/100/C2674))</f>
        <v/>
      </c>
      <c r="G2674">
        <f>IF(A2674="","",IF(OR(B2674&lt;&gt;B2673,C2674&lt;&gt;C2673,D2674&lt;&gt;D2673,E2674&lt;&gt;E2673),G2673+1,G2673))</f>
        <v/>
      </c>
    </row>
    <row r="2675">
      <c r="A2675" s="14">
        <f>IF(OR(NOT(ISNUMBER(Ввод!$B$5)),NOT(ISNUMBER(Ввод!$B$6))),"",IF(Ввод!$B$5+2673&gt;Ввод!$B$6,"",Ввод!$B$5+2673))</f>
        <v/>
      </c>
      <c r="B2675">
        <f>IF(A2675="","",IFERROR(INDEX(Ввод!$B$12:$B$71,MATCH(A2675,Ввод!$D$12:$D$71,1)),""))</f>
        <v/>
      </c>
      <c r="C2675">
        <f>IF(A2675="","",DATE(YEAR(A2675),12,31)-DATE(YEAR(A2675),1,1)+1)</f>
        <v/>
      </c>
      <c r="D2675">
        <f>IF(A2675="","",Ввод!$B$4-SUMIF(Оплаты!$A$6:$A$505,"&lt;"&amp;A2675,Оплаты!$B$6:$B$505))</f>
        <v/>
      </c>
      <c r="E2675">
        <f>IF(A2675="","",IF(SUMPRODUCT((Ввод!$F$12:$F$31&lt;&gt;"")*(Ввод!$F$12:$F$31&lt;=A2675)*(Ввод!$G$12:$G$31&gt;=A2675))&gt;0,1,0))</f>
        <v/>
      </c>
      <c r="F2675">
        <f>IF(OR(A2675="",B2675=""),"",IF(E2675=1,0,D2675*B2675/100/C2675))</f>
        <v/>
      </c>
      <c r="G2675">
        <f>IF(A2675="","",IF(OR(B2675&lt;&gt;B2674,C2675&lt;&gt;C2674,D2675&lt;&gt;D2674,E2675&lt;&gt;E2674),G2674+1,G2674))</f>
        <v/>
      </c>
    </row>
    <row r="2676">
      <c r="A2676" s="14">
        <f>IF(OR(NOT(ISNUMBER(Ввод!$B$5)),NOT(ISNUMBER(Ввод!$B$6))),"",IF(Ввод!$B$5+2674&gt;Ввод!$B$6,"",Ввод!$B$5+2674))</f>
        <v/>
      </c>
      <c r="B2676">
        <f>IF(A2676="","",IFERROR(INDEX(Ввод!$B$12:$B$71,MATCH(A2676,Ввод!$D$12:$D$71,1)),""))</f>
        <v/>
      </c>
      <c r="C2676">
        <f>IF(A2676="","",DATE(YEAR(A2676),12,31)-DATE(YEAR(A2676),1,1)+1)</f>
        <v/>
      </c>
      <c r="D2676">
        <f>IF(A2676="","",Ввод!$B$4-SUMIF(Оплаты!$A$6:$A$505,"&lt;"&amp;A2676,Оплаты!$B$6:$B$505))</f>
        <v/>
      </c>
      <c r="E2676">
        <f>IF(A2676="","",IF(SUMPRODUCT((Ввод!$F$12:$F$31&lt;&gt;"")*(Ввод!$F$12:$F$31&lt;=A2676)*(Ввод!$G$12:$G$31&gt;=A2676))&gt;0,1,0))</f>
        <v/>
      </c>
      <c r="F2676">
        <f>IF(OR(A2676="",B2676=""),"",IF(E2676=1,0,D2676*B2676/100/C2676))</f>
        <v/>
      </c>
      <c r="G2676">
        <f>IF(A2676="","",IF(OR(B2676&lt;&gt;B2675,C2676&lt;&gt;C2675,D2676&lt;&gt;D2675,E2676&lt;&gt;E2675),G2675+1,G2675))</f>
        <v/>
      </c>
    </row>
    <row r="2677">
      <c r="A2677" s="14">
        <f>IF(OR(NOT(ISNUMBER(Ввод!$B$5)),NOT(ISNUMBER(Ввод!$B$6))),"",IF(Ввод!$B$5+2675&gt;Ввод!$B$6,"",Ввод!$B$5+2675))</f>
        <v/>
      </c>
      <c r="B2677">
        <f>IF(A2677="","",IFERROR(INDEX(Ввод!$B$12:$B$71,MATCH(A2677,Ввод!$D$12:$D$71,1)),""))</f>
        <v/>
      </c>
      <c r="C2677">
        <f>IF(A2677="","",DATE(YEAR(A2677),12,31)-DATE(YEAR(A2677),1,1)+1)</f>
        <v/>
      </c>
      <c r="D2677">
        <f>IF(A2677="","",Ввод!$B$4-SUMIF(Оплаты!$A$6:$A$505,"&lt;"&amp;A2677,Оплаты!$B$6:$B$505))</f>
        <v/>
      </c>
      <c r="E2677">
        <f>IF(A2677="","",IF(SUMPRODUCT((Ввод!$F$12:$F$31&lt;&gt;"")*(Ввод!$F$12:$F$31&lt;=A2677)*(Ввод!$G$12:$G$31&gt;=A2677))&gt;0,1,0))</f>
        <v/>
      </c>
      <c r="F2677">
        <f>IF(OR(A2677="",B2677=""),"",IF(E2677=1,0,D2677*B2677/100/C2677))</f>
        <v/>
      </c>
      <c r="G2677">
        <f>IF(A2677="","",IF(OR(B2677&lt;&gt;B2676,C2677&lt;&gt;C2676,D2677&lt;&gt;D2676,E2677&lt;&gt;E2676),G2676+1,G2676))</f>
        <v/>
      </c>
    </row>
    <row r="2678">
      <c r="A2678" s="14">
        <f>IF(OR(NOT(ISNUMBER(Ввод!$B$5)),NOT(ISNUMBER(Ввод!$B$6))),"",IF(Ввод!$B$5+2676&gt;Ввод!$B$6,"",Ввод!$B$5+2676))</f>
        <v/>
      </c>
      <c r="B2678">
        <f>IF(A2678="","",IFERROR(INDEX(Ввод!$B$12:$B$71,MATCH(A2678,Ввод!$D$12:$D$71,1)),""))</f>
        <v/>
      </c>
      <c r="C2678">
        <f>IF(A2678="","",DATE(YEAR(A2678),12,31)-DATE(YEAR(A2678),1,1)+1)</f>
        <v/>
      </c>
      <c r="D2678">
        <f>IF(A2678="","",Ввод!$B$4-SUMIF(Оплаты!$A$6:$A$505,"&lt;"&amp;A2678,Оплаты!$B$6:$B$505))</f>
        <v/>
      </c>
      <c r="E2678">
        <f>IF(A2678="","",IF(SUMPRODUCT((Ввод!$F$12:$F$31&lt;&gt;"")*(Ввод!$F$12:$F$31&lt;=A2678)*(Ввод!$G$12:$G$31&gt;=A2678))&gt;0,1,0))</f>
        <v/>
      </c>
      <c r="F2678">
        <f>IF(OR(A2678="",B2678=""),"",IF(E2678=1,0,D2678*B2678/100/C2678))</f>
        <v/>
      </c>
      <c r="G2678">
        <f>IF(A2678="","",IF(OR(B2678&lt;&gt;B2677,C2678&lt;&gt;C2677,D2678&lt;&gt;D2677,E2678&lt;&gt;E2677),G2677+1,G2677))</f>
        <v/>
      </c>
    </row>
    <row r="2679">
      <c r="A2679" s="14">
        <f>IF(OR(NOT(ISNUMBER(Ввод!$B$5)),NOT(ISNUMBER(Ввод!$B$6))),"",IF(Ввод!$B$5+2677&gt;Ввод!$B$6,"",Ввод!$B$5+2677))</f>
        <v/>
      </c>
      <c r="B2679">
        <f>IF(A2679="","",IFERROR(INDEX(Ввод!$B$12:$B$71,MATCH(A2679,Ввод!$D$12:$D$71,1)),""))</f>
        <v/>
      </c>
      <c r="C2679">
        <f>IF(A2679="","",DATE(YEAR(A2679),12,31)-DATE(YEAR(A2679),1,1)+1)</f>
        <v/>
      </c>
      <c r="D2679">
        <f>IF(A2679="","",Ввод!$B$4-SUMIF(Оплаты!$A$6:$A$505,"&lt;"&amp;A2679,Оплаты!$B$6:$B$505))</f>
        <v/>
      </c>
      <c r="E2679">
        <f>IF(A2679="","",IF(SUMPRODUCT((Ввод!$F$12:$F$31&lt;&gt;"")*(Ввод!$F$12:$F$31&lt;=A2679)*(Ввод!$G$12:$G$31&gt;=A2679))&gt;0,1,0))</f>
        <v/>
      </c>
      <c r="F2679">
        <f>IF(OR(A2679="",B2679=""),"",IF(E2679=1,0,D2679*B2679/100/C2679))</f>
        <v/>
      </c>
      <c r="G2679">
        <f>IF(A2679="","",IF(OR(B2679&lt;&gt;B2678,C2679&lt;&gt;C2678,D2679&lt;&gt;D2678,E2679&lt;&gt;E2678),G2678+1,G2678))</f>
        <v/>
      </c>
    </row>
    <row r="2680">
      <c r="A2680" s="14">
        <f>IF(OR(NOT(ISNUMBER(Ввод!$B$5)),NOT(ISNUMBER(Ввод!$B$6))),"",IF(Ввод!$B$5+2678&gt;Ввод!$B$6,"",Ввод!$B$5+2678))</f>
        <v/>
      </c>
      <c r="B2680">
        <f>IF(A2680="","",IFERROR(INDEX(Ввод!$B$12:$B$71,MATCH(A2680,Ввод!$D$12:$D$71,1)),""))</f>
        <v/>
      </c>
      <c r="C2680">
        <f>IF(A2680="","",DATE(YEAR(A2680),12,31)-DATE(YEAR(A2680),1,1)+1)</f>
        <v/>
      </c>
      <c r="D2680">
        <f>IF(A2680="","",Ввод!$B$4-SUMIF(Оплаты!$A$6:$A$505,"&lt;"&amp;A2680,Оплаты!$B$6:$B$505))</f>
        <v/>
      </c>
      <c r="E2680">
        <f>IF(A2680="","",IF(SUMPRODUCT((Ввод!$F$12:$F$31&lt;&gt;"")*(Ввод!$F$12:$F$31&lt;=A2680)*(Ввод!$G$12:$G$31&gt;=A2680))&gt;0,1,0))</f>
        <v/>
      </c>
      <c r="F2680">
        <f>IF(OR(A2680="",B2680=""),"",IF(E2680=1,0,D2680*B2680/100/C2680))</f>
        <v/>
      </c>
      <c r="G2680">
        <f>IF(A2680="","",IF(OR(B2680&lt;&gt;B2679,C2680&lt;&gt;C2679,D2680&lt;&gt;D2679,E2680&lt;&gt;E2679),G2679+1,G2679))</f>
        <v/>
      </c>
    </row>
    <row r="2681">
      <c r="A2681" s="14">
        <f>IF(OR(NOT(ISNUMBER(Ввод!$B$5)),NOT(ISNUMBER(Ввод!$B$6))),"",IF(Ввод!$B$5+2679&gt;Ввод!$B$6,"",Ввод!$B$5+2679))</f>
        <v/>
      </c>
      <c r="B2681">
        <f>IF(A2681="","",IFERROR(INDEX(Ввод!$B$12:$B$71,MATCH(A2681,Ввод!$D$12:$D$71,1)),""))</f>
        <v/>
      </c>
      <c r="C2681">
        <f>IF(A2681="","",DATE(YEAR(A2681),12,31)-DATE(YEAR(A2681),1,1)+1)</f>
        <v/>
      </c>
      <c r="D2681">
        <f>IF(A2681="","",Ввод!$B$4-SUMIF(Оплаты!$A$6:$A$505,"&lt;"&amp;A2681,Оплаты!$B$6:$B$505))</f>
        <v/>
      </c>
      <c r="E2681">
        <f>IF(A2681="","",IF(SUMPRODUCT((Ввод!$F$12:$F$31&lt;&gt;"")*(Ввод!$F$12:$F$31&lt;=A2681)*(Ввод!$G$12:$G$31&gt;=A2681))&gt;0,1,0))</f>
        <v/>
      </c>
      <c r="F2681">
        <f>IF(OR(A2681="",B2681=""),"",IF(E2681=1,0,D2681*B2681/100/C2681))</f>
        <v/>
      </c>
      <c r="G2681">
        <f>IF(A2681="","",IF(OR(B2681&lt;&gt;B2680,C2681&lt;&gt;C2680,D2681&lt;&gt;D2680,E2681&lt;&gt;E2680),G2680+1,G2680))</f>
        <v/>
      </c>
    </row>
    <row r="2682">
      <c r="A2682" s="14">
        <f>IF(OR(NOT(ISNUMBER(Ввод!$B$5)),NOT(ISNUMBER(Ввод!$B$6))),"",IF(Ввод!$B$5+2680&gt;Ввод!$B$6,"",Ввод!$B$5+2680))</f>
        <v/>
      </c>
      <c r="B2682">
        <f>IF(A2682="","",IFERROR(INDEX(Ввод!$B$12:$B$71,MATCH(A2682,Ввод!$D$12:$D$71,1)),""))</f>
        <v/>
      </c>
      <c r="C2682">
        <f>IF(A2682="","",DATE(YEAR(A2682),12,31)-DATE(YEAR(A2682),1,1)+1)</f>
        <v/>
      </c>
      <c r="D2682">
        <f>IF(A2682="","",Ввод!$B$4-SUMIF(Оплаты!$A$6:$A$505,"&lt;"&amp;A2682,Оплаты!$B$6:$B$505))</f>
        <v/>
      </c>
      <c r="E2682">
        <f>IF(A2682="","",IF(SUMPRODUCT((Ввод!$F$12:$F$31&lt;&gt;"")*(Ввод!$F$12:$F$31&lt;=A2682)*(Ввод!$G$12:$G$31&gt;=A2682))&gt;0,1,0))</f>
        <v/>
      </c>
      <c r="F2682">
        <f>IF(OR(A2682="",B2682=""),"",IF(E2682=1,0,D2682*B2682/100/C2682))</f>
        <v/>
      </c>
      <c r="G2682">
        <f>IF(A2682="","",IF(OR(B2682&lt;&gt;B2681,C2682&lt;&gt;C2681,D2682&lt;&gt;D2681,E2682&lt;&gt;E2681),G2681+1,G2681))</f>
        <v/>
      </c>
    </row>
    <row r="2683">
      <c r="A2683" s="14">
        <f>IF(OR(NOT(ISNUMBER(Ввод!$B$5)),NOT(ISNUMBER(Ввод!$B$6))),"",IF(Ввод!$B$5+2681&gt;Ввод!$B$6,"",Ввод!$B$5+2681))</f>
        <v/>
      </c>
      <c r="B2683">
        <f>IF(A2683="","",IFERROR(INDEX(Ввод!$B$12:$B$71,MATCH(A2683,Ввод!$D$12:$D$71,1)),""))</f>
        <v/>
      </c>
      <c r="C2683">
        <f>IF(A2683="","",DATE(YEAR(A2683),12,31)-DATE(YEAR(A2683),1,1)+1)</f>
        <v/>
      </c>
      <c r="D2683">
        <f>IF(A2683="","",Ввод!$B$4-SUMIF(Оплаты!$A$6:$A$505,"&lt;"&amp;A2683,Оплаты!$B$6:$B$505))</f>
        <v/>
      </c>
      <c r="E2683">
        <f>IF(A2683="","",IF(SUMPRODUCT((Ввод!$F$12:$F$31&lt;&gt;"")*(Ввод!$F$12:$F$31&lt;=A2683)*(Ввод!$G$12:$G$31&gt;=A2683))&gt;0,1,0))</f>
        <v/>
      </c>
      <c r="F2683">
        <f>IF(OR(A2683="",B2683=""),"",IF(E2683=1,0,D2683*B2683/100/C2683))</f>
        <v/>
      </c>
      <c r="G2683">
        <f>IF(A2683="","",IF(OR(B2683&lt;&gt;B2682,C2683&lt;&gt;C2682,D2683&lt;&gt;D2682,E2683&lt;&gt;E2682),G2682+1,G2682))</f>
        <v/>
      </c>
    </row>
    <row r="2684">
      <c r="A2684" s="14">
        <f>IF(OR(NOT(ISNUMBER(Ввод!$B$5)),NOT(ISNUMBER(Ввод!$B$6))),"",IF(Ввод!$B$5+2682&gt;Ввод!$B$6,"",Ввод!$B$5+2682))</f>
        <v/>
      </c>
      <c r="B2684">
        <f>IF(A2684="","",IFERROR(INDEX(Ввод!$B$12:$B$71,MATCH(A2684,Ввод!$D$12:$D$71,1)),""))</f>
        <v/>
      </c>
      <c r="C2684">
        <f>IF(A2684="","",DATE(YEAR(A2684),12,31)-DATE(YEAR(A2684),1,1)+1)</f>
        <v/>
      </c>
      <c r="D2684">
        <f>IF(A2684="","",Ввод!$B$4-SUMIF(Оплаты!$A$6:$A$505,"&lt;"&amp;A2684,Оплаты!$B$6:$B$505))</f>
        <v/>
      </c>
      <c r="E2684">
        <f>IF(A2684="","",IF(SUMPRODUCT((Ввод!$F$12:$F$31&lt;&gt;"")*(Ввод!$F$12:$F$31&lt;=A2684)*(Ввод!$G$12:$G$31&gt;=A2684))&gt;0,1,0))</f>
        <v/>
      </c>
      <c r="F2684">
        <f>IF(OR(A2684="",B2684=""),"",IF(E2684=1,0,D2684*B2684/100/C2684))</f>
        <v/>
      </c>
      <c r="G2684">
        <f>IF(A2684="","",IF(OR(B2684&lt;&gt;B2683,C2684&lt;&gt;C2683,D2684&lt;&gt;D2683,E2684&lt;&gt;E2683),G2683+1,G2683))</f>
        <v/>
      </c>
    </row>
    <row r="2685">
      <c r="A2685" s="14">
        <f>IF(OR(NOT(ISNUMBER(Ввод!$B$5)),NOT(ISNUMBER(Ввод!$B$6))),"",IF(Ввод!$B$5+2683&gt;Ввод!$B$6,"",Ввод!$B$5+2683))</f>
        <v/>
      </c>
      <c r="B2685">
        <f>IF(A2685="","",IFERROR(INDEX(Ввод!$B$12:$B$71,MATCH(A2685,Ввод!$D$12:$D$71,1)),""))</f>
        <v/>
      </c>
      <c r="C2685">
        <f>IF(A2685="","",DATE(YEAR(A2685),12,31)-DATE(YEAR(A2685),1,1)+1)</f>
        <v/>
      </c>
      <c r="D2685">
        <f>IF(A2685="","",Ввод!$B$4-SUMIF(Оплаты!$A$6:$A$505,"&lt;"&amp;A2685,Оплаты!$B$6:$B$505))</f>
        <v/>
      </c>
      <c r="E2685">
        <f>IF(A2685="","",IF(SUMPRODUCT((Ввод!$F$12:$F$31&lt;&gt;"")*(Ввод!$F$12:$F$31&lt;=A2685)*(Ввод!$G$12:$G$31&gt;=A2685))&gt;0,1,0))</f>
        <v/>
      </c>
      <c r="F2685">
        <f>IF(OR(A2685="",B2685=""),"",IF(E2685=1,0,D2685*B2685/100/C2685))</f>
        <v/>
      </c>
      <c r="G2685">
        <f>IF(A2685="","",IF(OR(B2685&lt;&gt;B2684,C2685&lt;&gt;C2684,D2685&lt;&gt;D2684,E2685&lt;&gt;E2684),G2684+1,G2684))</f>
        <v/>
      </c>
    </row>
    <row r="2686">
      <c r="A2686" s="14">
        <f>IF(OR(NOT(ISNUMBER(Ввод!$B$5)),NOT(ISNUMBER(Ввод!$B$6))),"",IF(Ввод!$B$5+2684&gt;Ввод!$B$6,"",Ввод!$B$5+2684))</f>
        <v/>
      </c>
      <c r="B2686">
        <f>IF(A2686="","",IFERROR(INDEX(Ввод!$B$12:$B$71,MATCH(A2686,Ввод!$D$12:$D$71,1)),""))</f>
        <v/>
      </c>
      <c r="C2686">
        <f>IF(A2686="","",DATE(YEAR(A2686),12,31)-DATE(YEAR(A2686),1,1)+1)</f>
        <v/>
      </c>
      <c r="D2686">
        <f>IF(A2686="","",Ввод!$B$4-SUMIF(Оплаты!$A$6:$A$505,"&lt;"&amp;A2686,Оплаты!$B$6:$B$505))</f>
        <v/>
      </c>
      <c r="E2686">
        <f>IF(A2686="","",IF(SUMPRODUCT((Ввод!$F$12:$F$31&lt;&gt;"")*(Ввод!$F$12:$F$31&lt;=A2686)*(Ввод!$G$12:$G$31&gt;=A2686))&gt;0,1,0))</f>
        <v/>
      </c>
      <c r="F2686">
        <f>IF(OR(A2686="",B2686=""),"",IF(E2686=1,0,D2686*B2686/100/C2686))</f>
        <v/>
      </c>
      <c r="G2686">
        <f>IF(A2686="","",IF(OR(B2686&lt;&gt;B2685,C2686&lt;&gt;C2685,D2686&lt;&gt;D2685,E2686&lt;&gt;E2685),G2685+1,G2685))</f>
        <v/>
      </c>
    </row>
    <row r="2687">
      <c r="A2687" s="14">
        <f>IF(OR(NOT(ISNUMBER(Ввод!$B$5)),NOT(ISNUMBER(Ввод!$B$6))),"",IF(Ввод!$B$5+2685&gt;Ввод!$B$6,"",Ввод!$B$5+2685))</f>
        <v/>
      </c>
      <c r="B2687">
        <f>IF(A2687="","",IFERROR(INDEX(Ввод!$B$12:$B$71,MATCH(A2687,Ввод!$D$12:$D$71,1)),""))</f>
        <v/>
      </c>
      <c r="C2687">
        <f>IF(A2687="","",DATE(YEAR(A2687),12,31)-DATE(YEAR(A2687),1,1)+1)</f>
        <v/>
      </c>
      <c r="D2687">
        <f>IF(A2687="","",Ввод!$B$4-SUMIF(Оплаты!$A$6:$A$505,"&lt;"&amp;A2687,Оплаты!$B$6:$B$505))</f>
        <v/>
      </c>
      <c r="E2687">
        <f>IF(A2687="","",IF(SUMPRODUCT((Ввод!$F$12:$F$31&lt;&gt;"")*(Ввод!$F$12:$F$31&lt;=A2687)*(Ввод!$G$12:$G$31&gt;=A2687))&gt;0,1,0))</f>
        <v/>
      </c>
      <c r="F2687">
        <f>IF(OR(A2687="",B2687=""),"",IF(E2687=1,0,D2687*B2687/100/C2687))</f>
        <v/>
      </c>
      <c r="G2687">
        <f>IF(A2687="","",IF(OR(B2687&lt;&gt;B2686,C2687&lt;&gt;C2686,D2687&lt;&gt;D2686,E2687&lt;&gt;E2686),G2686+1,G2686))</f>
        <v/>
      </c>
    </row>
    <row r="2688">
      <c r="A2688" s="14">
        <f>IF(OR(NOT(ISNUMBER(Ввод!$B$5)),NOT(ISNUMBER(Ввод!$B$6))),"",IF(Ввод!$B$5+2686&gt;Ввод!$B$6,"",Ввод!$B$5+2686))</f>
        <v/>
      </c>
      <c r="B2688">
        <f>IF(A2688="","",IFERROR(INDEX(Ввод!$B$12:$B$71,MATCH(A2688,Ввод!$D$12:$D$71,1)),""))</f>
        <v/>
      </c>
      <c r="C2688">
        <f>IF(A2688="","",DATE(YEAR(A2688),12,31)-DATE(YEAR(A2688),1,1)+1)</f>
        <v/>
      </c>
      <c r="D2688">
        <f>IF(A2688="","",Ввод!$B$4-SUMIF(Оплаты!$A$6:$A$505,"&lt;"&amp;A2688,Оплаты!$B$6:$B$505))</f>
        <v/>
      </c>
      <c r="E2688">
        <f>IF(A2688="","",IF(SUMPRODUCT((Ввод!$F$12:$F$31&lt;&gt;"")*(Ввод!$F$12:$F$31&lt;=A2688)*(Ввод!$G$12:$G$31&gt;=A2688))&gt;0,1,0))</f>
        <v/>
      </c>
      <c r="F2688">
        <f>IF(OR(A2688="",B2688=""),"",IF(E2688=1,0,D2688*B2688/100/C2688))</f>
        <v/>
      </c>
      <c r="G2688">
        <f>IF(A2688="","",IF(OR(B2688&lt;&gt;B2687,C2688&lt;&gt;C2687,D2688&lt;&gt;D2687,E2688&lt;&gt;E2687),G2687+1,G2687))</f>
        <v/>
      </c>
    </row>
    <row r="2689">
      <c r="A2689" s="14">
        <f>IF(OR(NOT(ISNUMBER(Ввод!$B$5)),NOT(ISNUMBER(Ввод!$B$6))),"",IF(Ввод!$B$5+2687&gt;Ввод!$B$6,"",Ввод!$B$5+2687))</f>
        <v/>
      </c>
      <c r="B2689">
        <f>IF(A2689="","",IFERROR(INDEX(Ввод!$B$12:$B$71,MATCH(A2689,Ввод!$D$12:$D$71,1)),""))</f>
        <v/>
      </c>
      <c r="C2689">
        <f>IF(A2689="","",DATE(YEAR(A2689),12,31)-DATE(YEAR(A2689),1,1)+1)</f>
        <v/>
      </c>
      <c r="D2689">
        <f>IF(A2689="","",Ввод!$B$4-SUMIF(Оплаты!$A$6:$A$505,"&lt;"&amp;A2689,Оплаты!$B$6:$B$505))</f>
        <v/>
      </c>
      <c r="E2689">
        <f>IF(A2689="","",IF(SUMPRODUCT((Ввод!$F$12:$F$31&lt;&gt;"")*(Ввод!$F$12:$F$31&lt;=A2689)*(Ввод!$G$12:$G$31&gt;=A2689))&gt;0,1,0))</f>
        <v/>
      </c>
      <c r="F2689">
        <f>IF(OR(A2689="",B2689=""),"",IF(E2689=1,0,D2689*B2689/100/C2689))</f>
        <v/>
      </c>
      <c r="G2689">
        <f>IF(A2689="","",IF(OR(B2689&lt;&gt;B2688,C2689&lt;&gt;C2688,D2689&lt;&gt;D2688,E2689&lt;&gt;E2688),G2688+1,G2688))</f>
        <v/>
      </c>
    </row>
    <row r="2690">
      <c r="A2690" s="14">
        <f>IF(OR(NOT(ISNUMBER(Ввод!$B$5)),NOT(ISNUMBER(Ввод!$B$6))),"",IF(Ввод!$B$5+2688&gt;Ввод!$B$6,"",Ввод!$B$5+2688))</f>
        <v/>
      </c>
      <c r="B2690">
        <f>IF(A2690="","",IFERROR(INDEX(Ввод!$B$12:$B$71,MATCH(A2690,Ввод!$D$12:$D$71,1)),""))</f>
        <v/>
      </c>
      <c r="C2690">
        <f>IF(A2690="","",DATE(YEAR(A2690),12,31)-DATE(YEAR(A2690),1,1)+1)</f>
        <v/>
      </c>
      <c r="D2690">
        <f>IF(A2690="","",Ввод!$B$4-SUMIF(Оплаты!$A$6:$A$505,"&lt;"&amp;A2690,Оплаты!$B$6:$B$505))</f>
        <v/>
      </c>
      <c r="E2690">
        <f>IF(A2690="","",IF(SUMPRODUCT((Ввод!$F$12:$F$31&lt;&gt;"")*(Ввод!$F$12:$F$31&lt;=A2690)*(Ввод!$G$12:$G$31&gt;=A2690))&gt;0,1,0))</f>
        <v/>
      </c>
      <c r="F2690">
        <f>IF(OR(A2690="",B2690=""),"",IF(E2690=1,0,D2690*B2690/100/C2690))</f>
        <v/>
      </c>
      <c r="G2690">
        <f>IF(A2690="","",IF(OR(B2690&lt;&gt;B2689,C2690&lt;&gt;C2689,D2690&lt;&gt;D2689,E2690&lt;&gt;E2689),G2689+1,G2689))</f>
        <v/>
      </c>
    </row>
    <row r="2691">
      <c r="A2691" s="14">
        <f>IF(OR(NOT(ISNUMBER(Ввод!$B$5)),NOT(ISNUMBER(Ввод!$B$6))),"",IF(Ввод!$B$5+2689&gt;Ввод!$B$6,"",Ввод!$B$5+2689))</f>
        <v/>
      </c>
      <c r="B2691">
        <f>IF(A2691="","",IFERROR(INDEX(Ввод!$B$12:$B$71,MATCH(A2691,Ввод!$D$12:$D$71,1)),""))</f>
        <v/>
      </c>
      <c r="C2691">
        <f>IF(A2691="","",DATE(YEAR(A2691),12,31)-DATE(YEAR(A2691),1,1)+1)</f>
        <v/>
      </c>
      <c r="D2691">
        <f>IF(A2691="","",Ввод!$B$4-SUMIF(Оплаты!$A$6:$A$505,"&lt;"&amp;A2691,Оплаты!$B$6:$B$505))</f>
        <v/>
      </c>
      <c r="E2691">
        <f>IF(A2691="","",IF(SUMPRODUCT((Ввод!$F$12:$F$31&lt;&gt;"")*(Ввод!$F$12:$F$31&lt;=A2691)*(Ввод!$G$12:$G$31&gt;=A2691))&gt;0,1,0))</f>
        <v/>
      </c>
      <c r="F2691">
        <f>IF(OR(A2691="",B2691=""),"",IF(E2691=1,0,D2691*B2691/100/C2691))</f>
        <v/>
      </c>
      <c r="G2691">
        <f>IF(A2691="","",IF(OR(B2691&lt;&gt;B2690,C2691&lt;&gt;C2690,D2691&lt;&gt;D2690,E2691&lt;&gt;E2690),G2690+1,G2690))</f>
        <v/>
      </c>
    </row>
    <row r="2692">
      <c r="A2692" s="14">
        <f>IF(OR(NOT(ISNUMBER(Ввод!$B$5)),NOT(ISNUMBER(Ввод!$B$6))),"",IF(Ввод!$B$5+2690&gt;Ввод!$B$6,"",Ввод!$B$5+2690))</f>
        <v/>
      </c>
      <c r="B2692">
        <f>IF(A2692="","",IFERROR(INDEX(Ввод!$B$12:$B$71,MATCH(A2692,Ввод!$D$12:$D$71,1)),""))</f>
        <v/>
      </c>
      <c r="C2692">
        <f>IF(A2692="","",DATE(YEAR(A2692),12,31)-DATE(YEAR(A2692),1,1)+1)</f>
        <v/>
      </c>
      <c r="D2692">
        <f>IF(A2692="","",Ввод!$B$4-SUMIF(Оплаты!$A$6:$A$505,"&lt;"&amp;A2692,Оплаты!$B$6:$B$505))</f>
        <v/>
      </c>
      <c r="E2692">
        <f>IF(A2692="","",IF(SUMPRODUCT((Ввод!$F$12:$F$31&lt;&gt;"")*(Ввод!$F$12:$F$31&lt;=A2692)*(Ввод!$G$12:$G$31&gt;=A2692))&gt;0,1,0))</f>
        <v/>
      </c>
      <c r="F2692">
        <f>IF(OR(A2692="",B2692=""),"",IF(E2692=1,0,D2692*B2692/100/C2692))</f>
        <v/>
      </c>
      <c r="G2692">
        <f>IF(A2692="","",IF(OR(B2692&lt;&gt;B2691,C2692&lt;&gt;C2691,D2692&lt;&gt;D2691,E2692&lt;&gt;E2691),G2691+1,G2691))</f>
        <v/>
      </c>
    </row>
    <row r="2693">
      <c r="A2693" s="14">
        <f>IF(OR(NOT(ISNUMBER(Ввод!$B$5)),NOT(ISNUMBER(Ввод!$B$6))),"",IF(Ввод!$B$5+2691&gt;Ввод!$B$6,"",Ввод!$B$5+2691))</f>
        <v/>
      </c>
      <c r="B2693">
        <f>IF(A2693="","",IFERROR(INDEX(Ввод!$B$12:$B$71,MATCH(A2693,Ввод!$D$12:$D$71,1)),""))</f>
        <v/>
      </c>
      <c r="C2693">
        <f>IF(A2693="","",DATE(YEAR(A2693),12,31)-DATE(YEAR(A2693),1,1)+1)</f>
        <v/>
      </c>
      <c r="D2693">
        <f>IF(A2693="","",Ввод!$B$4-SUMIF(Оплаты!$A$6:$A$505,"&lt;"&amp;A2693,Оплаты!$B$6:$B$505))</f>
        <v/>
      </c>
      <c r="E2693">
        <f>IF(A2693="","",IF(SUMPRODUCT((Ввод!$F$12:$F$31&lt;&gt;"")*(Ввод!$F$12:$F$31&lt;=A2693)*(Ввод!$G$12:$G$31&gt;=A2693))&gt;0,1,0))</f>
        <v/>
      </c>
      <c r="F2693">
        <f>IF(OR(A2693="",B2693=""),"",IF(E2693=1,0,D2693*B2693/100/C2693))</f>
        <v/>
      </c>
      <c r="G2693">
        <f>IF(A2693="","",IF(OR(B2693&lt;&gt;B2692,C2693&lt;&gt;C2692,D2693&lt;&gt;D2692,E2693&lt;&gt;E2692),G2692+1,G2692))</f>
        <v/>
      </c>
    </row>
    <row r="2694">
      <c r="A2694" s="14">
        <f>IF(OR(NOT(ISNUMBER(Ввод!$B$5)),NOT(ISNUMBER(Ввод!$B$6))),"",IF(Ввод!$B$5+2692&gt;Ввод!$B$6,"",Ввод!$B$5+2692))</f>
        <v/>
      </c>
      <c r="B2694">
        <f>IF(A2694="","",IFERROR(INDEX(Ввод!$B$12:$B$71,MATCH(A2694,Ввод!$D$12:$D$71,1)),""))</f>
        <v/>
      </c>
      <c r="C2694">
        <f>IF(A2694="","",DATE(YEAR(A2694),12,31)-DATE(YEAR(A2694),1,1)+1)</f>
        <v/>
      </c>
      <c r="D2694">
        <f>IF(A2694="","",Ввод!$B$4-SUMIF(Оплаты!$A$6:$A$505,"&lt;"&amp;A2694,Оплаты!$B$6:$B$505))</f>
        <v/>
      </c>
      <c r="E2694">
        <f>IF(A2694="","",IF(SUMPRODUCT((Ввод!$F$12:$F$31&lt;&gt;"")*(Ввод!$F$12:$F$31&lt;=A2694)*(Ввод!$G$12:$G$31&gt;=A2694))&gt;0,1,0))</f>
        <v/>
      </c>
      <c r="F2694">
        <f>IF(OR(A2694="",B2694=""),"",IF(E2694=1,0,D2694*B2694/100/C2694))</f>
        <v/>
      </c>
      <c r="G2694">
        <f>IF(A2694="","",IF(OR(B2694&lt;&gt;B2693,C2694&lt;&gt;C2693,D2694&lt;&gt;D2693,E2694&lt;&gt;E2693),G2693+1,G2693))</f>
        <v/>
      </c>
    </row>
    <row r="2695">
      <c r="A2695" s="14">
        <f>IF(OR(NOT(ISNUMBER(Ввод!$B$5)),NOT(ISNUMBER(Ввод!$B$6))),"",IF(Ввод!$B$5+2693&gt;Ввод!$B$6,"",Ввод!$B$5+2693))</f>
        <v/>
      </c>
      <c r="B2695">
        <f>IF(A2695="","",IFERROR(INDEX(Ввод!$B$12:$B$71,MATCH(A2695,Ввод!$D$12:$D$71,1)),""))</f>
        <v/>
      </c>
      <c r="C2695">
        <f>IF(A2695="","",DATE(YEAR(A2695),12,31)-DATE(YEAR(A2695),1,1)+1)</f>
        <v/>
      </c>
      <c r="D2695">
        <f>IF(A2695="","",Ввод!$B$4-SUMIF(Оплаты!$A$6:$A$505,"&lt;"&amp;A2695,Оплаты!$B$6:$B$505))</f>
        <v/>
      </c>
      <c r="E2695">
        <f>IF(A2695="","",IF(SUMPRODUCT((Ввод!$F$12:$F$31&lt;&gt;"")*(Ввод!$F$12:$F$31&lt;=A2695)*(Ввод!$G$12:$G$31&gt;=A2695))&gt;0,1,0))</f>
        <v/>
      </c>
      <c r="F2695">
        <f>IF(OR(A2695="",B2695=""),"",IF(E2695=1,0,D2695*B2695/100/C2695))</f>
        <v/>
      </c>
      <c r="G2695">
        <f>IF(A2695="","",IF(OR(B2695&lt;&gt;B2694,C2695&lt;&gt;C2694,D2695&lt;&gt;D2694,E2695&lt;&gt;E2694),G2694+1,G2694))</f>
        <v/>
      </c>
    </row>
    <row r="2696">
      <c r="A2696" s="14">
        <f>IF(OR(NOT(ISNUMBER(Ввод!$B$5)),NOT(ISNUMBER(Ввод!$B$6))),"",IF(Ввод!$B$5+2694&gt;Ввод!$B$6,"",Ввод!$B$5+2694))</f>
        <v/>
      </c>
      <c r="B2696">
        <f>IF(A2696="","",IFERROR(INDEX(Ввод!$B$12:$B$71,MATCH(A2696,Ввод!$D$12:$D$71,1)),""))</f>
        <v/>
      </c>
      <c r="C2696">
        <f>IF(A2696="","",DATE(YEAR(A2696),12,31)-DATE(YEAR(A2696),1,1)+1)</f>
        <v/>
      </c>
      <c r="D2696">
        <f>IF(A2696="","",Ввод!$B$4-SUMIF(Оплаты!$A$6:$A$505,"&lt;"&amp;A2696,Оплаты!$B$6:$B$505))</f>
        <v/>
      </c>
      <c r="E2696">
        <f>IF(A2696="","",IF(SUMPRODUCT((Ввод!$F$12:$F$31&lt;&gt;"")*(Ввод!$F$12:$F$31&lt;=A2696)*(Ввод!$G$12:$G$31&gt;=A2696))&gt;0,1,0))</f>
        <v/>
      </c>
      <c r="F2696">
        <f>IF(OR(A2696="",B2696=""),"",IF(E2696=1,0,D2696*B2696/100/C2696))</f>
        <v/>
      </c>
      <c r="G2696">
        <f>IF(A2696="","",IF(OR(B2696&lt;&gt;B2695,C2696&lt;&gt;C2695,D2696&lt;&gt;D2695,E2696&lt;&gt;E2695),G2695+1,G2695))</f>
        <v/>
      </c>
    </row>
    <row r="2697">
      <c r="A2697" s="14">
        <f>IF(OR(NOT(ISNUMBER(Ввод!$B$5)),NOT(ISNUMBER(Ввод!$B$6))),"",IF(Ввод!$B$5+2695&gt;Ввод!$B$6,"",Ввод!$B$5+2695))</f>
        <v/>
      </c>
      <c r="B2697">
        <f>IF(A2697="","",IFERROR(INDEX(Ввод!$B$12:$B$71,MATCH(A2697,Ввод!$D$12:$D$71,1)),""))</f>
        <v/>
      </c>
      <c r="C2697">
        <f>IF(A2697="","",DATE(YEAR(A2697),12,31)-DATE(YEAR(A2697),1,1)+1)</f>
        <v/>
      </c>
      <c r="D2697">
        <f>IF(A2697="","",Ввод!$B$4-SUMIF(Оплаты!$A$6:$A$505,"&lt;"&amp;A2697,Оплаты!$B$6:$B$505))</f>
        <v/>
      </c>
      <c r="E2697">
        <f>IF(A2697="","",IF(SUMPRODUCT((Ввод!$F$12:$F$31&lt;&gt;"")*(Ввод!$F$12:$F$31&lt;=A2697)*(Ввод!$G$12:$G$31&gt;=A2697))&gt;0,1,0))</f>
        <v/>
      </c>
      <c r="F2697">
        <f>IF(OR(A2697="",B2697=""),"",IF(E2697=1,0,D2697*B2697/100/C2697))</f>
        <v/>
      </c>
      <c r="G2697">
        <f>IF(A2697="","",IF(OR(B2697&lt;&gt;B2696,C2697&lt;&gt;C2696,D2697&lt;&gt;D2696,E2697&lt;&gt;E2696),G2696+1,G2696))</f>
        <v/>
      </c>
    </row>
    <row r="2698">
      <c r="A2698" s="14">
        <f>IF(OR(NOT(ISNUMBER(Ввод!$B$5)),NOT(ISNUMBER(Ввод!$B$6))),"",IF(Ввод!$B$5+2696&gt;Ввод!$B$6,"",Ввод!$B$5+2696))</f>
        <v/>
      </c>
      <c r="B2698">
        <f>IF(A2698="","",IFERROR(INDEX(Ввод!$B$12:$B$71,MATCH(A2698,Ввод!$D$12:$D$71,1)),""))</f>
        <v/>
      </c>
      <c r="C2698">
        <f>IF(A2698="","",DATE(YEAR(A2698),12,31)-DATE(YEAR(A2698),1,1)+1)</f>
        <v/>
      </c>
      <c r="D2698">
        <f>IF(A2698="","",Ввод!$B$4-SUMIF(Оплаты!$A$6:$A$505,"&lt;"&amp;A2698,Оплаты!$B$6:$B$505))</f>
        <v/>
      </c>
      <c r="E2698">
        <f>IF(A2698="","",IF(SUMPRODUCT((Ввод!$F$12:$F$31&lt;&gt;"")*(Ввод!$F$12:$F$31&lt;=A2698)*(Ввод!$G$12:$G$31&gt;=A2698))&gt;0,1,0))</f>
        <v/>
      </c>
      <c r="F2698">
        <f>IF(OR(A2698="",B2698=""),"",IF(E2698=1,0,D2698*B2698/100/C2698))</f>
        <v/>
      </c>
      <c r="G2698">
        <f>IF(A2698="","",IF(OR(B2698&lt;&gt;B2697,C2698&lt;&gt;C2697,D2698&lt;&gt;D2697,E2698&lt;&gt;E2697),G2697+1,G2697))</f>
        <v/>
      </c>
    </row>
    <row r="2699">
      <c r="A2699" s="14">
        <f>IF(OR(NOT(ISNUMBER(Ввод!$B$5)),NOT(ISNUMBER(Ввод!$B$6))),"",IF(Ввод!$B$5+2697&gt;Ввод!$B$6,"",Ввод!$B$5+2697))</f>
        <v/>
      </c>
      <c r="B2699">
        <f>IF(A2699="","",IFERROR(INDEX(Ввод!$B$12:$B$71,MATCH(A2699,Ввод!$D$12:$D$71,1)),""))</f>
        <v/>
      </c>
      <c r="C2699">
        <f>IF(A2699="","",DATE(YEAR(A2699),12,31)-DATE(YEAR(A2699),1,1)+1)</f>
        <v/>
      </c>
      <c r="D2699">
        <f>IF(A2699="","",Ввод!$B$4-SUMIF(Оплаты!$A$6:$A$505,"&lt;"&amp;A2699,Оплаты!$B$6:$B$505))</f>
        <v/>
      </c>
      <c r="E2699">
        <f>IF(A2699="","",IF(SUMPRODUCT((Ввод!$F$12:$F$31&lt;&gt;"")*(Ввод!$F$12:$F$31&lt;=A2699)*(Ввод!$G$12:$G$31&gt;=A2699))&gt;0,1,0))</f>
        <v/>
      </c>
      <c r="F2699">
        <f>IF(OR(A2699="",B2699=""),"",IF(E2699=1,0,D2699*B2699/100/C2699))</f>
        <v/>
      </c>
      <c r="G2699">
        <f>IF(A2699="","",IF(OR(B2699&lt;&gt;B2698,C2699&lt;&gt;C2698,D2699&lt;&gt;D2698,E2699&lt;&gt;E2698),G2698+1,G2698))</f>
        <v/>
      </c>
    </row>
    <row r="2700">
      <c r="A2700" s="14">
        <f>IF(OR(NOT(ISNUMBER(Ввод!$B$5)),NOT(ISNUMBER(Ввод!$B$6))),"",IF(Ввод!$B$5+2698&gt;Ввод!$B$6,"",Ввод!$B$5+2698))</f>
        <v/>
      </c>
      <c r="B2700">
        <f>IF(A2700="","",IFERROR(INDEX(Ввод!$B$12:$B$71,MATCH(A2700,Ввод!$D$12:$D$71,1)),""))</f>
        <v/>
      </c>
      <c r="C2700">
        <f>IF(A2700="","",DATE(YEAR(A2700),12,31)-DATE(YEAR(A2700),1,1)+1)</f>
        <v/>
      </c>
      <c r="D2700">
        <f>IF(A2700="","",Ввод!$B$4-SUMIF(Оплаты!$A$6:$A$505,"&lt;"&amp;A2700,Оплаты!$B$6:$B$505))</f>
        <v/>
      </c>
      <c r="E2700">
        <f>IF(A2700="","",IF(SUMPRODUCT((Ввод!$F$12:$F$31&lt;&gt;"")*(Ввод!$F$12:$F$31&lt;=A2700)*(Ввод!$G$12:$G$31&gt;=A2700))&gt;0,1,0))</f>
        <v/>
      </c>
      <c r="F2700">
        <f>IF(OR(A2700="",B2700=""),"",IF(E2700=1,0,D2700*B2700/100/C2700))</f>
        <v/>
      </c>
      <c r="G2700">
        <f>IF(A2700="","",IF(OR(B2700&lt;&gt;B2699,C2700&lt;&gt;C2699,D2700&lt;&gt;D2699,E2700&lt;&gt;E2699),G2699+1,G2699))</f>
        <v/>
      </c>
    </row>
    <row r="2701">
      <c r="A2701" s="14">
        <f>IF(OR(NOT(ISNUMBER(Ввод!$B$5)),NOT(ISNUMBER(Ввод!$B$6))),"",IF(Ввод!$B$5+2699&gt;Ввод!$B$6,"",Ввод!$B$5+2699))</f>
        <v/>
      </c>
      <c r="B2701">
        <f>IF(A2701="","",IFERROR(INDEX(Ввод!$B$12:$B$71,MATCH(A2701,Ввод!$D$12:$D$71,1)),""))</f>
        <v/>
      </c>
      <c r="C2701">
        <f>IF(A2701="","",DATE(YEAR(A2701),12,31)-DATE(YEAR(A2701),1,1)+1)</f>
        <v/>
      </c>
      <c r="D2701">
        <f>IF(A2701="","",Ввод!$B$4-SUMIF(Оплаты!$A$6:$A$505,"&lt;"&amp;A2701,Оплаты!$B$6:$B$505))</f>
        <v/>
      </c>
      <c r="E2701">
        <f>IF(A2701="","",IF(SUMPRODUCT((Ввод!$F$12:$F$31&lt;&gt;"")*(Ввод!$F$12:$F$31&lt;=A2701)*(Ввод!$G$12:$G$31&gt;=A2701))&gt;0,1,0))</f>
        <v/>
      </c>
      <c r="F2701">
        <f>IF(OR(A2701="",B2701=""),"",IF(E2701=1,0,D2701*B2701/100/C2701))</f>
        <v/>
      </c>
      <c r="G2701">
        <f>IF(A2701="","",IF(OR(B2701&lt;&gt;B2700,C2701&lt;&gt;C2700,D2701&lt;&gt;D2700,E2701&lt;&gt;E2700),G2700+1,G2700))</f>
        <v/>
      </c>
    </row>
    <row r="2702">
      <c r="A2702" s="14">
        <f>IF(OR(NOT(ISNUMBER(Ввод!$B$5)),NOT(ISNUMBER(Ввод!$B$6))),"",IF(Ввод!$B$5+2700&gt;Ввод!$B$6,"",Ввод!$B$5+2700))</f>
        <v/>
      </c>
      <c r="B2702">
        <f>IF(A2702="","",IFERROR(INDEX(Ввод!$B$12:$B$71,MATCH(A2702,Ввод!$D$12:$D$71,1)),""))</f>
        <v/>
      </c>
      <c r="C2702">
        <f>IF(A2702="","",DATE(YEAR(A2702),12,31)-DATE(YEAR(A2702),1,1)+1)</f>
        <v/>
      </c>
      <c r="D2702">
        <f>IF(A2702="","",Ввод!$B$4-SUMIF(Оплаты!$A$6:$A$505,"&lt;"&amp;A2702,Оплаты!$B$6:$B$505))</f>
        <v/>
      </c>
      <c r="E2702">
        <f>IF(A2702="","",IF(SUMPRODUCT((Ввод!$F$12:$F$31&lt;&gt;"")*(Ввод!$F$12:$F$31&lt;=A2702)*(Ввод!$G$12:$G$31&gt;=A2702))&gt;0,1,0))</f>
        <v/>
      </c>
      <c r="F2702">
        <f>IF(OR(A2702="",B2702=""),"",IF(E2702=1,0,D2702*B2702/100/C2702))</f>
        <v/>
      </c>
      <c r="G2702">
        <f>IF(A2702="","",IF(OR(B2702&lt;&gt;B2701,C2702&lt;&gt;C2701,D2702&lt;&gt;D2701,E2702&lt;&gt;E2701),G2701+1,G2701))</f>
        <v/>
      </c>
    </row>
    <row r="2703">
      <c r="A2703" s="14">
        <f>IF(OR(NOT(ISNUMBER(Ввод!$B$5)),NOT(ISNUMBER(Ввод!$B$6))),"",IF(Ввод!$B$5+2701&gt;Ввод!$B$6,"",Ввод!$B$5+2701))</f>
        <v/>
      </c>
      <c r="B2703">
        <f>IF(A2703="","",IFERROR(INDEX(Ввод!$B$12:$B$71,MATCH(A2703,Ввод!$D$12:$D$71,1)),""))</f>
        <v/>
      </c>
      <c r="C2703">
        <f>IF(A2703="","",DATE(YEAR(A2703),12,31)-DATE(YEAR(A2703),1,1)+1)</f>
        <v/>
      </c>
      <c r="D2703">
        <f>IF(A2703="","",Ввод!$B$4-SUMIF(Оплаты!$A$6:$A$505,"&lt;"&amp;A2703,Оплаты!$B$6:$B$505))</f>
        <v/>
      </c>
      <c r="E2703">
        <f>IF(A2703="","",IF(SUMPRODUCT((Ввод!$F$12:$F$31&lt;&gt;"")*(Ввод!$F$12:$F$31&lt;=A2703)*(Ввод!$G$12:$G$31&gt;=A2703))&gt;0,1,0))</f>
        <v/>
      </c>
      <c r="F2703">
        <f>IF(OR(A2703="",B2703=""),"",IF(E2703=1,0,D2703*B2703/100/C2703))</f>
        <v/>
      </c>
      <c r="G2703">
        <f>IF(A2703="","",IF(OR(B2703&lt;&gt;B2702,C2703&lt;&gt;C2702,D2703&lt;&gt;D2702,E2703&lt;&gt;E2702),G2702+1,G2702))</f>
        <v/>
      </c>
    </row>
    <row r="2704">
      <c r="A2704" s="14">
        <f>IF(OR(NOT(ISNUMBER(Ввод!$B$5)),NOT(ISNUMBER(Ввод!$B$6))),"",IF(Ввод!$B$5+2702&gt;Ввод!$B$6,"",Ввод!$B$5+2702))</f>
        <v/>
      </c>
      <c r="B2704">
        <f>IF(A2704="","",IFERROR(INDEX(Ввод!$B$12:$B$71,MATCH(A2704,Ввод!$D$12:$D$71,1)),""))</f>
        <v/>
      </c>
      <c r="C2704">
        <f>IF(A2704="","",DATE(YEAR(A2704),12,31)-DATE(YEAR(A2704),1,1)+1)</f>
        <v/>
      </c>
      <c r="D2704">
        <f>IF(A2704="","",Ввод!$B$4-SUMIF(Оплаты!$A$6:$A$505,"&lt;"&amp;A2704,Оплаты!$B$6:$B$505))</f>
        <v/>
      </c>
      <c r="E2704">
        <f>IF(A2704="","",IF(SUMPRODUCT((Ввод!$F$12:$F$31&lt;&gt;"")*(Ввод!$F$12:$F$31&lt;=A2704)*(Ввод!$G$12:$G$31&gt;=A2704))&gt;0,1,0))</f>
        <v/>
      </c>
      <c r="F2704">
        <f>IF(OR(A2704="",B2704=""),"",IF(E2704=1,0,D2704*B2704/100/C2704))</f>
        <v/>
      </c>
      <c r="G2704">
        <f>IF(A2704="","",IF(OR(B2704&lt;&gt;B2703,C2704&lt;&gt;C2703,D2704&lt;&gt;D2703,E2704&lt;&gt;E2703),G2703+1,G2703))</f>
        <v/>
      </c>
    </row>
    <row r="2705">
      <c r="A2705" s="14">
        <f>IF(OR(NOT(ISNUMBER(Ввод!$B$5)),NOT(ISNUMBER(Ввод!$B$6))),"",IF(Ввод!$B$5+2703&gt;Ввод!$B$6,"",Ввод!$B$5+2703))</f>
        <v/>
      </c>
      <c r="B2705">
        <f>IF(A2705="","",IFERROR(INDEX(Ввод!$B$12:$B$71,MATCH(A2705,Ввод!$D$12:$D$71,1)),""))</f>
        <v/>
      </c>
      <c r="C2705">
        <f>IF(A2705="","",DATE(YEAR(A2705),12,31)-DATE(YEAR(A2705),1,1)+1)</f>
        <v/>
      </c>
      <c r="D2705">
        <f>IF(A2705="","",Ввод!$B$4-SUMIF(Оплаты!$A$6:$A$505,"&lt;"&amp;A2705,Оплаты!$B$6:$B$505))</f>
        <v/>
      </c>
      <c r="E2705">
        <f>IF(A2705="","",IF(SUMPRODUCT((Ввод!$F$12:$F$31&lt;&gt;"")*(Ввод!$F$12:$F$31&lt;=A2705)*(Ввод!$G$12:$G$31&gt;=A2705))&gt;0,1,0))</f>
        <v/>
      </c>
      <c r="F2705">
        <f>IF(OR(A2705="",B2705=""),"",IF(E2705=1,0,D2705*B2705/100/C2705))</f>
        <v/>
      </c>
      <c r="G2705">
        <f>IF(A2705="","",IF(OR(B2705&lt;&gt;B2704,C2705&lt;&gt;C2704,D2705&lt;&gt;D2704,E2705&lt;&gt;E2704),G2704+1,G2704))</f>
        <v/>
      </c>
    </row>
    <row r="2706">
      <c r="A2706" s="14">
        <f>IF(OR(NOT(ISNUMBER(Ввод!$B$5)),NOT(ISNUMBER(Ввод!$B$6))),"",IF(Ввод!$B$5+2704&gt;Ввод!$B$6,"",Ввод!$B$5+2704))</f>
        <v/>
      </c>
      <c r="B2706">
        <f>IF(A2706="","",IFERROR(INDEX(Ввод!$B$12:$B$71,MATCH(A2706,Ввод!$D$12:$D$71,1)),""))</f>
        <v/>
      </c>
      <c r="C2706">
        <f>IF(A2706="","",DATE(YEAR(A2706),12,31)-DATE(YEAR(A2706),1,1)+1)</f>
        <v/>
      </c>
      <c r="D2706">
        <f>IF(A2706="","",Ввод!$B$4-SUMIF(Оплаты!$A$6:$A$505,"&lt;"&amp;A2706,Оплаты!$B$6:$B$505))</f>
        <v/>
      </c>
      <c r="E2706">
        <f>IF(A2706="","",IF(SUMPRODUCT((Ввод!$F$12:$F$31&lt;&gt;"")*(Ввод!$F$12:$F$31&lt;=A2706)*(Ввод!$G$12:$G$31&gt;=A2706))&gt;0,1,0))</f>
        <v/>
      </c>
      <c r="F2706">
        <f>IF(OR(A2706="",B2706=""),"",IF(E2706=1,0,D2706*B2706/100/C2706))</f>
        <v/>
      </c>
      <c r="G2706">
        <f>IF(A2706="","",IF(OR(B2706&lt;&gt;B2705,C2706&lt;&gt;C2705,D2706&lt;&gt;D2705,E2706&lt;&gt;E2705),G2705+1,G2705))</f>
        <v/>
      </c>
    </row>
    <row r="2707">
      <c r="A2707" s="14">
        <f>IF(OR(NOT(ISNUMBER(Ввод!$B$5)),NOT(ISNUMBER(Ввод!$B$6))),"",IF(Ввод!$B$5+2705&gt;Ввод!$B$6,"",Ввод!$B$5+2705))</f>
        <v/>
      </c>
      <c r="B2707">
        <f>IF(A2707="","",IFERROR(INDEX(Ввод!$B$12:$B$71,MATCH(A2707,Ввод!$D$12:$D$71,1)),""))</f>
        <v/>
      </c>
      <c r="C2707">
        <f>IF(A2707="","",DATE(YEAR(A2707),12,31)-DATE(YEAR(A2707),1,1)+1)</f>
        <v/>
      </c>
      <c r="D2707">
        <f>IF(A2707="","",Ввод!$B$4-SUMIF(Оплаты!$A$6:$A$505,"&lt;"&amp;A2707,Оплаты!$B$6:$B$505))</f>
        <v/>
      </c>
      <c r="E2707">
        <f>IF(A2707="","",IF(SUMPRODUCT((Ввод!$F$12:$F$31&lt;&gt;"")*(Ввод!$F$12:$F$31&lt;=A2707)*(Ввод!$G$12:$G$31&gt;=A2707))&gt;0,1,0))</f>
        <v/>
      </c>
      <c r="F2707">
        <f>IF(OR(A2707="",B2707=""),"",IF(E2707=1,0,D2707*B2707/100/C2707))</f>
        <v/>
      </c>
      <c r="G2707">
        <f>IF(A2707="","",IF(OR(B2707&lt;&gt;B2706,C2707&lt;&gt;C2706,D2707&lt;&gt;D2706,E2707&lt;&gt;E2706),G2706+1,G2706))</f>
        <v/>
      </c>
    </row>
    <row r="2708">
      <c r="A2708" s="14">
        <f>IF(OR(NOT(ISNUMBER(Ввод!$B$5)),NOT(ISNUMBER(Ввод!$B$6))),"",IF(Ввод!$B$5+2706&gt;Ввод!$B$6,"",Ввод!$B$5+2706))</f>
        <v/>
      </c>
      <c r="B2708">
        <f>IF(A2708="","",IFERROR(INDEX(Ввод!$B$12:$B$71,MATCH(A2708,Ввод!$D$12:$D$71,1)),""))</f>
        <v/>
      </c>
      <c r="C2708">
        <f>IF(A2708="","",DATE(YEAR(A2708),12,31)-DATE(YEAR(A2708),1,1)+1)</f>
        <v/>
      </c>
      <c r="D2708">
        <f>IF(A2708="","",Ввод!$B$4-SUMIF(Оплаты!$A$6:$A$505,"&lt;"&amp;A2708,Оплаты!$B$6:$B$505))</f>
        <v/>
      </c>
      <c r="E2708">
        <f>IF(A2708="","",IF(SUMPRODUCT((Ввод!$F$12:$F$31&lt;&gt;"")*(Ввод!$F$12:$F$31&lt;=A2708)*(Ввод!$G$12:$G$31&gt;=A2708))&gt;0,1,0))</f>
        <v/>
      </c>
      <c r="F2708">
        <f>IF(OR(A2708="",B2708=""),"",IF(E2708=1,0,D2708*B2708/100/C2708))</f>
        <v/>
      </c>
      <c r="G2708">
        <f>IF(A2708="","",IF(OR(B2708&lt;&gt;B2707,C2708&lt;&gt;C2707,D2708&lt;&gt;D2707,E2708&lt;&gt;E2707),G2707+1,G2707))</f>
        <v/>
      </c>
    </row>
    <row r="2709">
      <c r="A2709" s="14">
        <f>IF(OR(NOT(ISNUMBER(Ввод!$B$5)),NOT(ISNUMBER(Ввод!$B$6))),"",IF(Ввод!$B$5+2707&gt;Ввод!$B$6,"",Ввод!$B$5+2707))</f>
        <v/>
      </c>
      <c r="B2709">
        <f>IF(A2709="","",IFERROR(INDEX(Ввод!$B$12:$B$71,MATCH(A2709,Ввод!$D$12:$D$71,1)),""))</f>
        <v/>
      </c>
      <c r="C2709">
        <f>IF(A2709="","",DATE(YEAR(A2709),12,31)-DATE(YEAR(A2709),1,1)+1)</f>
        <v/>
      </c>
      <c r="D2709">
        <f>IF(A2709="","",Ввод!$B$4-SUMIF(Оплаты!$A$6:$A$505,"&lt;"&amp;A2709,Оплаты!$B$6:$B$505))</f>
        <v/>
      </c>
      <c r="E2709">
        <f>IF(A2709="","",IF(SUMPRODUCT((Ввод!$F$12:$F$31&lt;&gt;"")*(Ввод!$F$12:$F$31&lt;=A2709)*(Ввод!$G$12:$G$31&gt;=A2709))&gt;0,1,0))</f>
        <v/>
      </c>
      <c r="F2709">
        <f>IF(OR(A2709="",B2709=""),"",IF(E2709=1,0,D2709*B2709/100/C2709))</f>
        <v/>
      </c>
      <c r="G2709">
        <f>IF(A2709="","",IF(OR(B2709&lt;&gt;B2708,C2709&lt;&gt;C2708,D2709&lt;&gt;D2708,E2709&lt;&gt;E2708),G2708+1,G2708))</f>
        <v/>
      </c>
    </row>
    <row r="2710">
      <c r="A2710" s="14">
        <f>IF(OR(NOT(ISNUMBER(Ввод!$B$5)),NOT(ISNUMBER(Ввод!$B$6))),"",IF(Ввод!$B$5+2708&gt;Ввод!$B$6,"",Ввод!$B$5+2708))</f>
        <v/>
      </c>
      <c r="B2710">
        <f>IF(A2710="","",IFERROR(INDEX(Ввод!$B$12:$B$71,MATCH(A2710,Ввод!$D$12:$D$71,1)),""))</f>
        <v/>
      </c>
      <c r="C2710">
        <f>IF(A2710="","",DATE(YEAR(A2710),12,31)-DATE(YEAR(A2710),1,1)+1)</f>
        <v/>
      </c>
      <c r="D2710">
        <f>IF(A2710="","",Ввод!$B$4-SUMIF(Оплаты!$A$6:$A$505,"&lt;"&amp;A2710,Оплаты!$B$6:$B$505))</f>
        <v/>
      </c>
      <c r="E2710">
        <f>IF(A2710="","",IF(SUMPRODUCT((Ввод!$F$12:$F$31&lt;&gt;"")*(Ввод!$F$12:$F$31&lt;=A2710)*(Ввод!$G$12:$G$31&gt;=A2710))&gt;0,1,0))</f>
        <v/>
      </c>
      <c r="F2710">
        <f>IF(OR(A2710="",B2710=""),"",IF(E2710=1,0,D2710*B2710/100/C2710))</f>
        <v/>
      </c>
      <c r="G2710">
        <f>IF(A2710="","",IF(OR(B2710&lt;&gt;B2709,C2710&lt;&gt;C2709,D2710&lt;&gt;D2709,E2710&lt;&gt;E2709),G2709+1,G2709))</f>
        <v/>
      </c>
    </row>
    <row r="2711">
      <c r="A2711" s="14">
        <f>IF(OR(NOT(ISNUMBER(Ввод!$B$5)),NOT(ISNUMBER(Ввод!$B$6))),"",IF(Ввод!$B$5+2709&gt;Ввод!$B$6,"",Ввод!$B$5+2709))</f>
        <v/>
      </c>
      <c r="B2711">
        <f>IF(A2711="","",IFERROR(INDEX(Ввод!$B$12:$B$71,MATCH(A2711,Ввод!$D$12:$D$71,1)),""))</f>
        <v/>
      </c>
      <c r="C2711">
        <f>IF(A2711="","",DATE(YEAR(A2711),12,31)-DATE(YEAR(A2711),1,1)+1)</f>
        <v/>
      </c>
      <c r="D2711">
        <f>IF(A2711="","",Ввод!$B$4-SUMIF(Оплаты!$A$6:$A$505,"&lt;"&amp;A2711,Оплаты!$B$6:$B$505))</f>
        <v/>
      </c>
      <c r="E2711">
        <f>IF(A2711="","",IF(SUMPRODUCT((Ввод!$F$12:$F$31&lt;&gt;"")*(Ввод!$F$12:$F$31&lt;=A2711)*(Ввод!$G$12:$G$31&gt;=A2711))&gt;0,1,0))</f>
        <v/>
      </c>
      <c r="F2711">
        <f>IF(OR(A2711="",B2711=""),"",IF(E2711=1,0,D2711*B2711/100/C2711))</f>
        <v/>
      </c>
      <c r="G2711">
        <f>IF(A2711="","",IF(OR(B2711&lt;&gt;B2710,C2711&lt;&gt;C2710,D2711&lt;&gt;D2710,E2711&lt;&gt;E2710),G2710+1,G2710))</f>
        <v/>
      </c>
    </row>
    <row r="2712">
      <c r="A2712" s="14">
        <f>IF(OR(NOT(ISNUMBER(Ввод!$B$5)),NOT(ISNUMBER(Ввод!$B$6))),"",IF(Ввод!$B$5+2710&gt;Ввод!$B$6,"",Ввод!$B$5+2710))</f>
        <v/>
      </c>
      <c r="B2712">
        <f>IF(A2712="","",IFERROR(INDEX(Ввод!$B$12:$B$71,MATCH(A2712,Ввод!$D$12:$D$71,1)),""))</f>
        <v/>
      </c>
      <c r="C2712">
        <f>IF(A2712="","",DATE(YEAR(A2712),12,31)-DATE(YEAR(A2712),1,1)+1)</f>
        <v/>
      </c>
      <c r="D2712">
        <f>IF(A2712="","",Ввод!$B$4-SUMIF(Оплаты!$A$6:$A$505,"&lt;"&amp;A2712,Оплаты!$B$6:$B$505))</f>
        <v/>
      </c>
      <c r="E2712">
        <f>IF(A2712="","",IF(SUMPRODUCT((Ввод!$F$12:$F$31&lt;&gt;"")*(Ввод!$F$12:$F$31&lt;=A2712)*(Ввод!$G$12:$G$31&gt;=A2712))&gt;0,1,0))</f>
        <v/>
      </c>
      <c r="F2712">
        <f>IF(OR(A2712="",B2712=""),"",IF(E2712=1,0,D2712*B2712/100/C2712))</f>
        <v/>
      </c>
      <c r="G2712">
        <f>IF(A2712="","",IF(OR(B2712&lt;&gt;B2711,C2712&lt;&gt;C2711,D2712&lt;&gt;D2711,E2712&lt;&gt;E2711),G2711+1,G2711))</f>
        <v/>
      </c>
    </row>
    <row r="2713">
      <c r="A2713" s="14">
        <f>IF(OR(NOT(ISNUMBER(Ввод!$B$5)),NOT(ISNUMBER(Ввод!$B$6))),"",IF(Ввод!$B$5+2711&gt;Ввод!$B$6,"",Ввод!$B$5+2711))</f>
        <v/>
      </c>
      <c r="B2713">
        <f>IF(A2713="","",IFERROR(INDEX(Ввод!$B$12:$B$71,MATCH(A2713,Ввод!$D$12:$D$71,1)),""))</f>
        <v/>
      </c>
      <c r="C2713">
        <f>IF(A2713="","",DATE(YEAR(A2713),12,31)-DATE(YEAR(A2713),1,1)+1)</f>
        <v/>
      </c>
      <c r="D2713">
        <f>IF(A2713="","",Ввод!$B$4-SUMIF(Оплаты!$A$6:$A$505,"&lt;"&amp;A2713,Оплаты!$B$6:$B$505))</f>
        <v/>
      </c>
      <c r="E2713">
        <f>IF(A2713="","",IF(SUMPRODUCT((Ввод!$F$12:$F$31&lt;&gt;"")*(Ввод!$F$12:$F$31&lt;=A2713)*(Ввод!$G$12:$G$31&gt;=A2713))&gt;0,1,0))</f>
        <v/>
      </c>
      <c r="F2713">
        <f>IF(OR(A2713="",B2713=""),"",IF(E2713=1,0,D2713*B2713/100/C2713))</f>
        <v/>
      </c>
      <c r="G2713">
        <f>IF(A2713="","",IF(OR(B2713&lt;&gt;B2712,C2713&lt;&gt;C2712,D2713&lt;&gt;D2712,E2713&lt;&gt;E2712),G2712+1,G2712))</f>
        <v/>
      </c>
    </row>
    <row r="2714">
      <c r="A2714" s="14">
        <f>IF(OR(NOT(ISNUMBER(Ввод!$B$5)),NOT(ISNUMBER(Ввод!$B$6))),"",IF(Ввод!$B$5+2712&gt;Ввод!$B$6,"",Ввод!$B$5+2712))</f>
        <v/>
      </c>
      <c r="B2714">
        <f>IF(A2714="","",IFERROR(INDEX(Ввод!$B$12:$B$71,MATCH(A2714,Ввод!$D$12:$D$71,1)),""))</f>
        <v/>
      </c>
      <c r="C2714">
        <f>IF(A2714="","",DATE(YEAR(A2714),12,31)-DATE(YEAR(A2714),1,1)+1)</f>
        <v/>
      </c>
      <c r="D2714">
        <f>IF(A2714="","",Ввод!$B$4-SUMIF(Оплаты!$A$6:$A$505,"&lt;"&amp;A2714,Оплаты!$B$6:$B$505))</f>
        <v/>
      </c>
      <c r="E2714">
        <f>IF(A2714="","",IF(SUMPRODUCT((Ввод!$F$12:$F$31&lt;&gt;"")*(Ввод!$F$12:$F$31&lt;=A2714)*(Ввод!$G$12:$G$31&gt;=A2714))&gt;0,1,0))</f>
        <v/>
      </c>
      <c r="F2714">
        <f>IF(OR(A2714="",B2714=""),"",IF(E2714=1,0,D2714*B2714/100/C2714))</f>
        <v/>
      </c>
      <c r="G2714">
        <f>IF(A2714="","",IF(OR(B2714&lt;&gt;B2713,C2714&lt;&gt;C2713,D2714&lt;&gt;D2713,E2714&lt;&gt;E2713),G2713+1,G2713))</f>
        <v/>
      </c>
    </row>
    <row r="2715">
      <c r="A2715" s="14">
        <f>IF(OR(NOT(ISNUMBER(Ввод!$B$5)),NOT(ISNUMBER(Ввод!$B$6))),"",IF(Ввод!$B$5+2713&gt;Ввод!$B$6,"",Ввод!$B$5+2713))</f>
        <v/>
      </c>
      <c r="B2715">
        <f>IF(A2715="","",IFERROR(INDEX(Ввод!$B$12:$B$71,MATCH(A2715,Ввод!$D$12:$D$71,1)),""))</f>
        <v/>
      </c>
      <c r="C2715">
        <f>IF(A2715="","",DATE(YEAR(A2715),12,31)-DATE(YEAR(A2715),1,1)+1)</f>
        <v/>
      </c>
      <c r="D2715">
        <f>IF(A2715="","",Ввод!$B$4-SUMIF(Оплаты!$A$6:$A$505,"&lt;"&amp;A2715,Оплаты!$B$6:$B$505))</f>
        <v/>
      </c>
      <c r="E2715">
        <f>IF(A2715="","",IF(SUMPRODUCT((Ввод!$F$12:$F$31&lt;&gt;"")*(Ввод!$F$12:$F$31&lt;=A2715)*(Ввод!$G$12:$G$31&gt;=A2715))&gt;0,1,0))</f>
        <v/>
      </c>
      <c r="F2715">
        <f>IF(OR(A2715="",B2715=""),"",IF(E2715=1,0,D2715*B2715/100/C2715))</f>
        <v/>
      </c>
      <c r="G2715">
        <f>IF(A2715="","",IF(OR(B2715&lt;&gt;B2714,C2715&lt;&gt;C2714,D2715&lt;&gt;D2714,E2715&lt;&gt;E2714),G2714+1,G2714))</f>
        <v/>
      </c>
    </row>
    <row r="2716">
      <c r="A2716" s="14">
        <f>IF(OR(NOT(ISNUMBER(Ввод!$B$5)),NOT(ISNUMBER(Ввод!$B$6))),"",IF(Ввод!$B$5+2714&gt;Ввод!$B$6,"",Ввод!$B$5+2714))</f>
        <v/>
      </c>
      <c r="B2716">
        <f>IF(A2716="","",IFERROR(INDEX(Ввод!$B$12:$B$71,MATCH(A2716,Ввод!$D$12:$D$71,1)),""))</f>
        <v/>
      </c>
      <c r="C2716">
        <f>IF(A2716="","",DATE(YEAR(A2716),12,31)-DATE(YEAR(A2716),1,1)+1)</f>
        <v/>
      </c>
      <c r="D2716">
        <f>IF(A2716="","",Ввод!$B$4-SUMIF(Оплаты!$A$6:$A$505,"&lt;"&amp;A2716,Оплаты!$B$6:$B$505))</f>
        <v/>
      </c>
      <c r="E2716">
        <f>IF(A2716="","",IF(SUMPRODUCT((Ввод!$F$12:$F$31&lt;&gt;"")*(Ввод!$F$12:$F$31&lt;=A2716)*(Ввод!$G$12:$G$31&gt;=A2716))&gt;0,1,0))</f>
        <v/>
      </c>
      <c r="F2716">
        <f>IF(OR(A2716="",B2716=""),"",IF(E2716=1,0,D2716*B2716/100/C2716))</f>
        <v/>
      </c>
      <c r="G2716">
        <f>IF(A2716="","",IF(OR(B2716&lt;&gt;B2715,C2716&lt;&gt;C2715,D2716&lt;&gt;D2715,E2716&lt;&gt;E2715),G2715+1,G2715))</f>
        <v/>
      </c>
    </row>
    <row r="2717">
      <c r="A2717" s="14">
        <f>IF(OR(NOT(ISNUMBER(Ввод!$B$5)),NOT(ISNUMBER(Ввод!$B$6))),"",IF(Ввод!$B$5+2715&gt;Ввод!$B$6,"",Ввод!$B$5+2715))</f>
        <v/>
      </c>
      <c r="B2717">
        <f>IF(A2717="","",IFERROR(INDEX(Ввод!$B$12:$B$71,MATCH(A2717,Ввод!$D$12:$D$71,1)),""))</f>
        <v/>
      </c>
      <c r="C2717">
        <f>IF(A2717="","",DATE(YEAR(A2717),12,31)-DATE(YEAR(A2717),1,1)+1)</f>
        <v/>
      </c>
      <c r="D2717">
        <f>IF(A2717="","",Ввод!$B$4-SUMIF(Оплаты!$A$6:$A$505,"&lt;"&amp;A2717,Оплаты!$B$6:$B$505))</f>
        <v/>
      </c>
      <c r="E2717">
        <f>IF(A2717="","",IF(SUMPRODUCT((Ввод!$F$12:$F$31&lt;&gt;"")*(Ввод!$F$12:$F$31&lt;=A2717)*(Ввод!$G$12:$G$31&gt;=A2717))&gt;0,1,0))</f>
        <v/>
      </c>
      <c r="F2717">
        <f>IF(OR(A2717="",B2717=""),"",IF(E2717=1,0,D2717*B2717/100/C2717))</f>
        <v/>
      </c>
      <c r="G2717">
        <f>IF(A2717="","",IF(OR(B2717&lt;&gt;B2716,C2717&lt;&gt;C2716,D2717&lt;&gt;D2716,E2717&lt;&gt;E2716),G2716+1,G2716))</f>
        <v/>
      </c>
    </row>
    <row r="2718">
      <c r="A2718" s="14">
        <f>IF(OR(NOT(ISNUMBER(Ввод!$B$5)),NOT(ISNUMBER(Ввод!$B$6))),"",IF(Ввод!$B$5+2716&gt;Ввод!$B$6,"",Ввод!$B$5+2716))</f>
        <v/>
      </c>
      <c r="B2718">
        <f>IF(A2718="","",IFERROR(INDEX(Ввод!$B$12:$B$71,MATCH(A2718,Ввод!$D$12:$D$71,1)),""))</f>
        <v/>
      </c>
      <c r="C2718">
        <f>IF(A2718="","",DATE(YEAR(A2718),12,31)-DATE(YEAR(A2718),1,1)+1)</f>
        <v/>
      </c>
      <c r="D2718">
        <f>IF(A2718="","",Ввод!$B$4-SUMIF(Оплаты!$A$6:$A$505,"&lt;"&amp;A2718,Оплаты!$B$6:$B$505))</f>
        <v/>
      </c>
      <c r="E2718">
        <f>IF(A2718="","",IF(SUMPRODUCT((Ввод!$F$12:$F$31&lt;&gt;"")*(Ввод!$F$12:$F$31&lt;=A2718)*(Ввод!$G$12:$G$31&gt;=A2718))&gt;0,1,0))</f>
        <v/>
      </c>
      <c r="F2718">
        <f>IF(OR(A2718="",B2718=""),"",IF(E2718=1,0,D2718*B2718/100/C2718))</f>
        <v/>
      </c>
      <c r="G2718">
        <f>IF(A2718="","",IF(OR(B2718&lt;&gt;B2717,C2718&lt;&gt;C2717,D2718&lt;&gt;D2717,E2718&lt;&gt;E2717),G2717+1,G2717))</f>
        <v/>
      </c>
    </row>
    <row r="2719">
      <c r="A2719" s="14">
        <f>IF(OR(NOT(ISNUMBER(Ввод!$B$5)),NOT(ISNUMBER(Ввод!$B$6))),"",IF(Ввод!$B$5+2717&gt;Ввод!$B$6,"",Ввод!$B$5+2717))</f>
        <v/>
      </c>
      <c r="B2719">
        <f>IF(A2719="","",IFERROR(INDEX(Ввод!$B$12:$B$71,MATCH(A2719,Ввод!$D$12:$D$71,1)),""))</f>
        <v/>
      </c>
      <c r="C2719">
        <f>IF(A2719="","",DATE(YEAR(A2719),12,31)-DATE(YEAR(A2719),1,1)+1)</f>
        <v/>
      </c>
      <c r="D2719">
        <f>IF(A2719="","",Ввод!$B$4-SUMIF(Оплаты!$A$6:$A$505,"&lt;"&amp;A2719,Оплаты!$B$6:$B$505))</f>
        <v/>
      </c>
      <c r="E2719">
        <f>IF(A2719="","",IF(SUMPRODUCT((Ввод!$F$12:$F$31&lt;&gt;"")*(Ввод!$F$12:$F$31&lt;=A2719)*(Ввод!$G$12:$G$31&gt;=A2719))&gt;0,1,0))</f>
        <v/>
      </c>
      <c r="F2719">
        <f>IF(OR(A2719="",B2719=""),"",IF(E2719=1,0,D2719*B2719/100/C2719))</f>
        <v/>
      </c>
      <c r="G2719">
        <f>IF(A2719="","",IF(OR(B2719&lt;&gt;B2718,C2719&lt;&gt;C2718,D2719&lt;&gt;D2718,E2719&lt;&gt;E2718),G2718+1,G2718))</f>
        <v/>
      </c>
    </row>
    <row r="2720">
      <c r="A2720" s="14">
        <f>IF(OR(NOT(ISNUMBER(Ввод!$B$5)),NOT(ISNUMBER(Ввод!$B$6))),"",IF(Ввод!$B$5+2718&gt;Ввод!$B$6,"",Ввод!$B$5+2718))</f>
        <v/>
      </c>
      <c r="B2720">
        <f>IF(A2720="","",IFERROR(INDEX(Ввод!$B$12:$B$71,MATCH(A2720,Ввод!$D$12:$D$71,1)),""))</f>
        <v/>
      </c>
      <c r="C2720">
        <f>IF(A2720="","",DATE(YEAR(A2720),12,31)-DATE(YEAR(A2720),1,1)+1)</f>
        <v/>
      </c>
      <c r="D2720">
        <f>IF(A2720="","",Ввод!$B$4-SUMIF(Оплаты!$A$6:$A$505,"&lt;"&amp;A2720,Оплаты!$B$6:$B$505))</f>
        <v/>
      </c>
      <c r="E2720">
        <f>IF(A2720="","",IF(SUMPRODUCT((Ввод!$F$12:$F$31&lt;&gt;"")*(Ввод!$F$12:$F$31&lt;=A2720)*(Ввод!$G$12:$G$31&gt;=A2720))&gt;0,1,0))</f>
        <v/>
      </c>
      <c r="F2720">
        <f>IF(OR(A2720="",B2720=""),"",IF(E2720=1,0,D2720*B2720/100/C2720))</f>
        <v/>
      </c>
      <c r="G2720">
        <f>IF(A2720="","",IF(OR(B2720&lt;&gt;B2719,C2720&lt;&gt;C2719,D2720&lt;&gt;D2719,E2720&lt;&gt;E2719),G2719+1,G2719))</f>
        <v/>
      </c>
    </row>
    <row r="2721">
      <c r="A2721" s="14">
        <f>IF(OR(NOT(ISNUMBER(Ввод!$B$5)),NOT(ISNUMBER(Ввод!$B$6))),"",IF(Ввод!$B$5+2719&gt;Ввод!$B$6,"",Ввод!$B$5+2719))</f>
        <v/>
      </c>
      <c r="B2721">
        <f>IF(A2721="","",IFERROR(INDEX(Ввод!$B$12:$B$71,MATCH(A2721,Ввод!$D$12:$D$71,1)),""))</f>
        <v/>
      </c>
      <c r="C2721">
        <f>IF(A2721="","",DATE(YEAR(A2721),12,31)-DATE(YEAR(A2721),1,1)+1)</f>
        <v/>
      </c>
      <c r="D2721">
        <f>IF(A2721="","",Ввод!$B$4-SUMIF(Оплаты!$A$6:$A$505,"&lt;"&amp;A2721,Оплаты!$B$6:$B$505))</f>
        <v/>
      </c>
      <c r="E2721">
        <f>IF(A2721="","",IF(SUMPRODUCT((Ввод!$F$12:$F$31&lt;&gt;"")*(Ввод!$F$12:$F$31&lt;=A2721)*(Ввод!$G$12:$G$31&gt;=A2721))&gt;0,1,0))</f>
        <v/>
      </c>
      <c r="F2721">
        <f>IF(OR(A2721="",B2721=""),"",IF(E2721=1,0,D2721*B2721/100/C2721))</f>
        <v/>
      </c>
      <c r="G2721">
        <f>IF(A2721="","",IF(OR(B2721&lt;&gt;B2720,C2721&lt;&gt;C2720,D2721&lt;&gt;D2720,E2721&lt;&gt;E2720),G2720+1,G2720))</f>
        <v/>
      </c>
    </row>
    <row r="2722">
      <c r="A2722" s="14">
        <f>IF(OR(NOT(ISNUMBER(Ввод!$B$5)),NOT(ISNUMBER(Ввод!$B$6))),"",IF(Ввод!$B$5+2720&gt;Ввод!$B$6,"",Ввод!$B$5+2720))</f>
        <v/>
      </c>
      <c r="B2722">
        <f>IF(A2722="","",IFERROR(INDEX(Ввод!$B$12:$B$71,MATCH(A2722,Ввод!$D$12:$D$71,1)),""))</f>
        <v/>
      </c>
      <c r="C2722">
        <f>IF(A2722="","",DATE(YEAR(A2722),12,31)-DATE(YEAR(A2722),1,1)+1)</f>
        <v/>
      </c>
      <c r="D2722">
        <f>IF(A2722="","",Ввод!$B$4-SUMIF(Оплаты!$A$6:$A$505,"&lt;"&amp;A2722,Оплаты!$B$6:$B$505))</f>
        <v/>
      </c>
      <c r="E2722">
        <f>IF(A2722="","",IF(SUMPRODUCT((Ввод!$F$12:$F$31&lt;&gt;"")*(Ввод!$F$12:$F$31&lt;=A2722)*(Ввод!$G$12:$G$31&gt;=A2722))&gt;0,1,0))</f>
        <v/>
      </c>
      <c r="F2722">
        <f>IF(OR(A2722="",B2722=""),"",IF(E2722=1,0,D2722*B2722/100/C2722))</f>
        <v/>
      </c>
      <c r="G2722">
        <f>IF(A2722="","",IF(OR(B2722&lt;&gt;B2721,C2722&lt;&gt;C2721,D2722&lt;&gt;D2721,E2722&lt;&gt;E2721),G2721+1,G2721))</f>
        <v/>
      </c>
    </row>
    <row r="2723">
      <c r="A2723" s="14">
        <f>IF(OR(NOT(ISNUMBER(Ввод!$B$5)),NOT(ISNUMBER(Ввод!$B$6))),"",IF(Ввод!$B$5+2721&gt;Ввод!$B$6,"",Ввод!$B$5+2721))</f>
        <v/>
      </c>
      <c r="B2723">
        <f>IF(A2723="","",IFERROR(INDEX(Ввод!$B$12:$B$71,MATCH(A2723,Ввод!$D$12:$D$71,1)),""))</f>
        <v/>
      </c>
      <c r="C2723">
        <f>IF(A2723="","",DATE(YEAR(A2723),12,31)-DATE(YEAR(A2723),1,1)+1)</f>
        <v/>
      </c>
      <c r="D2723">
        <f>IF(A2723="","",Ввод!$B$4-SUMIF(Оплаты!$A$6:$A$505,"&lt;"&amp;A2723,Оплаты!$B$6:$B$505))</f>
        <v/>
      </c>
      <c r="E2723">
        <f>IF(A2723="","",IF(SUMPRODUCT((Ввод!$F$12:$F$31&lt;&gt;"")*(Ввод!$F$12:$F$31&lt;=A2723)*(Ввод!$G$12:$G$31&gt;=A2723))&gt;0,1,0))</f>
        <v/>
      </c>
      <c r="F2723">
        <f>IF(OR(A2723="",B2723=""),"",IF(E2723=1,0,D2723*B2723/100/C2723))</f>
        <v/>
      </c>
      <c r="G2723">
        <f>IF(A2723="","",IF(OR(B2723&lt;&gt;B2722,C2723&lt;&gt;C2722,D2723&lt;&gt;D2722,E2723&lt;&gt;E2722),G2722+1,G2722))</f>
        <v/>
      </c>
    </row>
    <row r="2724">
      <c r="A2724" s="14">
        <f>IF(OR(NOT(ISNUMBER(Ввод!$B$5)),NOT(ISNUMBER(Ввод!$B$6))),"",IF(Ввод!$B$5+2722&gt;Ввод!$B$6,"",Ввод!$B$5+2722))</f>
        <v/>
      </c>
      <c r="B2724">
        <f>IF(A2724="","",IFERROR(INDEX(Ввод!$B$12:$B$71,MATCH(A2724,Ввод!$D$12:$D$71,1)),""))</f>
        <v/>
      </c>
      <c r="C2724">
        <f>IF(A2724="","",DATE(YEAR(A2724),12,31)-DATE(YEAR(A2724),1,1)+1)</f>
        <v/>
      </c>
      <c r="D2724">
        <f>IF(A2724="","",Ввод!$B$4-SUMIF(Оплаты!$A$6:$A$505,"&lt;"&amp;A2724,Оплаты!$B$6:$B$505))</f>
        <v/>
      </c>
      <c r="E2724">
        <f>IF(A2724="","",IF(SUMPRODUCT((Ввод!$F$12:$F$31&lt;&gt;"")*(Ввод!$F$12:$F$31&lt;=A2724)*(Ввод!$G$12:$G$31&gt;=A2724))&gt;0,1,0))</f>
        <v/>
      </c>
      <c r="F2724">
        <f>IF(OR(A2724="",B2724=""),"",IF(E2724=1,0,D2724*B2724/100/C2724))</f>
        <v/>
      </c>
      <c r="G2724">
        <f>IF(A2724="","",IF(OR(B2724&lt;&gt;B2723,C2724&lt;&gt;C2723,D2724&lt;&gt;D2723,E2724&lt;&gt;E2723),G2723+1,G2723))</f>
        <v/>
      </c>
    </row>
    <row r="2725">
      <c r="A2725" s="14">
        <f>IF(OR(NOT(ISNUMBER(Ввод!$B$5)),NOT(ISNUMBER(Ввод!$B$6))),"",IF(Ввод!$B$5+2723&gt;Ввод!$B$6,"",Ввод!$B$5+2723))</f>
        <v/>
      </c>
      <c r="B2725">
        <f>IF(A2725="","",IFERROR(INDEX(Ввод!$B$12:$B$71,MATCH(A2725,Ввод!$D$12:$D$71,1)),""))</f>
        <v/>
      </c>
      <c r="C2725">
        <f>IF(A2725="","",DATE(YEAR(A2725),12,31)-DATE(YEAR(A2725),1,1)+1)</f>
        <v/>
      </c>
      <c r="D2725">
        <f>IF(A2725="","",Ввод!$B$4-SUMIF(Оплаты!$A$6:$A$505,"&lt;"&amp;A2725,Оплаты!$B$6:$B$505))</f>
        <v/>
      </c>
      <c r="E2725">
        <f>IF(A2725="","",IF(SUMPRODUCT((Ввод!$F$12:$F$31&lt;&gt;"")*(Ввод!$F$12:$F$31&lt;=A2725)*(Ввод!$G$12:$G$31&gt;=A2725))&gt;0,1,0))</f>
        <v/>
      </c>
      <c r="F2725">
        <f>IF(OR(A2725="",B2725=""),"",IF(E2725=1,0,D2725*B2725/100/C2725))</f>
        <v/>
      </c>
      <c r="G2725">
        <f>IF(A2725="","",IF(OR(B2725&lt;&gt;B2724,C2725&lt;&gt;C2724,D2725&lt;&gt;D2724,E2725&lt;&gt;E2724),G2724+1,G2724))</f>
        <v/>
      </c>
    </row>
    <row r="2726">
      <c r="A2726" s="14">
        <f>IF(OR(NOT(ISNUMBER(Ввод!$B$5)),NOT(ISNUMBER(Ввод!$B$6))),"",IF(Ввод!$B$5+2724&gt;Ввод!$B$6,"",Ввод!$B$5+2724))</f>
        <v/>
      </c>
      <c r="B2726">
        <f>IF(A2726="","",IFERROR(INDEX(Ввод!$B$12:$B$71,MATCH(A2726,Ввод!$D$12:$D$71,1)),""))</f>
        <v/>
      </c>
      <c r="C2726">
        <f>IF(A2726="","",DATE(YEAR(A2726),12,31)-DATE(YEAR(A2726),1,1)+1)</f>
        <v/>
      </c>
      <c r="D2726">
        <f>IF(A2726="","",Ввод!$B$4-SUMIF(Оплаты!$A$6:$A$505,"&lt;"&amp;A2726,Оплаты!$B$6:$B$505))</f>
        <v/>
      </c>
      <c r="E2726">
        <f>IF(A2726="","",IF(SUMPRODUCT((Ввод!$F$12:$F$31&lt;&gt;"")*(Ввод!$F$12:$F$31&lt;=A2726)*(Ввод!$G$12:$G$31&gt;=A2726))&gt;0,1,0))</f>
        <v/>
      </c>
      <c r="F2726">
        <f>IF(OR(A2726="",B2726=""),"",IF(E2726=1,0,D2726*B2726/100/C2726))</f>
        <v/>
      </c>
      <c r="G2726">
        <f>IF(A2726="","",IF(OR(B2726&lt;&gt;B2725,C2726&lt;&gt;C2725,D2726&lt;&gt;D2725,E2726&lt;&gt;E2725),G2725+1,G2725))</f>
        <v/>
      </c>
    </row>
    <row r="2727">
      <c r="A2727" s="14">
        <f>IF(OR(NOT(ISNUMBER(Ввод!$B$5)),NOT(ISNUMBER(Ввод!$B$6))),"",IF(Ввод!$B$5+2725&gt;Ввод!$B$6,"",Ввод!$B$5+2725))</f>
        <v/>
      </c>
      <c r="B2727">
        <f>IF(A2727="","",IFERROR(INDEX(Ввод!$B$12:$B$71,MATCH(A2727,Ввод!$D$12:$D$71,1)),""))</f>
        <v/>
      </c>
      <c r="C2727">
        <f>IF(A2727="","",DATE(YEAR(A2727),12,31)-DATE(YEAR(A2727),1,1)+1)</f>
        <v/>
      </c>
      <c r="D2727">
        <f>IF(A2727="","",Ввод!$B$4-SUMIF(Оплаты!$A$6:$A$505,"&lt;"&amp;A2727,Оплаты!$B$6:$B$505))</f>
        <v/>
      </c>
      <c r="E2727">
        <f>IF(A2727="","",IF(SUMPRODUCT((Ввод!$F$12:$F$31&lt;&gt;"")*(Ввод!$F$12:$F$31&lt;=A2727)*(Ввод!$G$12:$G$31&gt;=A2727))&gt;0,1,0))</f>
        <v/>
      </c>
      <c r="F2727">
        <f>IF(OR(A2727="",B2727=""),"",IF(E2727=1,0,D2727*B2727/100/C2727))</f>
        <v/>
      </c>
      <c r="G2727">
        <f>IF(A2727="","",IF(OR(B2727&lt;&gt;B2726,C2727&lt;&gt;C2726,D2727&lt;&gt;D2726,E2727&lt;&gt;E2726),G2726+1,G2726))</f>
        <v/>
      </c>
    </row>
    <row r="2728">
      <c r="A2728" s="14">
        <f>IF(OR(NOT(ISNUMBER(Ввод!$B$5)),NOT(ISNUMBER(Ввод!$B$6))),"",IF(Ввод!$B$5+2726&gt;Ввод!$B$6,"",Ввод!$B$5+2726))</f>
        <v/>
      </c>
      <c r="B2728">
        <f>IF(A2728="","",IFERROR(INDEX(Ввод!$B$12:$B$71,MATCH(A2728,Ввод!$D$12:$D$71,1)),""))</f>
        <v/>
      </c>
      <c r="C2728">
        <f>IF(A2728="","",DATE(YEAR(A2728),12,31)-DATE(YEAR(A2728),1,1)+1)</f>
        <v/>
      </c>
      <c r="D2728">
        <f>IF(A2728="","",Ввод!$B$4-SUMIF(Оплаты!$A$6:$A$505,"&lt;"&amp;A2728,Оплаты!$B$6:$B$505))</f>
        <v/>
      </c>
      <c r="E2728">
        <f>IF(A2728="","",IF(SUMPRODUCT((Ввод!$F$12:$F$31&lt;&gt;"")*(Ввод!$F$12:$F$31&lt;=A2728)*(Ввод!$G$12:$G$31&gt;=A2728))&gt;0,1,0))</f>
        <v/>
      </c>
      <c r="F2728">
        <f>IF(OR(A2728="",B2728=""),"",IF(E2728=1,0,D2728*B2728/100/C2728))</f>
        <v/>
      </c>
      <c r="G2728">
        <f>IF(A2728="","",IF(OR(B2728&lt;&gt;B2727,C2728&lt;&gt;C2727,D2728&lt;&gt;D2727,E2728&lt;&gt;E2727),G2727+1,G2727))</f>
        <v/>
      </c>
    </row>
    <row r="2729">
      <c r="A2729" s="14">
        <f>IF(OR(NOT(ISNUMBER(Ввод!$B$5)),NOT(ISNUMBER(Ввод!$B$6))),"",IF(Ввод!$B$5+2727&gt;Ввод!$B$6,"",Ввод!$B$5+2727))</f>
        <v/>
      </c>
      <c r="B2729">
        <f>IF(A2729="","",IFERROR(INDEX(Ввод!$B$12:$B$71,MATCH(A2729,Ввод!$D$12:$D$71,1)),""))</f>
        <v/>
      </c>
      <c r="C2729">
        <f>IF(A2729="","",DATE(YEAR(A2729),12,31)-DATE(YEAR(A2729),1,1)+1)</f>
        <v/>
      </c>
      <c r="D2729">
        <f>IF(A2729="","",Ввод!$B$4-SUMIF(Оплаты!$A$6:$A$505,"&lt;"&amp;A2729,Оплаты!$B$6:$B$505))</f>
        <v/>
      </c>
      <c r="E2729">
        <f>IF(A2729="","",IF(SUMPRODUCT((Ввод!$F$12:$F$31&lt;&gt;"")*(Ввод!$F$12:$F$31&lt;=A2729)*(Ввод!$G$12:$G$31&gt;=A2729))&gt;0,1,0))</f>
        <v/>
      </c>
      <c r="F2729">
        <f>IF(OR(A2729="",B2729=""),"",IF(E2729=1,0,D2729*B2729/100/C2729))</f>
        <v/>
      </c>
      <c r="G2729">
        <f>IF(A2729="","",IF(OR(B2729&lt;&gt;B2728,C2729&lt;&gt;C2728,D2729&lt;&gt;D2728,E2729&lt;&gt;E2728),G2728+1,G2728))</f>
        <v/>
      </c>
    </row>
    <row r="2730">
      <c r="A2730" s="14">
        <f>IF(OR(NOT(ISNUMBER(Ввод!$B$5)),NOT(ISNUMBER(Ввод!$B$6))),"",IF(Ввод!$B$5+2728&gt;Ввод!$B$6,"",Ввод!$B$5+2728))</f>
        <v/>
      </c>
      <c r="B2730">
        <f>IF(A2730="","",IFERROR(INDEX(Ввод!$B$12:$B$71,MATCH(A2730,Ввод!$D$12:$D$71,1)),""))</f>
        <v/>
      </c>
      <c r="C2730">
        <f>IF(A2730="","",DATE(YEAR(A2730),12,31)-DATE(YEAR(A2730),1,1)+1)</f>
        <v/>
      </c>
      <c r="D2730">
        <f>IF(A2730="","",Ввод!$B$4-SUMIF(Оплаты!$A$6:$A$505,"&lt;"&amp;A2730,Оплаты!$B$6:$B$505))</f>
        <v/>
      </c>
      <c r="E2730">
        <f>IF(A2730="","",IF(SUMPRODUCT((Ввод!$F$12:$F$31&lt;&gt;"")*(Ввод!$F$12:$F$31&lt;=A2730)*(Ввод!$G$12:$G$31&gt;=A2730))&gt;0,1,0))</f>
        <v/>
      </c>
      <c r="F2730">
        <f>IF(OR(A2730="",B2730=""),"",IF(E2730=1,0,D2730*B2730/100/C2730))</f>
        <v/>
      </c>
      <c r="G2730">
        <f>IF(A2730="","",IF(OR(B2730&lt;&gt;B2729,C2730&lt;&gt;C2729,D2730&lt;&gt;D2729,E2730&lt;&gt;E2729),G2729+1,G2729))</f>
        <v/>
      </c>
    </row>
    <row r="2731">
      <c r="A2731" s="14">
        <f>IF(OR(NOT(ISNUMBER(Ввод!$B$5)),NOT(ISNUMBER(Ввод!$B$6))),"",IF(Ввод!$B$5+2729&gt;Ввод!$B$6,"",Ввод!$B$5+2729))</f>
        <v/>
      </c>
      <c r="B2731">
        <f>IF(A2731="","",IFERROR(INDEX(Ввод!$B$12:$B$71,MATCH(A2731,Ввод!$D$12:$D$71,1)),""))</f>
        <v/>
      </c>
      <c r="C2731">
        <f>IF(A2731="","",DATE(YEAR(A2731),12,31)-DATE(YEAR(A2731),1,1)+1)</f>
        <v/>
      </c>
      <c r="D2731">
        <f>IF(A2731="","",Ввод!$B$4-SUMIF(Оплаты!$A$6:$A$505,"&lt;"&amp;A2731,Оплаты!$B$6:$B$505))</f>
        <v/>
      </c>
      <c r="E2731">
        <f>IF(A2731="","",IF(SUMPRODUCT((Ввод!$F$12:$F$31&lt;&gt;"")*(Ввод!$F$12:$F$31&lt;=A2731)*(Ввод!$G$12:$G$31&gt;=A2731))&gt;0,1,0))</f>
        <v/>
      </c>
      <c r="F2731">
        <f>IF(OR(A2731="",B2731=""),"",IF(E2731=1,0,D2731*B2731/100/C2731))</f>
        <v/>
      </c>
      <c r="G2731">
        <f>IF(A2731="","",IF(OR(B2731&lt;&gt;B2730,C2731&lt;&gt;C2730,D2731&lt;&gt;D2730,E2731&lt;&gt;E2730),G2730+1,G2730))</f>
        <v/>
      </c>
    </row>
    <row r="2732">
      <c r="A2732" s="14">
        <f>IF(OR(NOT(ISNUMBER(Ввод!$B$5)),NOT(ISNUMBER(Ввод!$B$6))),"",IF(Ввод!$B$5+2730&gt;Ввод!$B$6,"",Ввод!$B$5+2730))</f>
        <v/>
      </c>
      <c r="B2732">
        <f>IF(A2732="","",IFERROR(INDEX(Ввод!$B$12:$B$71,MATCH(A2732,Ввод!$D$12:$D$71,1)),""))</f>
        <v/>
      </c>
      <c r="C2732">
        <f>IF(A2732="","",DATE(YEAR(A2732),12,31)-DATE(YEAR(A2732),1,1)+1)</f>
        <v/>
      </c>
      <c r="D2732">
        <f>IF(A2732="","",Ввод!$B$4-SUMIF(Оплаты!$A$6:$A$505,"&lt;"&amp;A2732,Оплаты!$B$6:$B$505))</f>
        <v/>
      </c>
      <c r="E2732">
        <f>IF(A2732="","",IF(SUMPRODUCT((Ввод!$F$12:$F$31&lt;&gt;"")*(Ввод!$F$12:$F$31&lt;=A2732)*(Ввод!$G$12:$G$31&gt;=A2732))&gt;0,1,0))</f>
        <v/>
      </c>
      <c r="F2732">
        <f>IF(OR(A2732="",B2732=""),"",IF(E2732=1,0,D2732*B2732/100/C2732))</f>
        <v/>
      </c>
      <c r="G2732">
        <f>IF(A2732="","",IF(OR(B2732&lt;&gt;B2731,C2732&lt;&gt;C2731,D2732&lt;&gt;D2731,E2732&lt;&gt;E2731),G2731+1,G2731))</f>
        <v/>
      </c>
    </row>
    <row r="2733">
      <c r="A2733" s="14">
        <f>IF(OR(NOT(ISNUMBER(Ввод!$B$5)),NOT(ISNUMBER(Ввод!$B$6))),"",IF(Ввод!$B$5+2731&gt;Ввод!$B$6,"",Ввод!$B$5+2731))</f>
        <v/>
      </c>
      <c r="B2733">
        <f>IF(A2733="","",IFERROR(INDEX(Ввод!$B$12:$B$71,MATCH(A2733,Ввод!$D$12:$D$71,1)),""))</f>
        <v/>
      </c>
      <c r="C2733">
        <f>IF(A2733="","",DATE(YEAR(A2733),12,31)-DATE(YEAR(A2733),1,1)+1)</f>
        <v/>
      </c>
      <c r="D2733">
        <f>IF(A2733="","",Ввод!$B$4-SUMIF(Оплаты!$A$6:$A$505,"&lt;"&amp;A2733,Оплаты!$B$6:$B$505))</f>
        <v/>
      </c>
      <c r="E2733">
        <f>IF(A2733="","",IF(SUMPRODUCT((Ввод!$F$12:$F$31&lt;&gt;"")*(Ввод!$F$12:$F$31&lt;=A2733)*(Ввод!$G$12:$G$31&gt;=A2733))&gt;0,1,0))</f>
        <v/>
      </c>
      <c r="F2733">
        <f>IF(OR(A2733="",B2733=""),"",IF(E2733=1,0,D2733*B2733/100/C2733))</f>
        <v/>
      </c>
      <c r="G2733">
        <f>IF(A2733="","",IF(OR(B2733&lt;&gt;B2732,C2733&lt;&gt;C2732,D2733&lt;&gt;D2732,E2733&lt;&gt;E2732),G2732+1,G2732))</f>
        <v/>
      </c>
    </row>
    <row r="2734">
      <c r="A2734" s="14">
        <f>IF(OR(NOT(ISNUMBER(Ввод!$B$5)),NOT(ISNUMBER(Ввод!$B$6))),"",IF(Ввод!$B$5+2732&gt;Ввод!$B$6,"",Ввод!$B$5+2732))</f>
        <v/>
      </c>
      <c r="B2734">
        <f>IF(A2734="","",IFERROR(INDEX(Ввод!$B$12:$B$71,MATCH(A2734,Ввод!$D$12:$D$71,1)),""))</f>
        <v/>
      </c>
      <c r="C2734">
        <f>IF(A2734="","",DATE(YEAR(A2734),12,31)-DATE(YEAR(A2734),1,1)+1)</f>
        <v/>
      </c>
      <c r="D2734">
        <f>IF(A2734="","",Ввод!$B$4-SUMIF(Оплаты!$A$6:$A$505,"&lt;"&amp;A2734,Оплаты!$B$6:$B$505))</f>
        <v/>
      </c>
      <c r="E2734">
        <f>IF(A2734="","",IF(SUMPRODUCT((Ввод!$F$12:$F$31&lt;&gt;"")*(Ввод!$F$12:$F$31&lt;=A2734)*(Ввод!$G$12:$G$31&gt;=A2734))&gt;0,1,0))</f>
        <v/>
      </c>
      <c r="F2734">
        <f>IF(OR(A2734="",B2734=""),"",IF(E2734=1,0,D2734*B2734/100/C2734))</f>
        <v/>
      </c>
      <c r="G2734">
        <f>IF(A2734="","",IF(OR(B2734&lt;&gt;B2733,C2734&lt;&gt;C2733,D2734&lt;&gt;D2733,E2734&lt;&gt;E2733),G2733+1,G2733))</f>
        <v/>
      </c>
    </row>
    <row r="2735">
      <c r="A2735" s="14">
        <f>IF(OR(NOT(ISNUMBER(Ввод!$B$5)),NOT(ISNUMBER(Ввод!$B$6))),"",IF(Ввод!$B$5+2733&gt;Ввод!$B$6,"",Ввод!$B$5+2733))</f>
        <v/>
      </c>
      <c r="B2735">
        <f>IF(A2735="","",IFERROR(INDEX(Ввод!$B$12:$B$71,MATCH(A2735,Ввод!$D$12:$D$71,1)),""))</f>
        <v/>
      </c>
      <c r="C2735">
        <f>IF(A2735="","",DATE(YEAR(A2735),12,31)-DATE(YEAR(A2735),1,1)+1)</f>
        <v/>
      </c>
      <c r="D2735">
        <f>IF(A2735="","",Ввод!$B$4-SUMIF(Оплаты!$A$6:$A$505,"&lt;"&amp;A2735,Оплаты!$B$6:$B$505))</f>
        <v/>
      </c>
      <c r="E2735">
        <f>IF(A2735="","",IF(SUMPRODUCT((Ввод!$F$12:$F$31&lt;&gt;"")*(Ввод!$F$12:$F$31&lt;=A2735)*(Ввод!$G$12:$G$31&gt;=A2735))&gt;0,1,0))</f>
        <v/>
      </c>
      <c r="F2735">
        <f>IF(OR(A2735="",B2735=""),"",IF(E2735=1,0,D2735*B2735/100/C2735))</f>
        <v/>
      </c>
      <c r="G2735">
        <f>IF(A2735="","",IF(OR(B2735&lt;&gt;B2734,C2735&lt;&gt;C2734,D2735&lt;&gt;D2734,E2735&lt;&gt;E2734),G2734+1,G2734))</f>
        <v/>
      </c>
    </row>
    <row r="2736">
      <c r="A2736" s="14">
        <f>IF(OR(NOT(ISNUMBER(Ввод!$B$5)),NOT(ISNUMBER(Ввод!$B$6))),"",IF(Ввод!$B$5+2734&gt;Ввод!$B$6,"",Ввод!$B$5+2734))</f>
        <v/>
      </c>
      <c r="B2736">
        <f>IF(A2736="","",IFERROR(INDEX(Ввод!$B$12:$B$71,MATCH(A2736,Ввод!$D$12:$D$71,1)),""))</f>
        <v/>
      </c>
      <c r="C2736">
        <f>IF(A2736="","",DATE(YEAR(A2736),12,31)-DATE(YEAR(A2736),1,1)+1)</f>
        <v/>
      </c>
      <c r="D2736">
        <f>IF(A2736="","",Ввод!$B$4-SUMIF(Оплаты!$A$6:$A$505,"&lt;"&amp;A2736,Оплаты!$B$6:$B$505))</f>
        <v/>
      </c>
      <c r="E2736">
        <f>IF(A2736="","",IF(SUMPRODUCT((Ввод!$F$12:$F$31&lt;&gt;"")*(Ввод!$F$12:$F$31&lt;=A2736)*(Ввод!$G$12:$G$31&gt;=A2736))&gt;0,1,0))</f>
        <v/>
      </c>
      <c r="F2736">
        <f>IF(OR(A2736="",B2736=""),"",IF(E2736=1,0,D2736*B2736/100/C2736))</f>
        <v/>
      </c>
      <c r="G2736">
        <f>IF(A2736="","",IF(OR(B2736&lt;&gt;B2735,C2736&lt;&gt;C2735,D2736&lt;&gt;D2735,E2736&lt;&gt;E2735),G2735+1,G2735))</f>
        <v/>
      </c>
    </row>
    <row r="2737">
      <c r="A2737" s="14">
        <f>IF(OR(NOT(ISNUMBER(Ввод!$B$5)),NOT(ISNUMBER(Ввод!$B$6))),"",IF(Ввод!$B$5+2735&gt;Ввод!$B$6,"",Ввод!$B$5+2735))</f>
        <v/>
      </c>
      <c r="B2737">
        <f>IF(A2737="","",IFERROR(INDEX(Ввод!$B$12:$B$71,MATCH(A2737,Ввод!$D$12:$D$71,1)),""))</f>
        <v/>
      </c>
      <c r="C2737">
        <f>IF(A2737="","",DATE(YEAR(A2737),12,31)-DATE(YEAR(A2737),1,1)+1)</f>
        <v/>
      </c>
      <c r="D2737">
        <f>IF(A2737="","",Ввод!$B$4-SUMIF(Оплаты!$A$6:$A$505,"&lt;"&amp;A2737,Оплаты!$B$6:$B$505))</f>
        <v/>
      </c>
      <c r="E2737">
        <f>IF(A2737="","",IF(SUMPRODUCT((Ввод!$F$12:$F$31&lt;&gt;"")*(Ввод!$F$12:$F$31&lt;=A2737)*(Ввод!$G$12:$G$31&gt;=A2737))&gt;0,1,0))</f>
        <v/>
      </c>
      <c r="F2737">
        <f>IF(OR(A2737="",B2737=""),"",IF(E2737=1,0,D2737*B2737/100/C2737))</f>
        <v/>
      </c>
      <c r="G2737">
        <f>IF(A2737="","",IF(OR(B2737&lt;&gt;B2736,C2737&lt;&gt;C2736,D2737&lt;&gt;D2736,E2737&lt;&gt;E2736),G2736+1,G2736))</f>
        <v/>
      </c>
    </row>
    <row r="2738">
      <c r="A2738" s="14">
        <f>IF(OR(NOT(ISNUMBER(Ввод!$B$5)),NOT(ISNUMBER(Ввод!$B$6))),"",IF(Ввод!$B$5+2736&gt;Ввод!$B$6,"",Ввод!$B$5+2736))</f>
        <v/>
      </c>
      <c r="B2738">
        <f>IF(A2738="","",IFERROR(INDEX(Ввод!$B$12:$B$71,MATCH(A2738,Ввод!$D$12:$D$71,1)),""))</f>
        <v/>
      </c>
      <c r="C2738">
        <f>IF(A2738="","",DATE(YEAR(A2738),12,31)-DATE(YEAR(A2738),1,1)+1)</f>
        <v/>
      </c>
      <c r="D2738">
        <f>IF(A2738="","",Ввод!$B$4-SUMIF(Оплаты!$A$6:$A$505,"&lt;"&amp;A2738,Оплаты!$B$6:$B$505))</f>
        <v/>
      </c>
      <c r="E2738">
        <f>IF(A2738="","",IF(SUMPRODUCT((Ввод!$F$12:$F$31&lt;&gt;"")*(Ввод!$F$12:$F$31&lt;=A2738)*(Ввод!$G$12:$G$31&gt;=A2738))&gt;0,1,0))</f>
        <v/>
      </c>
      <c r="F2738">
        <f>IF(OR(A2738="",B2738=""),"",IF(E2738=1,0,D2738*B2738/100/C2738))</f>
        <v/>
      </c>
      <c r="G2738">
        <f>IF(A2738="","",IF(OR(B2738&lt;&gt;B2737,C2738&lt;&gt;C2737,D2738&lt;&gt;D2737,E2738&lt;&gt;E2737),G2737+1,G2737))</f>
        <v/>
      </c>
    </row>
    <row r="2739">
      <c r="A2739" s="14">
        <f>IF(OR(NOT(ISNUMBER(Ввод!$B$5)),NOT(ISNUMBER(Ввод!$B$6))),"",IF(Ввод!$B$5+2737&gt;Ввод!$B$6,"",Ввод!$B$5+2737))</f>
        <v/>
      </c>
      <c r="B2739">
        <f>IF(A2739="","",IFERROR(INDEX(Ввод!$B$12:$B$71,MATCH(A2739,Ввод!$D$12:$D$71,1)),""))</f>
        <v/>
      </c>
      <c r="C2739">
        <f>IF(A2739="","",DATE(YEAR(A2739),12,31)-DATE(YEAR(A2739),1,1)+1)</f>
        <v/>
      </c>
      <c r="D2739">
        <f>IF(A2739="","",Ввод!$B$4-SUMIF(Оплаты!$A$6:$A$505,"&lt;"&amp;A2739,Оплаты!$B$6:$B$505))</f>
        <v/>
      </c>
      <c r="E2739">
        <f>IF(A2739="","",IF(SUMPRODUCT((Ввод!$F$12:$F$31&lt;&gt;"")*(Ввод!$F$12:$F$31&lt;=A2739)*(Ввод!$G$12:$G$31&gt;=A2739))&gt;0,1,0))</f>
        <v/>
      </c>
      <c r="F2739">
        <f>IF(OR(A2739="",B2739=""),"",IF(E2739=1,0,D2739*B2739/100/C2739))</f>
        <v/>
      </c>
      <c r="G2739">
        <f>IF(A2739="","",IF(OR(B2739&lt;&gt;B2738,C2739&lt;&gt;C2738,D2739&lt;&gt;D2738,E2739&lt;&gt;E2738),G2738+1,G2738))</f>
        <v/>
      </c>
    </row>
    <row r="2740">
      <c r="A2740" s="14">
        <f>IF(OR(NOT(ISNUMBER(Ввод!$B$5)),NOT(ISNUMBER(Ввод!$B$6))),"",IF(Ввод!$B$5+2738&gt;Ввод!$B$6,"",Ввод!$B$5+2738))</f>
        <v/>
      </c>
      <c r="B2740">
        <f>IF(A2740="","",IFERROR(INDEX(Ввод!$B$12:$B$71,MATCH(A2740,Ввод!$D$12:$D$71,1)),""))</f>
        <v/>
      </c>
      <c r="C2740">
        <f>IF(A2740="","",DATE(YEAR(A2740),12,31)-DATE(YEAR(A2740),1,1)+1)</f>
        <v/>
      </c>
      <c r="D2740">
        <f>IF(A2740="","",Ввод!$B$4-SUMIF(Оплаты!$A$6:$A$505,"&lt;"&amp;A2740,Оплаты!$B$6:$B$505))</f>
        <v/>
      </c>
      <c r="E2740">
        <f>IF(A2740="","",IF(SUMPRODUCT((Ввод!$F$12:$F$31&lt;&gt;"")*(Ввод!$F$12:$F$31&lt;=A2740)*(Ввод!$G$12:$G$31&gt;=A2740))&gt;0,1,0))</f>
        <v/>
      </c>
      <c r="F2740">
        <f>IF(OR(A2740="",B2740=""),"",IF(E2740=1,0,D2740*B2740/100/C2740))</f>
        <v/>
      </c>
      <c r="G2740">
        <f>IF(A2740="","",IF(OR(B2740&lt;&gt;B2739,C2740&lt;&gt;C2739,D2740&lt;&gt;D2739,E2740&lt;&gt;E2739),G2739+1,G2739))</f>
        <v/>
      </c>
    </row>
    <row r="2741">
      <c r="A2741" s="14">
        <f>IF(OR(NOT(ISNUMBER(Ввод!$B$5)),NOT(ISNUMBER(Ввод!$B$6))),"",IF(Ввод!$B$5+2739&gt;Ввод!$B$6,"",Ввод!$B$5+2739))</f>
        <v/>
      </c>
      <c r="B2741">
        <f>IF(A2741="","",IFERROR(INDEX(Ввод!$B$12:$B$71,MATCH(A2741,Ввод!$D$12:$D$71,1)),""))</f>
        <v/>
      </c>
      <c r="C2741">
        <f>IF(A2741="","",DATE(YEAR(A2741),12,31)-DATE(YEAR(A2741),1,1)+1)</f>
        <v/>
      </c>
      <c r="D2741">
        <f>IF(A2741="","",Ввод!$B$4-SUMIF(Оплаты!$A$6:$A$505,"&lt;"&amp;A2741,Оплаты!$B$6:$B$505))</f>
        <v/>
      </c>
      <c r="E2741">
        <f>IF(A2741="","",IF(SUMPRODUCT((Ввод!$F$12:$F$31&lt;&gt;"")*(Ввод!$F$12:$F$31&lt;=A2741)*(Ввод!$G$12:$G$31&gt;=A2741))&gt;0,1,0))</f>
        <v/>
      </c>
      <c r="F2741">
        <f>IF(OR(A2741="",B2741=""),"",IF(E2741=1,0,D2741*B2741/100/C2741))</f>
        <v/>
      </c>
      <c r="G2741">
        <f>IF(A2741="","",IF(OR(B2741&lt;&gt;B2740,C2741&lt;&gt;C2740,D2741&lt;&gt;D2740,E2741&lt;&gt;E2740),G2740+1,G2740))</f>
        <v/>
      </c>
    </row>
    <row r="2742">
      <c r="A2742" s="14">
        <f>IF(OR(NOT(ISNUMBER(Ввод!$B$5)),NOT(ISNUMBER(Ввод!$B$6))),"",IF(Ввод!$B$5+2740&gt;Ввод!$B$6,"",Ввод!$B$5+2740))</f>
        <v/>
      </c>
      <c r="B2742">
        <f>IF(A2742="","",IFERROR(INDEX(Ввод!$B$12:$B$71,MATCH(A2742,Ввод!$D$12:$D$71,1)),""))</f>
        <v/>
      </c>
      <c r="C2742">
        <f>IF(A2742="","",DATE(YEAR(A2742),12,31)-DATE(YEAR(A2742),1,1)+1)</f>
        <v/>
      </c>
      <c r="D2742">
        <f>IF(A2742="","",Ввод!$B$4-SUMIF(Оплаты!$A$6:$A$505,"&lt;"&amp;A2742,Оплаты!$B$6:$B$505))</f>
        <v/>
      </c>
      <c r="E2742">
        <f>IF(A2742="","",IF(SUMPRODUCT((Ввод!$F$12:$F$31&lt;&gt;"")*(Ввод!$F$12:$F$31&lt;=A2742)*(Ввод!$G$12:$G$31&gt;=A2742))&gt;0,1,0))</f>
        <v/>
      </c>
      <c r="F2742">
        <f>IF(OR(A2742="",B2742=""),"",IF(E2742=1,0,D2742*B2742/100/C2742))</f>
        <v/>
      </c>
      <c r="G2742">
        <f>IF(A2742="","",IF(OR(B2742&lt;&gt;B2741,C2742&lt;&gt;C2741,D2742&lt;&gt;D2741,E2742&lt;&gt;E2741),G2741+1,G2741))</f>
        <v/>
      </c>
    </row>
    <row r="2743">
      <c r="A2743" s="14">
        <f>IF(OR(NOT(ISNUMBER(Ввод!$B$5)),NOT(ISNUMBER(Ввод!$B$6))),"",IF(Ввод!$B$5+2741&gt;Ввод!$B$6,"",Ввод!$B$5+2741))</f>
        <v/>
      </c>
      <c r="B2743">
        <f>IF(A2743="","",IFERROR(INDEX(Ввод!$B$12:$B$71,MATCH(A2743,Ввод!$D$12:$D$71,1)),""))</f>
        <v/>
      </c>
      <c r="C2743">
        <f>IF(A2743="","",DATE(YEAR(A2743),12,31)-DATE(YEAR(A2743),1,1)+1)</f>
        <v/>
      </c>
      <c r="D2743">
        <f>IF(A2743="","",Ввод!$B$4-SUMIF(Оплаты!$A$6:$A$505,"&lt;"&amp;A2743,Оплаты!$B$6:$B$505))</f>
        <v/>
      </c>
      <c r="E2743">
        <f>IF(A2743="","",IF(SUMPRODUCT((Ввод!$F$12:$F$31&lt;&gt;"")*(Ввод!$F$12:$F$31&lt;=A2743)*(Ввод!$G$12:$G$31&gt;=A2743))&gt;0,1,0))</f>
        <v/>
      </c>
      <c r="F2743">
        <f>IF(OR(A2743="",B2743=""),"",IF(E2743=1,0,D2743*B2743/100/C2743))</f>
        <v/>
      </c>
      <c r="G2743">
        <f>IF(A2743="","",IF(OR(B2743&lt;&gt;B2742,C2743&lt;&gt;C2742,D2743&lt;&gt;D2742,E2743&lt;&gt;E2742),G2742+1,G2742))</f>
        <v/>
      </c>
    </row>
    <row r="2744">
      <c r="A2744" s="14">
        <f>IF(OR(NOT(ISNUMBER(Ввод!$B$5)),NOT(ISNUMBER(Ввод!$B$6))),"",IF(Ввод!$B$5+2742&gt;Ввод!$B$6,"",Ввод!$B$5+2742))</f>
        <v/>
      </c>
      <c r="B2744">
        <f>IF(A2744="","",IFERROR(INDEX(Ввод!$B$12:$B$71,MATCH(A2744,Ввод!$D$12:$D$71,1)),""))</f>
        <v/>
      </c>
      <c r="C2744">
        <f>IF(A2744="","",DATE(YEAR(A2744),12,31)-DATE(YEAR(A2744),1,1)+1)</f>
        <v/>
      </c>
      <c r="D2744">
        <f>IF(A2744="","",Ввод!$B$4-SUMIF(Оплаты!$A$6:$A$505,"&lt;"&amp;A2744,Оплаты!$B$6:$B$505))</f>
        <v/>
      </c>
      <c r="E2744">
        <f>IF(A2744="","",IF(SUMPRODUCT((Ввод!$F$12:$F$31&lt;&gt;"")*(Ввод!$F$12:$F$31&lt;=A2744)*(Ввод!$G$12:$G$31&gt;=A2744))&gt;0,1,0))</f>
        <v/>
      </c>
      <c r="F2744">
        <f>IF(OR(A2744="",B2744=""),"",IF(E2744=1,0,D2744*B2744/100/C2744))</f>
        <v/>
      </c>
      <c r="G2744">
        <f>IF(A2744="","",IF(OR(B2744&lt;&gt;B2743,C2744&lt;&gt;C2743,D2744&lt;&gt;D2743,E2744&lt;&gt;E2743),G2743+1,G2743))</f>
        <v/>
      </c>
    </row>
    <row r="2745">
      <c r="A2745" s="14">
        <f>IF(OR(NOT(ISNUMBER(Ввод!$B$5)),NOT(ISNUMBER(Ввод!$B$6))),"",IF(Ввод!$B$5+2743&gt;Ввод!$B$6,"",Ввод!$B$5+2743))</f>
        <v/>
      </c>
      <c r="B2745">
        <f>IF(A2745="","",IFERROR(INDEX(Ввод!$B$12:$B$71,MATCH(A2745,Ввод!$D$12:$D$71,1)),""))</f>
        <v/>
      </c>
      <c r="C2745">
        <f>IF(A2745="","",DATE(YEAR(A2745),12,31)-DATE(YEAR(A2745),1,1)+1)</f>
        <v/>
      </c>
      <c r="D2745">
        <f>IF(A2745="","",Ввод!$B$4-SUMIF(Оплаты!$A$6:$A$505,"&lt;"&amp;A2745,Оплаты!$B$6:$B$505))</f>
        <v/>
      </c>
      <c r="E2745">
        <f>IF(A2745="","",IF(SUMPRODUCT((Ввод!$F$12:$F$31&lt;&gt;"")*(Ввод!$F$12:$F$31&lt;=A2745)*(Ввод!$G$12:$G$31&gt;=A2745))&gt;0,1,0))</f>
        <v/>
      </c>
      <c r="F2745">
        <f>IF(OR(A2745="",B2745=""),"",IF(E2745=1,0,D2745*B2745/100/C2745))</f>
        <v/>
      </c>
      <c r="G2745">
        <f>IF(A2745="","",IF(OR(B2745&lt;&gt;B2744,C2745&lt;&gt;C2744,D2745&lt;&gt;D2744,E2745&lt;&gt;E2744),G2744+1,G2744))</f>
        <v/>
      </c>
    </row>
    <row r="2746">
      <c r="A2746" s="14">
        <f>IF(OR(NOT(ISNUMBER(Ввод!$B$5)),NOT(ISNUMBER(Ввод!$B$6))),"",IF(Ввод!$B$5+2744&gt;Ввод!$B$6,"",Ввод!$B$5+2744))</f>
        <v/>
      </c>
      <c r="B2746">
        <f>IF(A2746="","",IFERROR(INDEX(Ввод!$B$12:$B$71,MATCH(A2746,Ввод!$D$12:$D$71,1)),""))</f>
        <v/>
      </c>
      <c r="C2746">
        <f>IF(A2746="","",DATE(YEAR(A2746),12,31)-DATE(YEAR(A2746),1,1)+1)</f>
        <v/>
      </c>
      <c r="D2746">
        <f>IF(A2746="","",Ввод!$B$4-SUMIF(Оплаты!$A$6:$A$505,"&lt;"&amp;A2746,Оплаты!$B$6:$B$505))</f>
        <v/>
      </c>
      <c r="E2746">
        <f>IF(A2746="","",IF(SUMPRODUCT((Ввод!$F$12:$F$31&lt;&gt;"")*(Ввод!$F$12:$F$31&lt;=A2746)*(Ввод!$G$12:$G$31&gt;=A2746))&gt;0,1,0))</f>
        <v/>
      </c>
      <c r="F2746">
        <f>IF(OR(A2746="",B2746=""),"",IF(E2746=1,0,D2746*B2746/100/C2746))</f>
        <v/>
      </c>
      <c r="G2746">
        <f>IF(A2746="","",IF(OR(B2746&lt;&gt;B2745,C2746&lt;&gt;C2745,D2746&lt;&gt;D2745,E2746&lt;&gt;E2745),G2745+1,G2745))</f>
        <v/>
      </c>
    </row>
    <row r="2747">
      <c r="A2747" s="14">
        <f>IF(OR(NOT(ISNUMBER(Ввод!$B$5)),NOT(ISNUMBER(Ввод!$B$6))),"",IF(Ввод!$B$5+2745&gt;Ввод!$B$6,"",Ввод!$B$5+2745))</f>
        <v/>
      </c>
      <c r="B2747">
        <f>IF(A2747="","",IFERROR(INDEX(Ввод!$B$12:$B$71,MATCH(A2747,Ввод!$D$12:$D$71,1)),""))</f>
        <v/>
      </c>
      <c r="C2747">
        <f>IF(A2747="","",DATE(YEAR(A2747),12,31)-DATE(YEAR(A2747),1,1)+1)</f>
        <v/>
      </c>
      <c r="D2747">
        <f>IF(A2747="","",Ввод!$B$4-SUMIF(Оплаты!$A$6:$A$505,"&lt;"&amp;A2747,Оплаты!$B$6:$B$505))</f>
        <v/>
      </c>
      <c r="E2747">
        <f>IF(A2747="","",IF(SUMPRODUCT((Ввод!$F$12:$F$31&lt;&gt;"")*(Ввод!$F$12:$F$31&lt;=A2747)*(Ввод!$G$12:$G$31&gt;=A2747))&gt;0,1,0))</f>
        <v/>
      </c>
      <c r="F2747">
        <f>IF(OR(A2747="",B2747=""),"",IF(E2747=1,0,D2747*B2747/100/C2747))</f>
        <v/>
      </c>
      <c r="G2747">
        <f>IF(A2747="","",IF(OR(B2747&lt;&gt;B2746,C2747&lt;&gt;C2746,D2747&lt;&gt;D2746,E2747&lt;&gt;E2746),G2746+1,G2746))</f>
        <v/>
      </c>
    </row>
    <row r="2748">
      <c r="A2748" s="14">
        <f>IF(OR(NOT(ISNUMBER(Ввод!$B$5)),NOT(ISNUMBER(Ввод!$B$6))),"",IF(Ввод!$B$5+2746&gt;Ввод!$B$6,"",Ввод!$B$5+2746))</f>
        <v/>
      </c>
      <c r="B2748">
        <f>IF(A2748="","",IFERROR(INDEX(Ввод!$B$12:$B$71,MATCH(A2748,Ввод!$D$12:$D$71,1)),""))</f>
        <v/>
      </c>
      <c r="C2748">
        <f>IF(A2748="","",DATE(YEAR(A2748),12,31)-DATE(YEAR(A2748),1,1)+1)</f>
        <v/>
      </c>
      <c r="D2748">
        <f>IF(A2748="","",Ввод!$B$4-SUMIF(Оплаты!$A$6:$A$505,"&lt;"&amp;A2748,Оплаты!$B$6:$B$505))</f>
        <v/>
      </c>
      <c r="E2748">
        <f>IF(A2748="","",IF(SUMPRODUCT((Ввод!$F$12:$F$31&lt;&gt;"")*(Ввод!$F$12:$F$31&lt;=A2748)*(Ввод!$G$12:$G$31&gt;=A2748))&gt;0,1,0))</f>
        <v/>
      </c>
      <c r="F2748">
        <f>IF(OR(A2748="",B2748=""),"",IF(E2748=1,0,D2748*B2748/100/C2748))</f>
        <v/>
      </c>
      <c r="G2748">
        <f>IF(A2748="","",IF(OR(B2748&lt;&gt;B2747,C2748&lt;&gt;C2747,D2748&lt;&gt;D2747,E2748&lt;&gt;E2747),G2747+1,G2747))</f>
        <v/>
      </c>
    </row>
    <row r="2749">
      <c r="A2749" s="14">
        <f>IF(OR(NOT(ISNUMBER(Ввод!$B$5)),NOT(ISNUMBER(Ввод!$B$6))),"",IF(Ввод!$B$5+2747&gt;Ввод!$B$6,"",Ввод!$B$5+2747))</f>
        <v/>
      </c>
      <c r="B2749">
        <f>IF(A2749="","",IFERROR(INDEX(Ввод!$B$12:$B$71,MATCH(A2749,Ввод!$D$12:$D$71,1)),""))</f>
        <v/>
      </c>
      <c r="C2749">
        <f>IF(A2749="","",DATE(YEAR(A2749),12,31)-DATE(YEAR(A2749),1,1)+1)</f>
        <v/>
      </c>
      <c r="D2749">
        <f>IF(A2749="","",Ввод!$B$4-SUMIF(Оплаты!$A$6:$A$505,"&lt;"&amp;A2749,Оплаты!$B$6:$B$505))</f>
        <v/>
      </c>
      <c r="E2749">
        <f>IF(A2749="","",IF(SUMPRODUCT((Ввод!$F$12:$F$31&lt;&gt;"")*(Ввод!$F$12:$F$31&lt;=A2749)*(Ввод!$G$12:$G$31&gt;=A2749))&gt;0,1,0))</f>
        <v/>
      </c>
      <c r="F2749">
        <f>IF(OR(A2749="",B2749=""),"",IF(E2749=1,0,D2749*B2749/100/C2749))</f>
        <v/>
      </c>
      <c r="G2749">
        <f>IF(A2749="","",IF(OR(B2749&lt;&gt;B2748,C2749&lt;&gt;C2748,D2749&lt;&gt;D2748,E2749&lt;&gt;E2748),G2748+1,G2748))</f>
        <v/>
      </c>
    </row>
    <row r="2750">
      <c r="A2750" s="14">
        <f>IF(OR(NOT(ISNUMBER(Ввод!$B$5)),NOT(ISNUMBER(Ввод!$B$6))),"",IF(Ввод!$B$5+2748&gt;Ввод!$B$6,"",Ввод!$B$5+2748))</f>
        <v/>
      </c>
      <c r="B2750">
        <f>IF(A2750="","",IFERROR(INDEX(Ввод!$B$12:$B$71,MATCH(A2750,Ввод!$D$12:$D$71,1)),""))</f>
        <v/>
      </c>
      <c r="C2750">
        <f>IF(A2750="","",DATE(YEAR(A2750),12,31)-DATE(YEAR(A2750),1,1)+1)</f>
        <v/>
      </c>
      <c r="D2750">
        <f>IF(A2750="","",Ввод!$B$4-SUMIF(Оплаты!$A$6:$A$505,"&lt;"&amp;A2750,Оплаты!$B$6:$B$505))</f>
        <v/>
      </c>
      <c r="E2750">
        <f>IF(A2750="","",IF(SUMPRODUCT((Ввод!$F$12:$F$31&lt;&gt;"")*(Ввод!$F$12:$F$31&lt;=A2750)*(Ввод!$G$12:$G$31&gt;=A2750))&gt;0,1,0))</f>
        <v/>
      </c>
      <c r="F2750">
        <f>IF(OR(A2750="",B2750=""),"",IF(E2750=1,0,D2750*B2750/100/C2750))</f>
        <v/>
      </c>
      <c r="G2750">
        <f>IF(A2750="","",IF(OR(B2750&lt;&gt;B2749,C2750&lt;&gt;C2749,D2750&lt;&gt;D2749,E2750&lt;&gt;E2749),G2749+1,G2749))</f>
        <v/>
      </c>
    </row>
    <row r="2751">
      <c r="A2751" s="14">
        <f>IF(OR(NOT(ISNUMBER(Ввод!$B$5)),NOT(ISNUMBER(Ввод!$B$6))),"",IF(Ввод!$B$5+2749&gt;Ввод!$B$6,"",Ввод!$B$5+2749))</f>
        <v/>
      </c>
      <c r="B2751">
        <f>IF(A2751="","",IFERROR(INDEX(Ввод!$B$12:$B$71,MATCH(A2751,Ввод!$D$12:$D$71,1)),""))</f>
        <v/>
      </c>
      <c r="C2751">
        <f>IF(A2751="","",DATE(YEAR(A2751),12,31)-DATE(YEAR(A2751),1,1)+1)</f>
        <v/>
      </c>
      <c r="D2751">
        <f>IF(A2751="","",Ввод!$B$4-SUMIF(Оплаты!$A$6:$A$505,"&lt;"&amp;A2751,Оплаты!$B$6:$B$505))</f>
        <v/>
      </c>
      <c r="E2751">
        <f>IF(A2751="","",IF(SUMPRODUCT((Ввод!$F$12:$F$31&lt;&gt;"")*(Ввод!$F$12:$F$31&lt;=A2751)*(Ввод!$G$12:$G$31&gt;=A2751))&gt;0,1,0))</f>
        <v/>
      </c>
      <c r="F2751">
        <f>IF(OR(A2751="",B2751=""),"",IF(E2751=1,0,D2751*B2751/100/C2751))</f>
        <v/>
      </c>
      <c r="G2751">
        <f>IF(A2751="","",IF(OR(B2751&lt;&gt;B2750,C2751&lt;&gt;C2750,D2751&lt;&gt;D2750,E2751&lt;&gt;E2750),G2750+1,G2750))</f>
        <v/>
      </c>
    </row>
    <row r="2752">
      <c r="A2752" s="14">
        <f>IF(OR(NOT(ISNUMBER(Ввод!$B$5)),NOT(ISNUMBER(Ввод!$B$6))),"",IF(Ввод!$B$5+2750&gt;Ввод!$B$6,"",Ввод!$B$5+2750))</f>
        <v/>
      </c>
      <c r="B2752">
        <f>IF(A2752="","",IFERROR(INDEX(Ввод!$B$12:$B$71,MATCH(A2752,Ввод!$D$12:$D$71,1)),""))</f>
        <v/>
      </c>
      <c r="C2752">
        <f>IF(A2752="","",DATE(YEAR(A2752),12,31)-DATE(YEAR(A2752),1,1)+1)</f>
        <v/>
      </c>
      <c r="D2752">
        <f>IF(A2752="","",Ввод!$B$4-SUMIF(Оплаты!$A$6:$A$505,"&lt;"&amp;A2752,Оплаты!$B$6:$B$505))</f>
        <v/>
      </c>
      <c r="E2752">
        <f>IF(A2752="","",IF(SUMPRODUCT((Ввод!$F$12:$F$31&lt;&gt;"")*(Ввод!$F$12:$F$31&lt;=A2752)*(Ввод!$G$12:$G$31&gt;=A2752))&gt;0,1,0))</f>
        <v/>
      </c>
      <c r="F2752">
        <f>IF(OR(A2752="",B2752=""),"",IF(E2752=1,0,D2752*B2752/100/C2752))</f>
        <v/>
      </c>
      <c r="G2752">
        <f>IF(A2752="","",IF(OR(B2752&lt;&gt;B2751,C2752&lt;&gt;C2751,D2752&lt;&gt;D2751,E2752&lt;&gt;E2751),G2751+1,G2751))</f>
        <v/>
      </c>
    </row>
    <row r="2753">
      <c r="A2753" s="14">
        <f>IF(OR(NOT(ISNUMBER(Ввод!$B$5)),NOT(ISNUMBER(Ввод!$B$6))),"",IF(Ввод!$B$5+2751&gt;Ввод!$B$6,"",Ввод!$B$5+2751))</f>
        <v/>
      </c>
      <c r="B2753">
        <f>IF(A2753="","",IFERROR(INDEX(Ввод!$B$12:$B$71,MATCH(A2753,Ввод!$D$12:$D$71,1)),""))</f>
        <v/>
      </c>
      <c r="C2753">
        <f>IF(A2753="","",DATE(YEAR(A2753),12,31)-DATE(YEAR(A2753),1,1)+1)</f>
        <v/>
      </c>
      <c r="D2753">
        <f>IF(A2753="","",Ввод!$B$4-SUMIF(Оплаты!$A$6:$A$505,"&lt;"&amp;A2753,Оплаты!$B$6:$B$505))</f>
        <v/>
      </c>
      <c r="E2753">
        <f>IF(A2753="","",IF(SUMPRODUCT((Ввод!$F$12:$F$31&lt;&gt;"")*(Ввод!$F$12:$F$31&lt;=A2753)*(Ввод!$G$12:$G$31&gt;=A2753))&gt;0,1,0))</f>
        <v/>
      </c>
      <c r="F2753">
        <f>IF(OR(A2753="",B2753=""),"",IF(E2753=1,0,D2753*B2753/100/C2753))</f>
        <v/>
      </c>
      <c r="G2753">
        <f>IF(A2753="","",IF(OR(B2753&lt;&gt;B2752,C2753&lt;&gt;C2752,D2753&lt;&gt;D2752,E2753&lt;&gt;E2752),G2752+1,G2752))</f>
        <v/>
      </c>
    </row>
    <row r="2754">
      <c r="A2754" s="14">
        <f>IF(OR(NOT(ISNUMBER(Ввод!$B$5)),NOT(ISNUMBER(Ввод!$B$6))),"",IF(Ввод!$B$5+2752&gt;Ввод!$B$6,"",Ввод!$B$5+2752))</f>
        <v/>
      </c>
      <c r="B2754">
        <f>IF(A2754="","",IFERROR(INDEX(Ввод!$B$12:$B$71,MATCH(A2754,Ввод!$D$12:$D$71,1)),""))</f>
        <v/>
      </c>
      <c r="C2754">
        <f>IF(A2754="","",DATE(YEAR(A2754),12,31)-DATE(YEAR(A2754),1,1)+1)</f>
        <v/>
      </c>
      <c r="D2754">
        <f>IF(A2754="","",Ввод!$B$4-SUMIF(Оплаты!$A$6:$A$505,"&lt;"&amp;A2754,Оплаты!$B$6:$B$505))</f>
        <v/>
      </c>
      <c r="E2754">
        <f>IF(A2754="","",IF(SUMPRODUCT((Ввод!$F$12:$F$31&lt;&gt;"")*(Ввод!$F$12:$F$31&lt;=A2754)*(Ввод!$G$12:$G$31&gt;=A2754))&gt;0,1,0))</f>
        <v/>
      </c>
      <c r="F2754">
        <f>IF(OR(A2754="",B2754=""),"",IF(E2754=1,0,D2754*B2754/100/C2754))</f>
        <v/>
      </c>
      <c r="G2754">
        <f>IF(A2754="","",IF(OR(B2754&lt;&gt;B2753,C2754&lt;&gt;C2753,D2754&lt;&gt;D2753,E2754&lt;&gt;E2753),G2753+1,G2753))</f>
        <v/>
      </c>
    </row>
    <row r="2755">
      <c r="A2755" s="14">
        <f>IF(OR(NOT(ISNUMBER(Ввод!$B$5)),NOT(ISNUMBER(Ввод!$B$6))),"",IF(Ввод!$B$5+2753&gt;Ввод!$B$6,"",Ввод!$B$5+2753))</f>
        <v/>
      </c>
      <c r="B2755">
        <f>IF(A2755="","",IFERROR(INDEX(Ввод!$B$12:$B$71,MATCH(A2755,Ввод!$D$12:$D$71,1)),""))</f>
        <v/>
      </c>
      <c r="C2755">
        <f>IF(A2755="","",DATE(YEAR(A2755),12,31)-DATE(YEAR(A2755),1,1)+1)</f>
        <v/>
      </c>
      <c r="D2755">
        <f>IF(A2755="","",Ввод!$B$4-SUMIF(Оплаты!$A$6:$A$505,"&lt;"&amp;A2755,Оплаты!$B$6:$B$505))</f>
        <v/>
      </c>
      <c r="E2755">
        <f>IF(A2755="","",IF(SUMPRODUCT((Ввод!$F$12:$F$31&lt;&gt;"")*(Ввод!$F$12:$F$31&lt;=A2755)*(Ввод!$G$12:$G$31&gt;=A2755))&gt;0,1,0))</f>
        <v/>
      </c>
      <c r="F2755">
        <f>IF(OR(A2755="",B2755=""),"",IF(E2755=1,0,D2755*B2755/100/C2755))</f>
        <v/>
      </c>
      <c r="G2755">
        <f>IF(A2755="","",IF(OR(B2755&lt;&gt;B2754,C2755&lt;&gt;C2754,D2755&lt;&gt;D2754,E2755&lt;&gt;E2754),G2754+1,G2754))</f>
        <v/>
      </c>
    </row>
    <row r="2756">
      <c r="A2756" s="14">
        <f>IF(OR(NOT(ISNUMBER(Ввод!$B$5)),NOT(ISNUMBER(Ввод!$B$6))),"",IF(Ввод!$B$5+2754&gt;Ввод!$B$6,"",Ввод!$B$5+2754))</f>
        <v/>
      </c>
      <c r="B2756">
        <f>IF(A2756="","",IFERROR(INDEX(Ввод!$B$12:$B$71,MATCH(A2756,Ввод!$D$12:$D$71,1)),""))</f>
        <v/>
      </c>
      <c r="C2756">
        <f>IF(A2756="","",DATE(YEAR(A2756),12,31)-DATE(YEAR(A2756),1,1)+1)</f>
        <v/>
      </c>
      <c r="D2756">
        <f>IF(A2756="","",Ввод!$B$4-SUMIF(Оплаты!$A$6:$A$505,"&lt;"&amp;A2756,Оплаты!$B$6:$B$505))</f>
        <v/>
      </c>
      <c r="E2756">
        <f>IF(A2756="","",IF(SUMPRODUCT((Ввод!$F$12:$F$31&lt;&gt;"")*(Ввод!$F$12:$F$31&lt;=A2756)*(Ввод!$G$12:$G$31&gt;=A2756))&gt;0,1,0))</f>
        <v/>
      </c>
      <c r="F2756">
        <f>IF(OR(A2756="",B2756=""),"",IF(E2756=1,0,D2756*B2756/100/C2756))</f>
        <v/>
      </c>
      <c r="G2756">
        <f>IF(A2756="","",IF(OR(B2756&lt;&gt;B2755,C2756&lt;&gt;C2755,D2756&lt;&gt;D2755,E2756&lt;&gt;E2755),G2755+1,G2755))</f>
        <v/>
      </c>
    </row>
    <row r="2757">
      <c r="A2757" s="14">
        <f>IF(OR(NOT(ISNUMBER(Ввод!$B$5)),NOT(ISNUMBER(Ввод!$B$6))),"",IF(Ввод!$B$5+2755&gt;Ввод!$B$6,"",Ввод!$B$5+2755))</f>
        <v/>
      </c>
      <c r="B2757">
        <f>IF(A2757="","",IFERROR(INDEX(Ввод!$B$12:$B$71,MATCH(A2757,Ввод!$D$12:$D$71,1)),""))</f>
        <v/>
      </c>
      <c r="C2757">
        <f>IF(A2757="","",DATE(YEAR(A2757),12,31)-DATE(YEAR(A2757),1,1)+1)</f>
        <v/>
      </c>
      <c r="D2757">
        <f>IF(A2757="","",Ввод!$B$4-SUMIF(Оплаты!$A$6:$A$505,"&lt;"&amp;A2757,Оплаты!$B$6:$B$505))</f>
        <v/>
      </c>
      <c r="E2757">
        <f>IF(A2757="","",IF(SUMPRODUCT((Ввод!$F$12:$F$31&lt;&gt;"")*(Ввод!$F$12:$F$31&lt;=A2757)*(Ввод!$G$12:$G$31&gt;=A2757))&gt;0,1,0))</f>
        <v/>
      </c>
      <c r="F2757">
        <f>IF(OR(A2757="",B2757=""),"",IF(E2757=1,0,D2757*B2757/100/C2757))</f>
        <v/>
      </c>
      <c r="G2757">
        <f>IF(A2757="","",IF(OR(B2757&lt;&gt;B2756,C2757&lt;&gt;C2756,D2757&lt;&gt;D2756,E2757&lt;&gt;E2756),G2756+1,G2756))</f>
        <v/>
      </c>
    </row>
    <row r="2758">
      <c r="A2758" s="14">
        <f>IF(OR(NOT(ISNUMBER(Ввод!$B$5)),NOT(ISNUMBER(Ввод!$B$6))),"",IF(Ввод!$B$5+2756&gt;Ввод!$B$6,"",Ввод!$B$5+2756))</f>
        <v/>
      </c>
      <c r="B2758">
        <f>IF(A2758="","",IFERROR(INDEX(Ввод!$B$12:$B$71,MATCH(A2758,Ввод!$D$12:$D$71,1)),""))</f>
        <v/>
      </c>
      <c r="C2758">
        <f>IF(A2758="","",DATE(YEAR(A2758),12,31)-DATE(YEAR(A2758),1,1)+1)</f>
        <v/>
      </c>
      <c r="D2758">
        <f>IF(A2758="","",Ввод!$B$4-SUMIF(Оплаты!$A$6:$A$505,"&lt;"&amp;A2758,Оплаты!$B$6:$B$505))</f>
        <v/>
      </c>
      <c r="E2758">
        <f>IF(A2758="","",IF(SUMPRODUCT((Ввод!$F$12:$F$31&lt;&gt;"")*(Ввод!$F$12:$F$31&lt;=A2758)*(Ввод!$G$12:$G$31&gt;=A2758))&gt;0,1,0))</f>
        <v/>
      </c>
      <c r="F2758">
        <f>IF(OR(A2758="",B2758=""),"",IF(E2758=1,0,D2758*B2758/100/C2758))</f>
        <v/>
      </c>
      <c r="G2758">
        <f>IF(A2758="","",IF(OR(B2758&lt;&gt;B2757,C2758&lt;&gt;C2757,D2758&lt;&gt;D2757,E2758&lt;&gt;E2757),G2757+1,G2757))</f>
        <v/>
      </c>
    </row>
    <row r="2759">
      <c r="A2759" s="14">
        <f>IF(OR(NOT(ISNUMBER(Ввод!$B$5)),NOT(ISNUMBER(Ввод!$B$6))),"",IF(Ввод!$B$5+2757&gt;Ввод!$B$6,"",Ввод!$B$5+2757))</f>
        <v/>
      </c>
      <c r="B2759">
        <f>IF(A2759="","",IFERROR(INDEX(Ввод!$B$12:$B$71,MATCH(A2759,Ввод!$D$12:$D$71,1)),""))</f>
        <v/>
      </c>
      <c r="C2759">
        <f>IF(A2759="","",DATE(YEAR(A2759),12,31)-DATE(YEAR(A2759),1,1)+1)</f>
        <v/>
      </c>
      <c r="D2759">
        <f>IF(A2759="","",Ввод!$B$4-SUMIF(Оплаты!$A$6:$A$505,"&lt;"&amp;A2759,Оплаты!$B$6:$B$505))</f>
        <v/>
      </c>
      <c r="E2759">
        <f>IF(A2759="","",IF(SUMPRODUCT((Ввод!$F$12:$F$31&lt;&gt;"")*(Ввод!$F$12:$F$31&lt;=A2759)*(Ввод!$G$12:$G$31&gt;=A2759))&gt;0,1,0))</f>
        <v/>
      </c>
      <c r="F2759">
        <f>IF(OR(A2759="",B2759=""),"",IF(E2759=1,0,D2759*B2759/100/C2759))</f>
        <v/>
      </c>
      <c r="G2759">
        <f>IF(A2759="","",IF(OR(B2759&lt;&gt;B2758,C2759&lt;&gt;C2758,D2759&lt;&gt;D2758,E2759&lt;&gt;E2758),G2758+1,G2758))</f>
        <v/>
      </c>
    </row>
    <row r="2760">
      <c r="A2760" s="14">
        <f>IF(OR(NOT(ISNUMBER(Ввод!$B$5)),NOT(ISNUMBER(Ввод!$B$6))),"",IF(Ввод!$B$5+2758&gt;Ввод!$B$6,"",Ввод!$B$5+2758))</f>
        <v/>
      </c>
      <c r="B2760">
        <f>IF(A2760="","",IFERROR(INDEX(Ввод!$B$12:$B$71,MATCH(A2760,Ввод!$D$12:$D$71,1)),""))</f>
        <v/>
      </c>
      <c r="C2760">
        <f>IF(A2760="","",DATE(YEAR(A2760),12,31)-DATE(YEAR(A2760),1,1)+1)</f>
        <v/>
      </c>
      <c r="D2760">
        <f>IF(A2760="","",Ввод!$B$4-SUMIF(Оплаты!$A$6:$A$505,"&lt;"&amp;A2760,Оплаты!$B$6:$B$505))</f>
        <v/>
      </c>
      <c r="E2760">
        <f>IF(A2760="","",IF(SUMPRODUCT((Ввод!$F$12:$F$31&lt;&gt;"")*(Ввод!$F$12:$F$31&lt;=A2760)*(Ввод!$G$12:$G$31&gt;=A2760))&gt;0,1,0))</f>
        <v/>
      </c>
      <c r="F2760">
        <f>IF(OR(A2760="",B2760=""),"",IF(E2760=1,0,D2760*B2760/100/C2760))</f>
        <v/>
      </c>
      <c r="G2760">
        <f>IF(A2760="","",IF(OR(B2760&lt;&gt;B2759,C2760&lt;&gt;C2759,D2760&lt;&gt;D2759,E2760&lt;&gt;E2759),G2759+1,G2759))</f>
        <v/>
      </c>
    </row>
    <row r="2761">
      <c r="A2761" s="14">
        <f>IF(OR(NOT(ISNUMBER(Ввод!$B$5)),NOT(ISNUMBER(Ввод!$B$6))),"",IF(Ввод!$B$5+2759&gt;Ввод!$B$6,"",Ввод!$B$5+2759))</f>
        <v/>
      </c>
      <c r="B2761">
        <f>IF(A2761="","",IFERROR(INDEX(Ввод!$B$12:$B$71,MATCH(A2761,Ввод!$D$12:$D$71,1)),""))</f>
        <v/>
      </c>
      <c r="C2761">
        <f>IF(A2761="","",DATE(YEAR(A2761),12,31)-DATE(YEAR(A2761),1,1)+1)</f>
        <v/>
      </c>
      <c r="D2761">
        <f>IF(A2761="","",Ввод!$B$4-SUMIF(Оплаты!$A$6:$A$505,"&lt;"&amp;A2761,Оплаты!$B$6:$B$505))</f>
        <v/>
      </c>
      <c r="E2761">
        <f>IF(A2761="","",IF(SUMPRODUCT((Ввод!$F$12:$F$31&lt;&gt;"")*(Ввод!$F$12:$F$31&lt;=A2761)*(Ввод!$G$12:$G$31&gt;=A2761))&gt;0,1,0))</f>
        <v/>
      </c>
      <c r="F2761">
        <f>IF(OR(A2761="",B2761=""),"",IF(E2761=1,0,D2761*B2761/100/C2761))</f>
        <v/>
      </c>
      <c r="G2761">
        <f>IF(A2761="","",IF(OR(B2761&lt;&gt;B2760,C2761&lt;&gt;C2760,D2761&lt;&gt;D2760,E2761&lt;&gt;E2760),G2760+1,G2760))</f>
        <v/>
      </c>
    </row>
    <row r="2762">
      <c r="A2762" s="14">
        <f>IF(OR(NOT(ISNUMBER(Ввод!$B$5)),NOT(ISNUMBER(Ввод!$B$6))),"",IF(Ввод!$B$5+2760&gt;Ввод!$B$6,"",Ввод!$B$5+2760))</f>
        <v/>
      </c>
      <c r="B2762">
        <f>IF(A2762="","",IFERROR(INDEX(Ввод!$B$12:$B$71,MATCH(A2762,Ввод!$D$12:$D$71,1)),""))</f>
        <v/>
      </c>
      <c r="C2762">
        <f>IF(A2762="","",DATE(YEAR(A2762),12,31)-DATE(YEAR(A2762),1,1)+1)</f>
        <v/>
      </c>
      <c r="D2762">
        <f>IF(A2762="","",Ввод!$B$4-SUMIF(Оплаты!$A$6:$A$505,"&lt;"&amp;A2762,Оплаты!$B$6:$B$505))</f>
        <v/>
      </c>
      <c r="E2762">
        <f>IF(A2762="","",IF(SUMPRODUCT((Ввод!$F$12:$F$31&lt;&gt;"")*(Ввод!$F$12:$F$31&lt;=A2762)*(Ввод!$G$12:$G$31&gt;=A2762))&gt;0,1,0))</f>
        <v/>
      </c>
      <c r="F2762">
        <f>IF(OR(A2762="",B2762=""),"",IF(E2762=1,0,D2762*B2762/100/C2762))</f>
        <v/>
      </c>
      <c r="G2762">
        <f>IF(A2762="","",IF(OR(B2762&lt;&gt;B2761,C2762&lt;&gt;C2761,D2762&lt;&gt;D2761,E2762&lt;&gt;E2761),G2761+1,G2761))</f>
        <v/>
      </c>
    </row>
    <row r="2763">
      <c r="A2763" s="14">
        <f>IF(OR(NOT(ISNUMBER(Ввод!$B$5)),NOT(ISNUMBER(Ввод!$B$6))),"",IF(Ввод!$B$5+2761&gt;Ввод!$B$6,"",Ввод!$B$5+2761))</f>
        <v/>
      </c>
      <c r="B2763">
        <f>IF(A2763="","",IFERROR(INDEX(Ввод!$B$12:$B$71,MATCH(A2763,Ввод!$D$12:$D$71,1)),""))</f>
        <v/>
      </c>
      <c r="C2763">
        <f>IF(A2763="","",DATE(YEAR(A2763),12,31)-DATE(YEAR(A2763),1,1)+1)</f>
        <v/>
      </c>
      <c r="D2763">
        <f>IF(A2763="","",Ввод!$B$4-SUMIF(Оплаты!$A$6:$A$505,"&lt;"&amp;A2763,Оплаты!$B$6:$B$505))</f>
        <v/>
      </c>
      <c r="E2763">
        <f>IF(A2763="","",IF(SUMPRODUCT((Ввод!$F$12:$F$31&lt;&gt;"")*(Ввод!$F$12:$F$31&lt;=A2763)*(Ввод!$G$12:$G$31&gt;=A2763))&gt;0,1,0))</f>
        <v/>
      </c>
      <c r="F2763">
        <f>IF(OR(A2763="",B2763=""),"",IF(E2763=1,0,D2763*B2763/100/C2763))</f>
        <v/>
      </c>
      <c r="G2763">
        <f>IF(A2763="","",IF(OR(B2763&lt;&gt;B2762,C2763&lt;&gt;C2762,D2763&lt;&gt;D2762,E2763&lt;&gt;E2762),G2762+1,G2762))</f>
        <v/>
      </c>
    </row>
    <row r="2764">
      <c r="A2764" s="14">
        <f>IF(OR(NOT(ISNUMBER(Ввод!$B$5)),NOT(ISNUMBER(Ввод!$B$6))),"",IF(Ввод!$B$5+2762&gt;Ввод!$B$6,"",Ввод!$B$5+2762))</f>
        <v/>
      </c>
      <c r="B2764">
        <f>IF(A2764="","",IFERROR(INDEX(Ввод!$B$12:$B$71,MATCH(A2764,Ввод!$D$12:$D$71,1)),""))</f>
        <v/>
      </c>
      <c r="C2764">
        <f>IF(A2764="","",DATE(YEAR(A2764),12,31)-DATE(YEAR(A2764),1,1)+1)</f>
        <v/>
      </c>
      <c r="D2764">
        <f>IF(A2764="","",Ввод!$B$4-SUMIF(Оплаты!$A$6:$A$505,"&lt;"&amp;A2764,Оплаты!$B$6:$B$505))</f>
        <v/>
      </c>
      <c r="E2764">
        <f>IF(A2764="","",IF(SUMPRODUCT((Ввод!$F$12:$F$31&lt;&gt;"")*(Ввод!$F$12:$F$31&lt;=A2764)*(Ввод!$G$12:$G$31&gt;=A2764))&gt;0,1,0))</f>
        <v/>
      </c>
      <c r="F2764">
        <f>IF(OR(A2764="",B2764=""),"",IF(E2764=1,0,D2764*B2764/100/C2764))</f>
        <v/>
      </c>
      <c r="G2764">
        <f>IF(A2764="","",IF(OR(B2764&lt;&gt;B2763,C2764&lt;&gt;C2763,D2764&lt;&gt;D2763,E2764&lt;&gt;E2763),G2763+1,G2763))</f>
        <v/>
      </c>
    </row>
    <row r="2765">
      <c r="A2765" s="14">
        <f>IF(OR(NOT(ISNUMBER(Ввод!$B$5)),NOT(ISNUMBER(Ввод!$B$6))),"",IF(Ввод!$B$5+2763&gt;Ввод!$B$6,"",Ввод!$B$5+2763))</f>
        <v/>
      </c>
      <c r="B2765">
        <f>IF(A2765="","",IFERROR(INDEX(Ввод!$B$12:$B$71,MATCH(A2765,Ввод!$D$12:$D$71,1)),""))</f>
        <v/>
      </c>
      <c r="C2765">
        <f>IF(A2765="","",DATE(YEAR(A2765),12,31)-DATE(YEAR(A2765),1,1)+1)</f>
        <v/>
      </c>
      <c r="D2765">
        <f>IF(A2765="","",Ввод!$B$4-SUMIF(Оплаты!$A$6:$A$505,"&lt;"&amp;A2765,Оплаты!$B$6:$B$505))</f>
        <v/>
      </c>
      <c r="E2765">
        <f>IF(A2765="","",IF(SUMPRODUCT((Ввод!$F$12:$F$31&lt;&gt;"")*(Ввод!$F$12:$F$31&lt;=A2765)*(Ввод!$G$12:$G$31&gt;=A2765))&gt;0,1,0))</f>
        <v/>
      </c>
      <c r="F2765">
        <f>IF(OR(A2765="",B2765=""),"",IF(E2765=1,0,D2765*B2765/100/C2765))</f>
        <v/>
      </c>
      <c r="G2765">
        <f>IF(A2765="","",IF(OR(B2765&lt;&gt;B2764,C2765&lt;&gt;C2764,D2765&lt;&gt;D2764,E2765&lt;&gt;E2764),G2764+1,G2764))</f>
        <v/>
      </c>
    </row>
    <row r="2766">
      <c r="A2766" s="14">
        <f>IF(OR(NOT(ISNUMBER(Ввод!$B$5)),NOT(ISNUMBER(Ввод!$B$6))),"",IF(Ввод!$B$5+2764&gt;Ввод!$B$6,"",Ввод!$B$5+2764))</f>
        <v/>
      </c>
      <c r="B2766">
        <f>IF(A2766="","",IFERROR(INDEX(Ввод!$B$12:$B$71,MATCH(A2766,Ввод!$D$12:$D$71,1)),""))</f>
        <v/>
      </c>
      <c r="C2766">
        <f>IF(A2766="","",DATE(YEAR(A2766),12,31)-DATE(YEAR(A2766),1,1)+1)</f>
        <v/>
      </c>
      <c r="D2766">
        <f>IF(A2766="","",Ввод!$B$4-SUMIF(Оплаты!$A$6:$A$505,"&lt;"&amp;A2766,Оплаты!$B$6:$B$505))</f>
        <v/>
      </c>
      <c r="E2766">
        <f>IF(A2766="","",IF(SUMPRODUCT((Ввод!$F$12:$F$31&lt;&gt;"")*(Ввод!$F$12:$F$31&lt;=A2766)*(Ввод!$G$12:$G$31&gt;=A2766))&gt;0,1,0))</f>
        <v/>
      </c>
      <c r="F2766">
        <f>IF(OR(A2766="",B2766=""),"",IF(E2766=1,0,D2766*B2766/100/C2766))</f>
        <v/>
      </c>
      <c r="G2766">
        <f>IF(A2766="","",IF(OR(B2766&lt;&gt;B2765,C2766&lt;&gt;C2765,D2766&lt;&gt;D2765,E2766&lt;&gt;E2765),G2765+1,G2765))</f>
        <v/>
      </c>
    </row>
    <row r="2767">
      <c r="A2767" s="14">
        <f>IF(OR(NOT(ISNUMBER(Ввод!$B$5)),NOT(ISNUMBER(Ввод!$B$6))),"",IF(Ввод!$B$5+2765&gt;Ввод!$B$6,"",Ввод!$B$5+2765))</f>
        <v/>
      </c>
      <c r="B2767">
        <f>IF(A2767="","",IFERROR(INDEX(Ввод!$B$12:$B$71,MATCH(A2767,Ввод!$D$12:$D$71,1)),""))</f>
        <v/>
      </c>
      <c r="C2767">
        <f>IF(A2767="","",DATE(YEAR(A2767),12,31)-DATE(YEAR(A2767),1,1)+1)</f>
        <v/>
      </c>
      <c r="D2767">
        <f>IF(A2767="","",Ввод!$B$4-SUMIF(Оплаты!$A$6:$A$505,"&lt;"&amp;A2767,Оплаты!$B$6:$B$505))</f>
        <v/>
      </c>
      <c r="E2767">
        <f>IF(A2767="","",IF(SUMPRODUCT((Ввод!$F$12:$F$31&lt;&gt;"")*(Ввод!$F$12:$F$31&lt;=A2767)*(Ввод!$G$12:$G$31&gt;=A2767))&gt;0,1,0))</f>
        <v/>
      </c>
      <c r="F2767">
        <f>IF(OR(A2767="",B2767=""),"",IF(E2767=1,0,D2767*B2767/100/C2767))</f>
        <v/>
      </c>
      <c r="G2767">
        <f>IF(A2767="","",IF(OR(B2767&lt;&gt;B2766,C2767&lt;&gt;C2766,D2767&lt;&gt;D2766,E2767&lt;&gt;E2766),G2766+1,G2766))</f>
        <v/>
      </c>
    </row>
    <row r="2768">
      <c r="A2768" s="14">
        <f>IF(OR(NOT(ISNUMBER(Ввод!$B$5)),NOT(ISNUMBER(Ввод!$B$6))),"",IF(Ввод!$B$5+2766&gt;Ввод!$B$6,"",Ввод!$B$5+2766))</f>
        <v/>
      </c>
      <c r="B2768">
        <f>IF(A2768="","",IFERROR(INDEX(Ввод!$B$12:$B$71,MATCH(A2768,Ввод!$D$12:$D$71,1)),""))</f>
        <v/>
      </c>
      <c r="C2768">
        <f>IF(A2768="","",DATE(YEAR(A2768),12,31)-DATE(YEAR(A2768),1,1)+1)</f>
        <v/>
      </c>
      <c r="D2768">
        <f>IF(A2768="","",Ввод!$B$4-SUMIF(Оплаты!$A$6:$A$505,"&lt;"&amp;A2768,Оплаты!$B$6:$B$505))</f>
        <v/>
      </c>
      <c r="E2768">
        <f>IF(A2768="","",IF(SUMPRODUCT((Ввод!$F$12:$F$31&lt;&gt;"")*(Ввод!$F$12:$F$31&lt;=A2768)*(Ввод!$G$12:$G$31&gt;=A2768))&gt;0,1,0))</f>
        <v/>
      </c>
      <c r="F2768">
        <f>IF(OR(A2768="",B2768=""),"",IF(E2768=1,0,D2768*B2768/100/C2768))</f>
        <v/>
      </c>
      <c r="G2768">
        <f>IF(A2768="","",IF(OR(B2768&lt;&gt;B2767,C2768&lt;&gt;C2767,D2768&lt;&gt;D2767,E2768&lt;&gt;E2767),G2767+1,G2767))</f>
        <v/>
      </c>
    </row>
    <row r="2769">
      <c r="A2769" s="14">
        <f>IF(OR(NOT(ISNUMBER(Ввод!$B$5)),NOT(ISNUMBER(Ввод!$B$6))),"",IF(Ввод!$B$5+2767&gt;Ввод!$B$6,"",Ввод!$B$5+2767))</f>
        <v/>
      </c>
      <c r="B2769">
        <f>IF(A2769="","",IFERROR(INDEX(Ввод!$B$12:$B$71,MATCH(A2769,Ввод!$D$12:$D$71,1)),""))</f>
        <v/>
      </c>
      <c r="C2769">
        <f>IF(A2769="","",DATE(YEAR(A2769),12,31)-DATE(YEAR(A2769),1,1)+1)</f>
        <v/>
      </c>
      <c r="D2769">
        <f>IF(A2769="","",Ввод!$B$4-SUMIF(Оплаты!$A$6:$A$505,"&lt;"&amp;A2769,Оплаты!$B$6:$B$505))</f>
        <v/>
      </c>
      <c r="E2769">
        <f>IF(A2769="","",IF(SUMPRODUCT((Ввод!$F$12:$F$31&lt;&gt;"")*(Ввод!$F$12:$F$31&lt;=A2769)*(Ввод!$G$12:$G$31&gt;=A2769))&gt;0,1,0))</f>
        <v/>
      </c>
      <c r="F2769">
        <f>IF(OR(A2769="",B2769=""),"",IF(E2769=1,0,D2769*B2769/100/C2769))</f>
        <v/>
      </c>
      <c r="G2769">
        <f>IF(A2769="","",IF(OR(B2769&lt;&gt;B2768,C2769&lt;&gt;C2768,D2769&lt;&gt;D2768,E2769&lt;&gt;E2768),G2768+1,G2768))</f>
        <v/>
      </c>
    </row>
    <row r="2770">
      <c r="A2770" s="14">
        <f>IF(OR(NOT(ISNUMBER(Ввод!$B$5)),NOT(ISNUMBER(Ввод!$B$6))),"",IF(Ввод!$B$5+2768&gt;Ввод!$B$6,"",Ввод!$B$5+2768))</f>
        <v/>
      </c>
      <c r="B2770">
        <f>IF(A2770="","",IFERROR(INDEX(Ввод!$B$12:$B$71,MATCH(A2770,Ввод!$D$12:$D$71,1)),""))</f>
        <v/>
      </c>
      <c r="C2770">
        <f>IF(A2770="","",DATE(YEAR(A2770),12,31)-DATE(YEAR(A2770),1,1)+1)</f>
        <v/>
      </c>
      <c r="D2770">
        <f>IF(A2770="","",Ввод!$B$4-SUMIF(Оплаты!$A$6:$A$505,"&lt;"&amp;A2770,Оплаты!$B$6:$B$505))</f>
        <v/>
      </c>
      <c r="E2770">
        <f>IF(A2770="","",IF(SUMPRODUCT((Ввод!$F$12:$F$31&lt;&gt;"")*(Ввод!$F$12:$F$31&lt;=A2770)*(Ввод!$G$12:$G$31&gt;=A2770))&gt;0,1,0))</f>
        <v/>
      </c>
      <c r="F2770">
        <f>IF(OR(A2770="",B2770=""),"",IF(E2770=1,0,D2770*B2770/100/C2770))</f>
        <v/>
      </c>
      <c r="G2770">
        <f>IF(A2770="","",IF(OR(B2770&lt;&gt;B2769,C2770&lt;&gt;C2769,D2770&lt;&gt;D2769,E2770&lt;&gt;E2769),G2769+1,G2769))</f>
        <v/>
      </c>
    </row>
    <row r="2771">
      <c r="A2771" s="14">
        <f>IF(OR(NOT(ISNUMBER(Ввод!$B$5)),NOT(ISNUMBER(Ввод!$B$6))),"",IF(Ввод!$B$5+2769&gt;Ввод!$B$6,"",Ввод!$B$5+2769))</f>
        <v/>
      </c>
      <c r="B2771">
        <f>IF(A2771="","",IFERROR(INDEX(Ввод!$B$12:$B$71,MATCH(A2771,Ввод!$D$12:$D$71,1)),""))</f>
        <v/>
      </c>
      <c r="C2771">
        <f>IF(A2771="","",DATE(YEAR(A2771),12,31)-DATE(YEAR(A2771),1,1)+1)</f>
        <v/>
      </c>
      <c r="D2771">
        <f>IF(A2771="","",Ввод!$B$4-SUMIF(Оплаты!$A$6:$A$505,"&lt;"&amp;A2771,Оплаты!$B$6:$B$505))</f>
        <v/>
      </c>
      <c r="E2771">
        <f>IF(A2771="","",IF(SUMPRODUCT((Ввод!$F$12:$F$31&lt;&gt;"")*(Ввод!$F$12:$F$31&lt;=A2771)*(Ввод!$G$12:$G$31&gt;=A2771))&gt;0,1,0))</f>
        <v/>
      </c>
      <c r="F2771">
        <f>IF(OR(A2771="",B2771=""),"",IF(E2771=1,0,D2771*B2771/100/C2771))</f>
        <v/>
      </c>
      <c r="G2771">
        <f>IF(A2771="","",IF(OR(B2771&lt;&gt;B2770,C2771&lt;&gt;C2770,D2771&lt;&gt;D2770,E2771&lt;&gt;E2770),G2770+1,G2770))</f>
        <v/>
      </c>
    </row>
    <row r="2772">
      <c r="A2772" s="14">
        <f>IF(OR(NOT(ISNUMBER(Ввод!$B$5)),NOT(ISNUMBER(Ввод!$B$6))),"",IF(Ввод!$B$5+2770&gt;Ввод!$B$6,"",Ввод!$B$5+2770))</f>
        <v/>
      </c>
      <c r="B2772">
        <f>IF(A2772="","",IFERROR(INDEX(Ввод!$B$12:$B$71,MATCH(A2772,Ввод!$D$12:$D$71,1)),""))</f>
        <v/>
      </c>
      <c r="C2772">
        <f>IF(A2772="","",DATE(YEAR(A2772),12,31)-DATE(YEAR(A2772),1,1)+1)</f>
        <v/>
      </c>
      <c r="D2772">
        <f>IF(A2772="","",Ввод!$B$4-SUMIF(Оплаты!$A$6:$A$505,"&lt;"&amp;A2772,Оплаты!$B$6:$B$505))</f>
        <v/>
      </c>
      <c r="E2772">
        <f>IF(A2772="","",IF(SUMPRODUCT((Ввод!$F$12:$F$31&lt;&gt;"")*(Ввод!$F$12:$F$31&lt;=A2772)*(Ввод!$G$12:$G$31&gt;=A2772))&gt;0,1,0))</f>
        <v/>
      </c>
      <c r="F2772">
        <f>IF(OR(A2772="",B2772=""),"",IF(E2772=1,0,D2772*B2772/100/C2772))</f>
        <v/>
      </c>
      <c r="G2772">
        <f>IF(A2772="","",IF(OR(B2772&lt;&gt;B2771,C2772&lt;&gt;C2771,D2772&lt;&gt;D2771,E2772&lt;&gt;E2771),G2771+1,G2771))</f>
        <v/>
      </c>
    </row>
    <row r="2773">
      <c r="A2773" s="14">
        <f>IF(OR(NOT(ISNUMBER(Ввод!$B$5)),NOT(ISNUMBER(Ввод!$B$6))),"",IF(Ввод!$B$5+2771&gt;Ввод!$B$6,"",Ввод!$B$5+2771))</f>
        <v/>
      </c>
      <c r="B2773">
        <f>IF(A2773="","",IFERROR(INDEX(Ввод!$B$12:$B$71,MATCH(A2773,Ввод!$D$12:$D$71,1)),""))</f>
        <v/>
      </c>
      <c r="C2773">
        <f>IF(A2773="","",DATE(YEAR(A2773),12,31)-DATE(YEAR(A2773),1,1)+1)</f>
        <v/>
      </c>
      <c r="D2773">
        <f>IF(A2773="","",Ввод!$B$4-SUMIF(Оплаты!$A$6:$A$505,"&lt;"&amp;A2773,Оплаты!$B$6:$B$505))</f>
        <v/>
      </c>
      <c r="E2773">
        <f>IF(A2773="","",IF(SUMPRODUCT((Ввод!$F$12:$F$31&lt;&gt;"")*(Ввод!$F$12:$F$31&lt;=A2773)*(Ввод!$G$12:$G$31&gt;=A2773))&gt;0,1,0))</f>
        <v/>
      </c>
      <c r="F2773">
        <f>IF(OR(A2773="",B2773=""),"",IF(E2773=1,0,D2773*B2773/100/C2773))</f>
        <v/>
      </c>
      <c r="G2773">
        <f>IF(A2773="","",IF(OR(B2773&lt;&gt;B2772,C2773&lt;&gt;C2772,D2773&lt;&gt;D2772,E2773&lt;&gt;E2772),G2772+1,G2772))</f>
        <v/>
      </c>
    </row>
    <row r="2774">
      <c r="A2774" s="14">
        <f>IF(OR(NOT(ISNUMBER(Ввод!$B$5)),NOT(ISNUMBER(Ввод!$B$6))),"",IF(Ввод!$B$5+2772&gt;Ввод!$B$6,"",Ввод!$B$5+2772))</f>
        <v/>
      </c>
      <c r="B2774">
        <f>IF(A2774="","",IFERROR(INDEX(Ввод!$B$12:$B$71,MATCH(A2774,Ввод!$D$12:$D$71,1)),""))</f>
        <v/>
      </c>
      <c r="C2774">
        <f>IF(A2774="","",DATE(YEAR(A2774),12,31)-DATE(YEAR(A2774),1,1)+1)</f>
        <v/>
      </c>
      <c r="D2774">
        <f>IF(A2774="","",Ввод!$B$4-SUMIF(Оплаты!$A$6:$A$505,"&lt;"&amp;A2774,Оплаты!$B$6:$B$505))</f>
        <v/>
      </c>
      <c r="E2774">
        <f>IF(A2774="","",IF(SUMPRODUCT((Ввод!$F$12:$F$31&lt;&gt;"")*(Ввод!$F$12:$F$31&lt;=A2774)*(Ввод!$G$12:$G$31&gt;=A2774))&gt;0,1,0))</f>
        <v/>
      </c>
      <c r="F2774">
        <f>IF(OR(A2774="",B2774=""),"",IF(E2774=1,0,D2774*B2774/100/C2774))</f>
        <v/>
      </c>
      <c r="G2774">
        <f>IF(A2774="","",IF(OR(B2774&lt;&gt;B2773,C2774&lt;&gt;C2773,D2774&lt;&gt;D2773,E2774&lt;&gt;E2773),G2773+1,G2773))</f>
        <v/>
      </c>
    </row>
    <row r="2775">
      <c r="A2775" s="14">
        <f>IF(OR(NOT(ISNUMBER(Ввод!$B$5)),NOT(ISNUMBER(Ввод!$B$6))),"",IF(Ввод!$B$5+2773&gt;Ввод!$B$6,"",Ввод!$B$5+2773))</f>
        <v/>
      </c>
      <c r="B2775">
        <f>IF(A2775="","",IFERROR(INDEX(Ввод!$B$12:$B$71,MATCH(A2775,Ввод!$D$12:$D$71,1)),""))</f>
        <v/>
      </c>
      <c r="C2775">
        <f>IF(A2775="","",DATE(YEAR(A2775),12,31)-DATE(YEAR(A2775),1,1)+1)</f>
        <v/>
      </c>
      <c r="D2775">
        <f>IF(A2775="","",Ввод!$B$4-SUMIF(Оплаты!$A$6:$A$505,"&lt;"&amp;A2775,Оплаты!$B$6:$B$505))</f>
        <v/>
      </c>
      <c r="E2775">
        <f>IF(A2775="","",IF(SUMPRODUCT((Ввод!$F$12:$F$31&lt;&gt;"")*(Ввод!$F$12:$F$31&lt;=A2775)*(Ввод!$G$12:$G$31&gt;=A2775))&gt;0,1,0))</f>
        <v/>
      </c>
      <c r="F2775">
        <f>IF(OR(A2775="",B2775=""),"",IF(E2775=1,0,D2775*B2775/100/C2775))</f>
        <v/>
      </c>
      <c r="G2775">
        <f>IF(A2775="","",IF(OR(B2775&lt;&gt;B2774,C2775&lt;&gt;C2774,D2775&lt;&gt;D2774,E2775&lt;&gt;E2774),G2774+1,G2774))</f>
        <v/>
      </c>
    </row>
    <row r="2776">
      <c r="A2776" s="14">
        <f>IF(OR(NOT(ISNUMBER(Ввод!$B$5)),NOT(ISNUMBER(Ввод!$B$6))),"",IF(Ввод!$B$5+2774&gt;Ввод!$B$6,"",Ввод!$B$5+2774))</f>
        <v/>
      </c>
      <c r="B2776">
        <f>IF(A2776="","",IFERROR(INDEX(Ввод!$B$12:$B$71,MATCH(A2776,Ввод!$D$12:$D$71,1)),""))</f>
        <v/>
      </c>
      <c r="C2776">
        <f>IF(A2776="","",DATE(YEAR(A2776),12,31)-DATE(YEAR(A2776),1,1)+1)</f>
        <v/>
      </c>
      <c r="D2776">
        <f>IF(A2776="","",Ввод!$B$4-SUMIF(Оплаты!$A$6:$A$505,"&lt;"&amp;A2776,Оплаты!$B$6:$B$505))</f>
        <v/>
      </c>
      <c r="E2776">
        <f>IF(A2776="","",IF(SUMPRODUCT((Ввод!$F$12:$F$31&lt;&gt;"")*(Ввод!$F$12:$F$31&lt;=A2776)*(Ввод!$G$12:$G$31&gt;=A2776))&gt;0,1,0))</f>
        <v/>
      </c>
      <c r="F2776">
        <f>IF(OR(A2776="",B2776=""),"",IF(E2776=1,0,D2776*B2776/100/C2776))</f>
        <v/>
      </c>
      <c r="G2776">
        <f>IF(A2776="","",IF(OR(B2776&lt;&gt;B2775,C2776&lt;&gt;C2775,D2776&lt;&gt;D2775,E2776&lt;&gt;E2775),G2775+1,G2775))</f>
        <v/>
      </c>
    </row>
    <row r="2777">
      <c r="A2777" s="14">
        <f>IF(OR(NOT(ISNUMBER(Ввод!$B$5)),NOT(ISNUMBER(Ввод!$B$6))),"",IF(Ввод!$B$5+2775&gt;Ввод!$B$6,"",Ввод!$B$5+2775))</f>
        <v/>
      </c>
      <c r="B2777">
        <f>IF(A2777="","",IFERROR(INDEX(Ввод!$B$12:$B$71,MATCH(A2777,Ввод!$D$12:$D$71,1)),""))</f>
        <v/>
      </c>
      <c r="C2777">
        <f>IF(A2777="","",DATE(YEAR(A2777),12,31)-DATE(YEAR(A2777),1,1)+1)</f>
        <v/>
      </c>
      <c r="D2777">
        <f>IF(A2777="","",Ввод!$B$4-SUMIF(Оплаты!$A$6:$A$505,"&lt;"&amp;A2777,Оплаты!$B$6:$B$505))</f>
        <v/>
      </c>
      <c r="E2777">
        <f>IF(A2777="","",IF(SUMPRODUCT((Ввод!$F$12:$F$31&lt;&gt;"")*(Ввод!$F$12:$F$31&lt;=A2777)*(Ввод!$G$12:$G$31&gt;=A2777))&gt;0,1,0))</f>
        <v/>
      </c>
      <c r="F2777">
        <f>IF(OR(A2777="",B2777=""),"",IF(E2777=1,0,D2777*B2777/100/C2777))</f>
        <v/>
      </c>
      <c r="G2777">
        <f>IF(A2777="","",IF(OR(B2777&lt;&gt;B2776,C2777&lt;&gt;C2776,D2777&lt;&gt;D2776,E2777&lt;&gt;E2776),G2776+1,G2776))</f>
        <v/>
      </c>
    </row>
    <row r="2778">
      <c r="A2778" s="14">
        <f>IF(OR(NOT(ISNUMBER(Ввод!$B$5)),NOT(ISNUMBER(Ввод!$B$6))),"",IF(Ввод!$B$5+2776&gt;Ввод!$B$6,"",Ввод!$B$5+2776))</f>
        <v/>
      </c>
      <c r="B2778">
        <f>IF(A2778="","",IFERROR(INDEX(Ввод!$B$12:$B$71,MATCH(A2778,Ввод!$D$12:$D$71,1)),""))</f>
        <v/>
      </c>
      <c r="C2778">
        <f>IF(A2778="","",DATE(YEAR(A2778),12,31)-DATE(YEAR(A2778),1,1)+1)</f>
        <v/>
      </c>
      <c r="D2778">
        <f>IF(A2778="","",Ввод!$B$4-SUMIF(Оплаты!$A$6:$A$505,"&lt;"&amp;A2778,Оплаты!$B$6:$B$505))</f>
        <v/>
      </c>
      <c r="E2778">
        <f>IF(A2778="","",IF(SUMPRODUCT((Ввод!$F$12:$F$31&lt;&gt;"")*(Ввод!$F$12:$F$31&lt;=A2778)*(Ввод!$G$12:$G$31&gt;=A2778))&gt;0,1,0))</f>
        <v/>
      </c>
      <c r="F2778">
        <f>IF(OR(A2778="",B2778=""),"",IF(E2778=1,0,D2778*B2778/100/C2778))</f>
        <v/>
      </c>
      <c r="G2778">
        <f>IF(A2778="","",IF(OR(B2778&lt;&gt;B2777,C2778&lt;&gt;C2777,D2778&lt;&gt;D2777,E2778&lt;&gt;E2777),G2777+1,G2777))</f>
        <v/>
      </c>
    </row>
    <row r="2779">
      <c r="A2779" s="14">
        <f>IF(OR(NOT(ISNUMBER(Ввод!$B$5)),NOT(ISNUMBER(Ввод!$B$6))),"",IF(Ввод!$B$5+2777&gt;Ввод!$B$6,"",Ввод!$B$5+2777))</f>
        <v/>
      </c>
      <c r="B2779">
        <f>IF(A2779="","",IFERROR(INDEX(Ввод!$B$12:$B$71,MATCH(A2779,Ввод!$D$12:$D$71,1)),""))</f>
        <v/>
      </c>
      <c r="C2779">
        <f>IF(A2779="","",DATE(YEAR(A2779),12,31)-DATE(YEAR(A2779),1,1)+1)</f>
        <v/>
      </c>
      <c r="D2779">
        <f>IF(A2779="","",Ввод!$B$4-SUMIF(Оплаты!$A$6:$A$505,"&lt;"&amp;A2779,Оплаты!$B$6:$B$505))</f>
        <v/>
      </c>
      <c r="E2779">
        <f>IF(A2779="","",IF(SUMPRODUCT((Ввод!$F$12:$F$31&lt;&gt;"")*(Ввод!$F$12:$F$31&lt;=A2779)*(Ввод!$G$12:$G$31&gt;=A2779))&gt;0,1,0))</f>
        <v/>
      </c>
      <c r="F2779">
        <f>IF(OR(A2779="",B2779=""),"",IF(E2779=1,0,D2779*B2779/100/C2779))</f>
        <v/>
      </c>
      <c r="G2779">
        <f>IF(A2779="","",IF(OR(B2779&lt;&gt;B2778,C2779&lt;&gt;C2778,D2779&lt;&gt;D2778,E2779&lt;&gt;E2778),G2778+1,G2778))</f>
        <v/>
      </c>
    </row>
    <row r="2780">
      <c r="A2780" s="14">
        <f>IF(OR(NOT(ISNUMBER(Ввод!$B$5)),NOT(ISNUMBER(Ввод!$B$6))),"",IF(Ввод!$B$5+2778&gt;Ввод!$B$6,"",Ввод!$B$5+2778))</f>
        <v/>
      </c>
      <c r="B2780">
        <f>IF(A2780="","",IFERROR(INDEX(Ввод!$B$12:$B$71,MATCH(A2780,Ввод!$D$12:$D$71,1)),""))</f>
        <v/>
      </c>
      <c r="C2780">
        <f>IF(A2780="","",DATE(YEAR(A2780),12,31)-DATE(YEAR(A2780),1,1)+1)</f>
        <v/>
      </c>
      <c r="D2780">
        <f>IF(A2780="","",Ввод!$B$4-SUMIF(Оплаты!$A$6:$A$505,"&lt;"&amp;A2780,Оплаты!$B$6:$B$505))</f>
        <v/>
      </c>
      <c r="E2780">
        <f>IF(A2780="","",IF(SUMPRODUCT((Ввод!$F$12:$F$31&lt;&gt;"")*(Ввод!$F$12:$F$31&lt;=A2780)*(Ввод!$G$12:$G$31&gt;=A2780))&gt;0,1,0))</f>
        <v/>
      </c>
      <c r="F2780">
        <f>IF(OR(A2780="",B2780=""),"",IF(E2780=1,0,D2780*B2780/100/C2780))</f>
        <v/>
      </c>
      <c r="G2780">
        <f>IF(A2780="","",IF(OR(B2780&lt;&gt;B2779,C2780&lt;&gt;C2779,D2780&lt;&gt;D2779,E2780&lt;&gt;E2779),G2779+1,G2779))</f>
        <v/>
      </c>
    </row>
    <row r="2781">
      <c r="A2781" s="14">
        <f>IF(OR(NOT(ISNUMBER(Ввод!$B$5)),NOT(ISNUMBER(Ввод!$B$6))),"",IF(Ввод!$B$5+2779&gt;Ввод!$B$6,"",Ввод!$B$5+2779))</f>
        <v/>
      </c>
      <c r="B2781">
        <f>IF(A2781="","",IFERROR(INDEX(Ввод!$B$12:$B$71,MATCH(A2781,Ввод!$D$12:$D$71,1)),""))</f>
        <v/>
      </c>
      <c r="C2781">
        <f>IF(A2781="","",DATE(YEAR(A2781),12,31)-DATE(YEAR(A2781),1,1)+1)</f>
        <v/>
      </c>
      <c r="D2781">
        <f>IF(A2781="","",Ввод!$B$4-SUMIF(Оплаты!$A$6:$A$505,"&lt;"&amp;A2781,Оплаты!$B$6:$B$505))</f>
        <v/>
      </c>
      <c r="E2781">
        <f>IF(A2781="","",IF(SUMPRODUCT((Ввод!$F$12:$F$31&lt;&gt;"")*(Ввод!$F$12:$F$31&lt;=A2781)*(Ввод!$G$12:$G$31&gt;=A2781))&gt;0,1,0))</f>
        <v/>
      </c>
      <c r="F2781">
        <f>IF(OR(A2781="",B2781=""),"",IF(E2781=1,0,D2781*B2781/100/C2781))</f>
        <v/>
      </c>
      <c r="G2781">
        <f>IF(A2781="","",IF(OR(B2781&lt;&gt;B2780,C2781&lt;&gt;C2780,D2781&lt;&gt;D2780,E2781&lt;&gt;E2780),G2780+1,G2780))</f>
        <v/>
      </c>
    </row>
    <row r="2782">
      <c r="A2782" s="14">
        <f>IF(OR(NOT(ISNUMBER(Ввод!$B$5)),NOT(ISNUMBER(Ввод!$B$6))),"",IF(Ввод!$B$5+2780&gt;Ввод!$B$6,"",Ввод!$B$5+2780))</f>
        <v/>
      </c>
      <c r="B2782">
        <f>IF(A2782="","",IFERROR(INDEX(Ввод!$B$12:$B$71,MATCH(A2782,Ввод!$D$12:$D$71,1)),""))</f>
        <v/>
      </c>
      <c r="C2782">
        <f>IF(A2782="","",DATE(YEAR(A2782),12,31)-DATE(YEAR(A2782),1,1)+1)</f>
        <v/>
      </c>
      <c r="D2782">
        <f>IF(A2782="","",Ввод!$B$4-SUMIF(Оплаты!$A$6:$A$505,"&lt;"&amp;A2782,Оплаты!$B$6:$B$505))</f>
        <v/>
      </c>
      <c r="E2782">
        <f>IF(A2782="","",IF(SUMPRODUCT((Ввод!$F$12:$F$31&lt;&gt;"")*(Ввод!$F$12:$F$31&lt;=A2782)*(Ввод!$G$12:$G$31&gt;=A2782))&gt;0,1,0))</f>
        <v/>
      </c>
      <c r="F2782">
        <f>IF(OR(A2782="",B2782=""),"",IF(E2782=1,0,D2782*B2782/100/C2782))</f>
        <v/>
      </c>
      <c r="G2782">
        <f>IF(A2782="","",IF(OR(B2782&lt;&gt;B2781,C2782&lt;&gt;C2781,D2782&lt;&gt;D2781,E2782&lt;&gt;E2781),G2781+1,G2781))</f>
        <v/>
      </c>
    </row>
    <row r="2783">
      <c r="A2783" s="14">
        <f>IF(OR(NOT(ISNUMBER(Ввод!$B$5)),NOT(ISNUMBER(Ввод!$B$6))),"",IF(Ввод!$B$5+2781&gt;Ввод!$B$6,"",Ввод!$B$5+2781))</f>
        <v/>
      </c>
      <c r="B2783">
        <f>IF(A2783="","",IFERROR(INDEX(Ввод!$B$12:$B$71,MATCH(A2783,Ввод!$D$12:$D$71,1)),""))</f>
        <v/>
      </c>
      <c r="C2783">
        <f>IF(A2783="","",DATE(YEAR(A2783),12,31)-DATE(YEAR(A2783),1,1)+1)</f>
        <v/>
      </c>
      <c r="D2783">
        <f>IF(A2783="","",Ввод!$B$4-SUMIF(Оплаты!$A$6:$A$505,"&lt;"&amp;A2783,Оплаты!$B$6:$B$505))</f>
        <v/>
      </c>
      <c r="E2783">
        <f>IF(A2783="","",IF(SUMPRODUCT((Ввод!$F$12:$F$31&lt;&gt;"")*(Ввод!$F$12:$F$31&lt;=A2783)*(Ввод!$G$12:$G$31&gt;=A2783))&gt;0,1,0))</f>
        <v/>
      </c>
      <c r="F2783">
        <f>IF(OR(A2783="",B2783=""),"",IF(E2783=1,0,D2783*B2783/100/C2783))</f>
        <v/>
      </c>
      <c r="G2783">
        <f>IF(A2783="","",IF(OR(B2783&lt;&gt;B2782,C2783&lt;&gt;C2782,D2783&lt;&gt;D2782,E2783&lt;&gt;E2782),G2782+1,G2782))</f>
        <v/>
      </c>
    </row>
    <row r="2784">
      <c r="A2784" s="14">
        <f>IF(OR(NOT(ISNUMBER(Ввод!$B$5)),NOT(ISNUMBER(Ввод!$B$6))),"",IF(Ввод!$B$5+2782&gt;Ввод!$B$6,"",Ввод!$B$5+2782))</f>
        <v/>
      </c>
      <c r="B2784">
        <f>IF(A2784="","",IFERROR(INDEX(Ввод!$B$12:$B$71,MATCH(A2784,Ввод!$D$12:$D$71,1)),""))</f>
        <v/>
      </c>
      <c r="C2784">
        <f>IF(A2784="","",DATE(YEAR(A2784),12,31)-DATE(YEAR(A2784),1,1)+1)</f>
        <v/>
      </c>
      <c r="D2784">
        <f>IF(A2784="","",Ввод!$B$4-SUMIF(Оплаты!$A$6:$A$505,"&lt;"&amp;A2784,Оплаты!$B$6:$B$505))</f>
        <v/>
      </c>
      <c r="E2784">
        <f>IF(A2784="","",IF(SUMPRODUCT((Ввод!$F$12:$F$31&lt;&gt;"")*(Ввод!$F$12:$F$31&lt;=A2784)*(Ввод!$G$12:$G$31&gt;=A2784))&gt;0,1,0))</f>
        <v/>
      </c>
      <c r="F2784">
        <f>IF(OR(A2784="",B2784=""),"",IF(E2784=1,0,D2784*B2784/100/C2784))</f>
        <v/>
      </c>
      <c r="G2784">
        <f>IF(A2784="","",IF(OR(B2784&lt;&gt;B2783,C2784&lt;&gt;C2783,D2784&lt;&gt;D2783,E2784&lt;&gt;E2783),G2783+1,G2783))</f>
        <v/>
      </c>
    </row>
    <row r="2785">
      <c r="A2785" s="14">
        <f>IF(OR(NOT(ISNUMBER(Ввод!$B$5)),NOT(ISNUMBER(Ввод!$B$6))),"",IF(Ввод!$B$5+2783&gt;Ввод!$B$6,"",Ввод!$B$5+2783))</f>
        <v/>
      </c>
      <c r="B2785">
        <f>IF(A2785="","",IFERROR(INDEX(Ввод!$B$12:$B$71,MATCH(A2785,Ввод!$D$12:$D$71,1)),""))</f>
        <v/>
      </c>
      <c r="C2785">
        <f>IF(A2785="","",DATE(YEAR(A2785),12,31)-DATE(YEAR(A2785),1,1)+1)</f>
        <v/>
      </c>
      <c r="D2785">
        <f>IF(A2785="","",Ввод!$B$4-SUMIF(Оплаты!$A$6:$A$505,"&lt;"&amp;A2785,Оплаты!$B$6:$B$505))</f>
        <v/>
      </c>
      <c r="E2785">
        <f>IF(A2785="","",IF(SUMPRODUCT((Ввод!$F$12:$F$31&lt;&gt;"")*(Ввод!$F$12:$F$31&lt;=A2785)*(Ввод!$G$12:$G$31&gt;=A2785))&gt;0,1,0))</f>
        <v/>
      </c>
      <c r="F2785">
        <f>IF(OR(A2785="",B2785=""),"",IF(E2785=1,0,D2785*B2785/100/C2785))</f>
        <v/>
      </c>
      <c r="G2785">
        <f>IF(A2785="","",IF(OR(B2785&lt;&gt;B2784,C2785&lt;&gt;C2784,D2785&lt;&gt;D2784,E2785&lt;&gt;E2784),G2784+1,G2784))</f>
        <v/>
      </c>
    </row>
    <row r="2786">
      <c r="A2786" s="14">
        <f>IF(OR(NOT(ISNUMBER(Ввод!$B$5)),NOT(ISNUMBER(Ввод!$B$6))),"",IF(Ввод!$B$5+2784&gt;Ввод!$B$6,"",Ввод!$B$5+2784))</f>
        <v/>
      </c>
      <c r="B2786">
        <f>IF(A2786="","",IFERROR(INDEX(Ввод!$B$12:$B$71,MATCH(A2786,Ввод!$D$12:$D$71,1)),""))</f>
        <v/>
      </c>
      <c r="C2786">
        <f>IF(A2786="","",DATE(YEAR(A2786),12,31)-DATE(YEAR(A2786),1,1)+1)</f>
        <v/>
      </c>
      <c r="D2786">
        <f>IF(A2786="","",Ввод!$B$4-SUMIF(Оплаты!$A$6:$A$505,"&lt;"&amp;A2786,Оплаты!$B$6:$B$505))</f>
        <v/>
      </c>
      <c r="E2786">
        <f>IF(A2786="","",IF(SUMPRODUCT((Ввод!$F$12:$F$31&lt;&gt;"")*(Ввод!$F$12:$F$31&lt;=A2786)*(Ввод!$G$12:$G$31&gt;=A2786))&gt;0,1,0))</f>
        <v/>
      </c>
      <c r="F2786">
        <f>IF(OR(A2786="",B2786=""),"",IF(E2786=1,0,D2786*B2786/100/C2786))</f>
        <v/>
      </c>
      <c r="G2786">
        <f>IF(A2786="","",IF(OR(B2786&lt;&gt;B2785,C2786&lt;&gt;C2785,D2786&lt;&gt;D2785,E2786&lt;&gt;E2785),G2785+1,G2785))</f>
        <v/>
      </c>
    </row>
    <row r="2787">
      <c r="A2787" s="14">
        <f>IF(OR(NOT(ISNUMBER(Ввод!$B$5)),NOT(ISNUMBER(Ввод!$B$6))),"",IF(Ввод!$B$5+2785&gt;Ввод!$B$6,"",Ввод!$B$5+2785))</f>
        <v/>
      </c>
      <c r="B2787">
        <f>IF(A2787="","",IFERROR(INDEX(Ввод!$B$12:$B$71,MATCH(A2787,Ввод!$D$12:$D$71,1)),""))</f>
        <v/>
      </c>
      <c r="C2787">
        <f>IF(A2787="","",DATE(YEAR(A2787),12,31)-DATE(YEAR(A2787),1,1)+1)</f>
        <v/>
      </c>
      <c r="D2787">
        <f>IF(A2787="","",Ввод!$B$4-SUMIF(Оплаты!$A$6:$A$505,"&lt;"&amp;A2787,Оплаты!$B$6:$B$505))</f>
        <v/>
      </c>
      <c r="E2787">
        <f>IF(A2787="","",IF(SUMPRODUCT((Ввод!$F$12:$F$31&lt;&gt;"")*(Ввод!$F$12:$F$31&lt;=A2787)*(Ввод!$G$12:$G$31&gt;=A2787))&gt;0,1,0))</f>
        <v/>
      </c>
      <c r="F2787">
        <f>IF(OR(A2787="",B2787=""),"",IF(E2787=1,0,D2787*B2787/100/C2787))</f>
        <v/>
      </c>
      <c r="G2787">
        <f>IF(A2787="","",IF(OR(B2787&lt;&gt;B2786,C2787&lt;&gt;C2786,D2787&lt;&gt;D2786,E2787&lt;&gt;E2786),G2786+1,G2786))</f>
        <v/>
      </c>
    </row>
    <row r="2788">
      <c r="A2788" s="14">
        <f>IF(OR(NOT(ISNUMBER(Ввод!$B$5)),NOT(ISNUMBER(Ввод!$B$6))),"",IF(Ввод!$B$5+2786&gt;Ввод!$B$6,"",Ввод!$B$5+2786))</f>
        <v/>
      </c>
      <c r="B2788">
        <f>IF(A2788="","",IFERROR(INDEX(Ввод!$B$12:$B$71,MATCH(A2788,Ввод!$D$12:$D$71,1)),""))</f>
        <v/>
      </c>
      <c r="C2788">
        <f>IF(A2788="","",DATE(YEAR(A2788),12,31)-DATE(YEAR(A2788),1,1)+1)</f>
        <v/>
      </c>
      <c r="D2788">
        <f>IF(A2788="","",Ввод!$B$4-SUMIF(Оплаты!$A$6:$A$505,"&lt;"&amp;A2788,Оплаты!$B$6:$B$505))</f>
        <v/>
      </c>
      <c r="E2788">
        <f>IF(A2788="","",IF(SUMPRODUCT((Ввод!$F$12:$F$31&lt;&gt;"")*(Ввод!$F$12:$F$31&lt;=A2788)*(Ввод!$G$12:$G$31&gt;=A2788))&gt;0,1,0))</f>
        <v/>
      </c>
      <c r="F2788">
        <f>IF(OR(A2788="",B2788=""),"",IF(E2788=1,0,D2788*B2788/100/C2788))</f>
        <v/>
      </c>
      <c r="G2788">
        <f>IF(A2788="","",IF(OR(B2788&lt;&gt;B2787,C2788&lt;&gt;C2787,D2788&lt;&gt;D2787,E2788&lt;&gt;E2787),G2787+1,G2787))</f>
        <v/>
      </c>
    </row>
    <row r="2789">
      <c r="A2789" s="14">
        <f>IF(OR(NOT(ISNUMBER(Ввод!$B$5)),NOT(ISNUMBER(Ввод!$B$6))),"",IF(Ввод!$B$5+2787&gt;Ввод!$B$6,"",Ввод!$B$5+2787))</f>
        <v/>
      </c>
      <c r="B2789">
        <f>IF(A2789="","",IFERROR(INDEX(Ввод!$B$12:$B$71,MATCH(A2789,Ввод!$D$12:$D$71,1)),""))</f>
        <v/>
      </c>
      <c r="C2789">
        <f>IF(A2789="","",DATE(YEAR(A2789),12,31)-DATE(YEAR(A2789),1,1)+1)</f>
        <v/>
      </c>
      <c r="D2789">
        <f>IF(A2789="","",Ввод!$B$4-SUMIF(Оплаты!$A$6:$A$505,"&lt;"&amp;A2789,Оплаты!$B$6:$B$505))</f>
        <v/>
      </c>
      <c r="E2789">
        <f>IF(A2789="","",IF(SUMPRODUCT((Ввод!$F$12:$F$31&lt;&gt;"")*(Ввод!$F$12:$F$31&lt;=A2789)*(Ввод!$G$12:$G$31&gt;=A2789))&gt;0,1,0))</f>
        <v/>
      </c>
      <c r="F2789">
        <f>IF(OR(A2789="",B2789=""),"",IF(E2789=1,0,D2789*B2789/100/C2789))</f>
        <v/>
      </c>
      <c r="G2789">
        <f>IF(A2789="","",IF(OR(B2789&lt;&gt;B2788,C2789&lt;&gt;C2788,D2789&lt;&gt;D2788,E2789&lt;&gt;E2788),G2788+1,G2788))</f>
        <v/>
      </c>
    </row>
    <row r="2790">
      <c r="A2790" s="14">
        <f>IF(OR(NOT(ISNUMBER(Ввод!$B$5)),NOT(ISNUMBER(Ввод!$B$6))),"",IF(Ввод!$B$5+2788&gt;Ввод!$B$6,"",Ввод!$B$5+2788))</f>
        <v/>
      </c>
      <c r="B2790">
        <f>IF(A2790="","",IFERROR(INDEX(Ввод!$B$12:$B$71,MATCH(A2790,Ввод!$D$12:$D$71,1)),""))</f>
        <v/>
      </c>
      <c r="C2790">
        <f>IF(A2790="","",DATE(YEAR(A2790),12,31)-DATE(YEAR(A2790),1,1)+1)</f>
        <v/>
      </c>
      <c r="D2790">
        <f>IF(A2790="","",Ввод!$B$4-SUMIF(Оплаты!$A$6:$A$505,"&lt;"&amp;A2790,Оплаты!$B$6:$B$505))</f>
        <v/>
      </c>
      <c r="E2790">
        <f>IF(A2790="","",IF(SUMPRODUCT((Ввод!$F$12:$F$31&lt;&gt;"")*(Ввод!$F$12:$F$31&lt;=A2790)*(Ввод!$G$12:$G$31&gt;=A2790))&gt;0,1,0))</f>
        <v/>
      </c>
      <c r="F2790">
        <f>IF(OR(A2790="",B2790=""),"",IF(E2790=1,0,D2790*B2790/100/C2790))</f>
        <v/>
      </c>
      <c r="G2790">
        <f>IF(A2790="","",IF(OR(B2790&lt;&gt;B2789,C2790&lt;&gt;C2789,D2790&lt;&gt;D2789,E2790&lt;&gt;E2789),G2789+1,G2789))</f>
        <v/>
      </c>
    </row>
    <row r="2791">
      <c r="A2791" s="14">
        <f>IF(OR(NOT(ISNUMBER(Ввод!$B$5)),NOT(ISNUMBER(Ввод!$B$6))),"",IF(Ввод!$B$5+2789&gt;Ввод!$B$6,"",Ввод!$B$5+2789))</f>
        <v/>
      </c>
      <c r="B2791">
        <f>IF(A2791="","",IFERROR(INDEX(Ввод!$B$12:$B$71,MATCH(A2791,Ввод!$D$12:$D$71,1)),""))</f>
        <v/>
      </c>
      <c r="C2791">
        <f>IF(A2791="","",DATE(YEAR(A2791),12,31)-DATE(YEAR(A2791),1,1)+1)</f>
        <v/>
      </c>
      <c r="D2791">
        <f>IF(A2791="","",Ввод!$B$4-SUMIF(Оплаты!$A$6:$A$505,"&lt;"&amp;A2791,Оплаты!$B$6:$B$505))</f>
        <v/>
      </c>
      <c r="E2791">
        <f>IF(A2791="","",IF(SUMPRODUCT((Ввод!$F$12:$F$31&lt;&gt;"")*(Ввод!$F$12:$F$31&lt;=A2791)*(Ввод!$G$12:$G$31&gt;=A2791))&gt;0,1,0))</f>
        <v/>
      </c>
      <c r="F2791">
        <f>IF(OR(A2791="",B2791=""),"",IF(E2791=1,0,D2791*B2791/100/C2791))</f>
        <v/>
      </c>
      <c r="G2791">
        <f>IF(A2791="","",IF(OR(B2791&lt;&gt;B2790,C2791&lt;&gt;C2790,D2791&lt;&gt;D2790,E2791&lt;&gt;E2790),G2790+1,G2790))</f>
        <v/>
      </c>
    </row>
    <row r="2792">
      <c r="A2792" s="14">
        <f>IF(OR(NOT(ISNUMBER(Ввод!$B$5)),NOT(ISNUMBER(Ввод!$B$6))),"",IF(Ввод!$B$5+2790&gt;Ввод!$B$6,"",Ввод!$B$5+2790))</f>
        <v/>
      </c>
      <c r="B2792">
        <f>IF(A2792="","",IFERROR(INDEX(Ввод!$B$12:$B$71,MATCH(A2792,Ввод!$D$12:$D$71,1)),""))</f>
        <v/>
      </c>
      <c r="C2792">
        <f>IF(A2792="","",DATE(YEAR(A2792),12,31)-DATE(YEAR(A2792),1,1)+1)</f>
        <v/>
      </c>
      <c r="D2792">
        <f>IF(A2792="","",Ввод!$B$4-SUMIF(Оплаты!$A$6:$A$505,"&lt;"&amp;A2792,Оплаты!$B$6:$B$505))</f>
        <v/>
      </c>
      <c r="E2792">
        <f>IF(A2792="","",IF(SUMPRODUCT((Ввод!$F$12:$F$31&lt;&gt;"")*(Ввод!$F$12:$F$31&lt;=A2792)*(Ввод!$G$12:$G$31&gt;=A2792))&gt;0,1,0))</f>
        <v/>
      </c>
      <c r="F2792">
        <f>IF(OR(A2792="",B2792=""),"",IF(E2792=1,0,D2792*B2792/100/C2792))</f>
        <v/>
      </c>
      <c r="G2792">
        <f>IF(A2792="","",IF(OR(B2792&lt;&gt;B2791,C2792&lt;&gt;C2791,D2792&lt;&gt;D2791,E2792&lt;&gt;E2791),G2791+1,G2791))</f>
        <v/>
      </c>
    </row>
    <row r="2793">
      <c r="A2793" s="14">
        <f>IF(OR(NOT(ISNUMBER(Ввод!$B$5)),NOT(ISNUMBER(Ввод!$B$6))),"",IF(Ввод!$B$5+2791&gt;Ввод!$B$6,"",Ввод!$B$5+2791))</f>
        <v/>
      </c>
      <c r="B2793">
        <f>IF(A2793="","",IFERROR(INDEX(Ввод!$B$12:$B$71,MATCH(A2793,Ввод!$D$12:$D$71,1)),""))</f>
        <v/>
      </c>
      <c r="C2793">
        <f>IF(A2793="","",DATE(YEAR(A2793),12,31)-DATE(YEAR(A2793),1,1)+1)</f>
        <v/>
      </c>
      <c r="D2793">
        <f>IF(A2793="","",Ввод!$B$4-SUMIF(Оплаты!$A$6:$A$505,"&lt;"&amp;A2793,Оплаты!$B$6:$B$505))</f>
        <v/>
      </c>
      <c r="E2793">
        <f>IF(A2793="","",IF(SUMPRODUCT((Ввод!$F$12:$F$31&lt;&gt;"")*(Ввод!$F$12:$F$31&lt;=A2793)*(Ввод!$G$12:$G$31&gt;=A2793))&gt;0,1,0))</f>
        <v/>
      </c>
      <c r="F2793">
        <f>IF(OR(A2793="",B2793=""),"",IF(E2793=1,0,D2793*B2793/100/C2793))</f>
        <v/>
      </c>
      <c r="G2793">
        <f>IF(A2793="","",IF(OR(B2793&lt;&gt;B2792,C2793&lt;&gt;C2792,D2793&lt;&gt;D2792,E2793&lt;&gt;E2792),G2792+1,G2792))</f>
        <v/>
      </c>
    </row>
    <row r="2794">
      <c r="A2794" s="14">
        <f>IF(OR(NOT(ISNUMBER(Ввод!$B$5)),NOT(ISNUMBER(Ввод!$B$6))),"",IF(Ввод!$B$5+2792&gt;Ввод!$B$6,"",Ввод!$B$5+2792))</f>
        <v/>
      </c>
      <c r="B2794">
        <f>IF(A2794="","",IFERROR(INDEX(Ввод!$B$12:$B$71,MATCH(A2794,Ввод!$D$12:$D$71,1)),""))</f>
        <v/>
      </c>
      <c r="C2794">
        <f>IF(A2794="","",DATE(YEAR(A2794),12,31)-DATE(YEAR(A2794),1,1)+1)</f>
        <v/>
      </c>
      <c r="D2794">
        <f>IF(A2794="","",Ввод!$B$4-SUMIF(Оплаты!$A$6:$A$505,"&lt;"&amp;A2794,Оплаты!$B$6:$B$505))</f>
        <v/>
      </c>
      <c r="E2794">
        <f>IF(A2794="","",IF(SUMPRODUCT((Ввод!$F$12:$F$31&lt;&gt;"")*(Ввод!$F$12:$F$31&lt;=A2794)*(Ввод!$G$12:$G$31&gt;=A2794))&gt;0,1,0))</f>
        <v/>
      </c>
      <c r="F2794">
        <f>IF(OR(A2794="",B2794=""),"",IF(E2794=1,0,D2794*B2794/100/C2794))</f>
        <v/>
      </c>
      <c r="G2794">
        <f>IF(A2794="","",IF(OR(B2794&lt;&gt;B2793,C2794&lt;&gt;C2793,D2794&lt;&gt;D2793,E2794&lt;&gt;E2793),G2793+1,G2793))</f>
        <v/>
      </c>
    </row>
    <row r="2795">
      <c r="A2795" s="14">
        <f>IF(OR(NOT(ISNUMBER(Ввод!$B$5)),NOT(ISNUMBER(Ввод!$B$6))),"",IF(Ввод!$B$5+2793&gt;Ввод!$B$6,"",Ввод!$B$5+2793))</f>
        <v/>
      </c>
      <c r="B2795">
        <f>IF(A2795="","",IFERROR(INDEX(Ввод!$B$12:$B$71,MATCH(A2795,Ввод!$D$12:$D$71,1)),""))</f>
        <v/>
      </c>
      <c r="C2795">
        <f>IF(A2795="","",DATE(YEAR(A2795),12,31)-DATE(YEAR(A2795),1,1)+1)</f>
        <v/>
      </c>
      <c r="D2795">
        <f>IF(A2795="","",Ввод!$B$4-SUMIF(Оплаты!$A$6:$A$505,"&lt;"&amp;A2795,Оплаты!$B$6:$B$505))</f>
        <v/>
      </c>
      <c r="E2795">
        <f>IF(A2795="","",IF(SUMPRODUCT((Ввод!$F$12:$F$31&lt;&gt;"")*(Ввод!$F$12:$F$31&lt;=A2795)*(Ввод!$G$12:$G$31&gt;=A2795))&gt;0,1,0))</f>
        <v/>
      </c>
      <c r="F2795">
        <f>IF(OR(A2795="",B2795=""),"",IF(E2795=1,0,D2795*B2795/100/C2795))</f>
        <v/>
      </c>
      <c r="G2795">
        <f>IF(A2795="","",IF(OR(B2795&lt;&gt;B2794,C2795&lt;&gt;C2794,D2795&lt;&gt;D2794,E2795&lt;&gt;E2794),G2794+1,G2794))</f>
        <v/>
      </c>
    </row>
    <row r="2796">
      <c r="A2796" s="14">
        <f>IF(OR(NOT(ISNUMBER(Ввод!$B$5)),NOT(ISNUMBER(Ввод!$B$6))),"",IF(Ввод!$B$5+2794&gt;Ввод!$B$6,"",Ввод!$B$5+2794))</f>
        <v/>
      </c>
      <c r="B2796">
        <f>IF(A2796="","",IFERROR(INDEX(Ввод!$B$12:$B$71,MATCH(A2796,Ввод!$D$12:$D$71,1)),""))</f>
        <v/>
      </c>
      <c r="C2796">
        <f>IF(A2796="","",DATE(YEAR(A2796),12,31)-DATE(YEAR(A2796),1,1)+1)</f>
        <v/>
      </c>
      <c r="D2796">
        <f>IF(A2796="","",Ввод!$B$4-SUMIF(Оплаты!$A$6:$A$505,"&lt;"&amp;A2796,Оплаты!$B$6:$B$505))</f>
        <v/>
      </c>
      <c r="E2796">
        <f>IF(A2796="","",IF(SUMPRODUCT((Ввод!$F$12:$F$31&lt;&gt;"")*(Ввод!$F$12:$F$31&lt;=A2796)*(Ввод!$G$12:$G$31&gt;=A2796))&gt;0,1,0))</f>
        <v/>
      </c>
      <c r="F2796">
        <f>IF(OR(A2796="",B2796=""),"",IF(E2796=1,0,D2796*B2796/100/C2796))</f>
        <v/>
      </c>
      <c r="G2796">
        <f>IF(A2796="","",IF(OR(B2796&lt;&gt;B2795,C2796&lt;&gt;C2795,D2796&lt;&gt;D2795,E2796&lt;&gt;E2795),G2795+1,G2795))</f>
        <v/>
      </c>
    </row>
    <row r="2797">
      <c r="A2797" s="14">
        <f>IF(OR(NOT(ISNUMBER(Ввод!$B$5)),NOT(ISNUMBER(Ввод!$B$6))),"",IF(Ввод!$B$5+2795&gt;Ввод!$B$6,"",Ввод!$B$5+2795))</f>
        <v/>
      </c>
      <c r="B2797">
        <f>IF(A2797="","",IFERROR(INDEX(Ввод!$B$12:$B$71,MATCH(A2797,Ввод!$D$12:$D$71,1)),""))</f>
        <v/>
      </c>
      <c r="C2797">
        <f>IF(A2797="","",DATE(YEAR(A2797),12,31)-DATE(YEAR(A2797),1,1)+1)</f>
        <v/>
      </c>
      <c r="D2797">
        <f>IF(A2797="","",Ввод!$B$4-SUMIF(Оплаты!$A$6:$A$505,"&lt;"&amp;A2797,Оплаты!$B$6:$B$505))</f>
        <v/>
      </c>
      <c r="E2797">
        <f>IF(A2797="","",IF(SUMPRODUCT((Ввод!$F$12:$F$31&lt;&gt;"")*(Ввод!$F$12:$F$31&lt;=A2797)*(Ввод!$G$12:$G$31&gt;=A2797))&gt;0,1,0))</f>
        <v/>
      </c>
      <c r="F2797">
        <f>IF(OR(A2797="",B2797=""),"",IF(E2797=1,0,D2797*B2797/100/C2797))</f>
        <v/>
      </c>
      <c r="G2797">
        <f>IF(A2797="","",IF(OR(B2797&lt;&gt;B2796,C2797&lt;&gt;C2796,D2797&lt;&gt;D2796,E2797&lt;&gt;E2796),G2796+1,G2796))</f>
        <v/>
      </c>
    </row>
    <row r="2798">
      <c r="A2798" s="14">
        <f>IF(OR(NOT(ISNUMBER(Ввод!$B$5)),NOT(ISNUMBER(Ввод!$B$6))),"",IF(Ввод!$B$5+2796&gt;Ввод!$B$6,"",Ввод!$B$5+2796))</f>
        <v/>
      </c>
      <c r="B2798">
        <f>IF(A2798="","",IFERROR(INDEX(Ввод!$B$12:$B$71,MATCH(A2798,Ввод!$D$12:$D$71,1)),""))</f>
        <v/>
      </c>
      <c r="C2798">
        <f>IF(A2798="","",DATE(YEAR(A2798),12,31)-DATE(YEAR(A2798),1,1)+1)</f>
        <v/>
      </c>
      <c r="D2798">
        <f>IF(A2798="","",Ввод!$B$4-SUMIF(Оплаты!$A$6:$A$505,"&lt;"&amp;A2798,Оплаты!$B$6:$B$505))</f>
        <v/>
      </c>
      <c r="E2798">
        <f>IF(A2798="","",IF(SUMPRODUCT((Ввод!$F$12:$F$31&lt;&gt;"")*(Ввод!$F$12:$F$31&lt;=A2798)*(Ввод!$G$12:$G$31&gt;=A2798))&gt;0,1,0))</f>
        <v/>
      </c>
      <c r="F2798">
        <f>IF(OR(A2798="",B2798=""),"",IF(E2798=1,0,D2798*B2798/100/C2798))</f>
        <v/>
      </c>
      <c r="G2798">
        <f>IF(A2798="","",IF(OR(B2798&lt;&gt;B2797,C2798&lt;&gt;C2797,D2798&lt;&gt;D2797,E2798&lt;&gt;E2797),G2797+1,G2797))</f>
        <v/>
      </c>
    </row>
    <row r="2799">
      <c r="A2799" s="14">
        <f>IF(OR(NOT(ISNUMBER(Ввод!$B$5)),NOT(ISNUMBER(Ввод!$B$6))),"",IF(Ввод!$B$5+2797&gt;Ввод!$B$6,"",Ввод!$B$5+2797))</f>
        <v/>
      </c>
      <c r="B2799">
        <f>IF(A2799="","",IFERROR(INDEX(Ввод!$B$12:$B$71,MATCH(A2799,Ввод!$D$12:$D$71,1)),""))</f>
        <v/>
      </c>
      <c r="C2799">
        <f>IF(A2799="","",DATE(YEAR(A2799),12,31)-DATE(YEAR(A2799),1,1)+1)</f>
        <v/>
      </c>
      <c r="D2799">
        <f>IF(A2799="","",Ввод!$B$4-SUMIF(Оплаты!$A$6:$A$505,"&lt;"&amp;A2799,Оплаты!$B$6:$B$505))</f>
        <v/>
      </c>
      <c r="E2799">
        <f>IF(A2799="","",IF(SUMPRODUCT((Ввод!$F$12:$F$31&lt;&gt;"")*(Ввод!$F$12:$F$31&lt;=A2799)*(Ввод!$G$12:$G$31&gt;=A2799))&gt;0,1,0))</f>
        <v/>
      </c>
      <c r="F2799">
        <f>IF(OR(A2799="",B2799=""),"",IF(E2799=1,0,D2799*B2799/100/C2799))</f>
        <v/>
      </c>
      <c r="G2799">
        <f>IF(A2799="","",IF(OR(B2799&lt;&gt;B2798,C2799&lt;&gt;C2798,D2799&lt;&gt;D2798,E2799&lt;&gt;E2798),G2798+1,G2798))</f>
        <v/>
      </c>
    </row>
    <row r="2800">
      <c r="A2800" s="14">
        <f>IF(OR(NOT(ISNUMBER(Ввод!$B$5)),NOT(ISNUMBER(Ввод!$B$6))),"",IF(Ввод!$B$5+2798&gt;Ввод!$B$6,"",Ввод!$B$5+2798))</f>
        <v/>
      </c>
      <c r="B2800">
        <f>IF(A2800="","",IFERROR(INDEX(Ввод!$B$12:$B$71,MATCH(A2800,Ввод!$D$12:$D$71,1)),""))</f>
        <v/>
      </c>
      <c r="C2800">
        <f>IF(A2800="","",DATE(YEAR(A2800),12,31)-DATE(YEAR(A2800),1,1)+1)</f>
        <v/>
      </c>
      <c r="D2800">
        <f>IF(A2800="","",Ввод!$B$4-SUMIF(Оплаты!$A$6:$A$505,"&lt;"&amp;A2800,Оплаты!$B$6:$B$505))</f>
        <v/>
      </c>
      <c r="E2800">
        <f>IF(A2800="","",IF(SUMPRODUCT((Ввод!$F$12:$F$31&lt;&gt;"")*(Ввод!$F$12:$F$31&lt;=A2800)*(Ввод!$G$12:$G$31&gt;=A2800))&gt;0,1,0))</f>
        <v/>
      </c>
      <c r="F2800">
        <f>IF(OR(A2800="",B2800=""),"",IF(E2800=1,0,D2800*B2800/100/C2800))</f>
        <v/>
      </c>
      <c r="G2800">
        <f>IF(A2800="","",IF(OR(B2800&lt;&gt;B2799,C2800&lt;&gt;C2799,D2800&lt;&gt;D2799,E2800&lt;&gt;E2799),G2799+1,G2799))</f>
        <v/>
      </c>
    </row>
    <row r="2801">
      <c r="A2801" s="14">
        <f>IF(OR(NOT(ISNUMBER(Ввод!$B$5)),NOT(ISNUMBER(Ввод!$B$6))),"",IF(Ввод!$B$5+2799&gt;Ввод!$B$6,"",Ввод!$B$5+2799))</f>
        <v/>
      </c>
      <c r="B2801">
        <f>IF(A2801="","",IFERROR(INDEX(Ввод!$B$12:$B$71,MATCH(A2801,Ввод!$D$12:$D$71,1)),""))</f>
        <v/>
      </c>
      <c r="C2801">
        <f>IF(A2801="","",DATE(YEAR(A2801),12,31)-DATE(YEAR(A2801),1,1)+1)</f>
        <v/>
      </c>
      <c r="D2801">
        <f>IF(A2801="","",Ввод!$B$4-SUMIF(Оплаты!$A$6:$A$505,"&lt;"&amp;A2801,Оплаты!$B$6:$B$505))</f>
        <v/>
      </c>
      <c r="E2801">
        <f>IF(A2801="","",IF(SUMPRODUCT((Ввод!$F$12:$F$31&lt;&gt;"")*(Ввод!$F$12:$F$31&lt;=A2801)*(Ввод!$G$12:$G$31&gt;=A2801))&gt;0,1,0))</f>
        <v/>
      </c>
      <c r="F2801">
        <f>IF(OR(A2801="",B2801=""),"",IF(E2801=1,0,D2801*B2801/100/C2801))</f>
        <v/>
      </c>
      <c r="G2801">
        <f>IF(A2801="","",IF(OR(B2801&lt;&gt;B2800,C2801&lt;&gt;C2800,D2801&lt;&gt;D2800,E2801&lt;&gt;E2800),G2800+1,G2800))</f>
        <v/>
      </c>
    </row>
    <row r="2802">
      <c r="A2802" s="14">
        <f>IF(OR(NOT(ISNUMBER(Ввод!$B$5)),NOT(ISNUMBER(Ввод!$B$6))),"",IF(Ввод!$B$5+2800&gt;Ввод!$B$6,"",Ввод!$B$5+2800))</f>
        <v/>
      </c>
      <c r="B2802">
        <f>IF(A2802="","",IFERROR(INDEX(Ввод!$B$12:$B$71,MATCH(A2802,Ввод!$D$12:$D$71,1)),""))</f>
        <v/>
      </c>
      <c r="C2802">
        <f>IF(A2802="","",DATE(YEAR(A2802),12,31)-DATE(YEAR(A2802),1,1)+1)</f>
        <v/>
      </c>
      <c r="D2802">
        <f>IF(A2802="","",Ввод!$B$4-SUMIF(Оплаты!$A$6:$A$505,"&lt;"&amp;A2802,Оплаты!$B$6:$B$505))</f>
        <v/>
      </c>
      <c r="E2802">
        <f>IF(A2802="","",IF(SUMPRODUCT((Ввод!$F$12:$F$31&lt;&gt;"")*(Ввод!$F$12:$F$31&lt;=A2802)*(Ввод!$G$12:$G$31&gt;=A2802))&gt;0,1,0))</f>
        <v/>
      </c>
      <c r="F2802">
        <f>IF(OR(A2802="",B2802=""),"",IF(E2802=1,0,D2802*B2802/100/C2802))</f>
        <v/>
      </c>
      <c r="G2802">
        <f>IF(A2802="","",IF(OR(B2802&lt;&gt;B2801,C2802&lt;&gt;C2801,D2802&lt;&gt;D2801,E2802&lt;&gt;E2801),G2801+1,G2801))</f>
        <v/>
      </c>
    </row>
    <row r="2803">
      <c r="A2803" s="14">
        <f>IF(OR(NOT(ISNUMBER(Ввод!$B$5)),NOT(ISNUMBER(Ввод!$B$6))),"",IF(Ввод!$B$5+2801&gt;Ввод!$B$6,"",Ввод!$B$5+2801))</f>
        <v/>
      </c>
      <c r="B2803">
        <f>IF(A2803="","",IFERROR(INDEX(Ввод!$B$12:$B$71,MATCH(A2803,Ввод!$D$12:$D$71,1)),""))</f>
        <v/>
      </c>
      <c r="C2803">
        <f>IF(A2803="","",DATE(YEAR(A2803),12,31)-DATE(YEAR(A2803),1,1)+1)</f>
        <v/>
      </c>
      <c r="D2803">
        <f>IF(A2803="","",Ввод!$B$4-SUMIF(Оплаты!$A$6:$A$505,"&lt;"&amp;A2803,Оплаты!$B$6:$B$505))</f>
        <v/>
      </c>
      <c r="E2803">
        <f>IF(A2803="","",IF(SUMPRODUCT((Ввод!$F$12:$F$31&lt;&gt;"")*(Ввод!$F$12:$F$31&lt;=A2803)*(Ввод!$G$12:$G$31&gt;=A2803))&gt;0,1,0))</f>
        <v/>
      </c>
      <c r="F2803">
        <f>IF(OR(A2803="",B2803=""),"",IF(E2803=1,0,D2803*B2803/100/C2803))</f>
        <v/>
      </c>
      <c r="G2803">
        <f>IF(A2803="","",IF(OR(B2803&lt;&gt;B2802,C2803&lt;&gt;C2802,D2803&lt;&gt;D2802,E2803&lt;&gt;E2802),G2802+1,G2802))</f>
        <v/>
      </c>
    </row>
    <row r="2804">
      <c r="A2804" s="14">
        <f>IF(OR(NOT(ISNUMBER(Ввод!$B$5)),NOT(ISNUMBER(Ввод!$B$6))),"",IF(Ввод!$B$5+2802&gt;Ввод!$B$6,"",Ввод!$B$5+2802))</f>
        <v/>
      </c>
      <c r="B2804">
        <f>IF(A2804="","",IFERROR(INDEX(Ввод!$B$12:$B$71,MATCH(A2804,Ввод!$D$12:$D$71,1)),""))</f>
        <v/>
      </c>
      <c r="C2804">
        <f>IF(A2804="","",DATE(YEAR(A2804),12,31)-DATE(YEAR(A2804),1,1)+1)</f>
        <v/>
      </c>
      <c r="D2804">
        <f>IF(A2804="","",Ввод!$B$4-SUMIF(Оплаты!$A$6:$A$505,"&lt;"&amp;A2804,Оплаты!$B$6:$B$505))</f>
        <v/>
      </c>
      <c r="E2804">
        <f>IF(A2804="","",IF(SUMPRODUCT((Ввод!$F$12:$F$31&lt;&gt;"")*(Ввод!$F$12:$F$31&lt;=A2804)*(Ввод!$G$12:$G$31&gt;=A2804))&gt;0,1,0))</f>
        <v/>
      </c>
      <c r="F2804">
        <f>IF(OR(A2804="",B2804=""),"",IF(E2804=1,0,D2804*B2804/100/C2804))</f>
        <v/>
      </c>
      <c r="G2804">
        <f>IF(A2804="","",IF(OR(B2804&lt;&gt;B2803,C2804&lt;&gt;C2803,D2804&lt;&gt;D2803,E2804&lt;&gt;E2803),G2803+1,G2803))</f>
        <v/>
      </c>
    </row>
    <row r="2805">
      <c r="A2805" s="14">
        <f>IF(OR(NOT(ISNUMBER(Ввод!$B$5)),NOT(ISNUMBER(Ввод!$B$6))),"",IF(Ввод!$B$5+2803&gt;Ввод!$B$6,"",Ввод!$B$5+2803))</f>
        <v/>
      </c>
      <c r="B2805">
        <f>IF(A2805="","",IFERROR(INDEX(Ввод!$B$12:$B$71,MATCH(A2805,Ввод!$D$12:$D$71,1)),""))</f>
        <v/>
      </c>
      <c r="C2805">
        <f>IF(A2805="","",DATE(YEAR(A2805),12,31)-DATE(YEAR(A2805),1,1)+1)</f>
        <v/>
      </c>
      <c r="D2805">
        <f>IF(A2805="","",Ввод!$B$4-SUMIF(Оплаты!$A$6:$A$505,"&lt;"&amp;A2805,Оплаты!$B$6:$B$505))</f>
        <v/>
      </c>
      <c r="E2805">
        <f>IF(A2805="","",IF(SUMPRODUCT((Ввод!$F$12:$F$31&lt;&gt;"")*(Ввод!$F$12:$F$31&lt;=A2805)*(Ввод!$G$12:$G$31&gt;=A2805))&gt;0,1,0))</f>
        <v/>
      </c>
      <c r="F2805">
        <f>IF(OR(A2805="",B2805=""),"",IF(E2805=1,0,D2805*B2805/100/C2805))</f>
        <v/>
      </c>
      <c r="G2805">
        <f>IF(A2805="","",IF(OR(B2805&lt;&gt;B2804,C2805&lt;&gt;C2804,D2805&lt;&gt;D2804,E2805&lt;&gt;E2804),G2804+1,G2804))</f>
        <v/>
      </c>
    </row>
    <row r="2806">
      <c r="A2806" s="14">
        <f>IF(OR(NOT(ISNUMBER(Ввод!$B$5)),NOT(ISNUMBER(Ввод!$B$6))),"",IF(Ввод!$B$5+2804&gt;Ввод!$B$6,"",Ввод!$B$5+2804))</f>
        <v/>
      </c>
      <c r="B2806">
        <f>IF(A2806="","",IFERROR(INDEX(Ввод!$B$12:$B$71,MATCH(A2806,Ввод!$D$12:$D$71,1)),""))</f>
        <v/>
      </c>
      <c r="C2806">
        <f>IF(A2806="","",DATE(YEAR(A2806),12,31)-DATE(YEAR(A2806),1,1)+1)</f>
        <v/>
      </c>
      <c r="D2806">
        <f>IF(A2806="","",Ввод!$B$4-SUMIF(Оплаты!$A$6:$A$505,"&lt;"&amp;A2806,Оплаты!$B$6:$B$505))</f>
        <v/>
      </c>
      <c r="E2806">
        <f>IF(A2806="","",IF(SUMPRODUCT((Ввод!$F$12:$F$31&lt;&gt;"")*(Ввод!$F$12:$F$31&lt;=A2806)*(Ввод!$G$12:$G$31&gt;=A2806))&gt;0,1,0))</f>
        <v/>
      </c>
      <c r="F2806">
        <f>IF(OR(A2806="",B2806=""),"",IF(E2806=1,0,D2806*B2806/100/C2806))</f>
        <v/>
      </c>
      <c r="G2806">
        <f>IF(A2806="","",IF(OR(B2806&lt;&gt;B2805,C2806&lt;&gt;C2805,D2806&lt;&gt;D2805,E2806&lt;&gt;E2805),G2805+1,G2805))</f>
        <v/>
      </c>
    </row>
    <row r="2807">
      <c r="A2807" s="14">
        <f>IF(OR(NOT(ISNUMBER(Ввод!$B$5)),NOT(ISNUMBER(Ввод!$B$6))),"",IF(Ввод!$B$5+2805&gt;Ввод!$B$6,"",Ввод!$B$5+2805))</f>
        <v/>
      </c>
      <c r="B2807">
        <f>IF(A2807="","",IFERROR(INDEX(Ввод!$B$12:$B$71,MATCH(A2807,Ввод!$D$12:$D$71,1)),""))</f>
        <v/>
      </c>
      <c r="C2807">
        <f>IF(A2807="","",DATE(YEAR(A2807),12,31)-DATE(YEAR(A2807),1,1)+1)</f>
        <v/>
      </c>
      <c r="D2807">
        <f>IF(A2807="","",Ввод!$B$4-SUMIF(Оплаты!$A$6:$A$505,"&lt;"&amp;A2807,Оплаты!$B$6:$B$505))</f>
        <v/>
      </c>
      <c r="E2807">
        <f>IF(A2807="","",IF(SUMPRODUCT((Ввод!$F$12:$F$31&lt;&gt;"")*(Ввод!$F$12:$F$31&lt;=A2807)*(Ввод!$G$12:$G$31&gt;=A2807))&gt;0,1,0))</f>
        <v/>
      </c>
      <c r="F2807">
        <f>IF(OR(A2807="",B2807=""),"",IF(E2807=1,0,D2807*B2807/100/C2807))</f>
        <v/>
      </c>
      <c r="G2807">
        <f>IF(A2807="","",IF(OR(B2807&lt;&gt;B2806,C2807&lt;&gt;C2806,D2807&lt;&gt;D2806,E2807&lt;&gt;E2806),G2806+1,G2806))</f>
        <v/>
      </c>
    </row>
    <row r="2808">
      <c r="A2808" s="14">
        <f>IF(OR(NOT(ISNUMBER(Ввод!$B$5)),NOT(ISNUMBER(Ввод!$B$6))),"",IF(Ввод!$B$5+2806&gt;Ввод!$B$6,"",Ввод!$B$5+2806))</f>
        <v/>
      </c>
      <c r="B2808">
        <f>IF(A2808="","",IFERROR(INDEX(Ввод!$B$12:$B$71,MATCH(A2808,Ввод!$D$12:$D$71,1)),""))</f>
        <v/>
      </c>
      <c r="C2808">
        <f>IF(A2808="","",DATE(YEAR(A2808),12,31)-DATE(YEAR(A2808),1,1)+1)</f>
        <v/>
      </c>
      <c r="D2808">
        <f>IF(A2808="","",Ввод!$B$4-SUMIF(Оплаты!$A$6:$A$505,"&lt;"&amp;A2808,Оплаты!$B$6:$B$505))</f>
        <v/>
      </c>
      <c r="E2808">
        <f>IF(A2808="","",IF(SUMPRODUCT((Ввод!$F$12:$F$31&lt;&gt;"")*(Ввод!$F$12:$F$31&lt;=A2808)*(Ввод!$G$12:$G$31&gt;=A2808))&gt;0,1,0))</f>
        <v/>
      </c>
      <c r="F2808">
        <f>IF(OR(A2808="",B2808=""),"",IF(E2808=1,0,D2808*B2808/100/C2808))</f>
        <v/>
      </c>
      <c r="G2808">
        <f>IF(A2808="","",IF(OR(B2808&lt;&gt;B2807,C2808&lt;&gt;C2807,D2808&lt;&gt;D2807,E2808&lt;&gt;E2807),G2807+1,G2807))</f>
        <v/>
      </c>
    </row>
    <row r="2809">
      <c r="A2809" s="14">
        <f>IF(OR(NOT(ISNUMBER(Ввод!$B$5)),NOT(ISNUMBER(Ввод!$B$6))),"",IF(Ввод!$B$5+2807&gt;Ввод!$B$6,"",Ввод!$B$5+2807))</f>
        <v/>
      </c>
      <c r="B2809">
        <f>IF(A2809="","",IFERROR(INDEX(Ввод!$B$12:$B$71,MATCH(A2809,Ввод!$D$12:$D$71,1)),""))</f>
        <v/>
      </c>
      <c r="C2809">
        <f>IF(A2809="","",DATE(YEAR(A2809),12,31)-DATE(YEAR(A2809),1,1)+1)</f>
        <v/>
      </c>
      <c r="D2809">
        <f>IF(A2809="","",Ввод!$B$4-SUMIF(Оплаты!$A$6:$A$505,"&lt;"&amp;A2809,Оплаты!$B$6:$B$505))</f>
        <v/>
      </c>
      <c r="E2809">
        <f>IF(A2809="","",IF(SUMPRODUCT((Ввод!$F$12:$F$31&lt;&gt;"")*(Ввод!$F$12:$F$31&lt;=A2809)*(Ввод!$G$12:$G$31&gt;=A2809))&gt;0,1,0))</f>
        <v/>
      </c>
      <c r="F2809">
        <f>IF(OR(A2809="",B2809=""),"",IF(E2809=1,0,D2809*B2809/100/C2809))</f>
        <v/>
      </c>
      <c r="G2809">
        <f>IF(A2809="","",IF(OR(B2809&lt;&gt;B2808,C2809&lt;&gt;C2808,D2809&lt;&gt;D2808,E2809&lt;&gt;E2808),G2808+1,G2808))</f>
        <v/>
      </c>
    </row>
    <row r="2810">
      <c r="A2810" s="14">
        <f>IF(OR(NOT(ISNUMBER(Ввод!$B$5)),NOT(ISNUMBER(Ввод!$B$6))),"",IF(Ввод!$B$5+2808&gt;Ввод!$B$6,"",Ввод!$B$5+2808))</f>
        <v/>
      </c>
      <c r="B2810">
        <f>IF(A2810="","",IFERROR(INDEX(Ввод!$B$12:$B$71,MATCH(A2810,Ввод!$D$12:$D$71,1)),""))</f>
        <v/>
      </c>
      <c r="C2810">
        <f>IF(A2810="","",DATE(YEAR(A2810),12,31)-DATE(YEAR(A2810),1,1)+1)</f>
        <v/>
      </c>
      <c r="D2810">
        <f>IF(A2810="","",Ввод!$B$4-SUMIF(Оплаты!$A$6:$A$505,"&lt;"&amp;A2810,Оплаты!$B$6:$B$505))</f>
        <v/>
      </c>
      <c r="E2810">
        <f>IF(A2810="","",IF(SUMPRODUCT((Ввод!$F$12:$F$31&lt;&gt;"")*(Ввод!$F$12:$F$31&lt;=A2810)*(Ввод!$G$12:$G$31&gt;=A2810))&gt;0,1,0))</f>
        <v/>
      </c>
      <c r="F2810">
        <f>IF(OR(A2810="",B2810=""),"",IF(E2810=1,0,D2810*B2810/100/C2810))</f>
        <v/>
      </c>
      <c r="G2810">
        <f>IF(A2810="","",IF(OR(B2810&lt;&gt;B2809,C2810&lt;&gt;C2809,D2810&lt;&gt;D2809,E2810&lt;&gt;E2809),G2809+1,G2809))</f>
        <v/>
      </c>
    </row>
    <row r="2811">
      <c r="A2811" s="14">
        <f>IF(OR(NOT(ISNUMBER(Ввод!$B$5)),NOT(ISNUMBER(Ввод!$B$6))),"",IF(Ввод!$B$5+2809&gt;Ввод!$B$6,"",Ввод!$B$5+2809))</f>
        <v/>
      </c>
      <c r="B2811">
        <f>IF(A2811="","",IFERROR(INDEX(Ввод!$B$12:$B$71,MATCH(A2811,Ввод!$D$12:$D$71,1)),""))</f>
        <v/>
      </c>
      <c r="C2811">
        <f>IF(A2811="","",DATE(YEAR(A2811),12,31)-DATE(YEAR(A2811),1,1)+1)</f>
        <v/>
      </c>
      <c r="D2811">
        <f>IF(A2811="","",Ввод!$B$4-SUMIF(Оплаты!$A$6:$A$505,"&lt;"&amp;A2811,Оплаты!$B$6:$B$505))</f>
        <v/>
      </c>
      <c r="E2811">
        <f>IF(A2811="","",IF(SUMPRODUCT((Ввод!$F$12:$F$31&lt;&gt;"")*(Ввод!$F$12:$F$31&lt;=A2811)*(Ввод!$G$12:$G$31&gt;=A2811))&gt;0,1,0))</f>
        <v/>
      </c>
      <c r="F2811">
        <f>IF(OR(A2811="",B2811=""),"",IF(E2811=1,0,D2811*B2811/100/C2811))</f>
        <v/>
      </c>
      <c r="G2811">
        <f>IF(A2811="","",IF(OR(B2811&lt;&gt;B2810,C2811&lt;&gt;C2810,D2811&lt;&gt;D2810,E2811&lt;&gt;E2810),G2810+1,G2810))</f>
        <v/>
      </c>
    </row>
    <row r="2812">
      <c r="A2812" s="14">
        <f>IF(OR(NOT(ISNUMBER(Ввод!$B$5)),NOT(ISNUMBER(Ввод!$B$6))),"",IF(Ввод!$B$5+2810&gt;Ввод!$B$6,"",Ввод!$B$5+2810))</f>
        <v/>
      </c>
      <c r="B2812">
        <f>IF(A2812="","",IFERROR(INDEX(Ввод!$B$12:$B$71,MATCH(A2812,Ввод!$D$12:$D$71,1)),""))</f>
        <v/>
      </c>
      <c r="C2812">
        <f>IF(A2812="","",DATE(YEAR(A2812),12,31)-DATE(YEAR(A2812),1,1)+1)</f>
        <v/>
      </c>
      <c r="D2812">
        <f>IF(A2812="","",Ввод!$B$4-SUMIF(Оплаты!$A$6:$A$505,"&lt;"&amp;A2812,Оплаты!$B$6:$B$505))</f>
        <v/>
      </c>
      <c r="E2812">
        <f>IF(A2812="","",IF(SUMPRODUCT((Ввод!$F$12:$F$31&lt;&gt;"")*(Ввод!$F$12:$F$31&lt;=A2812)*(Ввод!$G$12:$G$31&gt;=A2812))&gt;0,1,0))</f>
        <v/>
      </c>
      <c r="F2812">
        <f>IF(OR(A2812="",B2812=""),"",IF(E2812=1,0,D2812*B2812/100/C2812))</f>
        <v/>
      </c>
      <c r="G2812">
        <f>IF(A2812="","",IF(OR(B2812&lt;&gt;B2811,C2812&lt;&gt;C2811,D2812&lt;&gt;D2811,E2812&lt;&gt;E2811),G2811+1,G2811))</f>
        <v/>
      </c>
    </row>
    <row r="2813">
      <c r="A2813" s="14">
        <f>IF(OR(NOT(ISNUMBER(Ввод!$B$5)),NOT(ISNUMBER(Ввод!$B$6))),"",IF(Ввод!$B$5+2811&gt;Ввод!$B$6,"",Ввод!$B$5+2811))</f>
        <v/>
      </c>
      <c r="B2813">
        <f>IF(A2813="","",IFERROR(INDEX(Ввод!$B$12:$B$71,MATCH(A2813,Ввод!$D$12:$D$71,1)),""))</f>
        <v/>
      </c>
      <c r="C2813">
        <f>IF(A2813="","",DATE(YEAR(A2813),12,31)-DATE(YEAR(A2813),1,1)+1)</f>
        <v/>
      </c>
      <c r="D2813">
        <f>IF(A2813="","",Ввод!$B$4-SUMIF(Оплаты!$A$6:$A$505,"&lt;"&amp;A2813,Оплаты!$B$6:$B$505))</f>
        <v/>
      </c>
      <c r="E2813">
        <f>IF(A2813="","",IF(SUMPRODUCT((Ввод!$F$12:$F$31&lt;&gt;"")*(Ввод!$F$12:$F$31&lt;=A2813)*(Ввод!$G$12:$G$31&gt;=A2813))&gt;0,1,0))</f>
        <v/>
      </c>
      <c r="F2813">
        <f>IF(OR(A2813="",B2813=""),"",IF(E2813=1,0,D2813*B2813/100/C2813))</f>
        <v/>
      </c>
      <c r="G2813">
        <f>IF(A2813="","",IF(OR(B2813&lt;&gt;B2812,C2813&lt;&gt;C2812,D2813&lt;&gt;D2812,E2813&lt;&gt;E2812),G2812+1,G2812))</f>
        <v/>
      </c>
    </row>
    <row r="2814">
      <c r="A2814" s="14">
        <f>IF(OR(NOT(ISNUMBER(Ввод!$B$5)),NOT(ISNUMBER(Ввод!$B$6))),"",IF(Ввод!$B$5+2812&gt;Ввод!$B$6,"",Ввод!$B$5+2812))</f>
        <v/>
      </c>
      <c r="B2814">
        <f>IF(A2814="","",IFERROR(INDEX(Ввод!$B$12:$B$71,MATCH(A2814,Ввод!$D$12:$D$71,1)),""))</f>
        <v/>
      </c>
      <c r="C2814">
        <f>IF(A2814="","",DATE(YEAR(A2814),12,31)-DATE(YEAR(A2814),1,1)+1)</f>
        <v/>
      </c>
      <c r="D2814">
        <f>IF(A2814="","",Ввод!$B$4-SUMIF(Оплаты!$A$6:$A$505,"&lt;"&amp;A2814,Оплаты!$B$6:$B$505))</f>
        <v/>
      </c>
      <c r="E2814">
        <f>IF(A2814="","",IF(SUMPRODUCT((Ввод!$F$12:$F$31&lt;&gt;"")*(Ввод!$F$12:$F$31&lt;=A2814)*(Ввод!$G$12:$G$31&gt;=A2814))&gt;0,1,0))</f>
        <v/>
      </c>
      <c r="F2814">
        <f>IF(OR(A2814="",B2814=""),"",IF(E2814=1,0,D2814*B2814/100/C2814))</f>
        <v/>
      </c>
      <c r="G2814">
        <f>IF(A2814="","",IF(OR(B2814&lt;&gt;B2813,C2814&lt;&gt;C2813,D2814&lt;&gt;D2813,E2814&lt;&gt;E2813),G2813+1,G2813))</f>
        <v/>
      </c>
    </row>
    <row r="2815">
      <c r="A2815" s="14">
        <f>IF(OR(NOT(ISNUMBER(Ввод!$B$5)),NOT(ISNUMBER(Ввод!$B$6))),"",IF(Ввод!$B$5+2813&gt;Ввод!$B$6,"",Ввод!$B$5+2813))</f>
        <v/>
      </c>
      <c r="B2815">
        <f>IF(A2815="","",IFERROR(INDEX(Ввод!$B$12:$B$71,MATCH(A2815,Ввод!$D$12:$D$71,1)),""))</f>
        <v/>
      </c>
      <c r="C2815">
        <f>IF(A2815="","",DATE(YEAR(A2815),12,31)-DATE(YEAR(A2815),1,1)+1)</f>
        <v/>
      </c>
      <c r="D2815">
        <f>IF(A2815="","",Ввод!$B$4-SUMIF(Оплаты!$A$6:$A$505,"&lt;"&amp;A2815,Оплаты!$B$6:$B$505))</f>
        <v/>
      </c>
      <c r="E2815">
        <f>IF(A2815="","",IF(SUMPRODUCT((Ввод!$F$12:$F$31&lt;&gt;"")*(Ввод!$F$12:$F$31&lt;=A2815)*(Ввод!$G$12:$G$31&gt;=A2815))&gt;0,1,0))</f>
        <v/>
      </c>
      <c r="F2815">
        <f>IF(OR(A2815="",B2815=""),"",IF(E2815=1,0,D2815*B2815/100/C2815))</f>
        <v/>
      </c>
      <c r="G2815">
        <f>IF(A2815="","",IF(OR(B2815&lt;&gt;B2814,C2815&lt;&gt;C2814,D2815&lt;&gt;D2814,E2815&lt;&gt;E2814),G2814+1,G2814))</f>
        <v/>
      </c>
    </row>
    <row r="2816">
      <c r="A2816" s="14">
        <f>IF(OR(NOT(ISNUMBER(Ввод!$B$5)),NOT(ISNUMBER(Ввод!$B$6))),"",IF(Ввод!$B$5+2814&gt;Ввод!$B$6,"",Ввод!$B$5+2814))</f>
        <v/>
      </c>
      <c r="B2816">
        <f>IF(A2816="","",IFERROR(INDEX(Ввод!$B$12:$B$71,MATCH(A2816,Ввод!$D$12:$D$71,1)),""))</f>
        <v/>
      </c>
      <c r="C2816">
        <f>IF(A2816="","",DATE(YEAR(A2816),12,31)-DATE(YEAR(A2816),1,1)+1)</f>
        <v/>
      </c>
      <c r="D2816">
        <f>IF(A2816="","",Ввод!$B$4-SUMIF(Оплаты!$A$6:$A$505,"&lt;"&amp;A2816,Оплаты!$B$6:$B$505))</f>
        <v/>
      </c>
      <c r="E2816">
        <f>IF(A2816="","",IF(SUMPRODUCT((Ввод!$F$12:$F$31&lt;&gt;"")*(Ввод!$F$12:$F$31&lt;=A2816)*(Ввод!$G$12:$G$31&gt;=A2816))&gt;0,1,0))</f>
        <v/>
      </c>
      <c r="F2816">
        <f>IF(OR(A2816="",B2816=""),"",IF(E2816=1,0,D2816*B2816/100/C2816))</f>
        <v/>
      </c>
      <c r="G2816">
        <f>IF(A2816="","",IF(OR(B2816&lt;&gt;B2815,C2816&lt;&gt;C2815,D2816&lt;&gt;D2815,E2816&lt;&gt;E2815),G2815+1,G2815))</f>
        <v/>
      </c>
    </row>
    <row r="2817">
      <c r="A2817" s="14">
        <f>IF(OR(NOT(ISNUMBER(Ввод!$B$5)),NOT(ISNUMBER(Ввод!$B$6))),"",IF(Ввод!$B$5+2815&gt;Ввод!$B$6,"",Ввод!$B$5+2815))</f>
        <v/>
      </c>
      <c r="B2817">
        <f>IF(A2817="","",IFERROR(INDEX(Ввод!$B$12:$B$71,MATCH(A2817,Ввод!$D$12:$D$71,1)),""))</f>
        <v/>
      </c>
      <c r="C2817">
        <f>IF(A2817="","",DATE(YEAR(A2817),12,31)-DATE(YEAR(A2817),1,1)+1)</f>
        <v/>
      </c>
      <c r="D2817">
        <f>IF(A2817="","",Ввод!$B$4-SUMIF(Оплаты!$A$6:$A$505,"&lt;"&amp;A2817,Оплаты!$B$6:$B$505))</f>
        <v/>
      </c>
      <c r="E2817">
        <f>IF(A2817="","",IF(SUMPRODUCT((Ввод!$F$12:$F$31&lt;&gt;"")*(Ввод!$F$12:$F$31&lt;=A2817)*(Ввод!$G$12:$G$31&gt;=A2817))&gt;0,1,0))</f>
        <v/>
      </c>
      <c r="F2817">
        <f>IF(OR(A2817="",B2817=""),"",IF(E2817=1,0,D2817*B2817/100/C2817))</f>
        <v/>
      </c>
      <c r="G2817">
        <f>IF(A2817="","",IF(OR(B2817&lt;&gt;B2816,C2817&lt;&gt;C2816,D2817&lt;&gt;D2816,E2817&lt;&gt;E2816),G2816+1,G2816))</f>
        <v/>
      </c>
    </row>
    <row r="2818">
      <c r="A2818" s="14">
        <f>IF(OR(NOT(ISNUMBER(Ввод!$B$5)),NOT(ISNUMBER(Ввод!$B$6))),"",IF(Ввод!$B$5+2816&gt;Ввод!$B$6,"",Ввод!$B$5+2816))</f>
        <v/>
      </c>
      <c r="B2818">
        <f>IF(A2818="","",IFERROR(INDEX(Ввод!$B$12:$B$71,MATCH(A2818,Ввод!$D$12:$D$71,1)),""))</f>
        <v/>
      </c>
      <c r="C2818">
        <f>IF(A2818="","",DATE(YEAR(A2818),12,31)-DATE(YEAR(A2818),1,1)+1)</f>
        <v/>
      </c>
      <c r="D2818">
        <f>IF(A2818="","",Ввод!$B$4-SUMIF(Оплаты!$A$6:$A$505,"&lt;"&amp;A2818,Оплаты!$B$6:$B$505))</f>
        <v/>
      </c>
      <c r="E2818">
        <f>IF(A2818="","",IF(SUMPRODUCT((Ввод!$F$12:$F$31&lt;&gt;"")*(Ввод!$F$12:$F$31&lt;=A2818)*(Ввод!$G$12:$G$31&gt;=A2818))&gt;0,1,0))</f>
        <v/>
      </c>
      <c r="F2818">
        <f>IF(OR(A2818="",B2818=""),"",IF(E2818=1,0,D2818*B2818/100/C2818))</f>
        <v/>
      </c>
      <c r="G2818">
        <f>IF(A2818="","",IF(OR(B2818&lt;&gt;B2817,C2818&lt;&gt;C2817,D2818&lt;&gt;D2817,E2818&lt;&gt;E2817),G2817+1,G2817))</f>
        <v/>
      </c>
    </row>
    <row r="2819">
      <c r="A2819" s="14">
        <f>IF(OR(NOT(ISNUMBER(Ввод!$B$5)),NOT(ISNUMBER(Ввод!$B$6))),"",IF(Ввод!$B$5+2817&gt;Ввод!$B$6,"",Ввод!$B$5+2817))</f>
        <v/>
      </c>
      <c r="B2819">
        <f>IF(A2819="","",IFERROR(INDEX(Ввод!$B$12:$B$71,MATCH(A2819,Ввод!$D$12:$D$71,1)),""))</f>
        <v/>
      </c>
      <c r="C2819">
        <f>IF(A2819="","",DATE(YEAR(A2819),12,31)-DATE(YEAR(A2819),1,1)+1)</f>
        <v/>
      </c>
      <c r="D2819">
        <f>IF(A2819="","",Ввод!$B$4-SUMIF(Оплаты!$A$6:$A$505,"&lt;"&amp;A2819,Оплаты!$B$6:$B$505))</f>
        <v/>
      </c>
      <c r="E2819">
        <f>IF(A2819="","",IF(SUMPRODUCT((Ввод!$F$12:$F$31&lt;&gt;"")*(Ввод!$F$12:$F$31&lt;=A2819)*(Ввод!$G$12:$G$31&gt;=A2819))&gt;0,1,0))</f>
        <v/>
      </c>
      <c r="F2819">
        <f>IF(OR(A2819="",B2819=""),"",IF(E2819=1,0,D2819*B2819/100/C2819))</f>
        <v/>
      </c>
      <c r="G2819">
        <f>IF(A2819="","",IF(OR(B2819&lt;&gt;B2818,C2819&lt;&gt;C2818,D2819&lt;&gt;D2818,E2819&lt;&gt;E2818),G2818+1,G2818))</f>
        <v/>
      </c>
    </row>
    <row r="2820">
      <c r="A2820" s="14">
        <f>IF(OR(NOT(ISNUMBER(Ввод!$B$5)),NOT(ISNUMBER(Ввод!$B$6))),"",IF(Ввод!$B$5+2818&gt;Ввод!$B$6,"",Ввод!$B$5+2818))</f>
        <v/>
      </c>
      <c r="B2820">
        <f>IF(A2820="","",IFERROR(INDEX(Ввод!$B$12:$B$71,MATCH(A2820,Ввод!$D$12:$D$71,1)),""))</f>
        <v/>
      </c>
      <c r="C2820">
        <f>IF(A2820="","",DATE(YEAR(A2820),12,31)-DATE(YEAR(A2820),1,1)+1)</f>
        <v/>
      </c>
      <c r="D2820">
        <f>IF(A2820="","",Ввод!$B$4-SUMIF(Оплаты!$A$6:$A$505,"&lt;"&amp;A2820,Оплаты!$B$6:$B$505))</f>
        <v/>
      </c>
      <c r="E2820">
        <f>IF(A2820="","",IF(SUMPRODUCT((Ввод!$F$12:$F$31&lt;&gt;"")*(Ввод!$F$12:$F$31&lt;=A2820)*(Ввод!$G$12:$G$31&gt;=A2820))&gt;0,1,0))</f>
        <v/>
      </c>
      <c r="F2820">
        <f>IF(OR(A2820="",B2820=""),"",IF(E2820=1,0,D2820*B2820/100/C2820))</f>
        <v/>
      </c>
      <c r="G2820">
        <f>IF(A2820="","",IF(OR(B2820&lt;&gt;B2819,C2820&lt;&gt;C2819,D2820&lt;&gt;D2819,E2820&lt;&gt;E2819),G2819+1,G2819))</f>
        <v/>
      </c>
    </row>
    <row r="2821">
      <c r="A2821" s="14">
        <f>IF(OR(NOT(ISNUMBER(Ввод!$B$5)),NOT(ISNUMBER(Ввод!$B$6))),"",IF(Ввод!$B$5+2819&gt;Ввод!$B$6,"",Ввод!$B$5+2819))</f>
        <v/>
      </c>
      <c r="B2821">
        <f>IF(A2821="","",IFERROR(INDEX(Ввод!$B$12:$B$71,MATCH(A2821,Ввод!$D$12:$D$71,1)),""))</f>
        <v/>
      </c>
      <c r="C2821">
        <f>IF(A2821="","",DATE(YEAR(A2821),12,31)-DATE(YEAR(A2821),1,1)+1)</f>
        <v/>
      </c>
      <c r="D2821">
        <f>IF(A2821="","",Ввод!$B$4-SUMIF(Оплаты!$A$6:$A$505,"&lt;"&amp;A2821,Оплаты!$B$6:$B$505))</f>
        <v/>
      </c>
      <c r="E2821">
        <f>IF(A2821="","",IF(SUMPRODUCT((Ввод!$F$12:$F$31&lt;&gt;"")*(Ввод!$F$12:$F$31&lt;=A2821)*(Ввод!$G$12:$G$31&gt;=A2821))&gt;0,1,0))</f>
        <v/>
      </c>
      <c r="F2821">
        <f>IF(OR(A2821="",B2821=""),"",IF(E2821=1,0,D2821*B2821/100/C2821))</f>
        <v/>
      </c>
      <c r="G2821">
        <f>IF(A2821="","",IF(OR(B2821&lt;&gt;B2820,C2821&lt;&gt;C2820,D2821&lt;&gt;D2820,E2821&lt;&gt;E2820),G2820+1,G2820))</f>
        <v/>
      </c>
    </row>
    <row r="2822">
      <c r="A2822" s="14">
        <f>IF(OR(NOT(ISNUMBER(Ввод!$B$5)),NOT(ISNUMBER(Ввод!$B$6))),"",IF(Ввод!$B$5+2820&gt;Ввод!$B$6,"",Ввод!$B$5+2820))</f>
        <v/>
      </c>
      <c r="B2822">
        <f>IF(A2822="","",IFERROR(INDEX(Ввод!$B$12:$B$71,MATCH(A2822,Ввод!$D$12:$D$71,1)),""))</f>
        <v/>
      </c>
      <c r="C2822">
        <f>IF(A2822="","",DATE(YEAR(A2822),12,31)-DATE(YEAR(A2822),1,1)+1)</f>
        <v/>
      </c>
      <c r="D2822">
        <f>IF(A2822="","",Ввод!$B$4-SUMIF(Оплаты!$A$6:$A$505,"&lt;"&amp;A2822,Оплаты!$B$6:$B$505))</f>
        <v/>
      </c>
      <c r="E2822">
        <f>IF(A2822="","",IF(SUMPRODUCT((Ввод!$F$12:$F$31&lt;&gt;"")*(Ввод!$F$12:$F$31&lt;=A2822)*(Ввод!$G$12:$G$31&gt;=A2822))&gt;0,1,0))</f>
        <v/>
      </c>
      <c r="F2822">
        <f>IF(OR(A2822="",B2822=""),"",IF(E2822=1,0,D2822*B2822/100/C2822))</f>
        <v/>
      </c>
      <c r="G2822">
        <f>IF(A2822="","",IF(OR(B2822&lt;&gt;B2821,C2822&lt;&gt;C2821,D2822&lt;&gt;D2821,E2822&lt;&gt;E2821),G2821+1,G2821))</f>
        <v/>
      </c>
    </row>
    <row r="2823">
      <c r="A2823" s="14">
        <f>IF(OR(NOT(ISNUMBER(Ввод!$B$5)),NOT(ISNUMBER(Ввод!$B$6))),"",IF(Ввод!$B$5+2821&gt;Ввод!$B$6,"",Ввод!$B$5+2821))</f>
        <v/>
      </c>
      <c r="B2823">
        <f>IF(A2823="","",IFERROR(INDEX(Ввод!$B$12:$B$71,MATCH(A2823,Ввод!$D$12:$D$71,1)),""))</f>
        <v/>
      </c>
      <c r="C2823">
        <f>IF(A2823="","",DATE(YEAR(A2823),12,31)-DATE(YEAR(A2823),1,1)+1)</f>
        <v/>
      </c>
      <c r="D2823">
        <f>IF(A2823="","",Ввод!$B$4-SUMIF(Оплаты!$A$6:$A$505,"&lt;"&amp;A2823,Оплаты!$B$6:$B$505))</f>
        <v/>
      </c>
      <c r="E2823">
        <f>IF(A2823="","",IF(SUMPRODUCT((Ввод!$F$12:$F$31&lt;&gt;"")*(Ввод!$F$12:$F$31&lt;=A2823)*(Ввод!$G$12:$G$31&gt;=A2823))&gt;0,1,0))</f>
        <v/>
      </c>
      <c r="F2823">
        <f>IF(OR(A2823="",B2823=""),"",IF(E2823=1,0,D2823*B2823/100/C2823))</f>
        <v/>
      </c>
      <c r="G2823">
        <f>IF(A2823="","",IF(OR(B2823&lt;&gt;B2822,C2823&lt;&gt;C2822,D2823&lt;&gt;D2822,E2823&lt;&gt;E2822),G2822+1,G2822))</f>
        <v/>
      </c>
    </row>
    <row r="2824">
      <c r="A2824" s="14">
        <f>IF(OR(NOT(ISNUMBER(Ввод!$B$5)),NOT(ISNUMBER(Ввод!$B$6))),"",IF(Ввод!$B$5+2822&gt;Ввод!$B$6,"",Ввод!$B$5+2822))</f>
        <v/>
      </c>
      <c r="B2824">
        <f>IF(A2824="","",IFERROR(INDEX(Ввод!$B$12:$B$71,MATCH(A2824,Ввод!$D$12:$D$71,1)),""))</f>
        <v/>
      </c>
      <c r="C2824">
        <f>IF(A2824="","",DATE(YEAR(A2824),12,31)-DATE(YEAR(A2824),1,1)+1)</f>
        <v/>
      </c>
      <c r="D2824">
        <f>IF(A2824="","",Ввод!$B$4-SUMIF(Оплаты!$A$6:$A$505,"&lt;"&amp;A2824,Оплаты!$B$6:$B$505))</f>
        <v/>
      </c>
      <c r="E2824">
        <f>IF(A2824="","",IF(SUMPRODUCT((Ввод!$F$12:$F$31&lt;&gt;"")*(Ввод!$F$12:$F$31&lt;=A2824)*(Ввод!$G$12:$G$31&gt;=A2824))&gt;0,1,0))</f>
        <v/>
      </c>
      <c r="F2824">
        <f>IF(OR(A2824="",B2824=""),"",IF(E2824=1,0,D2824*B2824/100/C2824))</f>
        <v/>
      </c>
      <c r="G2824">
        <f>IF(A2824="","",IF(OR(B2824&lt;&gt;B2823,C2824&lt;&gt;C2823,D2824&lt;&gt;D2823,E2824&lt;&gt;E2823),G2823+1,G2823))</f>
        <v/>
      </c>
    </row>
    <row r="2825">
      <c r="A2825" s="14">
        <f>IF(OR(NOT(ISNUMBER(Ввод!$B$5)),NOT(ISNUMBER(Ввод!$B$6))),"",IF(Ввод!$B$5+2823&gt;Ввод!$B$6,"",Ввод!$B$5+2823))</f>
        <v/>
      </c>
      <c r="B2825">
        <f>IF(A2825="","",IFERROR(INDEX(Ввод!$B$12:$B$71,MATCH(A2825,Ввод!$D$12:$D$71,1)),""))</f>
        <v/>
      </c>
      <c r="C2825">
        <f>IF(A2825="","",DATE(YEAR(A2825),12,31)-DATE(YEAR(A2825),1,1)+1)</f>
        <v/>
      </c>
      <c r="D2825">
        <f>IF(A2825="","",Ввод!$B$4-SUMIF(Оплаты!$A$6:$A$505,"&lt;"&amp;A2825,Оплаты!$B$6:$B$505))</f>
        <v/>
      </c>
      <c r="E2825">
        <f>IF(A2825="","",IF(SUMPRODUCT((Ввод!$F$12:$F$31&lt;&gt;"")*(Ввод!$F$12:$F$31&lt;=A2825)*(Ввод!$G$12:$G$31&gt;=A2825))&gt;0,1,0))</f>
        <v/>
      </c>
      <c r="F2825">
        <f>IF(OR(A2825="",B2825=""),"",IF(E2825=1,0,D2825*B2825/100/C2825))</f>
        <v/>
      </c>
      <c r="G2825">
        <f>IF(A2825="","",IF(OR(B2825&lt;&gt;B2824,C2825&lt;&gt;C2824,D2825&lt;&gt;D2824,E2825&lt;&gt;E2824),G2824+1,G2824))</f>
        <v/>
      </c>
    </row>
    <row r="2826">
      <c r="A2826" s="14">
        <f>IF(OR(NOT(ISNUMBER(Ввод!$B$5)),NOT(ISNUMBER(Ввод!$B$6))),"",IF(Ввод!$B$5+2824&gt;Ввод!$B$6,"",Ввод!$B$5+2824))</f>
        <v/>
      </c>
      <c r="B2826">
        <f>IF(A2826="","",IFERROR(INDEX(Ввод!$B$12:$B$71,MATCH(A2826,Ввод!$D$12:$D$71,1)),""))</f>
        <v/>
      </c>
      <c r="C2826">
        <f>IF(A2826="","",DATE(YEAR(A2826),12,31)-DATE(YEAR(A2826),1,1)+1)</f>
        <v/>
      </c>
      <c r="D2826">
        <f>IF(A2826="","",Ввод!$B$4-SUMIF(Оплаты!$A$6:$A$505,"&lt;"&amp;A2826,Оплаты!$B$6:$B$505))</f>
        <v/>
      </c>
      <c r="E2826">
        <f>IF(A2826="","",IF(SUMPRODUCT((Ввод!$F$12:$F$31&lt;&gt;"")*(Ввод!$F$12:$F$31&lt;=A2826)*(Ввод!$G$12:$G$31&gt;=A2826))&gt;0,1,0))</f>
        <v/>
      </c>
      <c r="F2826">
        <f>IF(OR(A2826="",B2826=""),"",IF(E2826=1,0,D2826*B2826/100/C2826))</f>
        <v/>
      </c>
      <c r="G2826">
        <f>IF(A2826="","",IF(OR(B2826&lt;&gt;B2825,C2826&lt;&gt;C2825,D2826&lt;&gt;D2825,E2826&lt;&gt;E2825),G2825+1,G2825))</f>
        <v/>
      </c>
    </row>
    <row r="2827">
      <c r="A2827" s="14">
        <f>IF(OR(NOT(ISNUMBER(Ввод!$B$5)),NOT(ISNUMBER(Ввод!$B$6))),"",IF(Ввод!$B$5+2825&gt;Ввод!$B$6,"",Ввод!$B$5+2825))</f>
        <v/>
      </c>
      <c r="B2827">
        <f>IF(A2827="","",IFERROR(INDEX(Ввод!$B$12:$B$71,MATCH(A2827,Ввод!$D$12:$D$71,1)),""))</f>
        <v/>
      </c>
      <c r="C2827">
        <f>IF(A2827="","",DATE(YEAR(A2827),12,31)-DATE(YEAR(A2827),1,1)+1)</f>
        <v/>
      </c>
      <c r="D2827">
        <f>IF(A2827="","",Ввод!$B$4-SUMIF(Оплаты!$A$6:$A$505,"&lt;"&amp;A2827,Оплаты!$B$6:$B$505))</f>
        <v/>
      </c>
      <c r="E2827">
        <f>IF(A2827="","",IF(SUMPRODUCT((Ввод!$F$12:$F$31&lt;&gt;"")*(Ввод!$F$12:$F$31&lt;=A2827)*(Ввод!$G$12:$G$31&gt;=A2827))&gt;0,1,0))</f>
        <v/>
      </c>
      <c r="F2827">
        <f>IF(OR(A2827="",B2827=""),"",IF(E2827=1,0,D2827*B2827/100/C2827))</f>
        <v/>
      </c>
      <c r="G2827">
        <f>IF(A2827="","",IF(OR(B2827&lt;&gt;B2826,C2827&lt;&gt;C2826,D2827&lt;&gt;D2826,E2827&lt;&gt;E2826),G2826+1,G2826))</f>
        <v/>
      </c>
    </row>
    <row r="2828">
      <c r="A2828" s="14">
        <f>IF(OR(NOT(ISNUMBER(Ввод!$B$5)),NOT(ISNUMBER(Ввод!$B$6))),"",IF(Ввод!$B$5+2826&gt;Ввод!$B$6,"",Ввод!$B$5+2826))</f>
        <v/>
      </c>
      <c r="B2828">
        <f>IF(A2828="","",IFERROR(INDEX(Ввод!$B$12:$B$71,MATCH(A2828,Ввод!$D$12:$D$71,1)),""))</f>
        <v/>
      </c>
      <c r="C2828">
        <f>IF(A2828="","",DATE(YEAR(A2828),12,31)-DATE(YEAR(A2828),1,1)+1)</f>
        <v/>
      </c>
      <c r="D2828">
        <f>IF(A2828="","",Ввод!$B$4-SUMIF(Оплаты!$A$6:$A$505,"&lt;"&amp;A2828,Оплаты!$B$6:$B$505))</f>
        <v/>
      </c>
      <c r="E2828">
        <f>IF(A2828="","",IF(SUMPRODUCT((Ввод!$F$12:$F$31&lt;&gt;"")*(Ввод!$F$12:$F$31&lt;=A2828)*(Ввод!$G$12:$G$31&gt;=A2828))&gt;0,1,0))</f>
        <v/>
      </c>
      <c r="F2828">
        <f>IF(OR(A2828="",B2828=""),"",IF(E2828=1,0,D2828*B2828/100/C2828))</f>
        <v/>
      </c>
      <c r="G2828">
        <f>IF(A2828="","",IF(OR(B2828&lt;&gt;B2827,C2828&lt;&gt;C2827,D2828&lt;&gt;D2827,E2828&lt;&gt;E2827),G2827+1,G2827))</f>
        <v/>
      </c>
    </row>
    <row r="2829">
      <c r="A2829" s="14">
        <f>IF(OR(NOT(ISNUMBER(Ввод!$B$5)),NOT(ISNUMBER(Ввод!$B$6))),"",IF(Ввод!$B$5+2827&gt;Ввод!$B$6,"",Ввод!$B$5+2827))</f>
        <v/>
      </c>
      <c r="B2829">
        <f>IF(A2829="","",IFERROR(INDEX(Ввод!$B$12:$B$71,MATCH(A2829,Ввод!$D$12:$D$71,1)),""))</f>
        <v/>
      </c>
      <c r="C2829">
        <f>IF(A2829="","",DATE(YEAR(A2829),12,31)-DATE(YEAR(A2829),1,1)+1)</f>
        <v/>
      </c>
      <c r="D2829">
        <f>IF(A2829="","",Ввод!$B$4-SUMIF(Оплаты!$A$6:$A$505,"&lt;"&amp;A2829,Оплаты!$B$6:$B$505))</f>
        <v/>
      </c>
      <c r="E2829">
        <f>IF(A2829="","",IF(SUMPRODUCT((Ввод!$F$12:$F$31&lt;&gt;"")*(Ввод!$F$12:$F$31&lt;=A2829)*(Ввод!$G$12:$G$31&gt;=A2829))&gt;0,1,0))</f>
        <v/>
      </c>
      <c r="F2829">
        <f>IF(OR(A2829="",B2829=""),"",IF(E2829=1,0,D2829*B2829/100/C2829))</f>
        <v/>
      </c>
      <c r="G2829">
        <f>IF(A2829="","",IF(OR(B2829&lt;&gt;B2828,C2829&lt;&gt;C2828,D2829&lt;&gt;D2828,E2829&lt;&gt;E2828),G2828+1,G2828))</f>
        <v/>
      </c>
    </row>
    <row r="2830">
      <c r="A2830" s="14">
        <f>IF(OR(NOT(ISNUMBER(Ввод!$B$5)),NOT(ISNUMBER(Ввод!$B$6))),"",IF(Ввод!$B$5+2828&gt;Ввод!$B$6,"",Ввод!$B$5+2828))</f>
        <v/>
      </c>
      <c r="B2830">
        <f>IF(A2830="","",IFERROR(INDEX(Ввод!$B$12:$B$71,MATCH(A2830,Ввод!$D$12:$D$71,1)),""))</f>
        <v/>
      </c>
      <c r="C2830">
        <f>IF(A2830="","",DATE(YEAR(A2830),12,31)-DATE(YEAR(A2830),1,1)+1)</f>
        <v/>
      </c>
      <c r="D2830">
        <f>IF(A2830="","",Ввод!$B$4-SUMIF(Оплаты!$A$6:$A$505,"&lt;"&amp;A2830,Оплаты!$B$6:$B$505))</f>
        <v/>
      </c>
      <c r="E2830">
        <f>IF(A2830="","",IF(SUMPRODUCT((Ввод!$F$12:$F$31&lt;&gt;"")*(Ввод!$F$12:$F$31&lt;=A2830)*(Ввод!$G$12:$G$31&gt;=A2830))&gt;0,1,0))</f>
        <v/>
      </c>
      <c r="F2830">
        <f>IF(OR(A2830="",B2830=""),"",IF(E2830=1,0,D2830*B2830/100/C2830))</f>
        <v/>
      </c>
      <c r="G2830">
        <f>IF(A2830="","",IF(OR(B2830&lt;&gt;B2829,C2830&lt;&gt;C2829,D2830&lt;&gt;D2829,E2830&lt;&gt;E2829),G2829+1,G2829))</f>
        <v/>
      </c>
    </row>
    <row r="2831">
      <c r="A2831" s="14">
        <f>IF(OR(NOT(ISNUMBER(Ввод!$B$5)),NOT(ISNUMBER(Ввод!$B$6))),"",IF(Ввод!$B$5+2829&gt;Ввод!$B$6,"",Ввод!$B$5+2829))</f>
        <v/>
      </c>
      <c r="B2831">
        <f>IF(A2831="","",IFERROR(INDEX(Ввод!$B$12:$B$71,MATCH(A2831,Ввод!$D$12:$D$71,1)),""))</f>
        <v/>
      </c>
      <c r="C2831">
        <f>IF(A2831="","",DATE(YEAR(A2831),12,31)-DATE(YEAR(A2831),1,1)+1)</f>
        <v/>
      </c>
      <c r="D2831">
        <f>IF(A2831="","",Ввод!$B$4-SUMIF(Оплаты!$A$6:$A$505,"&lt;"&amp;A2831,Оплаты!$B$6:$B$505))</f>
        <v/>
      </c>
      <c r="E2831">
        <f>IF(A2831="","",IF(SUMPRODUCT((Ввод!$F$12:$F$31&lt;&gt;"")*(Ввод!$F$12:$F$31&lt;=A2831)*(Ввод!$G$12:$G$31&gt;=A2831))&gt;0,1,0))</f>
        <v/>
      </c>
      <c r="F2831">
        <f>IF(OR(A2831="",B2831=""),"",IF(E2831=1,0,D2831*B2831/100/C2831))</f>
        <v/>
      </c>
      <c r="G2831">
        <f>IF(A2831="","",IF(OR(B2831&lt;&gt;B2830,C2831&lt;&gt;C2830,D2831&lt;&gt;D2830,E2831&lt;&gt;E2830),G2830+1,G2830))</f>
        <v/>
      </c>
    </row>
    <row r="2832">
      <c r="A2832" s="14">
        <f>IF(OR(NOT(ISNUMBER(Ввод!$B$5)),NOT(ISNUMBER(Ввод!$B$6))),"",IF(Ввод!$B$5+2830&gt;Ввод!$B$6,"",Ввод!$B$5+2830))</f>
        <v/>
      </c>
      <c r="B2832">
        <f>IF(A2832="","",IFERROR(INDEX(Ввод!$B$12:$B$71,MATCH(A2832,Ввод!$D$12:$D$71,1)),""))</f>
        <v/>
      </c>
      <c r="C2832">
        <f>IF(A2832="","",DATE(YEAR(A2832),12,31)-DATE(YEAR(A2832),1,1)+1)</f>
        <v/>
      </c>
      <c r="D2832">
        <f>IF(A2832="","",Ввод!$B$4-SUMIF(Оплаты!$A$6:$A$505,"&lt;"&amp;A2832,Оплаты!$B$6:$B$505))</f>
        <v/>
      </c>
      <c r="E2832">
        <f>IF(A2832="","",IF(SUMPRODUCT((Ввод!$F$12:$F$31&lt;&gt;"")*(Ввод!$F$12:$F$31&lt;=A2832)*(Ввод!$G$12:$G$31&gt;=A2832))&gt;0,1,0))</f>
        <v/>
      </c>
      <c r="F2832">
        <f>IF(OR(A2832="",B2832=""),"",IF(E2832=1,0,D2832*B2832/100/C2832))</f>
        <v/>
      </c>
      <c r="G2832">
        <f>IF(A2832="","",IF(OR(B2832&lt;&gt;B2831,C2832&lt;&gt;C2831,D2832&lt;&gt;D2831,E2832&lt;&gt;E2831),G2831+1,G2831))</f>
        <v/>
      </c>
    </row>
    <row r="2833">
      <c r="A2833" s="14">
        <f>IF(OR(NOT(ISNUMBER(Ввод!$B$5)),NOT(ISNUMBER(Ввод!$B$6))),"",IF(Ввод!$B$5+2831&gt;Ввод!$B$6,"",Ввод!$B$5+2831))</f>
        <v/>
      </c>
      <c r="B2833">
        <f>IF(A2833="","",IFERROR(INDEX(Ввод!$B$12:$B$71,MATCH(A2833,Ввод!$D$12:$D$71,1)),""))</f>
        <v/>
      </c>
      <c r="C2833">
        <f>IF(A2833="","",DATE(YEAR(A2833),12,31)-DATE(YEAR(A2833),1,1)+1)</f>
        <v/>
      </c>
      <c r="D2833">
        <f>IF(A2833="","",Ввод!$B$4-SUMIF(Оплаты!$A$6:$A$505,"&lt;"&amp;A2833,Оплаты!$B$6:$B$505))</f>
        <v/>
      </c>
      <c r="E2833">
        <f>IF(A2833="","",IF(SUMPRODUCT((Ввод!$F$12:$F$31&lt;&gt;"")*(Ввод!$F$12:$F$31&lt;=A2833)*(Ввод!$G$12:$G$31&gt;=A2833))&gt;0,1,0))</f>
        <v/>
      </c>
      <c r="F2833">
        <f>IF(OR(A2833="",B2833=""),"",IF(E2833=1,0,D2833*B2833/100/C2833))</f>
        <v/>
      </c>
      <c r="G2833">
        <f>IF(A2833="","",IF(OR(B2833&lt;&gt;B2832,C2833&lt;&gt;C2832,D2833&lt;&gt;D2832,E2833&lt;&gt;E2832),G2832+1,G2832))</f>
        <v/>
      </c>
    </row>
    <row r="2834">
      <c r="A2834" s="14">
        <f>IF(OR(NOT(ISNUMBER(Ввод!$B$5)),NOT(ISNUMBER(Ввод!$B$6))),"",IF(Ввод!$B$5+2832&gt;Ввод!$B$6,"",Ввод!$B$5+2832))</f>
        <v/>
      </c>
      <c r="B2834">
        <f>IF(A2834="","",IFERROR(INDEX(Ввод!$B$12:$B$71,MATCH(A2834,Ввод!$D$12:$D$71,1)),""))</f>
        <v/>
      </c>
      <c r="C2834">
        <f>IF(A2834="","",DATE(YEAR(A2834),12,31)-DATE(YEAR(A2834),1,1)+1)</f>
        <v/>
      </c>
      <c r="D2834">
        <f>IF(A2834="","",Ввод!$B$4-SUMIF(Оплаты!$A$6:$A$505,"&lt;"&amp;A2834,Оплаты!$B$6:$B$505))</f>
        <v/>
      </c>
      <c r="E2834">
        <f>IF(A2834="","",IF(SUMPRODUCT((Ввод!$F$12:$F$31&lt;&gt;"")*(Ввод!$F$12:$F$31&lt;=A2834)*(Ввод!$G$12:$G$31&gt;=A2834))&gt;0,1,0))</f>
        <v/>
      </c>
      <c r="F2834">
        <f>IF(OR(A2834="",B2834=""),"",IF(E2834=1,0,D2834*B2834/100/C2834))</f>
        <v/>
      </c>
      <c r="G2834">
        <f>IF(A2834="","",IF(OR(B2834&lt;&gt;B2833,C2834&lt;&gt;C2833,D2834&lt;&gt;D2833,E2834&lt;&gt;E2833),G2833+1,G2833))</f>
        <v/>
      </c>
    </row>
    <row r="2835">
      <c r="A2835" s="14">
        <f>IF(OR(NOT(ISNUMBER(Ввод!$B$5)),NOT(ISNUMBER(Ввод!$B$6))),"",IF(Ввод!$B$5+2833&gt;Ввод!$B$6,"",Ввод!$B$5+2833))</f>
        <v/>
      </c>
      <c r="B2835">
        <f>IF(A2835="","",IFERROR(INDEX(Ввод!$B$12:$B$71,MATCH(A2835,Ввод!$D$12:$D$71,1)),""))</f>
        <v/>
      </c>
      <c r="C2835">
        <f>IF(A2835="","",DATE(YEAR(A2835),12,31)-DATE(YEAR(A2835),1,1)+1)</f>
        <v/>
      </c>
      <c r="D2835">
        <f>IF(A2835="","",Ввод!$B$4-SUMIF(Оплаты!$A$6:$A$505,"&lt;"&amp;A2835,Оплаты!$B$6:$B$505))</f>
        <v/>
      </c>
      <c r="E2835">
        <f>IF(A2835="","",IF(SUMPRODUCT((Ввод!$F$12:$F$31&lt;&gt;"")*(Ввод!$F$12:$F$31&lt;=A2835)*(Ввод!$G$12:$G$31&gt;=A2835))&gt;0,1,0))</f>
        <v/>
      </c>
      <c r="F2835">
        <f>IF(OR(A2835="",B2835=""),"",IF(E2835=1,0,D2835*B2835/100/C2835))</f>
        <v/>
      </c>
      <c r="G2835">
        <f>IF(A2835="","",IF(OR(B2835&lt;&gt;B2834,C2835&lt;&gt;C2834,D2835&lt;&gt;D2834,E2835&lt;&gt;E2834),G2834+1,G2834))</f>
        <v/>
      </c>
    </row>
    <row r="2836">
      <c r="A2836" s="14">
        <f>IF(OR(NOT(ISNUMBER(Ввод!$B$5)),NOT(ISNUMBER(Ввод!$B$6))),"",IF(Ввод!$B$5+2834&gt;Ввод!$B$6,"",Ввод!$B$5+2834))</f>
        <v/>
      </c>
      <c r="B2836">
        <f>IF(A2836="","",IFERROR(INDEX(Ввод!$B$12:$B$71,MATCH(A2836,Ввод!$D$12:$D$71,1)),""))</f>
        <v/>
      </c>
      <c r="C2836">
        <f>IF(A2836="","",DATE(YEAR(A2836),12,31)-DATE(YEAR(A2836),1,1)+1)</f>
        <v/>
      </c>
      <c r="D2836">
        <f>IF(A2836="","",Ввод!$B$4-SUMIF(Оплаты!$A$6:$A$505,"&lt;"&amp;A2836,Оплаты!$B$6:$B$505))</f>
        <v/>
      </c>
      <c r="E2836">
        <f>IF(A2836="","",IF(SUMPRODUCT((Ввод!$F$12:$F$31&lt;&gt;"")*(Ввод!$F$12:$F$31&lt;=A2836)*(Ввод!$G$12:$G$31&gt;=A2836))&gt;0,1,0))</f>
        <v/>
      </c>
      <c r="F2836">
        <f>IF(OR(A2836="",B2836=""),"",IF(E2836=1,0,D2836*B2836/100/C2836))</f>
        <v/>
      </c>
      <c r="G2836">
        <f>IF(A2836="","",IF(OR(B2836&lt;&gt;B2835,C2836&lt;&gt;C2835,D2836&lt;&gt;D2835,E2836&lt;&gt;E2835),G2835+1,G2835))</f>
        <v/>
      </c>
    </row>
    <row r="2837">
      <c r="A2837" s="14">
        <f>IF(OR(NOT(ISNUMBER(Ввод!$B$5)),NOT(ISNUMBER(Ввод!$B$6))),"",IF(Ввод!$B$5+2835&gt;Ввод!$B$6,"",Ввод!$B$5+2835))</f>
        <v/>
      </c>
      <c r="B2837">
        <f>IF(A2837="","",IFERROR(INDEX(Ввод!$B$12:$B$71,MATCH(A2837,Ввод!$D$12:$D$71,1)),""))</f>
        <v/>
      </c>
      <c r="C2837">
        <f>IF(A2837="","",DATE(YEAR(A2837),12,31)-DATE(YEAR(A2837),1,1)+1)</f>
        <v/>
      </c>
      <c r="D2837">
        <f>IF(A2837="","",Ввод!$B$4-SUMIF(Оплаты!$A$6:$A$505,"&lt;"&amp;A2837,Оплаты!$B$6:$B$505))</f>
        <v/>
      </c>
      <c r="E2837">
        <f>IF(A2837="","",IF(SUMPRODUCT((Ввод!$F$12:$F$31&lt;&gt;"")*(Ввод!$F$12:$F$31&lt;=A2837)*(Ввод!$G$12:$G$31&gt;=A2837))&gt;0,1,0))</f>
        <v/>
      </c>
      <c r="F2837">
        <f>IF(OR(A2837="",B2837=""),"",IF(E2837=1,0,D2837*B2837/100/C2837))</f>
        <v/>
      </c>
      <c r="G2837">
        <f>IF(A2837="","",IF(OR(B2837&lt;&gt;B2836,C2837&lt;&gt;C2836,D2837&lt;&gt;D2836,E2837&lt;&gt;E2836),G2836+1,G2836))</f>
        <v/>
      </c>
    </row>
    <row r="2838">
      <c r="A2838" s="14">
        <f>IF(OR(NOT(ISNUMBER(Ввод!$B$5)),NOT(ISNUMBER(Ввод!$B$6))),"",IF(Ввод!$B$5+2836&gt;Ввод!$B$6,"",Ввод!$B$5+2836))</f>
        <v/>
      </c>
      <c r="B2838">
        <f>IF(A2838="","",IFERROR(INDEX(Ввод!$B$12:$B$71,MATCH(A2838,Ввод!$D$12:$D$71,1)),""))</f>
        <v/>
      </c>
      <c r="C2838">
        <f>IF(A2838="","",DATE(YEAR(A2838),12,31)-DATE(YEAR(A2838),1,1)+1)</f>
        <v/>
      </c>
      <c r="D2838">
        <f>IF(A2838="","",Ввод!$B$4-SUMIF(Оплаты!$A$6:$A$505,"&lt;"&amp;A2838,Оплаты!$B$6:$B$505))</f>
        <v/>
      </c>
      <c r="E2838">
        <f>IF(A2838="","",IF(SUMPRODUCT((Ввод!$F$12:$F$31&lt;&gt;"")*(Ввод!$F$12:$F$31&lt;=A2838)*(Ввод!$G$12:$G$31&gt;=A2838))&gt;0,1,0))</f>
        <v/>
      </c>
      <c r="F2838">
        <f>IF(OR(A2838="",B2838=""),"",IF(E2838=1,0,D2838*B2838/100/C2838))</f>
        <v/>
      </c>
      <c r="G2838">
        <f>IF(A2838="","",IF(OR(B2838&lt;&gt;B2837,C2838&lt;&gt;C2837,D2838&lt;&gt;D2837,E2838&lt;&gt;E2837),G2837+1,G2837))</f>
        <v/>
      </c>
    </row>
    <row r="2839">
      <c r="A2839" s="14">
        <f>IF(OR(NOT(ISNUMBER(Ввод!$B$5)),NOT(ISNUMBER(Ввод!$B$6))),"",IF(Ввод!$B$5+2837&gt;Ввод!$B$6,"",Ввод!$B$5+2837))</f>
        <v/>
      </c>
      <c r="B2839">
        <f>IF(A2839="","",IFERROR(INDEX(Ввод!$B$12:$B$71,MATCH(A2839,Ввод!$D$12:$D$71,1)),""))</f>
        <v/>
      </c>
      <c r="C2839">
        <f>IF(A2839="","",DATE(YEAR(A2839),12,31)-DATE(YEAR(A2839),1,1)+1)</f>
        <v/>
      </c>
      <c r="D2839">
        <f>IF(A2839="","",Ввод!$B$4-SUMIF(Оплаты!$A$6:$A$505,"&lt;"&amp;A2839,Оплаты!$B$6:$B$505))</f>
        <v/>
      </c>
      <c r="E2839">
        <f>IF(A2839="","",IF(SUMPRODUCT((Ввод!$F$12:$F$31&lt;&gt;"")*(Ввод!$F$12:$F$31&lt;=A2839)*(Ввод!$G$12:$G$31&gt;=A2839))&gt;0,1,0))</f>
        <v/>
      </c>
      <c r="F2839">
        <f>IF(OR(A2839="",B2839=""),"",IF(E2839=1,0,D2839*B2839/100/C2839))</f>
        <v/>
      </c>
      <c r="G2839">
        <f>IF(A2839="","",IF(OR(B2839&lt;&gt;B2838,C2839&lt;&gt;C2838,D2839&lt;&gt;D2838,E2839&lt;&gt;E2838),G2838+1,G2838))</f>
        <v/>
      </c>
    </row>
    <row r="2840">
      <c r="A2840" s="14">
        <f>IF(OR(NOT(ISNUMBER(Ввод!$B$5)),NOT(ISNUMBER(Ввод!$B$6))),"",IF(Ввод!$B$5+2838&gt;Ввод!$B$6,"",Ввод!$B$5+2838))</f>
        <v/>
      </c>
      <c r="B2840">
        <f>IF(A2840="","",IFERROR(INDEX(Ввод!$B$12:$B$71,MATCH(A2840,Ввод!$D$12:$D$71,1)),""))</f>
        <v/>
      </c>
      <c r="C2840">
        <f>IF(A2840="","",DATE(YEAR(A2840),12,31)-DATE(YEAR(A2840),1,1)+1)</f>
        <v/>
      </c>
      <c r="D2840">
        <f>IF(A2840="","",Ввод!$B$4-SUMIF(Оплаты!$A$6:$A$505,"&lt;"&amp;A2840,Оплаты!$B$6:$B$505))</f>
        <v/>
      </c>
      <c r="E2840">
        <f>IF(A2840="","",IF(SUMPRODUCT((Ввод!$F$12:$F$31&lt;&gt;"")*(Ввод!$F$12:$F$31&lt;=A2840)*(Ввод!$G$12:$G$31&gt;=A2840))&gt;0,1,0))</f>
        <v/>
      </c>
      <c r="F2840">
        <f>IF(OR(A2840="",B2840=""),"",IF(E2840=1,0,D2840*B2840/100/C2840))</f>
        <v/>
      </c>
      <c r="G2840">
        <f>IF(A2840="","",IF(OR(B2840&lt;&gt;B2839,C2840&lt;&gt;C2839,D2840&lt;&gt;D2839,E2840&lt;&gt;E2839),G2839+1,G2839))</f>
        <v/>
      </c>
    </row>
    <row r="2841">
      <c r="A2841" s="14">
        <f>IF(OR(NOT(ISNUMBER(Ввод!$B$5)),NOT(ISNUMBER(Ввод!$B$6))),"",IF(Ввод!$B$5+2839&gt;Ввод!$B$6,"",Ввод!$B$5+2839))</f>
        <v/>
      </c>
      <c r="B2841">
        <f>IF(A2841="","",IFERROR(INDEX(Ввод!$B$12:$B$71,MATCH(A2841,Ввод!$D$12:$D$71,1)),""))</f>
        <v/>
      </c>
      <c r="C2841">
        <f>IF(A2841="","",DATE(YEAR(A2841),12,31)-DATE(YEAR(A2841),1,1)+1)</f>
        <v/>
      </c>
      <c r="D2841">
        <f>IF(A2841="","",Ввод!$B$4-SUMIF(Оплаты!$A$6:$A$505,"&lt;"&amp;A2841,Оплаты!$B$6:$B$505))</f>
        <v/>
      </c>
      <c r="E2841">
        <f>IF(A2841="","",IF(SUMPRODUCT((Ввод!$F$12:$F$31&lt;&gt;"")*(Ввод!$F$12:$F$31&lt;=A2841)*(Ввод!$G$12:$G$31&gt;=A2841))&gt;0,1,0))</f>
        <v/>
      </c>
      <c r="F2841">
        <f>IF(OR(A2841="",B2841=""),"",IF(E2841=1,0,D2841*B2841/100/C2841))</f>
        <v/>
      </c>
      <c r="G2841">
        <f>IF(A2841="","",IF(OR(B2841&lt;&gt;B2840,C2841&lt;&gt;C2840,D2841&lt;&gt;D2840,E2841&lt;&gt;E2840),G2840+1,G2840))</f>
        <v/>
      </c>
    </row>
    <row r="2842">
      <c r="A2842" s="14">
        <f>IF(OR(NOT(ISNUMBER(Ввод!$B$5)),NOT(ISNUMBER(Ввод!$B$6))),"",IF(Ввод!$B$5+2840&gt;Ввод!$B$6,"",Ввод!$B$5+2840))</f>
        <v/>
      </c>
      <c r="B2842">
        <f>IF(A2842="","",IFERROR(INDEX(Ввод!$B$12:$B$71,MATCH(A2842,Ввод!$D$12:$D$71,1)),""))</f>
        <v/>
      </c>
      <c r="C2842">
        <f>IF(A2842="","",DATE(YEAR(A2842),12,31)-DATE(YEAR(A2842),1,1)+1)</f>
        <v/>
      </c>
      <c r="D2842">
        <f>IF(A2842="","",Ввод!$B$4-SUMIF(Оплаты!$A$6:$A$505,"&lt;"&amp;A2842,Оплаты!$B$6:$B$505))</f>
        <v/>
      </c>
      <c r="E2842">
        <f>IF(A2842="","",IF(SUMPRODUCT((Ввод!$F$12:$F$31&lt;&gt;"")*(Ввод!$F$12:$F$31&lt;=A2842)*(Ввод!$G$12:$G$31&gt;=A2842))&gt;0,1,0))</f>
        <v/>
      </c>
      <c r="F2842">
        <f>IF(OR(A2842="",B2842=""),"",IF(E2842=1,0,D2842*B2842/100/C2842))</f>
        <v/>
      </c>
      <c r="G2842">
        <f>IF(A2842="","",IF(OR(B2842&lt;&gt;B2841,C2842&lt;&gt;C2841,D2842&lt;&gt;D2841,E2842&lt;&gt;E2841),G2841+1,G2841))</f>
        <v/>
      </c>
    </row>
    <row r="2843">
      <c r="A2843" s="14">
        <f>IF(OR(NOT(ISNUMBER(Ввод!$B$5)),NOT(ISNUMBER(Ввод!$B$6))),"",IF(Ввод!$B$5+2841&gt;Ввод!$B$6,"",Ввод!$B$5+2841))</f>
        <v/>
      </c>
      <c r="B2843">
        <f>IF(A2843="","",IFERROR(INDEX(Ввод!$B$12:$B$71,MATCH(A2843,Ввод!$D$12:$D$71,1)),""))</f>
        <v/>
      </c>
      <c r="C2843">
        <f>IF(A2843="","",DATE(YEAR(A2843),12,31)-DATE(YEAR(A2843),1,1)+1)</f>
        <v/>
      </c>
      <c r="D2843">
        <f>IF(A2843="","",Ввод!$B$4-SUMIF(Оплаты!$A$6:$A$505,"&lt;"&amp;A2843,Оплаты!$B$6:$B$505))</f>
        <v/>
      </c>
      <c r="E2843">
        <f>IF(A2843="","",IF(SUMPRODUCT((Ввод!$F$12:$F$31&lt;&gt;"")*(Ввод!$F$12:$F$31&lt;=A2843)*(Ввод!$G$12:$G$31&gt;=A2843))&gt;0,1,0))</f>
        <v/>
      </c>
      <c r="F2843">
        <f>IF(OR(A2843="",B2843=""),"",IF(E2843=1,0,D2843*B2843/100/C2843))</f>
        <v/>
      </c>
      <c r="G2843">
        <f>IF(A2843="","",IF(OR(B2843&lt;&gt;B2842,C2843&lt;&gt;C2842,D2843&lt;&gt;D2842,E2843&lt;&gt;E2842),G2842+1,G2842))</f>
        <v/>
      </c>
    </row>
    <row r="2844">
      <c r="A2844" s="14">
        <f>IF(OR(NOT(ISNUMBER(Ввод!$B$5)),NOT(ISNUMBER(Ввод!$B$6))),"",IF(Ввод!$B$5+2842&gt;Ввод!$B$6,"",Ввод!$B$5+2842))</f>
        <v/>
      </c>
      <c r="B2844">
        <f>IF(A2844="","",IFERROR(INDEX(Ввод!$B$12:$B$71,MATCH(A2844,Ввод!$D$12:$D$71,1)),""))</f>
        <v/>
      </c>
      <c r="C2844">
        <f>IF(A2844="","",DATE(YEAR(A2844),12,31)-DATE(YEAR(A2844),1,1)+1)</f>
        <v/>
      </c>
      <c r="D2844">
        <f>IF(A2844="","",Ввод!$B$4-SUMIF(Оплаты!$A$6:$A$505,"&lt;"&amp;A2844,Оплаты!$B$6:$B$505))</f>
        <v/>
      </c>
      <c r="E2844">
        <f>IF(A2844="","",IF(SUMPRODUCT((Ввод!$F$12:$F$31&lt;&gt;"")*(Ввод!$F$12:$F$31&lt;=A2844)*(Ввод!$G$12:$G$31&gt;=A2844))&gt;0,1,0))</f>
        <v/>
      </c>
      <c r="F2844">
        <f>IF(OR(A2844="",B2844=""),"",IF(E2844=1,0,D2844*B2844/100/C2844))</f>
        <v/>
      </c>
      <c r="G2844">
        <f>IF(A2844="","",IF(OR(B2844&lt;&gt;B2843,C2844&lt;&gt;C2843,D2844&lt;&gt;D2843,E2844&lt;&gt;E2843),G2843+1,G2843))</f>
        <v/>
      </c>
    </row>
    <row r="2845">
      <c r="A2845" s="14">
        <f>IF(OR(NOT(ISNUMBER(Ввод!$B$5)),NOT(ISNUMBER(Ввод!$B$6))),"",IF(Ввод!$B$5+2843&gt;Ввод!$B$6,"",Ввод!$B$5+2843))</f>
        <v/>
      </c>
      <c r="B2845">
        <f>IF(A2845="","",IFERROR(INDEX(Ввод!$B$12:$B$71,MATCH(A2845,Ввод!$D$12:$D$71,1)),""))</f>
        <v/>
      </c>
      <c r="C2845">
        <f>IF(A2845="","",DATE(YEAR(A2845),12,31)-DATE(YEAR(A2845),1,1)+1)</f>
        <v/>
      </c>
      <c r="D2845">
        <f>IF(A2845="","",Ввод!$B$4-SUMIF(Оплаты!$A$6:$A$505,"&lt;"&amp;A2845,Оплаты!$B$6:$B$505))</f>
        <v/>
      </c>
      <c r="E2845">
        <f>IF(A2845="","",IF(SUMPRODUCT((Ввод!$F$12:$F$31&lt;&gt;"")*(Ввод!$F$12:$F$31&lt;=A2845)*(Ввод!$G$12:$G$31&gt;=A2845))&gt;0,1,0))</f>
        <v/>
      </c>
      <c r="F2845">
        <f>IF(OR(A2845="",B2845=""),"",IF(E2845=1,0,D2845*B2845/100/C2845))</f>
        <v/>
      </c>
      <c r="G2845">
        <f>IF(A2845="","",IF(OR(B2845&lt;&gt;B2844,C2845&lt;&gt;C2844,D2845&lt;&gt;D2844,E2845&lt;&gt;E2844),G2844+1,G2844))</f>
        <v/>
      </c>
    </row>
    <row r="2846">
      <c r="A2846" s="14">
        <f>IF(OR(NOT(ISNUMBER(Ввод!$B$5)),NOT(ISNUMBER(Ввод!$B$6))),"",IF(Ввод!$B$5+2844&gt;Ввод!$B$6,"",Ввод!$B$5+2844))</f>
        <v/>
      </c>
      <c r="B2846">
        <f>IF(A2846="","",IFERROR(INDEX(Ввод!$B$12:$B$71,MATCH(A2846,Ввод!$D$12:$D$71,1)),""))</f>
        <v/>
      </c>
      <c r="C2846">
        <f>IF(A2846="","",DATE(YEAR(A2846),12,31)-DATE(YEAR(A2846),1,1)+1)</f>
        <v/>
      </c>
      <c r="D2846">
        <f>IF(A2846="","",Ввод!$B$4-SUMIF(Оплаты!$A$6:$A$505,"&lt;"&amp;A2846,Оплаты!$B$6:$B$505))</f>
        <v/>
      </c>
      <c r="E2846">
        <f>IF(A2846="","",IF(SUMPRODUCT((Ввод!$F$12:$F$31&lt;&gt;"")*(Ввод!$F$12:$F$31&lt;=A2846)*(Ввод!$G$12:$G$31&gt;=A2846))&gt;0,1,0))</f>
        <v/>
      </c>
      <c r="F2846">
        <f>IF(OR(A2846="",B2846=""),"",IF(E2846=1,0,D2846*B2846/100/C2846))</f>
        <v/>
      </c>
      <c r="G2846">
        <f>IF(A2846="","",IF(OR(B2846&lt;&gt;B2845,C2846&lt;&gt;C2845,D2846&lt;&gt;D2845,E2846&lt;&gt;E2845),G2845+1,G2845))</f>
        <v/>
      </c>
    </row>
    <row r="2847">
      <c r="A2847" s="14">
        <f>IF(OR(NOT(ISNUMBER(Ввод!$B$5)),NOT(ISNUMBER(Ввод!$B$6))),"",IF(Ввод!$B$5+2845&gt;Ввод!$B$6,"",Ввод!$B$5+2845))</f>
        <v/>
      </c>
      <c r="B2847">
        <f>IF(A2847="","",IFERROR(INDEX(Ввод!$B$12:$B$71,MATCH(A2847,Ввод!$D$12:$D$71,1)),""))</f>
        <v/>
      </c>
      <c r="C2847">
        <f>IF(A2847="","",DATE(YEAR(A2847),12,31)-DATE(YEAR(A2847),1,1)+1)</f>
        <v/>
      </c>
      <c r="D2847">
        <f>IF(A2847="","",Ввод!$B$4-SUMIF(Оплаты!$A$6:$A$505,"&lt;"&amp;A2847,Оплаты!$B$6:$B$505))</f>
        <v/>
      </c>
      <c r="E2847">
        <f>IF(A2847="","",IF(SUMPRODUCT((Ввод!$F$12:$F$31&lt;&gt;"")*(Ввод!$F$12:$F$31&lt;=A2847)*(Ввод!$G$12:$G$31&gt;=A2847))&gt;0,1,0))</f>
        <v/>
      </c>
      <c r="F2847">
        <f>IF(OR(A2847="",B2847=""),"",IF(E2847=1,0,D2847*B2847/100/C2847))</f>
        <v/>
      </c>
      <c r="G2847">
        <f>IF(A2847="","",IF(OR(B2847&lt;&gt;B2846,C2847&lt;&gt;C2846,D2847&lt;&gt;D2846,E2847&lt;&gt;E2846),G2846+1,G2846))</f>
        <v/>
      </c>
    </row>
    <row r="2848">
      <c r="A2848" s="14">
        <f>IF(OR(NOT(ISNUMBER(Ввод!$B$5)),NOT(ISNUMBER(Ввод!$B$6))),"",IF(Ввод!$B$5+2846&gt;Ввод!$B$6,"",Ввод!$B$5+2846))</f>
        <v/>
      </c>
      <c r="B2848">
        <f>IF(A2848="","",IFERROR(INDEX(Ввод!$B$12:$B$71,MATCH(A2848,Ввод!$D$12:$D$71,1)),""))</f>
        <v/>
      </c>
      <c r="C2848">
        <f>IF(A2848="","",DATE(YEAR(A2848),12,31)-DATE(YEAR(A2848),1,1)+1)</f>
        <v/>
      </c>
      <c r="D2848">
        <f>IF(A2848="","",Ввод!$B$4-SUMIF(Оплаты!$A$6:$A$505,"&lt;"&amp;A2848,Оплаты!$B$6:$B$505))</f>
        <v/>
      </c>
      <c r="E2848">
        <f>IF(A2848="","",IF(SUMPRODUCT((Ввод!$F$12:$F$31&lt;&gt;"")*(Ввод!$F$12:$F$31&lt;=A2848)*(Ввод!$G$12:$G$31&gt;=A2848))&gt;0,1,0))</f>
        <v/>
      </c>
      <c r="F2848">
        <f>IF(OR(A2848="",B2848=""),"",IF(E2848=1,0,D2848*B2848/100/C2848))</f>
        <v/>
      </c>
      <c r="G2848">
        <f>IF(A2848="","",IF(OR(B2848&lt;&gt;B2847,C2848&lt;&gt;C2847,D2848&lt;&gt;D2847,E2848&lt;&gt;E2847),G2847+1,G2847))</f>
        <v/>
      </c>
    </row>
    <row r="2849">
      <c r="A2849" s="14">
        <f>IF(OR(NOT(ISNUMBER(Ввод!$B$5)),NOT(ISNUMBER(Ввод!$B$6))),"",IF(Ввод!$B$5+2847&gt;Ввод!$B$6,"",Ввод!$B$5+2847))</f>
        <v/>
      </c>
      <c r="B2849">
        <f>IF(A2849="","",IFERROR(INDEX(Ввод!$B$12:$B$71,MATCH(A2849,Ввод!$D$12:$D$71,1)),""))</f>
        <v/>
      </c>
      <c r="C2849">
        <f>IF(A2849="","",DATE(YEAR(A2849),12,31)-DATE(YEAR(A2849),1,1)+1)</f>
        <v/>
      </c>
      <c r="D2849">
        <f>IF(A2849="","",Ввод!$B$4-SUMIF(Оплаты!$A$6:$A$505,"&lt;"&amp;A2849,Оплаты!$B$6:$B$505))</f>
        <v/>
      </c>
      <c r="E2849">
        <f>IF(A2849="","",IF(SUMPRODUCT((Ввод!$F$12:$F$31&lt;&gt;"")*(Ввод!$F$12:$F$31&lt;=A2849)*(Ввод!$G$12:$G$31&gt;=A2849))&gt;0,1,0))</f>
        <v/>
      </c>
      <c r="F2849">
        <f>IF(OR(A2849="",B2849=""),"",IF(E2849=1,0,D2849*B2849/100/C2849))</f>
        <v/>
      </c>
      <c r="G2849">
        <f>IF(A2849="","",IF(OR(B2849&lt;&gt;B2848,C2849&lt;&gt;C2848,D2849&lt;&gt;D2848,E2849&lt;&gt;E2848),G2848+1,G2848))</f>
        <v/>
      </c>
    </row>
    <row r="2850">
      <c r="A2850" s="14">
        <f>IF(OR(NOT(ISNUMBER(Ввод!$B$5)),NOT(ISNUMBER(Ввод!$B$6))),"",IF(Ввод!$B$5+2848&gt;Ввод!$B$6,"",Ввод!$B$5+2848))</f>
        <v/>
      </c>
      <c r="B2850">
        <f>IF(A2850="","",IFERROR(INDEX(Ввод!$B$12:$B$71,MATCH(A2850,Ввод!$D$12:$D$71,1)),""))</f>
        <v/>
      </c>
      <c r="C2850">
        <f>IF(A2850="","",DATE(YEAR(A2850),12,31)-DATE(YEAR(A2850),1,1)+1)</f>
        <v/>
      </c>
      <c r="D2850">
        <f>IF(A2850="","",Ввод!$B$4-SUMIF(Оплаты!$A$6:$A$505,"&lt;"&amp;A2850,Оплаты!$B$6:$B$505))</f>
        <v/>
      </c>
      <c r="E2850">
        <f>IF(A2850="","",IF(SUMPRODUCT((Ввод!$F$12:$F$31&lt;&gt;"")*(Ввод!$F$12:$F$31&lt;=A2850)*(Ввод!$G$12:$G$31&gt;=A2850))&gt;0,1,0))</f>
        <v/>
      </c>
      <c r="F2850">
        <f>IF(OR(A2850="",B2850=""),"",IF(E2850=1,0,D2850*B2850/100/C2850))</f>
        <v/>
      </c>
      <c r="G2850">
        <f>IF(A2850="","",IF(OR(B2850&lt;&gt;B2849,C2850&lt;&gt;C2849,D2850&lt;&gt;D2849,E2850&lt;&gt;E2849),G2849+1,G2849))</f>
        <v/>
      </c>
    </row>
    <row r="2851">
      <c r="A2851" s="14">
        <f>IF(OR(NOT(ISNUMBER(Ввод!$B$5)),NOT(ISNUMBER(Ввод!$B$6))),"",IF(Ввод!$B$5+2849&gt;Ввод!$B$6,"",Ввод!$B$5+2849))</f>
        <v/>
      </c>
      <c r="B2851">
        <f>IF(A2851="","",IFERROR(INDEX(Ввод!$B$12:$B$71,MATCH(A2851,Ввод!$D$12:$D$71,1)),""))</f>
        <v/>
      </c>
      <c r="C2851">
        <f>IF(A2851="","",DATE(YEAR(A2851),12,31)-DATE(YEAR(A2851),1,1)+1)</f>
        <v/>
      </c>
      <c r="D2851">
        <f>IF(A2851="","",Ввод!$B$4-SUMIF(Оплаты!$A$6:$A$505,"&lt;"&amp;A2851,Оплаты!$B$6:$B$505))</f>
        <v/>
      </c>
      <c r="E2851">
        <f>IF(A2851="","",IF(SUMPRODUCT((Ввод!$F$12:$F$31&lt;&gt;"")*(Ввод!$F$12:$F$31&lt;=A2851)*(Ввод!$G$12:$G$31&gt;=A2851))&gt;0,1,0))</f>
        <v/>
      </c>
      <c r="F2851">
        <f>IF(OR(A2851="",B2851=""),"",IF(E2851=1,0,D2851*B2851/100/C2851))</f>
        <v/>
      </c>
      <c r="G2851">
        <f>IF(A2851="","",IF(OR(B2851&lt;&gt;B2850,C2851&lt;&gt;C2850,D2851&lt;&gt;D2850,E2851&lt;&gt;E2850),G2850+1,G2850))</f>
        <v/>
      </c>
    </row>
    <row r="2852">
      <c r="A2852" s="14">
        <f>IF(OR(NOT(ISNUMBER(Ввод!$B$5)),NOT(ISNUMBER(Ввод!$B$6))),"",IF(Ввод!$B$5+2850&gt;Ввод!$B$6,"",Ввод!$B$5+2850))</f>
        <v/>
      </c>
      <c r="B2852">
        <f>IF(A2852="","",IFERROR(INDEX(Ввод!$B$12:$B$71,MATCH(A2852,Ввод!$D$12:$D$71,1)),""))</f>
        <v/>
      </c>
      <c r="C2852">
        <f>IF(A2852="","",DATE(YEAR(A2852),12,31)-DATE(YEAR(A2852),1,1)+1)</f>
        <v/>
      </c>
      <c r="D2852">
        <f>IF(A2852="","",Ввод!$B$4-SUMIF(Оплаты!$A$6:$A$505,"&lt;"&amp;A2852,Оплаты!$B$6:$B$505))</f>
        <v/>
      </c>
      <c r="E2852">
        <f>IF(A2852="","",IF(SUMPRODUCT((Ввод!$F$12:$F$31&lt;&gt;"")*(Ввод!$F$12:$F$31&lt;=A2852)*(Ввод!$G$12:$G$31&gt;=A2852))&gt;0,1,0))</f>
        <v/>
      </c>
      <c r="F2852">
        <f>IF(OR(A2852="",B2852=""),"",IF(E2852=1,0,D2852*B2852/100/C2852))</f>
        <v/>
      </c>
      <c r="G2852">
        <f>IF(A2852="","",IF(OR(B2852&lt;&gt;B2851,C2852&lt;&gt;C2851,D2852&lt;&gt;D2851,E2852&lt;&gt;E2851),G2851+1,G2851))</f>
        <v/>
      </c>
    </row>
    <row r="2853">
      <c r="A2853" s="14">
        <f>IF(OR(NOT(ISNUMBER(Ввод!$B$5)),NOT(ISNUMBER(Ввод!$B$6))),"",IF(Ввод!$B$5+2851&gt;Ввод!$B$6,"",Ввод!$B$5+2851))</f>
        <v/>
      </c>
      <c r="B2853">
        <f>IF(A2853="","",IFERROR(INDEX(Ввод!$B$12:$B$71,MATCH(A2853,Ввод!$D$12:$D$71,1)),""))</f>
        <v/>
      </c>
      <c r="C2853">
        <f>IF(A2853="","",DATE(YEAR(A2853),12,31)-DATE(YEAR(A2853),1,1)+1)</f>
        <v/>
      </c>
      <c r="D2853">
        <f>IF(A2853="","",Ввод!$B$4-SUMIF(Оплаты!$A$6:$A$505,"&lt;"&amp;A2853,Оплаты!$B$6:$B$505))</f>
        <v/>
      </c>
      <c r="E2853">
        <f>IF(A2853="","",IF(SUMPRODUCT((Ввод!$F$12:$F$31&lt;&gt;"")*(Ввод!$F$12:$F$31&lt;=A2853)*(Ввод!$G$12:$G$31&gt;=A2853))&gt;0,1,0))</f>
        <v/>
      </c>
      <c r="F2853">
        <f>IF(OR(A2853="",B2853=""),"",IF(E2853=1,0,D2853*B2853/100/C2853))</f>
        <v/>
      </c>
      <c r="G2853">
        <f>IF(A2853="","",IF(OR(B2853&lt;&gt;B2852,C2853&lt;&gt;C2852,D2853&lt;&gt;D2852,E2853&lt;&gt;E2852),G2852+1,G2852))</f>
        <v/>
      </c>
    </row>
    <row r="2854">
      <c r="A2854" s="14">
        <f>IF(OR(NOT(ISNUMBER(Ввод!$B$5)),NOT(ISNUMBER(Ввод!$B$6))),"",IF(Ввод!$B$5+2852&gt;Ввод!$B$6,"",Ввод!$B$5+2852))</f>
        <v/>
      </c>
      <c r="B2854">
        <f>IF(A2854="","",IFERROR(INDEX(Ввод!$B$12:$B$71,MATCH(A2854,Ввод!$D$12:$D$71,1)),""))</f>
        <v/>
      </c>
      <c r="C2854">
        <f>IF(A2854="","",DATE(YEAR(A2854),12,31)-DATE(YEAR(A2854),1,1)+1)</f>
        <v/>
      </c>
      <c r="D2854">
        <f>IF(A2854="","",Ввод!$B$4-SUMIF(Оплаты!$A$6:$A$505,"&lt;"&amp;A2854,Оплаты!$B$6:$B$505))</f>
        <v/>
      </c>
      <c r="E2854">
        <f>IF(A2854="","",IF(SUMPRODUCT((Ввод!$F$12:$F$31&lt;&gt;"")*(Ввод!$F$12:$F$31&lt;=A2854)*(Ввод!$G$12:$G$31&gt;=A2854))&gt;0,1,0))</f>
        <v/>
      </c>
      <c r="F2854">
        <f>IF(OR(A2854="",B2854=""),"",IF(E2854=1,0,D2854*B2854/100/C2854))</f>
        <v/>
      </c>
      <c r="G2854">
        <f>IF(A2854="","",IF(OR(B2854&lt;&gt;B2853,C2854&lt;&gt;C2853,D2854&lt;&gt;D2853,E2854&lt;&gt;E2853),G2853+1,G2853))</f>
        <v/>
      </c>
    </row>
    <row r="2855">
      <c r="A2855" s="14">
        <f>IF(OR(NOT(ISNUMBER(Ввод!$B$5)),NOT(ISNUMBER(Ввод!$B$6))),"",IF(Ввод!$B$5+2853&gt;Ввод!$B$6,"",Ввод!$B$5+2853))</f>
        <v/>
      </c>
      <c r="B2855">
        <f>IF(A2855="","",IFERROR(INDEX(Ввод!$B$12:$B$71,MATCH(A2855,Ввод!$D$12:$D$71,1)),""))</f>
        <v/>
      </c>
      <c r="C2855">
        <f>IF(A2855="","",DATE(YEAR(A2855),12,31)-DATE(YEAR(A2855),1,1)+1)</f>
        <v/>
      </c>
      <c r="D2855">
        <f>IF(A2855="","",Ввод!$B$4-SUMIF(Оплаты!$A$6:$A$505,"&lt;"&amp;A2855,Оплаты!$B$6:$B$505))</f>
        <v/>
      </c>
      <c r="E2855">
        <f>IF(A2855="","",IF(SUMPRODUCT((Ввод!$F$12:$F$31&lt;&gt;"")*(Ввод!$F$12:$F$31&lt;=A2855)*(Ввод!$G$12:$G$31&gt;=A2855))&gt;0,1,0))</f>
        <v/>
      </c>
      <c r="F2855">
        <f>IF(OR(A2855="",B2855=""),"",IF(E2855=1,0,D2855*B2855/100/C2855))</f>
        <v/>
      </c>
      <c r="G2855">
        <f>IF(A2855="","",IF(OR(B2855&lt;&gt;B2854,C2855&lt;&gt;C2854,D2855&lt;&gt;D2854,E2855&lt;&gt;E2854),G2854+1,G2854))</f>
        <v/>
      </c>
    </row>
    <row r="2856">
      <c r="A2856" s="14">
        <f>IF(OR(NOT(ISNUMBER(Ввод!$B$5)),NOT(ISNUMBER(Ввод!$B$6))),"",IF(Ввод!$B$5+2854&gt;Ввод!$B$6,"",Ввод!$B$5+2854))</f>
        <v/>
      </c>
      <c r="B2856">
        <f>IF(A2856="","",IFERROR(INDEX(Ввод!$B$12:$B$71,MATCH(A2856,Ввод!$D$12:$D$71,1)),""))</f>
        <v/>
      </c>
      <c r="C2856">
        <f>IF(A2856="","",DATE(YEAR(A2856),12,31)-DATE(YEAR(A2856),1,1)+1)</f>
        <v/>
      </c>
      <c r="D2856">
        <f>IF(A2856="","",Ввод!$B$4-SUMIF(Оплаты!$A$6:$A$505,"&lt;"&amp;A2856,Оплаты!$B$6:$B$505))</f>
        <v/>
      </c>
      <c r="E2856">
        <f>IF(A2856="","",IF(SUMPRODUCT((Ввод!$F$12:$F$31&lt;&gt;"")*(Ввод!$F$12:$F$31&lt;=A2856)*(Ввод!$G$12:$G$31&gt;=A2856))&gt;0,1,0))</f>
        <v/>
      </c>
      <c r="F2856">
        <f>IF(OR(A2856="",B2856=""),"",IF(E2856=1,0,D2856*B2856/100/C2856))</f>
        <v/>
      </c>
      <c r="G2856">
        <f>IF(A2856="","",IF(OR(B2856&lt;&gt;B2855,C2856&lt;&gt;C2855,D2856&lt;&gt;D2855,E2856&lt;&gt;E2855),G2855+1,G2855))</f>
        <v/>
      </c>
    </row>
    <row r="2857">
      <c r="A2857" s="14">
        <f>IF(OR(NOT(ISNUMBER(Ввод!$B$5)),NOT(ISNUMBER(Ввод!$B$6))),"",IF(Ввод!$B$5+2855&gt;Ввод!$B$6,"",Ввод!$B$5+2855))</f>
        <v/>
      </c>
      <c r="B2857">
        <f>IF(A2857="","",IFERROR(INDEX(Ввод!$B$12:$B$71,MATCH(A2857,Ввод!$D$12:$D$71,1)),""))</f>
        <v/>
      </c>
      <c r="C2857">
        <f>IF(A2857="","",DATE(YEAR(A2857),12,31)-DATE(YEAR(A2857),1,1)+1)</f>
        <v/>
      </c>
      <c r="D2857">
        <f>IF(A2857="","",Ввод!$B$4-SUMIF(Оплаты!$A$6:$A$505,"&lt;"&amp;A2857,Оплаты!$B$6:$B$505))</f>
        <v/>
      </c>
      <c r="E2857">
        <f>IF(A2857="","",IF(SUMPRODUCT((Ввод!$F$12:$F$31&lt;&gt;"")*(Ввод!$F$12:$F$31&lt;=A2857)*(Ввод!$G$12:$G$31&gt;=A2857))&gt;0,1,0))</f>
        <v/>
      </c>
      <c r="F2857">
        <f>IF(OR(A2857="",B2857=""),"",IF(E2857=1,0,D2857*B2857/100/C2857))</f>
        <v/>
      </c>
      <c r="G2857">
        <f>IF(A2857="","",IF(OR(B2857&lt;&gt;B2856,C2857&lt;&gt;C2856,D2857&lt;&gt;D2856,E2857&lt;&gt;E2856),G2856+1,G2856))</f>
        <v/>
      </c>
    </row>
    <row r="2858">
      <c r="A2858" s="14">
        <f>IF(OR(NOT(ISNUMBER(Ввод!$B$5)),NOT(ISNUMBER(Ввод!$B$6))),"",IF(Ввод!$B$5+2856&gt;Ввод!$B$6,"",Ввод!$B$5+2856))</f>
        <v/>
      </c>
      <c r="B2858">
        <f>IF(A2858="","",IFERROR(INDEX(Ввод!$B$12:$B$71,MATCH(A2858,Ввод!$D$12:$D$71,1)),""))</f>
        <v/>
      </c>
      <c r="C2858">
        <f>IF(A2858="","",DATE(YEAR(A2858),12,31)-DATE(YEAR(A2858),1,1)+1)</f>
        <v/>
      </c>
      <c r="D2858">
        <f>IF(A2858="","",Ввод!$B$4-SUMIF(Оплаты!$A$6:$A$505,"&lt;"&amp;A2858,Оплаты!$B$6:$B$505))</f>
        <v/>
      </c>
      <c r="E2858">
        <f>IF(A2858="","",IF(SUMPRODUCT((Ввод!$F$12:$F$31&lt;&gt;"")*(Ввод!$F$12:$F$31&lt;=A2858)*(Ввод!$G$12:$G$31&gt;=A2858))&gt;0,1,0))</f>
        <v/>
      </c>
      <c r="F2858">
        <f>IF(OR(A2858="",B2858=""),"",IF(E2858=1,0,D2858*B2858/100/C2858))</f>
        <v/>
      </c>
      <c r="G2858">
        <f>IF(A2858="","",IF(OR(B2858&lt;&gt;B2857,C2858&lt;&gt;C2857,D2858&lt;&gt;D2857,E2858&lt;&gt;E2857),G2857+1,G2857))</f>
        <v/>
      </c>
    </row>
    <row r="2859">
      <c r="A2859" s="14">
        <f>IF(OR(NOT(ISNUMBER(Ввод!$B$5)),NOT(ISNUMBER(Ввод!$B$6))),"",IF(Ввод!$B$5+2857&gt;Ввод!$B$6,"",Ввод!$B$5+2857))</f>
        <v/>
      </c>
      <c r="B2859">
        <f>IF(A2859="","",IFERROR(INDEX(Ввод!$B$12:$B$71,MATCH(A2859,Ввод!$D$12:$D$71,1)),""))</f>
        <v/>
      </c>
      <c r="C2859">
        <f>IF(A2859="","",DATE(YEAR(A2859),12,31)-DATE(YEAR(A2859),1,1)+1)</f>
        <v/>
      </c>
      <c r="D2859">
        <f>IF(A2859="","",Ввод!$B$4-SUMIF(Оплаты!$A$6:$A$505,"&lt;"&amp;A2859,Оплаты!$B$6:$B$505))</f>
        <v/>
      </c>
      <c r="E2859">
        <f>IF(A2859="","",IF(SUMPRODUCT((Ввод!$F$12:$F$31&lt;&gt;"")*(Ввод!$F$12:$F$31&lt;=A2859)*(Ввод!$G$12:$G$31&gt;=A2859))&gt;0,1,0))</f>
        <v/>
      </c>
      <c r="F2859">
        <f>IF(OR(A2859="",B2859=""),"",IF(E2859=1,0,D2859*B2859/100/C2859))</f>
        <v/>
      </c>
      <c r="G2859">
        <f>IF(A2859="","",IF(OR(B2859&lt;&gt;B2858,C2859&lt;&gt;C2858,D2859&lt;&gt;D2858,E2859&lt;&gt;E2858),G2858+1,G2858))</f>
        <v/>
      </c>
    </row>
    <row r="2860">
      <c r="A2860" s="14">
        <f>IF(OR(NOT(ISNUMBER(Ввод!$B$5)),NOT(ISNUMBER(Ввод!$B$6))),"",IF(Ввод!$B$5+2858&gt;Ввод!$B$6,"",Ввод!$B$5+2858))</f>
        <v/>
      </c>
      <c r="B2860">
        <f>IF(A2860="","",IFERROR(INDEX(Ввод!$B$12:$B$71,MATCH(A2860,Ввод!$D$12:$D$71,1)),""))</f>
        <v/>
      </c>
      <c r="C2860">
        <f>IF(A2860="","",DATE(YEAR(A2860),12,31)-DATE(YEAR(A2860),1,1)+1)</f>
        <v/>
      </c>
      <c r="D2860">
        <f>IF(A2860="","",Ввод!$B$4-SUMIF(Оплаты!$A$6:$A$505,"&lt;"&amp;A2860,Оплаты!$B$6:$B$505))</f>
        <v/>
      </c>
      <c r="E2860">
        <f>IF(A2860="","",IF(SUMPRODUCT((Ввод!$F$12:$F$31&lt;&gt;"")*(Ввод!$F$12:$F$31&lt;=A2860)*(Ввод!$G$12:$G$31&gt;=A2860))&gt;0,1,0))</f>
        <v/>
      </c>
      <c r="F2860">
        <f>IF(OR(A2860="",B2860=""),"",IF(E2860=1,0,D2860*B2860/100/C2860))</f>
        <v/>
      </c>
      <c r="G2860">
        <f>IF(A2860="","",IF(OR(B2860&lt;&gt;B2859,C2860&lt;&gt;C2859,D2860&lt;&gt;D2859,E2860&lt;&gt;E2859),G2859+1,G2859))</f>
        <v/>
      </c>
    </row>
    <row r="2861">
      <c r="A2861" s="14">
        <f>IF(OR(NOT(ISNUMBER(Ввод!$B$5)),NOT(ISNUMBER(Ввод!$B$6))),"",IF(Ввод!$B$5+2859&gt;Ввод!$B$6,"",Ввод!$B$5+2859))</f>
        <v/>
      </c>
      <c r="B2861">
        <f>IF(A2861="","",IFERROR(INDEX(Ввод!$B$12:$B$71,MATCH(A2861,Ввод!$D$12:$D$71,1)),""))</f>
        <v/>
      </c>
      <c r="C2861">
        <f>IF(A2861="","",DATE(YEAR(A2861),12,31)-DATE(YEAR(A2861),1,1)+1)</f>
        <v/>
      </c>
      <c r="D2861">
        <f>IF(A2861="","",Ввод!$B$4-SUMIF(Оплаты!$A$6:$A$505,"&lt;"&amp;A2861,Оплаты!$B$6:$B$505))</f>
        <v/>
      </c>
      <c r="E2861">
        <f>IF(A2861="","",IF(SUMPRODUCT((Ввод!$F$12:$F$31&lt;&gt;"")*(Ввод!$F$12:$F$31&lt;=A2861)*(Ввод!$G$12:$G$31&gt;=A2861))&gt;0,1,0))</f>
        <v/>
      </c>
      <c r="F2861">
        <f>IF(OR(A2861="",B2861=""),"",IF(E2861=1,0,D2861*B2861/100/C2861))</f>
        <v/>
      </c>
      <c r="G2861">
        <f>IF(A2861="","",IF(OR(B2861&lt;&gt;B2860,C2861&lt;&gt;C2860,D2861&lt;&gt;D2860,E2861&lt;&gt;E2860),G2860+1,G2860))</f>
        <v/>
      </c>
    </row>
    <row r="2862">
      <c r="A2862" s="14">
        <f>IF(OR(NOT(ISNUMBER(Ввод!$B$5)),NOT(ISNUMBER(Ввод!$B$6))),"",IF(Ввод!$B$5+2860&gt;Ввод!$B$6,"",Ввод!$B$5+2860))</f>
        <v/>
      </c>
      <c r="B2862">
        <f>IF(A2862="","",IFERROR(INDEX(Ввод!$B$12:$B$71,MATCH(A2862,Ввод!$D$12:$D$71,1)),""))</f>
        <v/>
      </c>
      <c r="C2862">
        <f>IF(A2862="","",DATE(YEAR(A2862),12,31)-DATE(YEAR(A2862),1,1)+1)</f>
        <v/>
      </c>
      <c r="D2862">
        <f>IF(A2862="","",Ввод!$B$4-SUMIF(Оплаты!$A$6:$A$505,"&lt;"&amp;A2862,Оплаты!$B$6:$B$505))</f>
        <v/>
      </c>
      <c r="E2862">
        <f>IF(A2862="","",IF(SUMPRODUCT((Ввод!$F$12:$F$31&lt;&gt;"")*(Ввод!$F$12:$F$31&lt;=A2862)*(Ввод!$G$12:$G$31&gt;=A2862))&gt;0,1,0))</f>
        <v/>
      </c>
      <c r="F2862">
        <f>IF(OR(A2862="",B2862=""),"",IF(E2862=1,0,D2862*B2862/100/C2862))</f>
        <v/>
      </c>
      <c r="G2862">
        <f>IF(A2862="","",IF(OR(B2862&lt;&gt;B2861,C2862&lt;&gt;C2861,D2862&lt;&gt;D2861,E2862&lt;&gt;E2861),G2861+1,G2861))</f>
        <v/>
      </c>
    </row>
    <row r="2863">
      <c r="A2863" s="14">
        <f>IF(OR(NOT(ISNUMBER(Ввод!$B$5)),NOT(ISNUMBER(Ввод!$B$6))),"",IF(Ввод!$B$5+2861&gt;Ввод!$B$6,"",Ввод!$B$5+2861))</f>
        <v/>
      </c>
      <c r="B2863">
        <f>IF(A2863="","",IFERROR(INDEX(Ввод!$B$12:$B$71,MATCH(A2863,Ввод!$D$12:$D$71,1)),""))</f>
        <v/>
      </c>
      <c r="C2863">
        <f>IF(A2863="","",DATE(YEAR(A2863),12,31)-DATE(YEAR(A2863),1,1)+1)</f>
        <v/>
      </c>
      <c r="D2863">
        <f>IF(A2863="","",Ввод!$B$4-SUMIF(Оплаты!$A$6:$A$505,"&lt;"&amp;A2863,Оплаты!$B$6:$B$505))</f>
        <v/>
      </c>
      <c r="E2863">
        <f>IF(A2863="","",IF(SUMPRODUCT((Ввод!$F$12:$F$31&lt;&gt;"")*(Ввод!$F$12:$F$31&lt;=A2863)*(Ввод!$G$12:$G$31&gt;=A2863))&gt;0,1,0))</f>
        <v/>
      </c>
      <c r="F2863">
        <f>IF(OR(A2863="",B2863=""),"",IF(E2863=1,0,D2863*B2863/100/C2863))</f>
        <v/>
      </c>
      <c r="G2863">
        <f>IF(A2863="","",IF(OR(B2863&lt;&gt;B2862,C2863&lt;&gt;C2862,D2863&lt;&gt;D2862,E2863&lt;&gt;E2862),G2862+1,G2862))</f>
        <v/>
      </c>
    </row>
    <row r="2864">
      <c r="A2864" s="14">
        <f>IF(OR(NOT(ISNUMBER(Ввод!$B$5)),NOT(ISNUMBER(Ввод!$B$6))),"",IF(Ввод!$B$5+2862&gt;Ввод!$B$6,"",Ввод!$B$5+2862))</f>
        <v/>
      </c>
      <c r="B2864">
        <f>IF(A2864="","",IFERROR(INDEX(Ввод!$B$12:$B$71,MATCH(A2864,Ввод!$D$12:$D$71,1)),""))</f>
        <v/>
      </c>
      <c r="C2864">
        <f>IF(A2864="","",DATE(YEAR(A2864),12,31)-DATE(YEAR(A2864),1,1)+1)</f>
        <v/>
      </c>
      <c r="D2864">
        <f>IF(A2864="","",Ввод!$B$4-SUMIF(Оплаты!$A$6:$A$505,"&lt;"&amp;A2864,Оплаты!$B$6:$B$505))</f>
        <v/>
      </c>
      <c r="E2864">
        <f>IF(A2864="","",IF(SUMPRODUCT((Ввод!$F$12:$F$31&lt;&gt;"")*(Ввод!$F$12:$F$31&lt;=A2864)*(Ввод!$G$12:$G$31&gt;=A2864))&gt;0,1,0))</f>
        <v/>
      </c>
      <c r="F2864">
        <f>IF(OR(A2864="",B2864=""),"",IF(E2864=1,0,D2864*B2864/100/C2864))</f>
        <v/>
      </c>
      <c r="G2864">
        <f>IF(A2864="","",IF(OR(B2864&lt;&gt;B2863,C2864&lt;&gt;C2863,D2864&lt;&gt;D2863,E2864&lt;&gt;E2863),G2863+1,G2863))</f>
        <v/>
      </c>
    </row>
    <row r="2865">
      <c r="A2865" s="14">
        <f>IF(OR(NOT(ISNUMBER(Ввод!$B$5)),NOT(ISNUMBER(Ввод!$B$6))),"",IF(Ввод!$B$5+2863&gt;Ввод!$B$6,"",Ввод!$B$5+2863))</f>
        <v/>
      </c>
      <c r="B2865">
        <f>IF(A2865="","",IFERROR(INDEX(Ввод!$B$12:$B$71,MATCH(A2865,Ввод!$D$12:$D$71,1)),""))</f>
        <v/>
      </c>
      <c r="C2865">
        <f>IF(A2865="","",DATE(YEAR(A2865),12,31)-DATE(YEAR(A2865),1,1)+1)</f>
        <v/>
      </c>
      <c r="D2865">
        <f>IF(A2865="","",Ввод!$B$4-SUMIF(Оплаты!$A$6:$A$505,"&lt;"&amp;A2865,Оплаты!$B$6:$B$505))</f>
        <v/>
      </c>
      <c r="E2865">
        <f>IF(A2865="","",IF(SUMPRODUCT((Ввод!$F$12:$F$31&lt;&gt;"")*(Ввод!$F$12:$F$31&lt;=A2865)*(Ввод!$G$12:$G$31&gt;=A2865))&gt;0,1,0))</f>
        <v/>
      </c>
      <c r="F2865">
        <f>IF(OR(A2865="",B2865=""),"",IF(E2865=1,0,D2865*B2865/100/C2865))</f>
        <v/>
      </c>
      <c r="G2865">
        <f>IF(A2865="","",IF(OR(B2865&lt;&gt;B2864,C2865&lt;&gt;C2864,D2865&lt;&gt;D2864,E2865&lt;&gt;E2864),G2864+1,G2864))</f>
        <v/>
      </c>
    </row>
    <row r="2866">
      <c r="A2866" s="14">
        <f>IF(OR(NOT(ISNUMBER(Ввод!$B$5)),NOT(ISNUMBER(Ввод!$B$6))),"",IF(Ввод!$B$5+2864&gt;Ввод!$B$6,"",Ввод!$B$5+2864))</f>
        <v/>
      </c>
      <c r="B2866">
        <f>IF(A2866="","",IFERROR(INDEX(Ввод!$B$12:$B$71,MATCH(A2866,Ввод!$D$12:$D$71,1)),""))</f>
        <v/>
      </c>
      <c r="C2866">
        <f>IF(A2866="","",DATE(YEAR(A2866),12,31)-DATE(YEAR(A2866),1,1)+1)</f>
        <v/>
      </c>
      <c r="D2866">
        <f>IF(A2866="","",Ввод!$B$4-SUMIF(Оплаты!$A$6:$A$505,"&lt;"&amp;A2866,Оплаты!$B$6:$B$505))</f>
        <v/>
      </c>
      <c r="E2866">
        <f>IF(A2866="","",IF(SUMPRODUCT((Ввод!$F$12:$F$31&lt;&gt;"")*(Ввод!$F$12:$F$31&lt;=A2866)*(Ввод!$G$12:$G$31&gt;=A2866))&gt;0,1,0))</f>
        <v/>
      </c>
      <c r="F2866">
        <f>IF(OR(A2866="",B2866=""),"",IF(E2866=1,0,D2866*B2866/100/C2866))</f>
        <v/>
      </c>
      <c r="G2866">
        <f>IF(A2866="","",IF(OR(B2866&lt;&gt;B2865,C2866&lt;&gt;C2865,D2866&lt;&gt;D2865,E2866&lt;&gt;E2865),G2865+1,G2865))</f>
        <v/>
      </c>
    </row>
    <row r="2867">
      <c r="A2867" s="14">
        <f>IF(OR(NOT(ISNUMBER(Ввод!$B$5)),NOT(ISNUMBER(Ввод!$B$6))),"",IF(Ввод!$B$5+2865&gt;Ввод!$B$6,"",Ввод!$B$5+2865))</f>
        <v/>
      </c>
      <c r="B2867">
        <f>IF(A2867="","",IFERROR(INDEX(Ввод!$B$12:$B$71,MATCH(A2867,Ввод!$D$12:$D$71,1)),""))</f>
        <v/>
      </c>
      <c r="C2867">
        <f>IF(A2867="","",DATE(YEAR(A2867),12,31)-DATE(YEAR(A2867),1,1)+1)</f>
        <v/>
      </c>
      <c r="D2867">
        <f>IF(A2867="","",Ввод!$B$4-SUMIF(Оплаты!$A$6:$A$505,"&lt;"&amp;A2867,Оплаты!$B$6:$B$505))</f>
        <v/>
      </c>
      <c r="E2867">
        <f>IF(A2867="","",IF(SUMPRODUCT((Ввод!$F$12:$F$31&lt;&gt;"")*(Ввод!$F$12:$F$31&lt;=A2867)*(Ввод!$G$12:$G$31&gt;=A2867))&gt;0,1,0))</f>
        <v/>
      </c>
      <c r="F2867">
        <f>IF(OR(A2867="",B2867=""),"",IF(E2867=1,0,D2867*B2867/100/C2867))</f>
        <v/>
      </c>
      <c r="G2867">
        <f>IF(A2867="","",IF(OR(B2867&lt;&gt;B2866,C2867&lt;&gt;C2866,D2867&lt;&gt;D2866,E2867&lt;&gt;E2866),G2866+1,G2866))</f>
        <v/>
      </c>
    </row>
    <row r="2868">
      <c r="A2868" s="14">
        <f>IF(OR(NOT(ISNUMBER(Ввод!$B$5)),NOT(ISNUMBER(Ввод!$B$6))),"",IF(Ввод!$B$5+2866&gt;Ввод!$B$6,"",Ввод!$B$5+2866))</f>
        <v/>
      </c>
      <c r="B2868">
        <f>IF(A2868="","",IFERROR(INDEX(Ввод!$B$12:$B$71,MATCH(A2868,Ввод!$D$12:$D$71,1)),""))</f>
        <v/>
      </c>
      <c r="C2868">
        <f>IF(A2868="","",DATE(YEAR(A2868),12,31)-DATE(YEAR(A2868),1,1)+1)</f>
        <v/>
      </c>
      <c r="D2868">
        <f>IF(A2868="","",Ввод!$B$4-SUMIF(Оплаты!$A$6:$A$505,"&lt;"&amp;A2868,Оплаты!$B$6:$B$505))</f>
        <v/>
      </c>
      <c r="E2868">
        <f>IF(A2868="","",IF(SUMPRODUCT((Ввод!$F$12:$F$31&lt;&gt;"")*(Ввод!$F$12:$F$31&lt;=A2868)*(Ввод!$G$12:$G$31&gt;=A2868))&gt;0,1,0))</f>
        <v/>
      </c>
      <c r="F2868">
        <f>IF(OR(A2868="",B2868=""),"",IF(E2868=1,0,D2868*B2868/100/C2868))</f>
        <v/>
      </c>
      <c r="G2868">
        <f>IF(A2868="","",IF(OR(B2868&lt;&gt;B2867,C2868&lt;&gt;C2867,D2868&lt;&gt;D2867,E2868&lt;&gt;E2867),G2867+1,G2867))</f>
        <v/>
      </c>
    </row>
    <row r="2869">
      <c r="A2869" s="14">
        <f>IF(OR(NOT(ISNUMBER(Ввод!$B$5)),NOT(ISNUMBER(Ввод!$B$6))),"",IF(Ввод!$B$5+2867&gt;Ввод!$B$6,"",Ввод!$B$5+2867))</f>
        <v/>
      </c>
      <c r="B2869">
        <f>IF(A2869="","",IFERROR(INDEX(Ввод!$B$12:$B$71,MATCH(A2869,Ввод!$D$12:$D$71,1)),""))</f>
        <v/>
      </c>
      <c r="C2869">
        <f>IF(A2869="","",DATE(YEAR(A2869),12,31)-DATE(YEAR(A2869),1,1)+1)</f>
        <v/>
      </c>
      <c r="D2869">
        <f>IF(A2869="","",Ввод!$B$4-SUMIF(Оплаты!$A$6:$A$505,"&lt;"&amp;A2869,Оплаты!$B$6:$B$505))</f>
        <v/>
      </c>
      <c r="E2869">
        <f>IF(A2869="","",IF(SUMPRODUCT((Ввод!$F$12:$F$31&lt;&gt;"")*(Ввод!$F$12:$F$31&lt;=A2869)*(Ввод!$G$12:$G$31&gt;=A2869))&gt;0,1,0))</f>
        <v/>
      </c>
      <c r="F2869">
        <f>IF(OR(A2869="",B2869=""),"",IF(E2869=1,0,D2869*B2869/100/C2869))</f>
        <v/>
      </c>
      <c r="G2869">
        <f>IF(A2869="","",IF(OR(B2869&lt;&gt;B2868,C2869&lt;&gt;C2868,D2869&lt;&gt;D2868,E2869&lt;&gt;E2868),G2868+1,G2868))</f>
        <v/>
      </c>
    </row>
    <row r="2870">
      <c r="A2870" s="14">
        <f>IF(OR(NOT(ISNUMBER(Ввод!$B$5)),NOT(ISNUMBER(Ввод!$B$6))),"",IF(Ввод!$B$5+2868&gt;Ввод!$B$6,"",Ввод!$B$5+2868))</f>
        <v/>
      </c>
      <c r="B2870">
        <f>IF(A2870="","",IFERROR(INDEX(Ввод!$B$12:$B$71,MATCH(A2870,Ввод!$D$12:$D$71,1)),""))</f>
        <v/>
      </c>
      <c r="C2870">
        <f>IF(A2870="","",DATE(YEAR(A2870),12,31)-DATE(YEAR(A2870),1,1)+1)</f>
        <v/>
      </c>
      <c r="D2870">
        <f>IF(A2870="","",Ввод!$B$4-SUMIF(Оплаты!$A$6:$A$505,"&lt;"&amp;A2870,Оплаты!$B$6:$B$505))</f>
        <v/>
      </c>
      <c r="E2870">
        <f>IF(A2870="","",IF(SUMPRODUCT((Ввод!$F$12:$F$31&lt;&gt;"")*(Ввод!$F$12:$F$31&lt;=A2870)*(Ввод!$G$12:$G$31&gt;=A2870))&gt;0,1,0))</f>
        <v/>
      </c>
      <c r="F2870">
        <f>IF(OR(A2870="",B2870=""),"",IF(E2870=1,0,D2870*B2870/100/C2870))</f>
        <v/>
      </c>
      <c r="G2870">
        <f>IF(A2870="","",IF(OR(B2870&lt;&gt;B2869,C2870&lt;&gt;C2869,D2870&lt;&gt;D2869,E2870&lt;&gt;E2869),G2869+1,G2869))</f>
        <v/>
      </c>
    </row>
    <row r="2871">
      <c r="A2871" s="14">
        <f>IF(OR(NOT(ISNUMBER(Ввод!$B$5)),NOT(ISNUMBER(Ввод!$B$6))),"",IF(Ввод!$B$5+2869&gt;Ввод!$B$6,"",Ввод!$B$5+2869))</f>
        <v/>
      </c>
      <c r="B2871">
        <f>IF(A2871="","",IFERROR(INDEX(Ввод!$B$12:$B$71,MATCH(A2871,Ввод!$D$12:$D$71,1)),""))</f>
        <v/>
      </c>
      <c r="C2871">
        <f>IF(A2871="","",DATE(YEAR(A2871),12,31)-DATE(YEAR(A2871),1,1)+1)</f>
        <v/>
      </c>
      <c r="D2871">
        <f>IF(A2871="","",Ввод!$B$4-SUMIF(Оплаты!$A$6:$A$505,"&lt;"&amp;A2871,Оплаты!$B$6:$B$505))</f>
        <v/>
      </c>
      <c r="E2871">
        <f>IF(A2871="","",IF(SUMPRODUCT((Ввод!$F$12:$F$31&lt;&gt;"")*(Ввод!$F$12:$F$31&lt;=A2871)*(Ввод!$G$12:$G$31&gt;=A2871))&gt;0,1,0))</f>
        <v/>
      </c>
      <c r="F2871">
        <f>IF(OR(A2871="",B2871=""),"",IF(E2871=1,0,D2871*B2871/100/C2871))</f>
        <v/>
      </c>
      <c r="G2871">
        <f>IF(A2871="","",IF(OR(B2871&lt;&gt;B2870,C2871&lt;&gt;C2870,D2871&lt;&gt;D2870,E2871&lt;&gt;E2870),G2870+1,G2870))</f>
        <v/>
      </c>
    </row>
    <row r="2872">
      <c r="A2872" s="14">
        <f>IF(OR(NOT(ISNUMBER(Ввод!$B$5)),NOT(ISNUMBER(Ввод!$B$6))),"",IF(Ввод!$B$5+2870&gt;Ввод!$B$6,"",Ввод!$B$5+2870))</f>
        <v/>
      </c>
      <c r="B2872">
        <f>IF(A2872="","",IFERROR(INDEX(Ввод!$B$12:$B$71,MATCH(A2872,Ввод!$D$12:$D$71,1)),""))</f>
        <v/>
      </c>
      <c r="C2872">
        <f>IF(A2872="","",DATE(YEAR(A2872),12,31)-DATE(YEAR(A2872),1,1)+1)</f>
        <v/>
      </c>
      <c r="D2872">
        <f>IF(A2872="","",Ввод!$B$4-SUMIF(Оплаты!$A$6:$A$505,"&lt;"&amp;A2872,Оплаты!$B$6:$B$505))</f>
        <v/>
      </c>
      <c r="E2872">
        <f>IF(A2872="","",IF(SUMPRODUCT((Ввод!$F$12:$F$31&lt;&gt;"")*(Ввод!$F$12:$F$31&lt;=A2872)*(Ввод!$G$12:$G$31&gt;=A2872))&gt;0,1,0))</f>
        <v/>
      </c>
      <c r="F2872">
        <f>IF(OR(A2872="",B2872=""),"",IF(E2872=1,0,D2872*B2872/100/C2872))</f>
        <v/>
      </c>
      <c r="G2872">
        <f>IF(A2872="","",IF(OR(B2872&lt;&gt;B2871,C2872&lt;&gt;C2871,D2872&lt;&gt;D2871,E2872&lt;&gt;E2871),G2871+1,G2871))</f>
        <v/>
      </c>
    </row>
    <row r="2873">
      <c r="A2873" s="14">
        <f>IF(OR(NOT(ISNUMBER(Ввод!$B$5)),NOT(ISNUMBER(Ввод!$B$6))),"",IF(Ввод!$B$5+2871&gt;Ввод!$B$6,"",Ввод!$B$5+2871))</f>
        <v/>
      </c>
      <c r="B2873">
        <f>IF(A2873="","",IFERROR(INDEX(Ввод!$B$12:$B$71,MATCH(A2873,Ввод!$D$12:$D$71,1)),""))</f>
        <v/>
      </c>
      <c r="C2873">
        <f>IF(A2873="","",DATE(YEAR(A2873),12,31)-DATE(YEAR(A2873),1,1)+1)</f>
        <v/>
      </c>
      <c r="D2873">
        <f>IF(A2873="","",Ввод!$B$4-SUMIF(Оплаты!$A$6:$A$505,"&lt;"&amp;A2873,Оплаты!$B$6:$B$505))</f>
        <v/>
      </c>
      <c r="E2873">
        <f>IF(A2873="","",IF(SUMPRODUCT((Ввод!$F$12:$F$31&lt;&gt;"")*(Ввод!$F$12:$F$31&lt;=A2873)*(Ввод!$G$12:$G$31&gt;=A2873))&gt;0,1,0))</f>
        <v/>
      </c>
      <c r="F2873">
        <f>IF(OR(A2873="",B2873=""),"",IF(E2873=1,0,D2873*B2873/100/C2873))</f>
        <v/>
      </c>
      <c r="G2873">
        <f>IF(A2873="","",IF(OR(B2873&lt;&gt;B2872,C2873&lt;&gt;C2872,D2873&lt;&gt;D2872,E2873&lt;&gt;E2872),G2872+1,G2872))</f>
        <v/>
      </c>
    </row>
    <row r="2874">
      <c r="A2874" s="14">
        <f>IF(OR(NOT(ISNUMBER(Ввод!$B$5)),NOT(ISNUMBER(Ввод!$B$6))),"",IF(Ввод!$B$5+2872&gt;Ввод!$B$6,"",Ввод!$B$5+2872))</f>
        <v/>
      </c>
      <c r="B2874">
        <f>IF(A2874="","",IFERROR(INDEX(Ввод!$B$12:$B$71,MATCH(A2874,Ввод!$D$12:$D$71,1)),""))</f>
        <v/>
      </c>
      <c r="C2874">
        <f>IF(A2874="","",DATE(YEAR(A2874),12,31)-DATE(YEAR(A2874),1,1)+1)</f>
        <v/>
      </c>
      <c r="D2874">
        <f>IF(A2874="","",Ввод!$B$4-SUMIF(Оплаты!$A$6:$A$505,"&lt;"&amp;A2874,Оплаты!$B$6:$B$505))</f>
        <v/>
      </c>
      <c r="E2874">
        <f>IF(A2874="","",IF(SUMPRODUCT((Ввод!$F$12:$F$31&lt;&gt;"")*(Ввод!$F$12:$F$31&lt;=A2874)*(Ввод!$G$12:$G$31&gt;=A2874))&gt;0,1,0))</f>
        <v/>
      </c>
      <c r="F2874">
        <f>IF(OR(A2874="",B2874=""),"",IF(E2874=1,0,D2874*B2874/100/C2874))</f>
        <v/>
      </c>
      <c r="G2874">
        <f>IF(A2874="","",IF(OR(B2874&lt;&gt;B2873,C2874&lt;&gt;C2873,D2874&lt;&gt;D2873,E2874&lt;&gt;E2873),G2873+1,G2873))</f>
        <v/>
      </c>
    </row>
    <row r="2875">
      <c r="A2875" s="14">
        <f>IF(OR(NOT(ISNUMBER(Ввод!$B$5)),NOT(ISNUMBER(Ввод!$B$6))),"",IF(Ввод!$B$5+2873&gt;Ввод!$B$6,"",Ввод!$B$5+2873))</f>
        <v/>
      </c>
      <c r="B2875">
        <f>IF(A2875="","",IFERROR(INDEX(Ввод!$B$12:$B$71,MATCH(A2875,Ввод!$D$12:$D$71,1)),""))</f>
        <v/>
      </c>
      <c r="C2875">
        <f>IF(A2875="","",DATE(YEAR(A2875),12,31)-DATE(YEAR(A2875),1,1)+1)</f>
        <v/>
      </c>
      <c r="D2875">
        <f>IF(A2875="","",Ввод!$B$4-SUMIF(Оплаты!$A$6:$A$505,"&lt;"&amp;A2875,Оплаты!$B$6:$B$505))</f>
        <v/>
      </c>
      <c r="E2875">
        <f>IF(A2875="","",IF(SUMPRODUCT((Ввод!$F$12:$F$31&lt;&gt;"")*(Ввод!$F$12:$F$31&lt;=A2875)*(Ввод!$G$12:$G$31&gt;=A2875))&gt;0,1,0))</f>
        <v/>
      </c>
      <c r="F2875">
        <f>IF(OR(A2875="",B2875=""),"",IF(E2875=1,0,D2875*B2875/100/C2875))</f>
        <v/>
      </c>
      <c r="G2875">
        <f>IF(A2875="","",IF(OR(B2875&lt;&gt;B2874,C2875&lt;&gt;C2874,D2875&lt;&gt;D2874,E2875&lt;&gt;E2874),G2874+1,G2874))</f>
        <v/>
      </c>
    </row>
    <row r="2876">
      <c r="A2876" s="14">
        <f>IF(OR(NOT(ISNUMBER(Ввод!$B$5)),NOT(ISNUMBER(Ввод!$B$6))),"",IF(Ввод!$B$5+2874&gt;Ввод!$B$6,"",Ввод!$B$5+2874))</f>
        <v/>
      </c>
      <c r="B2876">
        <f>IF(A2876="","",IFERROR(INDEX(Ввод!$B$12:$B$71,MATCH(A2876,Ввод!$D$12:$D$71,1)),""))</f>
        <v/>
      </c>
      <c r="C2876">
        <f>IF(A2876="","",DATE(YEAR(A2876),12,31)-DATE(YEAR(A2876),1,1)+1)</f>
        <v/>
      </c>
      <c r="D2876">
        <f>IF(A2876="","",Ввод!$B$4-SUMIF(Оплаты!$A$6:$A$505,"&lt;"&amp;A2876,Оплаты!$B$6:$B$505))</f>
        <v/>
      </c>
      <c r="E2876">
        <f>IF(A2876="","",IF(SUMPRODUCT((Ввод!$F$12:$F$31&lt;&gt;"")*(Ввод!$F$12:$F$31&lt;=A2876)*(Ввод!$G$12:$G$31&gt;=A2876))&gt;0,1,0))</f>
        <v/>
      </c>
      <c r="F2876">
        <f>IF(OR(A2876="",B2876=""),"",IF(E2876=1,0,D2876*B2876/100/C2876))</f>
        <v/>
      </c>
      <c r="G2876">
        <f>IF(A2876="","",IF(OR(B2876&lt;&gt;B2875,C2876&lt;&gt;C2875,D2876&lt;&gt;D2875,E2876&lt;&gt;E2875),G2875+1,G2875))</f>
        <v/>
      </c>
    </row>
    <row r="2877">
      <c r="A2877" s="14">
        <f>IF(OR(NOT(ISNUMBER(Ввод!$B$5)),NOT(ISNUMBER(Ввод!$B$6))),"",IF(Ввод!$B$5+2875&gt;Ввод!$B$6,"",Ввод!$B$5+2875))</f>
        <v/>
      </c>
      <c r="B2877">
        <f>IF(A2877="","",IFERROR(INDEX(Ввод!$B$12:$B$71,MATCH(A2877,Ввод!$D$12:$D$71,1)),""))</f>
        <v/>
      </c>
      <c r="C2877">
        <f>IF(A2877="","",DATE(YEAR(A2877),12,31)-DATE(YEAR(A2877),1,1)+1)</f>
        <v/>
      </c>
      <c r="D2877">
        <f>IF(A2877="","",Ввод!$B$4-SUMIF(Оплаты!$A$6:$A$505,"&lt;"&amp;A2877,Оплаты!$B$6:$B$505))</f>
        <v/>
      </c>
      <c r="E2877">
        <f>IF(A2877="","",IF(SUMPRODUCT((Ввод!$F$12:$F$31&lt;&gt;"")*(Ввод!$F$12:$F$31&lt;=A2877)*(Ввод!$G$12:$G$31&gt;=A2877))&gt;0,1,0))</f>
        <v/>
      </c>
      <c r="F2877">
        <f>IF(OR(A2877="",B2877=""),"",IF(E2877=1,0,D2877*B2877/100/C2877))</f>
        <v/>
      </c>
      <c r="G2877">
        <f>IF(A2877="","",IF(OR(B2877&lt;&gt;B2876,C2877&lt;&gt;C2876,D2877&lt;&gt;D2876,E2877&lt;&gt;E2876),G2876+1,G2876))</f>
        <v/>
      </c>
    </row>
    <row r="2878">
      <c r="A2878" s="14">
        <f>IF(OR(NOT(ISNUMBER(Ввод!$B$5)),NOT(ISNUMBER(Ввод!$B$6))),"",IF(Ввод!$B$5+2876&gt;Ввод!$B$6,"",Ввод!$B$5+2876))</f>
        <v/>
      </c>
      <c r="B2878">
        <f>IF(A2878="","",IFERROR(INDEX(Ввод!$B$12:$B$71,MATCH(A2878,Ввод!$D$12:$D$71,1)),""))</f>
        <v/>
      </c>
      <c r="C2878">
        <f>IF(A2878="","",DATE(YEAR(A2878),12,31)-DATE(YEAR(A2878),1,1)+1)</f>
        <v/>
      </c>
      <c r="D2878">
        <f>IF(A2878="","",Ввод!$B$4-SUMIF(Оплаты!$A$6:$A$505,"&lt;"&amp;A2878,Оплаты!$B$6:$B$505))</f>
        <v/>
      </c>
      <c r="E2878">
        <f>IF(A2878="","",IF(SUMPRODUCT((Ввод!$F$12:$F$31&lt;&gt;"")*(Ввод!$F$12:$F$31&lt;=A2878)*(Ввод!$G$12:$G$31&gt;=A2878))&gt;0,1,0))</f>
        <v/>
      </c>
      <c r="F2878">
        <f>IF(OR(A2878="",B2878=""),"",IF(E2878=1,0,D2878*B2878/100/C2878))</f>
        <v/>
      </c>
      <c r="G2878">
        <f>IF(A2878="","",IF(OR(B2878&lt;&gt;B2877,C2878&lt;&gt;C2877,D2878&lt;&gt;D2877,E2878&lt;&gt;E2877),G2877+1,G2877))</f>
        <v/>
      </c>
    </row>
    <row r="2879">
      <c r="A2879" s="14">
        <f>IF(OR(NOT(ISNUMBER(Ввод!$B$5)),NOT(ISNUMBER(Ввод!$B$6))),"",IF(Ввод!$B$5+2877&gt;Ввод!$B$6,"",Ввод!$B$5+2877))</f>
        <v/>
      </c>
      <c r="B2879">
        <f>IF(A2879="","",IFERROR(INDEX(Ввод!$B$12:$B$71,MATCH(A2879,Ввод!$D$12:$D$71,1)),""))</f>
        <v/>
      </c>
      <c r="C2879">
        <f>IF(A2879="","",DATE(YEAR(A2879),12,31)-DATE(YEAR(A2879),1,1)+1)</f>
        <v/>
      </c>
      <c r="D2879">
        <f>IF(A2879="","",Ввод!$B$4-SUMIF(Оплаты!$A$6:$A$505,"&lt;"&amp;A2879,Оплаты!$B$6:$B$505))</f>
        <v/>
      </c>
      <c r="E2879">
        <f>IF(A2879="","",IF(SUMPRODUCT((Ввод!$F$12:$F$31&lt;&gt;"")*(Ввод!$F$12:$F$31&lt;=A2879)*(Ввод!$G$12:$G$31&gt;=A2879))&gt;0,1,0))</f>
        <v/>
      </c>
      <c r="F2879">
        <f>IF(OR(A2879="",B2879=""),"",IF(E2879=1,0,D2879*B2879/100/C2879))</f>
        <v/>
      </c>
      <c r="G2879">
        <f>IF(A2879="","",IF(OR(B2879&lt;&gt;B2878,C2879&lt;&gt;C2878,D2879&lt;&gt;D2878,E2879&lt;&gt;E2878),G2878+1,G2878))</f>
        <v/>
      </c>
    </row>
    <row r="2880">
      <c r="A2880" s="14">
        <f>IF(OR(NOT(ISNUMBER(Ввод!$B$5)),NOT(ISNUMBER(Ввод!$B$6))),"",IF(Ввод!$B$5+2878&gt;Ввод!$B$6,"",Ввод!$B$5+2878))</f>
        <v/>
      </c>
      <c r="B2880">
        <f>IF(A2880="","",IFERROR(INDEX(Ввод!$B$12:$B$71,MATCH(A2880,Ввод!$D$12:$D$71,1)),""))</f>
        <v/>
      </c>
      <c r="C2880">
        <f>IF(A2880="","",DATE(YEAR(A2880),12,31)-DATE(YEAR(A2880),1,1)+1)</f>
        <v/>
      </c>
      <c r="D2880">
        <f>IF(A2880="","",Ввод!$B$4-SUMIF(Оплаты!$A$6:$A$505,"&lt;"&amp;A2880,Оплаты!$B$6:$B$505))</f>
        <v/>
      </c>
      <c r="E2880">
        <f>IF(A2880="","",IF(SUMPRODUCT((Ввод!$F$12:$F$31&lt;&gt;"")*(Ввод!$F$12:$F$31&lt;=A2880)*(Ввод!$G$12:$G$31&gt;=A2880))&gt;0,1,0))</f>
        <v/>
      </c>
      <c r="F2880">
        <f>IF(OR(A2880="",B2880=""),"",IF(E2880=1,0,D2880*B2880/100/C2880))</f>
        <v/>
      </c>
      <c r="G2880">
        <f>IF(A2880="","",IF(OR(B2880&lt;&gt;B2879,C2880&lt;&gt;C2879,D2880&lt;&gt;D2879,E2880&lt;&gt;E2879),G2879+1,G2879))</f>
        <v/>
      </c>
    </row>
    <row r="2881">
      <c r="A2881" s="14">
        <f>IF(OR(NOT(ISNUMBER(Ввод!$B$5)),NOT(ISNUMBER(Ввод!$B$6))),"",IF(Ввод!$B$5+2879&gt;Ввод!$B$6,"",Ввод!$B$5+2879))</f>
        <v/>
      </c>
      <c r="B2881">
        <f>IF(A2881="","",IFERROR(INDEX(Ввод!$B$12:$B$71,MATCH(A2881,Ввод!$D$12:$D$71,1)),""))</f>
        <v/>
      </c>
      <c r="C2881">
        <f>IF(A2881="","",DATE(YEAR(A2881),12,31)-DATE(YEAR(A2881),1,1)+1)</f>
        <v/>
      </c>
      <c r="D2881">
        <f>IF(A2881="","",Ввод!$B$4-SUMIF(Оплаты!$A$6:$A$505,"&lt;"&amp;A2881,Оплаты!$B$6:$B$505))</f>
        <v/>
      </c>
      <c r="E2881">
        <f>IF(A2881="","",IF(SUMPRODUCT((Ввод!$F$12:$F$31&lt;&gt;"")*(Ввод!$F$12:$F$31&lt;=A2881)*(Ввод!$G$12:$G$31&gt;=A2881))&gt;0,1,0))</f>
        <v/>
      </c>
      <c r="F2881">
        <f>IF(OR(A2881="",B2881=""),"",IF(E2881=1,0,D2881*B2881/100/C2881))</f>
        <v/>
      </c>
      <c r="G2881">
        <f>IF(A2881="","",IF(OR(B2881&lt;&gt;B2880,C2881&lt;&gt;C2880,D2881&lt;&gt;D2880,E2881&lt;&gt;E2880),G2880+1,G2880))</f>
        <v/>
      </c>
    </row>
    <row r="2882">
      <c r="A2882" s="14">
        <f>IF(OR(NOT(ISNUMBER(Ввод!$B$5)),NOT(ISNUMBER(Ввод!$B$6))),"",IF(Ввод!$B$5+2880&gt;Ввод!$B$6,"",Ввод!$B$5+2880))</f>
        <v/>
      </c>
      <c r="B2882">
        <f>IF(A2882="","",IFERROR(INDEX(Ввод!$B$12:$B$71,MATCH(A2882,Ввод!$D$12:$D$71,1)),""))</f>
        <v/>
      </c>
      <c r="C2882">
        <f>IF(A2882="","",DATE(YEAR(A2882),12,31)-DATE(YEAR(A2882),1,1)+1)</f>
        <v/>
      </c>
      <c r="D2882">
        <f>IF(A2882="","",Ввод!$B$4-SUMIF(Оплаты!$A$6:$A$505,"&lt;"&amp;A2882,Оплаты!$B$6:$B$505))</f>
        <v/>
      </c>
      <c r="E2882">
        <f>IF(A2882="","",IF(SUMPRODUCT((Ввод!$F$12:$F$31&lt;&gt;"")*(Ввод!$F$12:$F$31&lt;=A2882)*(Ввод!$G$12:$G$31&gt;=A2882))&gt;0,1,0))</f>
        <v/>
      </c>
      <c r="F2882">
        <f>IF(OR(A2882="",B2882=""),"",IF(E2882=1,0,D2882*B2882/100/C2882))</f>
        <v/>
      </c>
      <c r="G2882">
        <f>IF(A2882="","",IF(OR(B2882&lt;&gt;B2881,C2882&lt;&gt;C2881,D2882&lt;&gt;D2881,E2882&lt;&gt;E2881),G2881+1,G2881))</f>
        <v/>
      </c>
    </row>
    <row r="2883">
      <c r="A2883" s="14">
        <f>IF(OR(NOT(ISNUMBER(Ввод!$B$5)),NOT(ISNUMBER(Ввод!$B$6))),"",IF(Ввод!$B$5+2881&gt;Ввод!$B$6,"",Ввод!$B$5+2881))</f>
        <v/>
      </c>
      <c r="B2883">
        <f>IF(A2883="","",IFERROR(INDEX(Ввод!$B$12:$B$71,MATCH(A2883,Ввод!$D$12:$D$71,1)),""))</f>
        <v/>
      </c>
      <c r="C2883">
        <f>IF(A2883="","",DATE(YEAR(A2883),12,31)-DATE(YEAR(A2883),1,1)+1)</f>
        <v/>
      </c>
      <c r="D2883">
        <f>IF(A2883="","",Ввод!$B$4-SUMIF(Оплаты!$A$6:$A$505,"&lt;"&amp;A2883,Оплаты!$B$6:$B$505))</f>
        <v/>
      </c>
      <c r="E2883">
        <f>IF(A2883="","",IF(SUMPRODUCT((Ввод!$F$12:$F$31&lt;&gt;"")*(Ввод!$F$12:$F$31&lt;=A2883)*(Ввод!$G$12:$G$31&gt;=A2883))&gt;0,1,0))</f>
        <v/>
      </c>
      <c r="F2883">
        <f>IF(OR(A2883="",B2883=""),"",IF(E2883=1,0,D2883*B2883/100/C2883))</f>
        <v/>
      </c>
      <c r="G2883">
        <f>IF(A2883="","",IF(OR(B2883&lt;&gt;B2882,C2883&lt;&gt;C2882,D2883&lt;&gt;D2882,E2883&lt;&gt;E2882),G2882+1,G2882))</f>
        <v/>
      </c>
    </row>
    <row r="2884">
      <c r="A2884" s="14">
        <f>IF(OR(NOT(ISNUMBER(Ввод!$B$5)),NOT(ISNUMBER(Ввод!$B$6))),"",IF(Ввод!$B$5+2882&gt;Ввод!$B$6,"",Ввод!$B$5+2882))</f>
        <v/>
      </c>
      <c r="B2884">
        <f>IF(A2884="","",IFERROR(INDEX(Ввод!$B$12:$B$71,MATCH(A2884,Ввод!$D$12:$D$71,1)),""))</f>
        <v/>
      </c>
      <c r="C2884">
        <f>IF(A2884="","",DATE(YEAR(A2884),12,31)-DATE(YEAR(A2884),1,1)+1)</f>
        <v/>
      </c>
      <c r="D2884">
        <f>IF(A2884="","",Ввод!$B$4-SUMIF(Оплаты!$A$6:$A$505,"&lt;"&amp;A2884,Оплаты!$B$6:$B$505))</f>
        <v/>
      </c>
      <c r="E2884">
        <f>IF(A2884="","",IF(SUMPRODUCT((Ввод!$F$12:$F$31&lt;&gt;"")*(Ввод!$F$12:$F$31&lt;=A2884)*(Ввод!$G$12:$G$31&gt;=A2884))&gt;0,1,0))</f>
        <v/>
      </c>
      <c r="F2884">
        <f>IF(OR(A2884="",B2884=""),"",IF(E2884=1,0,D2884*B2884/100/C2884))</f>
        <v/>
      </c>
      <c r="G2884">
        <f>IF(A2884="","",IF(OR(B2884&lt;&gt;B2883,C2884&lt;&gt;C2883,D2884&lt;&gt;D2883,E2884&lt;&gt;E2883),G2883+1,G2883))</f>
        <v/>
      </c>
    </row>
    <row r="2885">
      <c r="A2885" s="14">
        <f>IF(OR(NOT(ISNUMBER(Ввод!$B$5)),NOT(ISNUMBER(Ввод!$B$6))),"",IF(Ввод!$B$5+2883&gt;Ввод!$B$6,"",Ввод!$B$5+2883))</f>
        <v/>
      </c>
      <c r="B2885">
        <f>IF(A2885="","",IFERROR(INDEX(Ввод!$B$12:$B$71,MATCH(A2885,Ввод!$D$12:$D$71,1)),""))</f>
        <v/>
      </c>
      <c r="C2885">
        <f>IF(A2885="","",DATE(YEAR(A2885),12,31)-DATE(YEAR(A2885),1,1)+1)</f>
        <v/>
      </c>
      <c r="D2885">
        <f>IF(A2885="","",Ввод!$B$4-SUMIF(Оплаты!$A$6:$A$505,"&lt;"&amp;A2885,Оплаты!$B$6:$B$505))</f>
        <v/>
      </c>
      <c r="E2885">
        <f>IF(A2885="","",IF(SUMPRODUCT((Ввод!$F$12:$F$31&lt;&gt;"")*(Ввод!$F$12:$F$31&lt;=A2885)*(Ввод!$G$12:$G$31&gt;=A2885))&gt;0,1,0))</f>
        <v/>
      </c>
      <c r="F2885">
        <f>IF(OR(A2885="",B2885=""),"",IF(E2885=1,0,D2885*B2885/100/C2885))</f>
        <v/>
      </c>
      <c r="G2885">
        <f>IF(A2885="","",IF(OR(B2885&lt;&gt;B2884,C2885&lt;&gt;C2884,D2885&lt;&gt;D2884,E2885&lt;&gt;E2884),G2884+1,G2884))</f>
        <v/>
      </c>
    </row>
    <row r="2886">
      <c r="A2886" s="14">
        <f>IF(OR(NOT(ISNUMBER(Ввод!$B$5)),NOT(ISNUMBER(Ввод!$B$6))),"",IF(Ввод!$B$5+2884&gt;Ввод!$B$6,"",Ввод!$B$5+2884))</f>
        <v/>
      </c>
      <c r="B2886">
        <f>IF(A2886="","",IFERROR(INDEX(Ввод!$B$12:$B$71,MATCH(A2886,Ввод!$D$12:$D$71,1)),""))</f>
        <v/>
      </c>
      <c r="C2886">
        <f>IF(A2886="","",DATE(YEAR(A2886),12,31)-DATE(YEAR(A2886),1,1)+1)</f>
        <v/>
      </c>
      <c r="D2886">
        <f>IF(A2886="","",Ввод!$B$4-SUMIF(Оплаты!$A$6:$A$505,"&lt;"&amp;A2886,Оплаты!$B$6:$B$505))</f>
        <v/>
      </c>
      <c r="E2886">
        <f>IF(A2886="","",IF(SUMPRODUCT((Ввод!$F$12:$F$31&lt;&gt;"")*(Ввод!$F$12:$F$31&lt;=A2886)*(Ввод!$G$12:$G$31&gt;=A2886))&gt;0,1,0))</f>
        <v/>
      </c>
      <c r="F2886">
        <f>IF(OR(A2886="",B2886=""),"",IF(E2886=1,0,D2886*B2886/100/C2886))</f>
        <v/>
      </c>
      <c r="G2886">
        <f>IF(A2886="","",IF(OR(B2886&lt;&gt;B2885,C2886&lt;&gt;C2885,D2886&lt;&gt;D2885,E2886&lt;&gt;E2885),G2885+1,G2885))</f>
        <v/>
      </c>
    </row>
    <row r="2887">
      <c r="A2887" s="14">
        <f>IF(OR(NOT(ISNUMBER(Ввод!$B$5)),NOT(ISNUMBER(Ввод!$B$6))),"",IF(Ввод!$B$5+2885&gt;Ввод!$B$6,"",Ввод!$B$5+2885))</f>
        <v/>
      </c>
      <c r="B2887">
        <f>IF(A2887="","",IFERROR(INDEX(Ввод!$B$12:$B$71,MATCH(A2887,Ввод!$D$12:$D$71,1)),""))</f>
        <v/>
      </c>
      <c r="C2887">
        <f>IF(A2887="","",DATE(YEAR(A2887),12,31)-DATE(YEAR(A2887),1,1)+1)</f>
        <v/>
      </c>
      <c r="D2887">
        <f>IF(A2887="","",Ввод!$B$4-SUMIF(Оплаты!$A$6:$A$505,"&lt;"&amp;A2887,Оплаты!$B$6:$B$505))</f>
        <v/>
      </c>
      <c r="E2887">
        <f>IF(A2887="","",IF(SUMPRODUCT((Ввод!$F$12:$F$31&lt;&gt;"")*(Ввод!$F$12:$F$31&lt;=A2887)*(Ввод!$G$12:$G$31&gt;=A2887))&gt;0,1,0))</f>
        <v/>
      </c>
      <c r="F2887">
        <f>IF(OR(A2887="",B2887=""),"",IF(E2887=1,0,D2887*B2887/100/C2887))</f>
        <v/>
      </c>
      <c r="G2887">
        <f>IF(A2887="","",IF(OR(B2887&lt;&gt;B2886,C2887&lt;&gt;C2886,D2887&lt;&gt;D2886,E2887&lt;&gt;E2886),G2886+1,G2886))</f>
        <v/>
      </c>
    </row>
    <row r="2888">
      <c r="A2888" s="14">
        <f>IF(OR(NOT(ISNUMBER(Ввод!$B$5)),NOT(ISNUMBER(Ввод!$B$6))),"",IF(Ввод!$B$5+2886&gt;Ввод!$B$6,"",Ввод!$B$5+2886))</f>
        <v/>
      </c>
      <c r="B2888">
        <f>IF(A2888="","",IFERROR(INDEX(Ввод!$B$12:$B$71,MATCH(A2888,Ввод!$D$12:$D$71,1)),""))</f>
        <v/>
      </c>
      <c r="C2888">
        <f>IF(A2888="","",DATE(YEAR(A2888),12,31)-DATE(YEAR(A2888),1,1)+1)</f>
        <v/>
      </c>
      <c r="D2888">
        <f>IF(A2888="","",Ввод!$B$4-SUMIF(Оплаты!$A$6:$A$505,"&lt;"&amp;A2888,Оплаты!$B$6:$B$505))</f>
        <v/>
      </c>
      <c r="E2888">
        <f>IF(A2888="","",IF(SUMPRODUCT((Ввод!$F$12:$F$31&lt;&gt;"")*(Ввод!$F$12:$F$31&lt;=A2888)*(Ввод!$G$12:$G$31&gt;=A2888))&gt;0,1,0))</f>
        <v/>
      </c>
      <c r="F2888">
        <f>IF(OR(A2888="",B2888=""),"",IF(E2888=1,0,D2888*B2888/100/C2888))</f>
        <v/>
      </c>
      <c r="G2888">
        <f>IF(A2888="","",IF(OR(B2888&lt;&gt;B2887,C2888&lt;&gt;C2887,D2888&lt;&gt;D2887,E2888&lt;&gt;E2887),G2887+1,G2887))</f>
        <v/>
      </c>
    </row>
    <row r="2889">
      <c r="A2889" s="14">
        <f>IF(OR(NOT(ISNUMBER(Ввод!$B$5)),NOT(ISNUMBER(Ввод!$B$6))),"",IF(Ввод!$B$5+2887&gt;Ввод!$B$6,"",Ввод!$B$5+2887))</f>
        <v/>
      </c>
      <c r="B2889">
        <f>IF(A2889="","",IFERROR(INDEX(Ввод!$B$12:$B$71,MATCH(A2889,Ввод!$D$12:$D$71,1)),""))</f>
        <v/>
      </c>
      <c r="C2889">
        <f>IF(A2889="","",DATE(YEAR(A2889),12,31)-DATE(YEAR(A2889),1,1)+1)</f>
        <v/>
      </c>
      <c r="D2889">
        <f>IF(A2889="","",Ввод!$B$4-SUMIF(Оплаты!$A$6:$A$505,"&lt;"&amp;A2889,Оплаты!$B$6:$B$505))</f>
        <v/>
      </c>
      <c r="E2889">
        <f>IF(A2889="","",IF(SUMPRODUCT((Ввод!$F$12:$F$31&lt;&gt;"")*(Ввод!$F$12:$F$31&lt;=A2889)*(Ввод!$G$12:$G$31&gt;=A2889))&gt;0,1,0))</f>
        <v/>
      </c>
      <c r="F2889">
        <f>IF(OR(A2889="",B2889=""),"",IF(E2889=1,0,D2889*B2889/100/C2889))</f>
        <v/>
      </c>
      <c r="G2889">
        <f>IF(A2889="","",IF(OR(B2889&lt;&gt;B2888,C2889&lt;&gt;C2888,D2889&lt;&gt;D2888,E2889&lt;&gt;E2888),G2888+1,G2888))</f>
        <v/>
      </c>
    </row>
    <row r="2890">
      <c r="A2890" s="14">
        <f>IF(OR(NOT(ISNUMBER(Ввод!$B$5)),NOT(ISNUMBER(Ввод!$B$6))),"",IF(Ввод!$B$5+2888&gt;Ввод!$B$6,"",Ввод!$B$5+2888))</f>
        <v/>
      </c>
      <c r="B2890">
        <f>IF(A2890="","",IFERROR(INDEX(Ввод!$B$12:$B$71,MATCH(A2890,Ввод!$D$12:$D$71,1)),""))</f>
        <v/>
      </c>
      <c r="C2890">
        <f>IF(A2890="","",DATE(YEAR(A2890),12,31)-DATE(YEAR(A2890),1,1)+1)</f>
        <v/>
      </c>
      <c r="D2890">
        <f>IF(A2890="","",Ввод!$B$4-SUMIF(Оплаты!$A$6:$A$505,"&lt;"&amp;A2890,Оплаты!$B$6:$B$505))</f>
        <v/>
      </c>
      <c r="E2890">
        <f>IF(A2890="","",IF(SUMPRODUCT((Ввод!$F$12:$F$31&lt;&gt;"")*(Ввод!$F$12:$F$31&lt;=A2890)*(Ввод!$G$12:$G$31&gt;=A2890))&gt;0,1,0))</f>
        <v/>
      </c>
      <c r="F2890">
        <f>IF(OR(A2890="",B2890=""),"",IF(E2890=1,0,D2890*B2890/100/C2890))</f>
        <v/>
      </c>
      <c r="G2890">
        <f>IF(A2890="","",IF(OR(B2890&lt;&gt;B2889,C2890&lt;&gt;C2889,D2890&lt;&gt;D2889,E2890&lt;&gt;E2889),G2889+1,G2889))</f>
        <v/>
      </c>
    </row>
    <row r="2891">
      <c r="A2891" s="14">
        <f>IF(OR(NOT(ISNUMBER(Ввод!$B$5)),NOT(ISNUMBER(Ввод!$B$6))),"",IF(Ввод!$B$5+2889&gt;Ввод!$B$6,"",Ввод!$B$5+2889))</f>
        <v/>
      </c>
      <c r="B2891">
        <f>IF(A2891="","",IFERROR(INDEX(Ввод!$B$12:$B$71,MATCH(A2891,Ввод!$D$12:$D$71,1)),""))</f>
        <v/>
      </c>
      <c r="C2891">
        <f>IF(A2891="","",DATE(YEAR(A2891),12,31)-DATE(YEAR(A2891),1,1)+1)</f>
        <v/>
      </c>
      <c r="D2891">
        <f>IF(A2891="","",Ввод!$B$4-SUMIF(Оплаты!$A$6:$A$505,"&lt;"&amp;A2891,Оплаты!$B$6:$B$505))</f>
        <v/>
      </c>
      <c r="E2891">
        <f>IF(A2891="","",IF(SUMPRODUCT((Ввод!$F$12:$F$31&lt;&gt;"")*(Ввод!$F$12:$F$31&lt;=A2891)*(Ввод!$G$12:$G$31&gt;=A2891))&gt;0,1,0))</f>
        <v/>
      </c>
      <c r="F2891">
        <f>IF(OR(A2891="",B2891=""),"",IF(E2891=1,0,D2891*B2891/100/C2891))</f>
        <v/>
      </c>
      <c r="G2891">
        <f>IF(A2891="","",IF(OR(B2891&lt;&gt;B2890,C2891&lt;&gt;C2890,D2891&lt;&gt;D2890,E2891&lt;&gt;E2890),G2890+1,G2890))</f>
        <v/>
      </c>
    </row>
    <row r="2892">
      <c r="A2892" s="14">
        <f>IF(OR(NOT(ISNUMBER(Ввод!$B$5)),NOT(ISNUMBER(Ввод!$B$6))),"",IF(Ввод!$B$5+2890&gt;Ввод!$B$6,"",Ввод!$B$5+2890))</f>
        <v/>
      </c>
      <c r="B2892">
        <f>IF(A2892="","",IFERROR(INDEX(Ввод!$B$12:$B$71,MATCH(A2892,Ввод!$D$12:$D$71,1)),""))</f>
        <v/>
      </c>
      <c r="C2892">
        <f>IF(A2892="","",DATE(YEAR(A2892),12,31)-DATE(YEAR(A2892),1,1)+1)</f>
        <v/>
      </c>
      <c r="D2892">
        <f>IF(A2892="","",Ввод!$B$4-SUMIF(Оплаты!$A$6:$A$505,"&lt;"&amp;A2892,Оплаты!$B$6:$B$505))</f>
        <v/>
      </c>
      <c r="E2892">
        <f>IF(A2892="","",IF(SUMPRODUCT((Ввод!$F$12:$F$31&lt;&gt;"")*(Ввод!$F$12:$F$31&lt;=A2892)*(Ввод!$G$12:$G$31&gt;=A2892))&gt;0,1,0))</f>
        <v/>
      </c>
      <c r="F2892">
        <f>IF(OR(A2892="",B2892=""),"",IF(E2892=1,0,D2892*B2892/100/C2892))</f>
        <v/>
      </c>
      <c r="G2892">
        <f>IF(A2892="","",IF(OR(B2892&lt;&gt;B2891,C2892&lt;&gt;C2891,D2892&lt;&gt;D2891,E2892&lt;&gt;E2891),G2891+1,G2891))</f>
        <v/>
      </c>
    </row>
    <row r="2893">
      <c r="A2893" s="14">
        <f>IF(OR(NOT(ISNUMBER(Ввод!$B$5)),NOT(ISNUMBER(Ввод!$B$6))),"",IF(Ввод!$B$5+2891&gt;Ввод!$B$6,"",Ввод!$B$5+2891))</f>
        <v/>
      </c>
      <c r="B2893">
        <f>IF(A2893="","",IFERROR(INDEX(Ввод!$B$12:$B$71,MATCH(A2893,Ввод!$D$12:$D$71,1)),""))</f>
        <v/>
      </c>
      <c r="C2893">
        <f>IF(A2893="","",DATE(YEAR(A2893),12,31)-DATE(YEAR(A2893),1,1)+1)</f>
        <v/>
      </c>
      <c r="D2893">
        <f>IF(A2893="","",Ввод!$B$4-SUMIF(Оплаты!$A$6:$A$505,"&lt;"&amp;A2893,Оплаты!$B$6:$B$505))</f>
        <v/>
      </c>
      <c r="E2893">
        <f>IF(A2893="","",IF(SUMPRODUCT((Ввод!$F$12:$F$31&lt;&gt;"")*(Ввод!$F$12:$F$31&lt;=A2893)*(Ввод!$G$12:$G$31&gt;=A2893))&gt;0,1,0))</f>
        <v/>
      </c>
      <c r="F2893">
        <f>IF(OR(A2893="",B2893=""),"",IF(E2893=1,0,D2893*B2893/100/C2893))</f>
        <v/>
      </c>
      <c r="G2893">
        <f>IF(A2893="","",IF(OR(B2893&lt;&gt;B2892,C2893&lt;&gt;C2892,D2893&lt;&gt;D2892,E2893&lt;&gt;E2892),G2892+1,G2892))</f>
        <v/>
      </c>
    </row>
    <row r="2894">
      <c r="A2894" s="14">
        <f>IF(OR(NOT(ISNUMBER(Ввод!$B$5)),NOT(ISNUMBER(Ввод!$B$6))),"",IF(Ввод!$B$5+2892&gt;Ввод!$B$6,"",Ввод!$B$5+2892))</f>
        <v/>
      </c>
      <c r="B2894">
        <f>IF(A2894="","",IFERROR(INDEX(Ввод!$B$12:$B$71,MATCH(A2894,Ввод!$D$12:$D$71,1)),""))</f>
        <v/>
      </c>
      <c r="C2894">
        <f>IF(A2894="","",DATE(YEAR(A2894),12,31)-DATE(YEAR(A2894),1,1)+1)</f>
        <v/>
      </c>
      <c r="D2894">
        <f>IF(A2894="","",Ввод!$B$4-SUMIF(Оплаты!$A$6:$A$505,"&lt;"&amp;A2894,Оплаты!$B$6:$B$505))</f>
        <v/>
      </c>
      <c r="E2894">
        <f>IF(A2894="","",IF(SUMPRODUCT((Ввод!$F$12:$F$31&lt;&gt;"")*(Ввод!$F$12:$F$31&lt;=A2894)*(Ввод!$G$12:$G$31&gt;=A2894))&gt;0,1,0))</f>
        <v/>
      </c>
      <c r="F2894">
        <f>IF(OR(A2894="",B2894=""),"",IF(E2894=1,0,D2894*B2894/100/C2894))</f>
        <v/>
      </c>
      <c r="G2894">
        <f>IF(A2894="","",IF(OR(B2894&lt;&gt;B2893,C2894&lt;&gt;C2893,D2894&lt;&gt;D2893,E2894&lt;&gt;E2893),G2893+1,G2893))</f>
        <v/>
      </c>
    </row>
    <row r="2895">
      <c r="A2895" s="14">
        <f>IF(OR(NOT(ISNUMBER(Ввод!$B$5)),NOT(ISNUMBER(Ввод!$B$6))),"",IF(Ввод!$B$5+2893&gt;Ввод!$B$6,"",Ввод!$B$5+2893))</f>
        <v/>
      </c>
      <c r="B2895">
        <f>IF(A2895="","",IFERROR(INDEX(Ввод!$B$12:$B$71,MATCH(A2895,Ввод!$D$12:$D$71,1)),""))</f>
        <v/>
      </c>
      <c r="C2895">
        <f>IF(A2895="","",DATE(YEAR(A2895),12,31)-DATE(YEAR(A2895),1,1)+1)</f>
        <v/>
      </c>
      <c r="D2895">
        <f>IF(A2895="","",Ввод!$B$4-SUMIF(Оплаты!$A$6:$A$505,"&lt;"&amp;A2895,Оплаты!$B$6:$B$505))</f>
        <v/>
      </c>
      <c r="E2895">
        <f>IF(A2895="","",IF(SUMPRODUCT((Ввод!$F$12:$F$31&lt;&gt;"")*(Ввод!$F$12:$F$31&lt;=A2895)*(Ввод!$G$12:$G$31&gt;=A2895))&gt;0,1,0))</f>
        <v/>
      </c>
      <c r="F2895">
        <f>IF(OR(A2895="",B2895=""),"",IF(E2895=1,0,D2895*B2895/100/C2895))</f>
        <v/>
      </c>
      <c r="G2895">
        <f>IF(A2895="","",IF(OR(B2895&lt;&gt;B2894,C2895&lt;&gt;C2894,D2895&lt;&gt;D2894,E2895&lt;&gt;E2894),G2894+1,G2894))</f>
        <v/>
      </c>
    </row>
    <row r="2896">
      <c r="A2896" s="14">
        <f>IF(OR(NOT(ISNUMBER(Ввод!$B$5)),NOT(ISNUMBER(Ввод!$B$6))),"",IF(Ввод!$B$5+2894&gt;Ввод!$B$6,"",Ввод!$B$5+2894))</f>
        <v/>
      </c>
      <c r="B2896">
        <f>IF(A2896="","",IFERROR(INDEX(Ввод!$B$12:$B$71,MATCH(A2896,Ввод!$D$12:$D$71,1)),""))</f>
        <v/>
      </c>
      <c r="C2896">
        <f>IF(A2896="","",DATE(YEAR(A2896),12,31)-DATE(YEAR(A2896),1,1)+1)</f>
        <v/>
      </c>
      <c r="D2896">
        <f>IF(A2896="","",Ввод!$B$4-SUMIF(Оплаты!$A$6:$A$505,"&lt;"&amp;A2896,Оплаты!$B$6:$B$505))</f>
        <v/>
      </c>
      <c r="E2896">
        <f>IF(A2896="","",IF(SUMPRODUCT((Ввод!$F$12:$F$31&lt;&gt;"")*(Ввод!$F$12:$F$31&lt;=A2896)*(Ввод!$G$12:$G$31&gt;=A2896))&gt;0,1,0))</f>
        <v/>
      </c>
      <c r="F2896">
        <f>IF(OR(A2896="",B2896=""),"",IF(E2896=1,0,D2896*B2896/100/C2896))</f>
        <v/>
      </c>
      <c r="G2896">
        <f>IF(A2896="","",IF(OR(B2896&lt;&gt;B2895,C2896&lt;&gt;C2895,D2896&lt;&gt;D2895,E2896&lt;&gt;E2895),G2895+1,G2895))</f>
        <v/>
      </c>
    </row>
    <row r="2897">
      <c r="A2897" s="14">
        <f>IF(OR(NOT(ISNUMBER(Ввод!$B$5)),NOT(ISNUMBER(Ввод!$B$6))),"",IF(Ввод!$B$5+2895&gt;Ввод!$B$6,"",Ввод!$B$5+2895))</f>
        <v/>
      </c>
      <c r="B2897">
        <f>IF(A2897="","",IFERROR(INDEX(Ввод!$B$12:$B$71,MATCH(A2897,Ввод!$D$12:$D$71,1)),""))</f>
        <v/>
      </c>
      <c r="C2897">
        <f>IF(A2897="","",DATE(YEAR(A2897),12,31)-DATE(YEAR(A2897),1,1)+1)</f>
        <v/>
      </c>
      <c r="D2897">
        <f>IF(A2897="","",Ввод!$B$4-SUMIF(Оплаты!$A$6:$A$505,"&lt;"&amp;A2897,Оплаты!$B$6:$B$505))</f>
        <v/>
      </c>
      <c r="E2897">
        <f>IF(A2897="","",IF(SUMPRODUCT((Ввод!$F$12:$F$31&lt;&gt;"")*(Ввод!$F$12:$F$31&lt;=A2897)*(Ввод!$G$12:$G$31&gt;=A2897))&gt;0,1,0))</f>
        <v/>
      </c>
      <c r="F2897">
        <f>IF(OR(A2897="",B2897=""),"",IF(E2897=1,0,D2897*B2897/100/C2897))</f>
        <v/>
      </c>
      <c r="G2897">
        <f>IF(A2897="","",IF(OR(B2897&lt;&gt;B2896,C2897&lt;&gt;C2896,D2897&lt;&gt;D2896,E2897&lt;&gt;E2896),G2896+1,G2896))</f>
        <v/>
      </c>
    </row>
    <row r="2898">
      <c r="A2898" s="14">
        <f>IF(OR(NOT(ISNUMBER(Ввод!$B$5)),NOT(ISNUMBER(Ввод!$B$6))),"",IF(Ввод!$B$5+2896&gt;Ввод!$B$6,"",Ввод!$B$5+2896))</f>
        <v/>
      </c>
      <c r="B2898">
        <f>IF(A2898="","",IFERROR(INDEX(Ввод!$B$12:$B$71,MATCH(A2898,Ввод!$D$12:$D$71,1)),""))</f>
        <v/>
      </c>
      <c r="C2898">
        <f>IF(A2898="","",DATE(YEAR(A2898),12,31)-DATE(YEAR(A2898),1,1)+1)</f>
        <v/>
      </c>
      <c r="D2898">
        <f>IF(A2898="","",Ввод!$B$4-SUMIF(Оплаты!$A$6:$A$505,"&lt;"&amp;A2898,Оплаты!$B$6:$B$505))</f>
        <v/>
      </c>
      <c r="E2898">
        <f>IF(A2898="","",IF(SUMPRODUCT((Ввод!$F$12:$F$31&lt;&gt;"")*(Ввод!$F$12:$F$31&lt;=A2898)*(Ввод!$G$12:$G$31&gt;=A2898))&gt;0,1,0))</f>
        <v/>
      </c>
      <c r="F2898">
        <f>IF(OR(A2898="",B2898=""),"",IF(E2898=1,0,D2898*B2898/100/C2898))</f>
        <v/>
      </c>
      <c r="G2898">
        <f>IF(A2898="","",IF(OR(B2898&lt;&gt;B2897,C2898&lt;&gt;C2897,D2898&lt;&gt;D2897,E2898&lt;&gt;E2897),G2897+1,G2897))</f>
        <v/>
      </c>
    </row>
    <row r="2899">
      <c r="A2899" s="14">
        <f>IF(OR(NOT(ISNUMBER(Ввод!$B$5)),NOT(ISNUMBER(Ввод!$B$6))),"",IF(Ввод!$B$5+2897&gt;Ввод!$B$6,"",Ввод!$B$5+2897))</f>
        <v/>
      </c>
      <c r="B2899">
        <f>IF(A2899="","",IFERROR(INDEX(Ввод!$B$12:$B$71,MATCH(A2899,Ввод!$D$12:$D$71,1)),""))</f>
        <v/>
      </c>
      <c r="C2899">
        <f>IF(A2899="","",DATE(YEAR(A2899),12,31)-DATE(YEAR(A2899),1,1)+1)</f>
        <v/>
      </c>
      <c r="D2899">
        <f>IF(A2899="","",Ввод!$B$4-SUMIF(Оплаты!$A$6:$A$505,"&lt;"&amp;A2899,Оплаты!$B$6:$B$505))</f>
        <v/>
      </c>
      <c r="E2899">
        <f>IF(A2899="","",IF(SUMPRODUCT((Ввод!$F$12:$F$31&lt;&gt;"")*(Ввод!$F$12:$F$31&lt;=A2899)*(Ввод!$G$12:$G$31&gt;=A2899))&gt;0,1,0))</f>
        <v/>
      </c>
      <c r="F2899">
        <f>IF(OR(A2899="",B2899=""),"",IF(E2899=1,0,D2899*B2899/100/C2899))</f>
        <v/>
      </c>
      <c r="G2899">
        <f>IF(A2899="","",IF(OR(B2899&lt;&gt;B2898,C2899&lt;&gt;C2898,D2899&lt;&gt;D2898,E2899&lt;&gt;E2898),G2898+1,G2898))</f>
        <v/>
      </c>
    </row>
    <row r="2900">
      <c r="A2900" s="14">
        <f>IF(OR(NOT(ISNUMBER(Ввод!$B$5)),NOT(ISNUMBER(Ввод!$B$6))),"",IF(Ввод!$B$5+2898&gt;Ввод!$B$6,"",Ввод!$B$5+2898))</f>
        <v/>
      </c>
      <c r="B2900">
        <f>IF(A2900="","",IFERROR(INDEX(Ввод!$B$12:$B$71,MATCH(A2900,Ввод!$D$12:$D$71,1)),""))</f>
        <v/>
      </c>
      <c r="C2900">
        <f>IF(A2900="","",DATE(YEAR(A2900),12,31)-DATE(YEAR(A2900),1,1)+1)</f>
        <v/>
      </c>
      <c r="D2900">
        <f>IF(A2900="","",Ввод!$B$4-SUMIF(Оплаты!$A$6:$A$505,"&lt;"&amp;A2900,Оплаты!$B$6:$B$505))</f>
        <v/>
      </c>
      <c r="E2900">
        <f>IF(A2900="","",IF(SUMPRODUCT((Ввод!$F$12:$F$31&lt;&gt;"")*(Ввод!$F$12:$F$31&lt;=A2900)*(Ввод!$G$12:$G$31&gt;=A2900))&gt;0,1,0))</f>
        <v/>
      </c>
      <c r="F2900">
        <f>IF(OR(A2900="",B2900=""),"",IF(E2900=1,0,D2900*B2900/100/C2900))</f>
        <v/>
      </c>
      <c r="G2900">
        <f>IF(A2900="","",IF(OR(B2900&lt;&gt;B2899,C2900&lt;&gt;C2899,D2900&lt;&gt;D2899,E2900&lt;&gt;E2899),G2899+1,G2899))</f>
        <v/>
      </c>
    </row>
    <row r="2901">
      <c r="A2901" s="14">
        <f>IF(OR(NOT(ISNUMBER(Ввод!$B$5)),NOT(ISNUMBER(Ввод!$B$6))),"",IF(Ввод!$B$5+2899&gt;Ввод!$B$6,"",Ввод!$B$5+2899))</f>
        <v/>
      </c>
      <c r="B2901">
        <f>IF(A2901="","",IFERROR(INDEX(Ввод!$B$12:$B$71,MATCH(A2901,Ввод!$D$12:$D$71,1)),""))</f>
        <v/>
      </c>
      <c r="C2901">
        <f>IF(A2901="","",DATE(YEAR(A2901),12,31)-DATE(YEAR(A2901),1,1)+1)</f>
        <v/>
      </c>
      <c r="D2901">
        <f>IF(A2901="","",Ввод!$B$4-SUMIF(Оплаты!$A$6:$A$505,"&lt;"&amp;A2901,Оплаты!$B$6:$B$505))</f>
        <v/>
      </c>
      <c r="E2901">
        <f>IF(A2901="","",IF(SUMPRODUCT((Ввод!$F$12:$F$31&lt;&gt;"")*(Ввод!$F$12:$F$31&lt;=A2901)*(Ввод!$G$12:$G$31&gt;=A2901))&gt;0,1,0))</f>
        <v/>
      </c>
      <c r="F2901">
        <f>IF(OR(A2901="",B2901=""),"",IF(E2901=1,0,D2901*B2901/100/C2901))</f>
        <v/>
      </c>
      <c r="G2901">
        <f>IF(A2901="","",IF(OR(B2901&lt;&gt;B2900,C2901&lt;&gt;C2900,D2901&lt;&gt;D2900,E2901&lt;&gt;E2900),G2900+1,G2900))</f>
        <v/>
      </c>
    </row>
    <row r="2902">
      <c r="A2902" s="14">
        <f>IF(OR(NOT(ISNUMBER(Ввод!$B$5)),NOT(ISNUMBER(Ввод!$B$6))),"",IF(Ввод!$B$5+2900&gt;Ввод!$B$6,"",Ввод!$B$5+2900))</f>
        <v/>
      </c>
      <c r="B2902">
        <f>IF(A2902="","",IFERROR(INDEX(Ввод!$B$12:$B$71,MATCH(A2902,Ввод!$D$12:$D$71,1)),""))</f>
        <v/>
      </c>
      <c r="C2902">
        <f>IF(A2902="","",DATE(YEAR(A2902),12,31)-DATE(YEAR(A2902),1,1)+1)</f>
        <v/>
      </c>
      <c r="D2902">
        <f>IF(A2902="","",Ввод!$B$4-SUMIF(Оплаты!$A$6:$A$505,"&lt;"&amp;A2902,Оплаты!$B$6:$B$505))</f>
        <v/>
      </c>
      <c r="E2902">
        <f>IF(A2902="","",IF(SUMPRODUCT((Ввод!$F$12:$F$31&lt;&gt;"")*(Ввод!$F$12:$F$31&lt;=A2902)*(Ввод!$G$12:$G$31&gt;=A2902))&gt;0,1,0))</f>
        <v/>
      </c>
      <c r="F2902">
        <f>IF(OR(A2902="",B2902=""),"",IF(E2902=1,0,D2902*B2902/100/C2902))</f>
        <v/>
      </c>
      <c r="G2902">
        <f>IF(A2902="","",IF(OR(B2902&lt;&gt;B2901,C2902&lt;&gt;C2901,D2902&lt;&gt;D2901,E2902&lt;&gt;E2901),G2901+1,G2901))</f>
        <v/>
      </c>
    </row>
    <row r="2903">
      <c r="A2903" s="14">
        <f>IF(OR(NOT(ISNUMBER(Ввод!$B$5)),NOT(ISNUMBER(Ввод!$B$6))),"",IF(Ввод!$B$5+2901&gt;Ввод!$B$6,"",Ввод!$B$5+2901))</f>
        <v/>
      </c>
      <c r="B2903">
        <f>IF(A2903="","",IFERROR(INDEX(Ввод!$B$12:$B$71,MATCH(A2903,Ввод!$D$12:$D$71,1)),""))</f>
        <v/>
      </c>
      <c r="C2903">
        <f>IF(A2903="","",DATE(YEAR(A2903),12,31)-DATE(YEAR(A2903),1,1)+1)</f>
        <v/>
      </c>
      <c r="D2903">
        <f>IF(A2903="","",Ввод!$B$4-SUMIF(Оплаты!$A$6:$A$505,"&lt;"&amp;A2903,Оплаты!$B$6:$B$505))</f>
        <v/>
      </c>
      <c r="E2903">
        <f>IF(A2903="","",IF(SUMPRODUCT((Ввод!$F$12:$F$31&lt;&gt;"")*(Ввод!$F$12:$F$31&lt;=A2903)*(Ввод!$G$12:$G$31&gt;=A2903))&gt;0,1,0))</f>
        <v/>
      </c>
      <c r="F2903">
        <f>IF(OR(A2903="",B2903=""),"",IF(E2903=1,0,D2903*B2903/100/C2903))</f>
        <v/>
      </c>
      <c r="G2903">
        <f>IF(A2903="","",IF(OR(B2903&lt;&gt;B2902,C2903&lt;&gt;C2902,D2903&lt;&gt;D2902,E2903&lt;&gt;E2902),G2902+1,G2902))</f>
        <v/>
      </c>
    </row>
    <row r="2904">
      <c r="A2904" s="14">
        <f>IF(OR(NOT(ISNUMBER(Ввод!$B$5)),NOT(ISNUMBER(Ввод!$B$6))),"",IF(Ввод!$B$5+2902&gt;Ввод!$B$6,"",Ввод!$B$5+2902))</f>
        <v/>
      </c>
      <c r="B2904">
        <f>IF(A2904="","",IFERROR(INDEX(Ввод!$B$12:$B$71,MATCH(A2904,Ввод!$D$12:$D$71,1)),""))</f>
        <v/>
      </c>
      <c r="C2904">
        <f>IF(A2904="","",DATE(YEAR(A2904),12,31)-DATE(YEAR(A2904),1,1)+1)</f>
        <v/>
      </c>
      <c r="D2904">
        <f>IF(A2904="","",Ввод!$B$4-SUMIF(Оплаты!$A$6:$A$505,"&lt;"&amp;A2904,Оплаты!$B$6:$B$505))</f>
        <v/>
      </c>
      <c r="E2904">
        <f>IF(A2904="","",IF(SUMPRODUCT((Ввод!$F$12:$F$31&lt;&gt;"")*(Ввод!$F$12:$F$31&lt;=A2904)*(Ввод!$G$12:$G$31&gt;=A2904))&gt;0,1,0))</f>
        <v/>
      </c>
      <c r="F2904">
        <f>IF(OR(A2904="",B2904=""),"",IF(E2904=1,0,D2904*B2904/100/C2904))</f>
        <v/>
      </c>
      <c r="G2904">
        <f>IF(A2904="","",IF(OR(B2904&lt;&gt;B2903,C2904&lt;&gt;C2903,D2904&lt;&gt;D2903,E2904&lt;&gt;E2903),G2903+1,G2903))</f>
        <v/>
      </c>
    </row>
    <row r="2905">
      <c r="A2905" s="14">
        <f>IF(OR(NOT(ISNUMBER(Ввод!$B$5)),NOT(ISNUMBER(Ввод!$B$6))),"",IF(Ввод!$B$5+2903&gt;Ввод!$B$6,"",Ввод!$B$5+2903))</f>
        <v/>
      </c>
      <c r="B2905">
        <f>IF(A2905="","",IFERROR(INDEX(Ввод!$B$12:$B$71,MATCH(A2905,Ввод!$D$12:$D$71,1)),""))</f>
        <v/>
      </c>
      <c r="C2905">
        <f>IF(A2905="","",DATE(YEAR(A2905),12,31)-DATE(YEAR(A2905),1,1)+1)</f>
        <v/>
      </c>
      <c r="D2905">
        <f>IF(A2905="","",Ввод!$B$4-SUMIF(Оплаты!$A$6:$A$505,"&lt;"&amp;A2905,Оплаты!$B$6:$B$505))</f>
        <v/>
      </c>
      <c r="E2905">
        <f>IF(A2905="","",IF(SUMPRODUCT((Ввод!$F$12:$F$31&lt;&gt;"")*(Ввод!$F$12:$F$31&lt;=A2905)*(Ввод!$G$12:$G$31&gt;=A2905))&gt;0,1,0))</f>
        <v/>
      </c>
      <c r="F2905">
        <f>IF(OR(A2905="",B2905=""),"",IF(E2905=1,0,D2905*B2905/100/C2905))</f>
        <v/>
      </c>
      <c r="G2905">
        <f>IF(A2905="","",IF(OR(B2905&lt;&gt;B2904,C2905&lt;&gt;C2904,D2905&lt;&gt;D2904,E2905&lt;&gt;E2904),G2904+1,G2904))</f>
        <v/>
      </c>
    </row>
    <row r="2906">
      <c r="A2906" s="14">
        <f>IF(OR(NOT(ISNUMBER(Ввод!$B$5)),NOT(ISNUMBER(Ввод!$B$6))),"",IF(Ввод!$B$5+2904&gt;Ввод!$B$6,"",Ввод!$B$5+2904))</f>
        <v/>
      </c>
      <c r="B2906">
        <f>IF(A2906="","",IFERROR(INDEX(Ввод!$B$12:$B$71,MATCH(A2906,Ввод!$D$12:$D$71,1)),""))</f>
        <v/>
      </c>
      <c r="C2906">
        <f>IF(A2906="","",DATE(YEAR(A2906),12,31)-DATE(YEAR(A2906),1,1)+1)</f>
        <v/>
      </c>
      <c r="D2906">
        <f>IF(A2906="","",Ввод!$B$4-SUMIF(Оплаты!$A$6:$A$505,"&lt;"&amp;A2906,Оплаты!$B$6:$B$505))</f>
        <v/>
      </c>
      <c r="E2906">
        <f>IF(A2906="","",IF(SUMPRODUCT((Ввод!$F$12:$F$31&lt;&gt;"")*(Ввод!$F$12:$F$31&lt;=A2906)*(Ввод!$G$12:$G$31&gt;=A2906))&gt;0,1,0))</f>
        <v/>
      </c>
      <c r="F2906">
        <f>IF(OR(A2906="",B2906=""),"",IF(E2906=1,0,D2906*B2906/100/C2906))</f>
        <v/>
      </c>
      <c r="G2906">
        <f>IF(A2906="","",IF(OR(B2906&lt;&gt;B2905,C2906&lt;&gt;C2905,D2906&lt;&gt;D2905,E2906&lt;&gt;E2905),G2905+1,G2905))</f>
        <v/>
      </c>
    </row>
    <row r="2907">
      <c r="A2907" s="14">
        <f>IF(OR(NOT(ISNUMBER(Ввод!$B$5)),NOT(ISNUMBER(Ввод!$B$6))),"",IF(Ввод!$B$5+2905&gt;Ввод!$B$6,"",Ввод!$B$5+2905))</f>
        <v/>
      </c>
      <c r="B2907">
        <f>IF(A2907="","",IFERROR(INDEX(Ввод!$B$12:$B$71,MATCH(A2907,Ввод!$D$12:$D$71,1)),""))</f>
        <v/>
      </c>
      <c r="C2907">
        <f>IF(A2907="","",DATE(YEAR(A2907),12,31)-DATE(YEAR(A2907),1,1)+1)</f>
        <v/>
      </c>
      <c r="D2907">
        <f>IF(A2907="","",Ввод!$B$4-SUMIF(Оплаты!$A$6:$A$505,"&lt;"&amp;A2907,Оплаты!$B$6:$B$505))</f>
        <v/>
      </c>
      <c r="E2907">
        <f>IF(A2907="","",IF(SUMPRODUCT((Ввод!$F$12:$F$31&lt;&gt;"")*(Ввод!$F$12:$F$31&lt;=A2907)*(Ввод!$G$12:$G$31&gt;=A2907))&gt;0,1,0))</f>
        <v/>
      </c>
      <c r="F2907">
        <f>IF(OR(A2907="",B2907=""),"",IF(E2907=1,0,D2907*B2907/100/C2907))</f>
        <v/>
      </c>
      <c r="G2907">
        <f>IF(A2907="","",IF(OR(B2907&lt;&gt;B2906,C2907&lt;&gt;C2906,D2907&lt;&gt;D2906,E2907&lt;&gt;E2906),G2906+1,G2906))</f>
        <v/>
      </c>
    </row>
    <row r="2908">
      <c r="A2908" s="14">
        <f>IF(OR(NOT(ISNUMBER(Ввод!$B$5)),NOT(ISNUMBER(Ввод!$B$6))),"",IF(Ввод!$B$5+2906&gt;Ввод!$B$6,"",Ввод!$B$5+2906))</f>
        <v/>
      </c>
      <c r="B2908">
        <f>IF(A2908="","",IFERROR(INDEX(Ввод!$B$12:$B$71,MATCH(A2908,Ввод!$D$12:$D$71,1)),""))</f>
        <v/>
      </c>
      <c r="C2908">
        <f>IF(A2908="","",DATE(YEAR(A2908),12,31)-DATE(YEAR(A2908),1,1)+1)</f>
        <v/>
      </c>
      <c r="D2908">
        <f>IF(A2908="","",Ввод!$B$4-SUMIF(Оплаты!$A$6:$A$505,"&lt;"&amp;A2908,Оплаты!$B$6:$B$505))</f>
        <v/>
      </c>
      <c r="E2908">
        <f>IF(A2908="","",IF(SUMPRODUCT((Ввод!$F$12:$F$31&lt;&gt;"")*(Ввод!$F$12:$F$31&lt;=A2908)*(Ввод!$G$12:$G$31&gt;=A2908))&gt;0,1,0))</f>
        <v/>
      </c>
      <c r="F2908">
        <f>IF(OR(A2908="",B2908=""),"",IF(E2908=1,0,D2908*B2908/100/C2908))</f>
        <v/>
      </c>
      <c r="G2908">
        <f>IF(A2908="","",IF(OR(B2908&lt;&gt;B2907,C2908&lt;&gt;C2907,D2908&lt;&gt;D2907,E2908&lt;&gt;E2907),G2907+1,G2907))</f>
        <v/>
      </c>
    </row>
    <row r="2909">
      <c r="A2909" s="14">
        <f>IF(OR(NOT(ISNUMBER(Ввод!$B$5)),NOT(ISNUMBER(Ввод!$B$6))),"",IF(Ввод!$B$5+2907&gt;Ввод!$B$6,"",Ввод!$B$5+2907))</f>
        <v/>
      </c>
      <c r="B2909">
        <f>IF(A2909="","",IFERROR(INDEX(Ввод!$B$12:$B$71,MATCH(A2909,Ввод!$D$12:$D$71,1)),""))</f>
        <v/>
      </c>
      <c r="C2909">
        <f>IF(A2909="","",DATE(YEAR(A2909),12,31)-DATE(YEAR(A2909),1,1)+1)</f>
        <v/>
      </c>
      <c r="D2909">
        <f>IF(A2909="","",Ввод!$B$4-SUMIF(Оплаты!$A$6:$A$505,"&lt;"&amp;A2909,Оплаты!$B$6:$B$505))</f>
        <v/>
      </c>
      <c r="E2909">
        <f>IF(A2909="","",IF(SUMPRODUCT((Ввод!$F$12:$F$31&lt;&gt;"")*(Ввод!$F$12:$F$31&lt;=A2909)*(Ввод!$G$12:$G$31&gt;=A2909))&gt;0,1,0))</f>
        <v/>
      </c>
      <c r="F2909">
        <f>IF(OR(A2909="",B2909=""),"",IF(E2909=1,0,D2909*B2909/100/C2909))</f>
        <v/>
      </c>
      <c r="G2909">
        <f>IF(A2909="","",IF(OR(B2909&lt;&gt;B2908,C2909&lt;&gt;C2908,D2909&lt;&gt;D2908,E2909&lt;&gt;E2908),G2908+1,G2908))</f>
        <v/>
      </c>
    </row>
    <row r="2910">
      <c r="A2910" s="14">
        <f>IF(OR(NOT(ISNUMBER(Ввод!$B$5)),NOT(ISNUMBER(Ввод!$B$6))),"",IF(Ввод!$B$5+2908&gt;Ввод!$B$6,"",Ввод!$B$5+2908))</f>
        <v/>
      </c>
      <c r="B2910">
        <f>IF(A2910="","",IFERROR(INDEX(Ввод!$B$12:$B$71,MATCH(A2910,Ввод!$D$12:$D$71,1)),""))</f>
        <v/>
      </c>
      <c r="C2910">
        <f>IF(A2910="","",DATE(YEAR(A2910),12,31)-DATE(YEAR(A2910),1,1)+1)</f>
        <v/>
      </c>
      <c r="D2910">
        <f>IF(A2910="","",Ввод!$B$4-SUMIF(Оплаты!$A$6:$A$505,"&lt;"&amp;A2910,Оплаты!$B$6:$B$505))</f>
        <v/>
      </c>
      <c r="E2910">
        <f>IF(A2910="","",IF(SUMPRODUCT((Ввод!$F$12:$F$31&lt;&gt;"")*(Ввод!$F$12:$F$31&lt;=A2910)*(Ввод!$G$12:$G$31&gt;=A2910))&gt;0,1,0))</f>
        <v/>
      </c>
      <c r="F2910">
        <f>IF(OR(A2910="",B2910=""),"",IF(E2910=1,0,D2910*B2910/100/C2910))</f>
        <v/>
      </c>
      <c r="G2910">
        <f>IF(A2910="","",IF(OR(B2910&lt;&gt;B2909,C2910&lt;&gt;C2909,D2910&lt;&gt;D2909,E2910&lt;&gt;E2909),G2909+1,G2909))</f>
        <v/>
      </c>
    </row>
    <row r="2911">
      <c r="A2911" s="14">
        <f>IF(OR(NOT(ISNUMBER(Ввод!$B$5)),NOT(ISNUMBER(Ввод!$B$6))),"",IF(Ввод!$B$5+2909&gt;Ввод!$B$6,"",Ввод!$B$5+2909))</f>
        <v/>
      </c>
      <c r="B2911">
        <f>IF(A2911="","",IFERROR(INDEX(Ввод!$B$12:$B$71,MATCH(A2911,Ввод!$D$12:$D$71,1)),""))</f>
        <v/>
      </c>
      <c r="C2911">
        <f>IF(A2911="","",DATE(YEAR(A2911),12,31)-DATE(YEAR(A2911),1,1)+1)</f>
        <v/>
      </c>
      <c r="D2911">
        <f>IF(A2911="","",Ввод!$B$4-SUMIF(Оплаты!$A$6:$A$505,"&lt;"&amp;A2911,Оплаты!$B$6:$B$505))</f>
        <v/>
      </c>
      <c r="E2911">
        <f>IF(A2911="","",IF(SUMPRODUCT((Ввод!$F$12:$F$31&lt;&gt;"")*(Ввод!$F$12:$F$31&lt;=A2911)*(Ввод!$G$12:$G$31&gt;=A2911))&gt;0,1,0))</f>
        <v/>
      </c>
      <c r="F2911">
        <f>IF(OR(A2911="",B2911=""),"",IF(E2911=1,0,D2911*B2911/100/C2911))</f>
        <v/>
      </c>
      <c r="G2911">
        <f>IF(A2911="","",IF(OR(B2911&lt;&gt;B2910,C2911&lt;&gt;C2910,D2911&lt;&gt;D2910,E2911&lt;&gt;E2910),G2910+1,G2910))</f>
        <v/>
      </c>
    </row>
    <row r="2912">
      <c r="A2912" s="14">
        <f>IF(OR(NOT(ISNUMBER(Ввод!$B$5)),NOT(ISNUMBER(Ввод!$B$6))),"",IF(Ввод!$B$5+2910&gt;Ввод!$B$6,"",Ввод!$B$5+2910))</f>
        <v/>
      </c>
      <c r="B2912">
        <f>IF(A2912="","",IFERROR(INDEX(Ввод!$B$12:$B$71,MATCH(A2912,Ввод!$D$12:$D$71,1)),""))</f>
        <v/>
      </c>
      <c r="C2912">
        <f>IF(A2912="","",DATE(YEAR(A2912),12,31)-DATE(YEAR(A2912),1,1)+1)</f>
        <v/>
      </c>
      <c r="D2912">
        <f>IF(A2912="","",Ввод!$B$4-SUMIF(Оплаты!$A$6:$A$505,"&lt;"&amp;A2912,Оплаты!$B$6:$B$505))</f>
        <v/>
      </c>
      <c r="E2912">
        <f>IF(A2912="","",IF(SUMPRODUCT((Ввод!$F$12:$F$31&lt;&gt;"")*(Ввод!$F$12:$F$31&lt;=A2912)*(Ввод!$G$12:$G$31&gt;=A2912))&gt;0,1,0))</f>
        <v/>
      </c>
      <c r="F2912">
        <f>IF(OR(A2912="",B2912=""),"",IF(E2912=1,0,D2912*B2912/100/C2912))</f>
        <v/>
      </c>
      <c r="G2912">
        <f>IF(A2912="","",IF(OR(B2912&lt;&gt;B2911,C2912&lt;&gt;C2911,D2912&lt;&gt;D2911,E2912&lt;&gt;E2911),G2911+1,G2911))</f>
        <v/>
      </c>
    </row>
    <row r="2913">
      <c r="A2913" s="14">
        <f>IF(OR(NOT(ISNUMBER(Ввод!$B$5)),NOT(ISNUMBER(Ввод!$B$6))),"",IF(Ввод!$B$5+2911&gt;Ввод!$B$6,"",Ввод!$B$5+2911))</f>
        <v/>
      </c>
      <c r="B2913">
        <f>IF(A2913="","",IFERROR(INDEX(Ввод!$B$12:$B$71,MATCH(A2913,Ввод!$D$12:$D$71,1)),""))</f>
        <v/>
      </c>
      <c r="C2913">
        <f>IF(A2913="","",DATE(YEAR(A2913),12,31)-DATE(YEAR(A2913),1,1)+1)</f>
        <v/>
      </c>
      <c r="D2913">
        <f>IF(A2913="","",Ввод!$B$4-SUMIF(Оплаты!$A$6:$A$505,"&lt;"&amp;A2913,Оплаты!$B$6:$B$505))</f>
        <v/>
      </c>
      <c r="E2913">
        <f>IF(A2913="","",IF(SUMPRODUCT((Ввод!$F$12:$F$31&lt;&gt;"")*(Ввод!$F$12:$F$31&lt;=A2913)*(Ввод!$G$12:$G$31&gt;=A2913))&gt;0,1,0))</f>
        <v/>
      </c>
      <c r="F2913">
        <f>IF(OR(A2913="",B2913=""),"",IF(E2913=1,0,D2913*B2913/100/C2913))</f>
        <v/>
      </c>
      <c r="G2913">
        <f>IF(A2913="","",IF(OR(B2913&lt;&gt;B2912,C2913&lt;&gt;C2912,D2913&lt;&gt;D2912,E2913&lt;&gt;E2912),G2912+1,G2912))</f>
        <v/>
      </c>
    </row>
    <row r="2914">
      <c r="A2914" s="14">
        <f>IF(OR(NOT(ISNUMBER(Ввод!$B$5)),NOT(ISNUMBER(Ввод!$B$6))),"",IF(Ввод!$B$5+2912&gt;Ввод!$B$6,"",Ввод!$B$5+2912))</f>
        <v/>
      </c>
      <c r="B2914">
        <f>IF(A2914="","",IFERROR(INDEX(Ввод!$B$12:$B$71,MATCH(A2914,Ввод!$D$12:$D$71,1)),""))</f>
        <v/>
      </c>
      <c r="C2914">
        <f>IF(A2914="","",DATE(YEAR(A2914),12,31)-DATE(YEAR(A2914),1,1)+1)</f>
        <v/>
      </c>
      <c r="D2914">
        <f>IF(A2914="","",Ввод!$B$4-SUMIF(Оплаты!$A$6:$A$505,"&lt;"&amp;A2914,Оплаты!$B$6:$B$505))</f>
        <v/>
      </c>
      <c r="E2914">
        <f>IF(A2914="","",IF(SUMPRODUCT((Ввод!$F$12:$F$31&lt;&gt;"")*(Ввод!$F$12:$F$31&lt;=A2914)*(Ввод!$G$12:$G$31&gt;=A2914))&gt;0,1,0))</f>
        <v/>
      </c>
      <c r="F2914">
        <f>IF(OR(A2914="",B2914=""),"",IF(E2914=1,0,D2914*B2914/100/C2914))</f>
        <v/>
      </c>
      <c r="G2914">
        <f>IF(A2914="","",IF(OR(B2914&lt;&gt;B2913,C2914&lt;&gt;C2913,D2914&lt;&gt;D2913,E2914&lt;&gt;E2913),G2913+1,G2913))</f>
        <v/>
      </c>
    </row>
    <row r="2915">
      <c r="A2915" s="14">
        <f>IF(OR(NOT(ISNUMBER(Ввод!$B$5)),NOT(ISNUMBER(Ввод!$B$6))),"",IF(Ввод!$B$5+2913&gt;Ввод!$B$6,"",Ввод!$B$5+2913))</f>
        <v/>
      </c>
      <c r="B2915">
        <f>IF(A2915="","",IFERROR(INDEX(Ввод!$B$12:$B$71,MATCH(A2915,Ввод!$D$12:$D$71,1)),""))</f>
        <v/>
      </c>
      <c r="C2915">
        <f>IF(A2915="","",DATE(YEAR(A2915),12,31)-DATE(YEAR(A2915),1,1)+1)</f>
        <v/>
      </c>
      <c r="D2915">
        <f>IF(A2915="","",Ввод!$B$4-SUMIF(Оплаты!$A$6:$A$505,"&lt;"&amp;A2915,Оплаты!$B$6:$B$505))</f>
        <v/>
      </c>
      <c r="E2915">
        <f>IF(A2915="","",IF(SUMPRODUCT((Ввод!$F$12:$F$31&lt;&gt;"")*(Ввод!$F$12:$F$31&lt;=A2915)*(Ввод!$G$12:$G$31&gt;=A2915))&gt;0,1,0))</f>
        <v/>
      </c>
      <c r="F2915">
        <f>IF(OR(A2915="",B2915=""),"",IF(E2915=1,0,D2915*B2915/100/C2915))</f>
        <v/>
      </c>
      <c r="G2915">
        <f>IF(A2915="","",IF(OR(B2915&lt;&gt;B2914,C2915&lt;&gt;C2914,D2915&lt;&gt;D2914,E2915&lt;&gt;E2914),G2914+1,G2914))</f>
        <v/>
      </c>
    </row>
    <row r="2916">
      <c r="A2916" s="14">
        <f>IF(OR(NOT(ISNUMBER(Ввод!$B$5)),NOT(ISNUMBER(Ввод!$B$6))),"",IF(Ввод!$B$5+2914&gt;Ввод!$B$6,"",Ввод!$B$5+2914))</f>
        <v/>
      </c>
      <c r="B2916">
        <f>IF(A2916="","",IFERROR(INDEX(Ввод!$B$12:$B$71,MATCH(A2916,Ввод!$D$12:$D$71,1)),""))</f>
        <v/>
      </c>
      <c r="C2916">
        <f>IF(A2916="","",DATE(YEAR(A2916),12,31)-DATE(YEAR(A2916),1,1)+1)</f>
        <v/>
      </c>
      <c r="D2916">
        <f>IF(A2916="","",Ввод!$B$4-SUMIF(Оплаты!$A$6:$A$505,"&lt;"&amp;A2916,Оплаты!$B$6:$B$505))</f>
        <v/>
      </c>
      <c r="E2916">
        <f>IF(A2916="","",IF(SUMPRODUCT((Ввод!$F$12:$F$31&lt;&gt;"")*(Ввод!$F$12:$F$31&lt;=A2916)*(Ввод!$G$12:$G$31&gt;=A2916))&gt;0,1,0))</f>
        <v/>
      </c>
      <c r="F2916">
        <f>IF(OR(A2916="",B2916=""),"",IF(E2916=1,0,D2916*B2916/100/C2916))</f>
        <v/>
      </c>
      <c r="G2916">
        <f>IF(A2916="","",IF(OR(B2916&lt;&gt;B2915,C2916&lt;&gt;C2915,D2916&lt;&gt;D2915,E2916&lt;&gt;E2915),G2915+1,G2915))</f>
        <v/>
      </c>
    </row>
    <row r="2917">
      <c r="A2917" s="14">
        <f>IF(OR(NOT(ISNUMBER(Ввод!$B$5)),NOT(ISNUMBER(Ввод!$B$6))),"",IF(Ввод!$B$5+2915&gt;Ввод!$B$6,"",Ввод!$B$5+2915))</f>
        <v/>
      </c>
      <c r="B2917">
        <f>IF(A2917="","",IFERROR(INDEX(Ввод!$B$12:$B$71,MATCH(A2917,Ввод!$D$12:$D$71,1)),""))</f>
        <v/>
      </c>
      <c r="C2917">
        <f>IF(A2917="","",DATE(YEAR(A2917),12,31)-DATE(YEAR(A2917),1,1)+1)</f>
        <v/>
      </c>
      <c r="D2917">
        <f>IF(A2917="","",Ввод!$B$4-SUMIF(Оплаты!$A$6:$A$505,"&lt;"&amp;A2917,Оплаты!$B$6:$B$505))</f>
        <v/>
      </c>
      <c r="E2917">
        <f>IF(A2917="","",IF(SUMPRODUCT((Ввод!$F$12:$F$31&lt;&gt;"")*(Ввод!$F$12:$F$31&lt;=A2917)*(Ввод!$G$12:$G$31&gt;=A2917))&gt;0,1,0))</f>
        <v/>
      </c>
      <c r="F2917">
        <f>IF(OR(A2917="",B2917=""),"",IF(E2917=1,0,D2917*B2917/100/C2917))</f>
        <v/>
      </c>
      <c r="G2917">
        <f>IF(A2917="","",IF(OR(B2917&lt;&gt;B2916,C2917&lt;&gt;C2916,D2917&lt;&gt;D2916,E2917&lt;&gt;E2916),G2916+1,G2916))</f>
        <v/>
      </c>
    </row>
    <row r="2918">
      <c r="A2918" s="14">
        <f>IF(OR(NOT(ISNUMBER(Ввод!$B$5)),NOT(ISNUMBER(Ввод!$B$6))),"",IF(Ввод!$B$5+2916&gt;Ввод!$B$6,"",Ввод!$B$5+2916))</f>
        <v/>
      </c>
      <c r="B2918">
        <f>IF(A2918="","",IFERROR(INDEX(Ввод!$B$12:$B$71,MATCH(A2918,Ввод!$D$12:$D$71,1)),""))</f>
        <v/>
      </c>
      <c r="C2918">
        <f>IF(A2918="","",DATE(YEAR(A2918),12,31)-DATE(YEAR(A2918),1,1)+1)</f>
        <v/>
      </c>
      <c r="D2918">
        <f>IF(A2918="","",Ввод!$B$4-SUMIF(Оплаты!$A$6:$A$505,"&lt;"&amp;A2918,Оплаты!$B$6:$B$505))</f>
        <v/>
      </c>
      <c r="E2918">
        <f>IF(A2918="","",IF(SUMPRODUCT((Ввод!$F$12:$F$31&lt;&gt;"")*(Ввод!$F$12:$F$31&lt;=A2918)*(Ввод!$G$12:$G$31&gt;=A2918))&gt;0,1,0))</f>
        <v/>
      </c>
      <c r="F2918">
        <f>IF(OR(A2918="",B2918=""),"",IF(E2918=1,0,D2918*B2918/100/C2918))</f>
        <v/>
      </c>
      <c r="G2918">
        <f>IF(A2918="","",IF(OR(B2918&lt;&gt;B2917,C2918&lt;&gt;C2917,D2918&lt;&gt;D2917,E2918&lt;&gt;E2917),G2917+1,G2917))</f>
        <v/>
      </c>
    </row>
    <row r="2919">
      <c r="A2919" s="14">
        <f>IF(OR(NOT(ISNUMBER(Ввод!$B$5)),NOT(ISNUMBER(Ввод!$B$6))),"",IF(Ввод!$B$5+2917&gt;Ввод!$B$6,"",Ввод!$B$5+2917))</f>
        <v/>
      </c>
      <c r="B2919">
        <f>IF(A2919="","",IFERROR(INDEX(Ввод!$B$12:$B$71,MATCH(A2919,Ввод!$D$12:$D$71,1)),""))</f>
        <v/>
      </c>
      <c r="C2919">
        <f>IF(A2919="","",DATE(YEAR(A2919),12,31)-DATE(YEAR(A2919),1,1)+1)</f>
        <v/>
      </c>
      <c r="D2919">
        <f>IF(A2919="","",Ввод!$B$4-SUMIF(Оплаты!$A$6:$A$505,"&lt;"&amp;A2919,Оплаты!$B$6:$B$505))</f>
        <v/>
      </c>
      <c r="E2919">
        <f>IF(A2919="","",IF(SUMPRODUCT((Ввод!$F$12:$F$31&lt;&gt;"")*(Ввод!$F$12:$F$31&lt;=A2919)*(Ввод!$G$12:$G$31&gt;=A2919))&gt;0,1,0))</f>
        <v/>
      </c>
      <c r="F2919">
        <f>IF(OR(A2919="",B2919=""),"",IF(E2919=1,0,D2919*B2919/100/C2919))</f>
        <v/>
      </c>
      <c r="G2919">
        <f>IF(A2919="","",IF(OR(B2919&lt;&gt;B2918,C2919&lt;&gt;C2918,D2919&lt;&gt;D2918,E2919&lt;&gt;E2918),G2918+1,G2918))</f>
        <v/>
      </c>
    </row>
    <row r="2920">
      <c r="A2920" s="14">
        <f>IF(OR(NOT(ISNUMBER(Ввод!$B$5)),NOT(ISNUMBER(Ввод!$B$6))),"",IF(Ввод!$B$5+2918&gt;Ввод!$B$6,"",Ввод!$B$5+2918))</f>
        <v/>
      </c>
      <c r="B2920">
        <f>IF(A2920="","",IFERROR(INDEX(Ввод!$B$12:$B$71,MATCH(A2920,Ввод!$D$12:$D$71,1)),""))</f>
        <v/>
      </c>
      <c r="C2920">
        <f>IF(A2920="","",DATE(YEAR(A2920),12,31)-DATE(YEAR(A2920),1,1)+1)</f>
        <v/>
      </c>
      <c r="D2920">
        <f>IF(A2920="","",Ввод!$B$4-SUMIF(Оплаты!$A$6:$A$505,"&lt;"&amp;A2920,Оплаты!$B$6:$B$505))</f>
        <v/>
      </c>
      <c r="E2920">
        <f>IF(A2920="","",IF(SUMPRODUCT((Ввод!$F$12:$F$31&lt;&gt;"")*(Ввод!$F$12:$F$31&lt;=A2920)*(Ввод!$G$12:$G$31&gt;=A2920))&gt;0,1,0))</f>
        <v/>
      </c>
      <c r="F2920">
        <f>IF(OR(A2920="",B2920=""),"",IF(E2920=1,0,D2920*B2920/100/C2920))</f>
        <v/>
      </c>
      <c r="G2920">
        <f>IF(A2920="","",IF(OR(B2920&lt;&gt;B2919,C2920&lt;&gt;C2919,D2920&lt;&gt;D2919,E2920&lt;&gt;E2919),G2919+1,G2919))</f>
        <v/>
      </c>
    </row>
    <row r="2921">
      <c r="A2921" s="14">
        <f>IF(OR(NOT(ISNUMBER(Ввод!$B$5)),NOT(ISNUMBER(Ввод!$B$6))),"",IF(Ввод!$B$5+2919&gt;Ввод!$B$6,"",Ввод!$B$5+2919))</f>
        <v/>
      </c>
      <c r="B2921">
        <f>IF(A2921="","",IFERROR(INDEX(Ввод!$B$12:$B$71,MATCH(A2921,Ввод!$D$12:$D$71,1)),""))</f>
        <v/>
      </c>
      <c r="C2921">
        <f>IF(A2921="","",DATE(YEAR(A2921),12,31)-DATE(YEAR(A2921),1,1)+1)</f>
        <v/>
      </c>
      <c r="D2921">
        <f>IF(A2921="","",Ввод!$B$4-SUMIF(Оплаты!$A$6:$A$505,"&lt;"&amp;A2921,Оплаты!$B$6:$B$505))</f>
        <v/>
      </c>
      <c r="E2921">
        <f>IF(A2921="","",IF(SUMPRODUCT((Ввод!$F$12:$F$31&lt;&gt;"")*(Ввод!$F$12:$F$31&lt;=A2921)*(Ввод!$G$12:$G$31&gt;=A2921))&gt;0,1,0))</f>
        <v/>
      </c>
      <c r="F2921">
        <f>IF(OR(A2921="",B2921=""),"",IF(E2921=1,0,D2921*B2921/100/C2921))</f>
        <v/>
      </c>
      <c r="G2921">
        <f>IF(A2921="","",IF(OR(B2921&lt;&gt;B2920,C2921&lt;&gt;C2920,D2921&lt;&gt;D2920,E2921&lt;&gt;E2920),G2920+1,G2920))</f>
        <v/>
      </c>
    </row>
    <row r="2922">
      <c r="A2922" s="14">
        <f>IF(OR(NOT(ISNUMBER(Ввод!$B$5)),NOT(ISNUMBER(Ввод!$B$6))),"",IF(Ввод!$B$5+2920&gt;Ввод!$B$6,"",Ввод!$B$5+2920))</f>
        <v/>
      </c>
      <c r="B2922">
        <f>IF(A2922="","",IFERROR(INDEX(Ввод!$B$12:$B$71,MATCH(A2922,Ввод!$D$12:$D$71,1)),""))</f>
        <v/>
      </c>
      <c r="C2922">
        <f>IF(A2922="","",DATE(YEAR(A2922),12,31)-DATE(YEAR(A2922),1,1)+1)</f>
        <v/>
      </c>
      <c r="D2922">
        <f>IF(A2922="","",Ввод!$B$4-SUMIF(Оплаты!$A$6:$A$505,"&lt;"&amp;A2922,Оплаты!$B$6:$B$505))</f>
        <v/>
      </c>
      <c r="E2922">
        <f>IF(A2922="","",IF(SUMPRODUCT((Ввод!$F$12:$F$31&lt;&gt;"")*(Ввод!$F$12:$F$31&lt;=A2922)*(Ввод!$G$12:$G$31&gt;=A2922))&gt;0,1,0))</f>
        <v/>
      </c>
      <c r="F2922">
        <f>IF(OR(A2922="",B2922=""),"",IF(E2922=1,0,D2922*B2922/100/C2922))</f>
        <v/>
      </c>
      <c r="G2922">
        <f>IF(A2922="","",IF(OR(B2922&lt;&gt;B2921,C2922&lt;&gt;C2921,D2922&lt;&gt;D2921,E2922&lt;&gt;E2921),G2921+1,G2921))</f>
        <v/>
      </c>
    </row>
    <row r="2923">
      <c r="A2923" s="14">
        <f>IF(OR(NOT(ISNUMBER(Ввод!$B$5)),NOT(ISNUMBER(Ввод!$B$6))),"",IF(Ввод!$B$5+2921&gt;Ввод!$B$6,"",Ввод!$B$5+2921))</f>
        <v/>
      </c>
      <c r="B2923">
        <f>IF(A2923="","",IFERROR(INDEX(Ввод!$B$12:$B$71,MATCH(A2923,Ввод!$D$12:$D$71,1)),""))</f>
        <v/>
      </c>
      <c r="C2923">
        <f>IF(A2923="","",DATE(YEAR(A2923),12,31)-DATE(YEAR(A2923),1,1)+1)</f>
        <v/>
      </c>
      <c r="D2923">
        <f>IF(A2923="","",Ввод!$B$4-SUMIF(Оплаты!$A$6:$A$505,"&lt;"&amp;A2923,Оплаты!$B$6:$B$505))</f>
        <v/>
      </c>
      <c r="E2923">
        <f>IF(A2923="","",IF(SUMPRODUCT((Ввод!$F$12:$F$31&lt;&gt;"")*(Ввод!$F$12:$F$31&lt;=A2923)*(Ввод!$G$12:$G$31&gt;=A2923))&gt;0,1,0))</f>
        <v/>
      </c>
      <c r="F2923">
        <f>IF(OR(A2923="",B2923=""),"",IF(E2923=1,0,D2923*B2923/100/C2923))</f>
        <v/>
      </c>
      <c r="G2923">
        <f>IF(A2923="","",IF(OR(B2923&lt;&gt;B2922,C2923&lt;&gt;C2922,D2923&lt;&gt;D2922,E2923&lt;&gt;E2922),G2922+1,G2922))</f>
        <v/>
      </c>
    </row>
    <row r="2924">
      <c r="A2924" s="14">
        <f>IF(OR(NOT(ISNUMBER(Ввод!$B$5)),NOT(ISNUMBER(Ввод!$B$6))),"",IF(Ввод!$B$5+2922&gt;Ввод!$B$6,"",Ввод!$B$5+2922))</f>
        <v/>
      </c>
      <c r="B2924">
        <f>IF(A2924="","",IFERROR(INDEX(Ввод!$B$12:$B$71,MATCH(A2924,Ввод!$D$12:$D$71,1)),""))</f>
        <v/>
      </c>
      <c r="C2924">
        <f>IF(A2924="","",DATE(YEAR(A2924),12,31)-DATE(YEAR(A2924),1,1)+1)</f>
        <v/>
      </c>
      <c r="D2924">
        <f>IF(A2924="","",Ввод!$B$4-SUMIF(Оплаты!$A$6:$A$505,"&lt;"&amp;A2924,Оплаты!$B$6:$B$505))</f>
        <v/>
      </c>
      <c r="E2924">
        <f>IF(A2924="","",IF(SUMPRODUCT((Ввод!$F$12:$F$31&lt;&gt;"")*(Ввод!$F$12:$F$31&lt;=A2924)*(Ввод!$G$12:$G$31&gt;=A2924))&gt;0,1,0))</f>
        <v/>
      </c>
      <c r="F2924">
        <f>IF(OR(A2924="",B2924=""),"",IF(E2924=1,0,D2924*B2924/100/C2924))</f>
        <v/>
      </c>
      <c r="G2924">
        <f>IF(A2924="","",IF(OR(B2924&lt;&gt;B2923,C2924&lt;&gt;C2923,D2924&lt;&gt;D2923,E2924&lt;&gt;E2923),G2923+1,G2923))</f>
        <v/>
      </c>
    </row>
    <row r="2925">
      <c r="A2925" s="14">
        <f>IF(OR(NOT(ISNUMBER(Ввод!$B$5)),NOT(ISNUMBER(Ввод!$B$6))),"",IF(Ввод!$B$5+2923&gt;Ввод!$B$6,"",Ввод!$B$5+2923))</f>
        <v/>
      </c>
      <c r="B2925">
        <f>IF(A2925="","",IFERROR(INDEX(Ввод!$B$12:$B$71,MATCH(A2925,Ввод!$D$12:$D$71,1)),""))</f>
        <v/>
      </c>
      <c r="C2925">
        <f>IF(A2925="","",DATE(YEAR(A2925),12,31)-DATE(YEAR(A2925),1,1)+1)</f>
        <v/>
      </c>
      <c r="D2925">
        <f>IF(A2925="","",Ввод!$B$4-SUMIF(Оплаты!$A$6:$A$505,"&lt;"&amp;A2925,Оплаты!$B$6:$B$505))</f>
        <v/>
      </c>
      <c r="E2925">
        <f>IF(A2925="","",IF(SUMPRODUCT((Ввод!$F$12:$F$31&lt;&gt;"")*(Ввод!$F$12:$F$31&lt;=A2925)*(Ввод!$G$12:$G$31&gt;=A2925))&gt;0,1,0))</f>
        <v/>
      </c>
      <c r="F2925">
        <f>IF(OR(A2925="",B2925=""),"",IF(E2925=1,0,D2925*B2925/100/C2925))</f>
        <v/>
      </c>
      <c r="G2925">
        <f>IF(A2925="","",IF(OR(B2925&lt;&gt;B2924,C2925&lt;&gt;C2924,D2925&lt;&gt;D2924,E2925&lt;&gt;E2924),G2924+1,G2924))</f>
        <v/>
      </c>
    </row>
    <row r="2926">
      <c r="A2926" s="14">
        <f>IF(OR(NOT(ISNUMBER(Ввод!$B$5)),NOT(ISNUMBER(Ввод!$B$6))),"",IF(Ввод!$B$5+2924&gt;Ввод!$B$6,"",Ввод!$B$5+2924))</f>
        <v/>
      </c>
      <c r="B2926">
        <f>IF(A2926="","",IFERROR(INDEX(Ввод!$B$12:$B$71,MATCH(A2926,Ввод!$D$12:$D$71,1)),""))</f>
        <v/>
      </c>
      <c r="C2926">
        <f>IF(A2926="","",DATE(YEAR(A2926),12,31)-DATE(YEAR(A2926),1,1)+1)</f>
        <v/>
      </c>
      <c r="D2926">
        <f>IF(A2926="","",Ввод!$B$4-SUMIF(Оплаты!$A$6:$A$505,"&lt;"&amp;A2926,Оплаты!$B$6:$B$505))</f>
        <v/>
      </c>
      <c r="E2926">
        <f>IF(A2926="","",IF(SUMPRODUCT((Ввод!$F$12:$F$31&lt;&gt;"")*(Ввод!$F$12:$F$31&lt;=A2926)*(Ввод!$G$12:$G$31&gt;=A2926))&gt;0,1,0))</f>
        <v/>
      </c>
      <c r="F2926">
        <f>IF(OR(A2926="",B2926=""),"",IF(E2926=1,0,D2926*B2926/100/C2926))</f>
        <v/>
      </c>
      <c r="G2926">
        <f>IF(A2926="","",IF(OR(B2926&lt;&gt;B2925,C2926&lt;&gt;C2925,D2926&lt;&gt;D2925,E2926&lt;&gt;E2925),G2925+1,G2925))</f>
        <v/>
      </c>
    </row>
    <row r="2927">
      <c r="A2927" s="14">
        <f>IF(OR(NOT(ISNUMBER(Ввод!$B$5)),NOT(ISNUMBER(Ввод!$B$6))),"",IF(Ввод!$B$5+2925&gt;Ввод!$B$6,"",Ввод!$B$5+2925))</f>
        <v/>
      </c>
      <c r="B2927">
        <f>IF(A2927="","",IFERROR(INDEX(Ввод!$B$12:$B$71,MATCH(A2927,Ввод!$D$12:$D$71,1)),""))</f>
        <v/>
      </c>
      <c r="C2927">
        <f>IF(A2927="","",DATE(YEAR(A2927),12,31)-DATE(YEAR(A2927),1,1)+1)</f>
        <v/>
      </c>
      <c r="D2927">
        <f>IF(A2927="","",Ввод!$B$4-SUMIF(Оплаты!$A$6:$A$505,"&lt;"&amp;A2927,Оплаты!$B$6:$B$505))</f>
        <v/>
      </c>
      <c r="E2927">
        <f>IF(A2927="","",IF(SUMPRODUCT((Ввод!$F$12:$F$31&lt;&gt;"")*(Ввод!$F$12:$F$31&lt;=A2927)*(Ввод!$G$12:$G$31&gt;=A2927))&gt;0,1,0))</f>
        <v/>
      </c>
      <c r="F2927">
        <f>IF(OR(A2927="",B2927=""),"",IF(E2927=1,0,D2927*B2927/100/C2927))</f>
        <v/>
      </c>
      <c r="G2927">
        <f>IF(A2927="","",IF(OR(B2927&lt;&gt;B2926,C2927&lt;&gt;C2926,D2927&lt;&gt;D2926,E2927&lt;&gt;E2926),G2926+1,G2926))</f>
        <v/>
      </c>
    </row>
    <row r="2928">
      <c r="A2928" s="14">
        <f>IF(OR(NOT(ISNUMBER(Ввод!$B$5)),NOT(ISNUMBER(Ввод!$B$6))),"",IF(Ввод!$B$5+2926&gt;Ввод!$B$6,"",Ввод!$B$5+2926))</f>
        <v/>
      </c>
      <c r="B2928">
        <f>IF(A2928="","",IFERROR(INDEX(Ввод!$B$12:$B$71,MATCH(A2928,Ввод!$D$12:$D$71,1)),""))</f>
        <v/>
      </c>
      <c r="C2928">
        <f>IF(A2928="","",DATE(YEAR(A2928),12,31)-DATE(YEAR(A2928),1,1)+1)</f>
        <v/>
      </c>
      <c r="D2928">
        <f>IF(A2928="","",Ввод!$B$4-SUMIF(Оплаты!$A$6:$A$505,"&lt;"&amp;A2928,Оплаты!$B$6:$B$505))</f>
        <v/>
      </c>
      <c r="E2928">
        <f>IF(A2928="","",IF(SUMPRODUCT((Ввод!$F$12:$F$31&lt;&gt;"")*(Ввод!$F$12:$F$31&lt;=A2928)*(Ввод!$G$12:$G$31&gt;=A2928))&gt;0,1,0))</f>
        <v/>
      </c>
      <c r="F2928">
        <f>IF(OR(A2928="",B2928=""),"",IF(E2928=1,0,D2928*B2928/100/C2928))</f>
        <v/>
      </c>
      <c r="G2928">
        <f>IF(A2928="","",IF(OR(B2928&lt;&gt;B2927,C2928&lt;&gt;C2927,D2928&lt;&gt;D2927,E2928&lt;&gt;E2927),G2927+1,G2927))</f>
        <v/>
      </c>
    </row>
    <row r="2929">
      <c r="A2929" s="14">
        <f>IF(OR(NOT(ISNUMBER(Ввод!$B$5)),NOT(ISNUMBER(Ввод!$B$6))),"",IF(Ввод!$B$5+2927&gt;Ввод!$B$6,"",Ввод!$B$5+2927))</f>
        <v/>
      </c>
      <c r="B2929">
        <f>IF(A2929="","",IFERROR(INDEX(Ввод!$B$12:$B$71,MATCH(A2929,Ввод!$D$12:$D$71,1)),""))</f>
        <v/>
      </c>
      <c r="C2929">
        <f>IF(A2929="","",DATE(YEAR(A2929),12,31)-DATE(YEAR(A2929),1,1)+1)</f>
        <v/>
      </c>
      <c r="D2929">
        <f>IF(A2929="","",Ввод!$B$4-SUMIF(Оплаты!$A$6:$A$505,"&lt;"&amp;A2929,Оплаты!$B$6:$B$505))</f>
        <v/>
      </c>
      <c r="E2929">
        <f>IF(A2929="","",IF(SUMPRODUCT((Ввод!$F$12:$F$31&lt;&gt;"")*(Ввод!$F$12:$F$31&lt;=A2929)*(Ввод!$G$12:$G$31&gt;=A2929))&gt;0,1,0))</f>
        <v/>
      </c>
      <c r="F2929">
        <f>IF(OR(A2929="",B2929=""),"",IF(E2929=1,0,D2929*B2929/100/C2929))</f>
        <v/>
      </c>
      <c r="G2929">
        <f>IF(A2929="","",IF(OR(B2929&lt;&gt;B2928,C2929&lt;&gt;C2928,D2929&lt;&gt;D2928,E2929&lt;&gt;E2928),G2928+1,G2928))</f>
        <v/>
      </c>
    </row>
    <row r="2930">
      <c r="A2930" s="14">
        <f>IF(OR(NOT(ISNUMBER(Ввод!$B$5)),NOT(ISNUMBER(Ввод!$B$6))),"",IF(Ввод!$B$5+2928&gt;Ввод!$B$6,"",Ввод!$B$5+2928))</f>
        <v/>
      </c>
      <c r="B2930">
        <f>IF(A2930="","",IFERROR(INDEX(Ввод!$B$12:$B$71,MATCH(A2930,Ввод!$D$12:$D$71,1)),""))</f>
        <v/>
      </c>
      <c r="C2930">
        <f>IF(A2930="","",DATE(YEAR(A2930),12,31)-DATE(YEAR(A2930),1,1)+1)</f>
        <v/>
      </c>
      <c r="D2930">
        <f>IF(A2930="","",Ввод!$B$4-SUMIF(Оплаты!$A$6:$A$505,"&lt;"&amp;A2930,Оплаты!$B$6:$B$505))</f>
        <v/>
      </c>
      <c r="E2930">
        <f>IF(A2930="","",IF(SUMPRODUCT((Ввод!$F$12:$F$31&lt;&gt;"")*(Ввод!$F$12:$F$31&lt;=A2930)*(Ввод!$G$12:$G$31&gt;=A2930))&gt;0,1,0))</f>
        <v/>
      </c>
      <c r="F2930">
        <f>IF(OR(A2930="",B2930=""),"",IF(E2930=1,0,D2930*B2930/100/C2930))</f>
        <v/>
      </c>
      <c r="G2930">
        <f>IF(A2930="","",IF(OR(B2930&lt;&gt;B2929,C2930&lt;&gt;C2929,D2930&lt;&gt;D2929,E2930&lt;&gt;E2929),G2929+1,G2929))</f>
        <v/>
      </c>
    </row>
    <row r="2931">
      <c r="A2931" s="14">
        <f>IF(OR(NOT(ISNUMBER(Ввод!$B$5)),NOT(ISNUMBER(Ввод!$B$6))),"",IF(Ввод!$B$5+2929&gt;Ввод!$B$6,"",Ввод!$B$5+2929))</f>
        <v/>
      </c>
      <c r="B2931">
        <f>IF(A2931="","",IFERROR(INDEX(Ввод!$B$12:$B$71,MATCH(A2931,Ввод!$D$12:$D$71,1)),""))</f>
        <v/>
      </c>
      <c r="C2931">
        <f>IF(A2931="","",DATE(YEAR(A2931),12,31)-DATE(YEAR(A2931),1,1)+1)</f>
        <v/>
      </c>
      <c r="D2931">
        <f>IF(A2931="","",Ввод!$B$4-SUMIF(Оплаты!$A$6:$A$505,"&lt;"&amp;A2931,Оплаты!$B$6:$B$505))</f>
        <v/>
      </c>
      <c r="E2931">
        <f>IF(A2931="","",IF(SUMPRODUCT((Ввод!$F$12:$F$31&lt;&gt;"")*(Ввод!$F$12:$F$31&lt;=A2931)*(Ввод!$G$12:$G$31&gt;=A2931))&gt;0,1,0))</f>
        <v/>
      </c>
      <c r="F2931">
        <f>IF(OR(A2931="",B2931=""),"",IF(E2931=1,0,D2931*B2931/100/C2931))</f>
        <v/>
      </c>
      <c r="G2931">
        <f>IF(A2931="","",IF(OR(B2931&lt;&gt;B2930,C2931&lt;&gt;C2930,D2931&lt;&gt;D2930,E2931&lt;&gt;E2930),G2930+1,G2930))</f>
        <v/>
      </c>
    </row>
    <row r="2932">
      <c r="A2932" s="14">
        <f>IF(OR(NOT(ISNUMBER(Ввод!$B$5)),NOT(ISNUMBER(Ввод!$B$6))),"",IF(Ввод!$B$5+2930&gt;Ввод!$B$6,"",Ввод!$B$5+2930))</f>
        <v/>
      </c>
      <c r="B2932">
        <f>IF(A2932="","",IFERROR(INDEX(Ввод!$B$12:$B$71,MATCH(A2932,Ввод!$D$12:$D$71,1)),""))</f>
        <v/>
      </c>
      <c r="C2932">
        <f>IF(A2932="","",DATE(YEAR(A2932),12,31)-DATE(YEAR(A2932),1,1)+1)</f>
        <v/>
      </c>
      <c r="D2932">
        <f>IF(A2932="","",Ввод!$B$4-SUMIF(Оплаты!$A$6:$A$505,"&lt;"&amp;A2932,Оплаты!$B$6:$B$505))</f>
        <v/>
      </c>
      <c r="E2932">
        <f>IF(A2932="","",IF(SUMPRODUCT((Ввод!$F$12:$F$31&lt;&gt;"")*(Ввод!$F$12:$F$31&lt;=A2932)*(Ввод!$G$12:$G$31&gt;=A2932))&gt;0,1,0))</f>
        <v/>
      </c>
      <c r="F2932">
        <f>IF(OR(A2932="",B2932=""),"",IF(E2932=1,0,D2932*B2932/100/C2932))</f>
        <v/>
      </c>
      <c r="G2932">
        <f>IF(A2932="","",IF(OR(B2932&lt;&gt;B2931,C2932&lt;&gt;C2931,D2932&lt;&gt;D2931,E2932&lt;&gt;E2931),G2931+1,G2931))</f>
        <v/>
      </c>
    </row>
    <row r="2933">
      <c r="A2933" s="14">
        <f>IF(OR(NOT(ISNUMBER(Ввод!$B$5)),NOT(ISNUMBER(Ввод!$B$6))),"",IF(Ввод!$B$5+2931&gt;Ввод!$B$6,"",Ввод!$B$5+2931))</f>
        <v/>
      </c>
      <c r="B2933">
        <f>IF(A2933="","",IFERROR(INDEX(Ввод!$B$12:$B$71,MATCH(A2933,Ввод!$D$12:$D$71,1)),""))</f>
        <v/>
      </c>
      <c r="C2933">
        <f>IF(A2933="","",DATE(YEAR(A2933),12,31)-DATE(YEAR(A2933),1,1)+1)</f>
        <v/>
      </c>
      <c r="D2933">
        <f>IF(A2933="","",Ввод!$B$4-SUMIF(Оплаты!$A$6:$A$505,"&lt;"&amp;A2933,Оплаты!$B$6:$B$505))</f>
        <v/>
      </c>
      <c r="E2933">
        <f>IF(A2933="","",IF(SUMPRODUCT((Ввод!$F$12:$F$31&lt;&gt;"")*(Ввод!$F$12:$F$31&lt;=A2933)*(Ввод!$G$12:$G$31&gt;=A2933))&gt;0,1,0))</f>
        <v/>
      </c>
      <c r="F2933">
        <f>IF(OR(A2933="",B2933=""),"",IF(E2933=1,0,D2933*B2933/100/C2933))</f>
        <v/>
      </c>
      <c r="G2933">
        <f>IF(A2933="","",IF(OR(B2933&lt;&gt;B2932,C2933&lt;&gt;C2932,D2933&lt;&gt;D2932,E2933&lt;&gt;E2932),G2932+1,G2932))</f>
        <v/>
      </c>
    </row>
    <row r="2934">
      <c r="A2934" s="14">
        <f>IF(OR(NOT(ISNUMBER(Ввод!$B$5)),NOT(ISNUMBER(Ввод!$B$6))),"",IF(Ввод!$B$5+2932&gt;Ввод!$B$6,"",Ввод!$B$5+2932))</f>
        <v/>
      </c>
      <c r="B2934">
        <f>IF(A2934="","",IFERROR(INDEX(Ввод!$B$12:$B$71,MATCH(A2934,Ввод!$D$12:$D$71,1)),""))</f>
        <v/>
      </c>
      <c r="C2934">
        <f>IF(A2934="","",DATE(YEAR(A2934),12,31)-DATE(YEAR(A2934),1,1)+1)</f>
        <v/>
      </c>
      <c r="D2934">
        <f>IF(A2934="","",Ввод!$B$4-SUMIF(Оплаты!$A$6:$A$505,"&lt;"&amp;A2934,Оплаты!$B$6:$B$505))</f>
        <v/>
      </c>
      <c r="E2934">
        <f>IF(A2934="","",IF(SUMPRODUCT((Ввод!$F$12:$F$31&lt;&gt;"")*(Ввод!$F$12:$F$31&lt;=A2934)*(Ввод!$G$12:$G$31&gt;=A2934))&gt;0,1,0))</f>
        <v/>
      </c>
      <c r="F2934">
        <f>IF(OR(A2934="",B2934=""),"",IF(E2934=1,0,D2934*B2934/100/C2934))</f>
        <v/>
      </c>
      <c r="G2934">
        <f>IF(A2934="","",IF(OR(B2934&lt;&gt;B2933,C2934&lt;&gt;C2933,D2934&lt;&gt;D2933,E2934&lt;&gt;E2933),G2933+1,G2933))</f>
        <v/>
      </c>
    </row>
    <row r="2935">
      <c r="A2935" s="14">
        <f>IF(OR(NOT(ISNUMBER(Ввод!$B$5)),NOT(ISNUMBER(Ввод!$B$6))),"",IF(Ввод!$B$5+2933&gt;Ввод!$B$6,"",Ввод!$B$5+2933))</f>
        <v/>
      </c>
      <c r="B2935">
        <f>IF(A2935="","",IFERROR(INDEX(Ввод!$B$12:$B$71,MATCH(A2935,Ввод!$D$12:$D$71,1)),""))</f>
        <v/>
      </c>
      <c r="C2935">
        <f>IF(A2935="","",DATE(YEAR(A2935),12,31)-DATE(YEAR(A2935),1,1)+1)</f>
        <v/>
      </c>
      <c r="D2935">
        <f>IF(A2935="","",Ввод!$B$4-SUMIF(Оплаты!$A$6:$A$505,"&lt;"&amp;A2935,Оплаты!$B$6:$B$505))</f>
        <v/>
      </c>
      <c r="E2935">
        <f>IF(A2935="","",IF(SUMPRODUCT((Ввод!$F$12:$F$31&lt;&gt;"")*(Ввод!$F$12:$F$31&lt;=A2935)*(Ввод!$G$12:$G$31&gt;=A2935))&gt;0,1,0))</f>
        <v/>
      </c>
      <c r="F2935">
        <f>IF(OR(A2935="",B2935=""),"",IF(E2935=1,0,D2935*B2935/100/C2935))</f>
        <v/>
      </c>
      <c r="G2935">
        <f>IF(A2935="","",IF(OR(B2935&lt;&gt;B2934,C2935&lt;&gt;C2934,D2935&lt;&gt;D2934,E2935&lt;&gt;E2934),G2934+1,G2934))</f>
        <v/>
      </c>
    </row>
    <row r="2936">
      <c r="A2936" s="14">
        <f>IF(OR(NOT(ISNUMBER(Ввод!$B$5)),NOT(ISNUMBER(Ввод!$B$6))),"",IF(Ввод!$B$5+2934&gt;Ввод!$B$6,"",Ввод!$B$5+2934))</f>
        <v/>
      </c>
      <c r="B2936">
        <f>IF(A2936="","",IFERROR(INDEX(Ввод!$B$12:$B$71,MATCH(A2936,Ввод!$D$12:$D$71,1)),""))</f>
        <v/>
      </c>
      <c r="C2936">
        <f>IF(A2936="","",DATE(YEAR(A2936),12,31)-DATE(YEAR(A2936),1,1)+1)</f>
        <v/>
      </c>
      <c r="D2936">
        <f>IF(A2936="","",Ввод!$B$4-SUMIF(Оплаты!$A$6:$A$505,"&lt;"&amp;A2936,Оплаты!$B$6:$B$505))</f>
        <v/>
      </c>
      <c r="E2936">
        <f>IF(A2936="","",IF(SUMPRODUCT((Ввод!$F$12:$F$31&lt;&gt;"")*(Ввод!$F$12:$F$31&lt;=A2936)*(Ввод!$G$12:$G$31&gt;=A2936))&gt;0,1,0))</f>
        <v/>
      </c>
      <c r="F2936">
        <f>IF(OR(A2936="",B2936=""),"",IF(E2936=1,0,D2936*B2936/100/C2936))</f>
        <v/>
      </c>
      <c r="G2936">
        <f>IF(A2936="","",IF(OR(B2936&lt;&gt;B2935,C2936&lt;&gt;C2935,D2936&lt;&gt;D2935,E2936&lt;&gt;E2935),G2935+1,G2935))</f>
        <v/>
      </c>
    </row>
    <row r="2937">
      <c r="A2937" s="14">
        <f>IF(OR(NOT(ISNUMBER(Ввод!$B$5)),NOT(ISNUMBER(Ввод!$B$6))),"",IF(Ввод!$B$5+2935&gt;Ввод!$B$6,"",Ввод!$B$5+2935))</f>
        <v/>
      </c>
      <c r="B2937">
        <f>IF(A2937="","",IFERROR(INDEX(Ввод!$B$12:$B$71,MATCH(A2937,Ввод!$D$12:$D$71,1)),""))</f>
        <v/>
      </c>
      <c r="C2937">
        <f>IF(A2937="","",DATE(YEAR(A2937),12,31)-DATE(YEAR(A2937),1,1)+1)</f>
        <v/>
      </c>
      <c r="D2937">
        <f>IF(A2937="","",Ввод!$B$4-SUMIF(Оплаты!$A$6:$A$505,"&lt;"&amp;A2937,Оплаты!$B$6:$B$505))</f>
        <v/>
      </c>
      <c r="E2937">
        <f>IF(A2937="","",IF(SUMPRODUCT((Ввод!$F$12:$F$31&lt;&gt;"")*(Ввод!$F$12:$F$31&lt;=A2937)*(Ввод!$G$12:$G$31&gt;=A2937))&gt;0,1,0))</f>
        <v/>
      </c>
      <c r="F2937">
        <f>IF(OR(A2937="",B2937=""),"",IF(E2937=1,0,D2937*B2937/100/C2937))</f>
        <v/>
      </c>
      <c r="G2937">
        <f>IF(A2937="","",IF(OR(B2937&lt;&gt;B2936,C2937&lt;&gt;C2936,D2937&lt;&gt;D2936,E2937&lt;&gt;E2936),G2936+1,G2936))</f>
        <v/>
      </c>
    </row>
    <row r="2938">
      <c r="A2938" s="14">
        <f>IF(OR(NOT(ISNUMBER(Ввод!$B$5)),NOT(ISNUMBER(Ввод!$B$6))),"",IF(Ввод!$B$5+2936&gt;Ввод!$B$6,"",Ввод!$B$5+2936))</f>
        <v/>
      </c>
      <c r="B2938">
        <f>IF(A2938="","",IFERROR(INDEX(Ввод!$B$12:$B$71,MATCH(A2938,Ввод!$D$12:$D$71,1)),""))</f>
        <v/>
      </c>
      <c r="C2938">
        <f>IF(A2938="","",DATE(YEAR(A2938),12,31)-DATE(YEAR(A2938),1,1)+1)</f>
        <v/>
      </c>
      <c r="D2938">
        <f>IF(A2938="","",Ввод!$B$4-SUMIF(Оплаты!$A$6:$A$505,"&lt;"&amp;A2938,Оплаты!$B$6:$B$505))</f>
        <v/>
      </c>
      <c r="E2938">
        <f>IF(A2938="","",IF(SUMPRODUCT((Ввод!$F$12:$F$31&lt;&gt;"")*(Ввод!$F$12:$F$31&lt;=A2938)*(Ввод!$G$12:$G$31&gt;=A2938))&gt;0,1,0))</f>
        <v/>
      </c>
      <c r="F2938">
        <f>IF(OR(A2938="",B2938=""),"",IF(E2938=1,0,D2938*B2938/100/C2938))</f>
        <v/>
      </c>
      <c r="G2938">
        <f>IF(A2938="","",IF(OR(B2938&lt;&gt;B2937,C2938&lt;&gt;C2937,D2938&lt;&gt;D2937,E2938&lt;&gt;E2937),G2937+1,G2937))</f>
        <v/>
      </c>
    </row>
    <row r="2939">
      <c r="A2939" s="14">
        <f>IF(OR(NOT(ISNUMBER(Ввод!$B$5)),NOT(ISNUMBER(Ввод!$B$6))),"",IF(Ввод!$B$5+2937&gt;Ввод!$B$6,"",Ввод!$B$5+2937))</f>
        <v/>
      </c>
      <c r="B2939">
        <f>IF(A2939="","",IFERROR(INDEX(Ввод!$B$12:$B$71,MATCH(A2939,Ввод!$D$12:$D$71,1)),""))</f>
        <v/>
      </c>
      <c r="C2939">
        <f>IF(A2939="","",DATE(YEAR(A2939),12,31)-DATE(YEAR(A2939),1,1)+1)</f>
        <v/>
      </c>
      <c r="D2939">
        <f>IF(A2939="","",Ввод!$B$4-SUMIF(Оплаты!$A$6:$A$505,"&lt;"&amp;A2939,Оплаты!$B$6:$B$505))</f>
        <v/>
      </c>
      <c r="E2939">
        <f>IF(A2939="","",IF(SUMPRODUCT((Ввод!$F$12:$F$31&lt;&gt;"")*(Ввод!$F$12:$F$31&lt;=A2939)*(Ввод!$G$12:$G$31&gt;=A2939))&gt;0,1,0))</f>
        <v/>
      </c>
      <c r="F2939">
        <f>IF(OR(A2939="",B2939=""),"",IF(E2939=1,0,D2939*B2939/100/C2939))</f>
        <v/>
      </c>
      <c r="G2939">
        <f>IF(A2939="","",IF(OR(B2939&lt;&gt;B2938,C2939&lt;&gt;C2938,D2939&lt;&gt;D2938,E2939&lt;&gt;E2938),G2938+1,G2938))</f>
        <v/>
      </c>
    </row>
    <row r="2940">
      <c r="A2940" s="14">
        <f>IF(OR(NOT(ISNUMBER(Ввод!$B$5)),NOT(ISNUMBER(Ввод!$B$6))),"",IF(Ввод!$B$5+2938&gt;Ввод!$B$6,"",Ввод!$B$5+2938))</f>
        <v/>
      </c>
      <c r="B2940">
        <f>IF(A2940="","",IFERROR(INDEX(Ввод!$B$12:$B$71,MATCH(A2940,Ввод!$D$12:$D$71,1)),""))</f>
        <v/>
      </c>
      <c r="C2940">
        <f>IF(A2940="","",DATE(YEAR(A2940),12,31)-DATE(YEAR(A2940),1,1)+1)</f>
        <v/>
      </c>
      <c r="D2940">
        <f>IF(A2940="","",Ввод!$B$4-SUMIF(Оплаты!$A$6:$A$505,"&lt;"&amp;A2940,Оплаты!$B$6:$B$505))</f>
        <v/>
      </c>
      <c r="E2940">
        <f>IF(A2940="","",IF(SUMPRODUCT((Ввод!$F$12:$F$31&lt;&gt;"")*(Ввод!$F$12:$F$31&lt;=A2940)*(Ввод!$G$12:$G$31&gt;=A2940))&gt;0,1,0))</f>
        <v/>
      </c>
      <c r="F2940">
        <f>IF(OR(A2940="",B2940=""),"",IF(E2940=1,0,D2940*B2940/100/C2940))</f>
        <v/>
      </c>
      <c r="G2940">
        <f>IF(A2940="","",IF(OR(B2940&lt;&gt;B2939,C2940&lt;&gt;C2939,D2940&lt;&gt;D2939,E2940&lt;&gt;E2939),G2939+1,G2939))</f>
        <v/>
      </c>
    </row>
    <row r="2941">
      <c r="A2941" s="14">
        <f>IF(OR(NOT(ISNUMBER(Ввод!$B$5)),NOT(ISNUMBER(Ввод!$B$6))),"",IF(Ввод!$B$5+2939&gt;Ввод!$B$6,"",Ввод!$B$5+2939))</f>
        <v/>
      </c>
      <c r="B2941">
        <f>IF(A2941="","",IFERROR(INDEX(Ввод!$B$12:$B$71,MATCH(A2941,Ввод!$D$12:$D$71,1)),""))</f>
        <v/>
      </c>
      <c r="C2941">
        <f>IF(A2941="","",DATE(YEAR(A2941),12,31)-DATE(YEAR(A2941),1,1)+1)</f>
        <v/>
      </c>
      <c r="D2941">
        <f>IF(A2941="","",Ввод!$B$4-SUMIF(Оплаты!$A$6:$A$505,"&lt;"&amp;A2941,Оплаты!$B$6:$B$505))</f>
        <v/>
      </c>
      <c r="E2941">
        <f>IF(A2941="","",IF(SUMPRODUCT((Ввод!$F$12:$F$31&lt;&gt;"")*(Ввод!$F$12:$F$31&lt;=A2941)*(Ввод!$G$12:$G$31&gt;=A2941))&gt;0,1,0))</f>
        <v/>
      </c>
      <c r="F2941">
        <f>IF(OR(A2941="",B2941=""),"",IF(E2941=1,0,D2941*B2941/100/C2941))</f>
        <v/>
      </c>
      <c r="G2941">
        <f>IF(A2941="","",IF(OR(B2941&lt;&gt;B2940,C2941&lt;&gt;C2940,D2941&lt;&gt;D2940,E2941&lt;&gt;E2940),G2940+1,G2940))</f>
        <v/>
      </c>
    </row>
    <row r="2942">
      <c r="A2942" s="14">
        <f>IF(OR(NOT(ISNUMBER(Ввод!$B$5)),NOT(ISNUMBER(Ввод!$B$6))),"",IF(Ввод!$B$5+2940&gt;Ввод!$B$6,"",Ввод!$B$5+2940))</f>
        <v/>
      </c>
      <c r="B2942">
        <f>IF(A2942="","",IFERROR(INDEX(Ввод!$B$12:$B$71,MATCH(A2942,Ввод!$D$12:$D$71,1)),""))</f>
        <v/>
      </c>
      <c r="C2942">
        <f>IF(A2942="","",DATE(YEAR(A2942),12,31)-DATE(YEAR(A2942),1,1)+1)</f>
        <v/>
      </c>
      <c r="D2942">
        <f>IF(A2942="","",Ввод!$B$4-SUMIF(Оплаты!$A$6:$A$505,"&lt;"&amp;A2942,Оплаты!$B$6:$B$505))</f>
        <v/>
      </c>
      <c r="E2942">
        <f>IF(A2942="","",IF(SUMPRODUCT((Ввод!$F$12:$F$31&lt;&gt;"")*(Ввод!$F$12:$F$31&lt;=A2942)*(Ввод!$G$12:$G$31&gt;=A2942))&gt;0,1,0))</f>
        <v/>
      </c>
      <c r="F2942">
        <f>IF(OR(A2942="",B2942=""),"",IF(E2942=1,0,D2942*B2942/100/C2942))</f>
        <v/>
      </c>
      <c r="G2942">
        <f>IF(A2942="","",IF(OR(B2942&lt;&gt;B2941,C2942&lt;&gt;C2941,D2942&lt;&gt;D2941,E2942&lt;&gt;E2941),G2941+1,G2941))</f>
        <v/>
      </c>
    </row>
    <row r="2943">
      <c r="A2943" s="14">
        <f>IF(OR(NOT(ISNUMBER(Ввод!$B$5)),NOT(ISNUMBER(Ввод!$B$6))),"",IF(Ввод!$B$5+2941&gt;Ввод!$B$6,"",Ввод!$B$5+2941))</f>
        <v/>
      </c>
      <c r="B2943">
        <f>IF(A2943="","",IFERROR(INDEX(Ввод!$B$12:$B$71,MATCH(A2943,Ввод!$D$12:$D$71,1)),""))</f>
        <v/>
      </c>
      <c r="C2943">
        <f>IF(A2943="","",DATE(YEAR(A2943),12,31)-DATE(YEAR(A2943),1,1)+1)</f>
        <v/>
      </c>
      <c r="D2943">
        <f>IF(A2943="","",Ввод!$B$4-SUMIF(Оплаты!$A$6:$A$505,"&lt;"&amp;A2943,Оплаты!$B$6:$B$505))</f>
        <v/>
      </c>
      <c r="E2943">
        <f>IF(A2943="","",IF(SUMPRODUCT((Ввод!$F$12:$F$31&lt;&gt;"")*(Ввод!$F$12:$F$31&lt;=A2943)*(Ввод!$G$12:$G$31&gt;=A2943))&gt;0,1,0))</f>
        <v/>
      </c>
      <c r="F2943">
        <f>IF(OR(A2943="",B2943=""),"",IF(E2943=1,0,D2943*B2943/100/C2943))</f>
        <v/>
      </c>
      <c r="G2943">
        <f>IF(A2943="","",IF(OR(B2943&lt;&gt;B2942,C2943&lt;&gt;C2942,D2943&lt;&gt;D2942,E2943&lt;&gt;E2942),G2942+1,G2942))</f>
        <v/>
      </c>
    </row>
    <row r="2944">
      <c r="A2944" s="14">
        <f>IF(OR(NOT(ISNUMBER(Ввод!$B$5)),NOT(ISNUMBER(Ввод!$B$6))),"",IF(Ввод!$B$5+2942&gt;Ввод!$B$6,"",Ввод!$B$5+2942))</f>
        <v/>
      </c>
      <c r="B2944">
        <f>IF(A2944="","",IFERROR(INDEX(Ввод!$B$12:$B$71,MATCH(A2944,Ввод!$D$12:$D$71,1)),""))</f>
        <v/>
      </c>
      <c r="C2944">
        <f>IF(A2944="","",DATE(YEAR(A2944),12,31)-DATE(YEAR(A2944),1,1)+1)</f>
        <v/>
      </c>
      <c r="D2944">
        <f>IF(A2944="","",Ввод!$B$4-SUMIF(Оплаты!$A$6:$A$505,"&lt;"&amp;A2944,Оплаты!$B$6:$B$505))</f>
        <v/>
      </c>
      <c r="E2944">
        <f>IF(A2944="","",IF(SUMPRODUCT((Ввод!$F$12:$F$31&lt;&gt;"")*(Ввод!$F$12:$F$31&lt;=A2944)*(Ввод!$G$12:$G$31&gt;=A2944))&gt;0,1,0))</f>
        <v/>
      </c>
      <c r="F2944">
        <f>IF(OR(A2944="",B2944=""),"",IF(E2944=1,0,D2944*B2944/100/C2944))</f>
        <v/>
      </c>
      <c r="G2944">
        <f>IF(A2944="","",IF(OR(B2944&lt;&gt;B2943,C2944&lt;&gt;C2943,D2944&lt;&gt;D2943,E2944&lt;&gt;E2943),G2943+1,G2943))</f>
        <v/>
      </c>
    </row>
    <row r="2945">
      <c r="A2945" s="14">
        <f>IF(OR(NOT(ISNUMBER(Ввод!$B$5)),NOT(ISNUMBER(Ввод!$B$6))),"",IF(Ввод!$B$5+2943&gt;Ввод!$B$6,"",Ввод!$B$5+2943))</f>
        <v/>
      </c>
      <c r="B2945">
        <f>IF(A2945="","",IFERROR(INDEX(Ввод!$B$12:$B$71,MATCH(A2945,Ввод!$D$12:$D$71,1)),""))</f>
        <v/>
      </c>
      <c r="C2945">
        <f>IF(A2945="","",DATE(YEAR(A2945),12,31)-DATE(YEAR(A2945),1,1)+1)</f>
        <v/>
      </c>
      <c r="D2945">
        <f>IF(A2945="","",Ввод!$B$4-SUMIF(Оплаты!$A$6:$A$505,"&lt;"&amp;A2945,Оплаты!$B$6:$B$505))</f>
        <v/>
      </c>
      <c r="E2945">
        <f>IF(A2945="","",IF(SUMPRODUCT((Ввод!$F$12:$F$31&lt;&gt;"")*(Ввод!$F$12:$F$31&lt;=A2945)*(Ввод!$G$12:$G$31&gt;=A2945))&gt;0,1,0))</f>
        <v/>
      </c>
      <c r="F2945">
        <f>IF(OR(A2945="",B2945=""),"",IF(E2945=1,0,D2945*B2945/100/C2945))</f>
        <v/>
      </c>
      <c r="G2945">
        <f>IF(A2945="","",IF(OR(B2945&lt;&gt;B2944,C2945&lt;&gt;C2944,D2945&lt;&gt;D2944,E2945&lt;&gt;E2944),G2944+1,G2944))</f>
        <v/>
      </c>
    </row>
    <row r="2946">
      <c r="A2946" s="14">
        <f>IF(OR(NOT(ISNUMBER(Ввод!$B$5)),NOT(ISNUMBER(Ввод!$B$6))),"",IF(Ввод!$B$5+2944&gt;Ввод!$B$6,"",Ввод!$B$5+2944))</f>
        <v/>
      </c>
      <c r="B2946">
        <f>IF(A2946="","",IFERROR(INDEX(Ввод!$B$12:$B$71,MATCH(A2946,Ввод!$D$12:$D$71,1)),""))</f>
        <v/>
      </c>
      <c r="C2946">
        <f>IF(A2946="","",DATE(YEAR(A2946),12,31)-DATE(YEAR(A2946),1,1)+1)</f>
        <v/>
      </c>
      <c r="D2946">
        <f>IF(A2946="","",Ввод!$B$4-SUMIF(Оплаты!$A$6:$A$505,"&lt;"&amp;A2946,Оплаты!$B$6:$B$505))</f>
        <v/>
      </c>
      <c r="E2946">
        <f>IF(A2946="","",IF(SUMPRODUCT((Ввод!$F$12:$F$31&lt;&gt;"")*(Ввод!$F$12:$F$31&lt;=A2946)*(Ввод!$G$12:$G$31&gt;=A2946))&gt;0,1,0))</f>
        <v/>
      </c>
      <c r="F2946">
        <f>IF(OR(A2946="",B2946=""),"",IF(E2946=1,0,D2946*B2946/100/C2946))</f>
        <v/>
      </c>
      <c r="G2946">
        <f>IF(A2946="","",IF(OR(B2946&lt;&gt;B2945,C2946&lt;&gt;C2945,D2946&lt;&gt;D2945,E2946&lt;&gt;E2945),G2945+1,G2945))</f>
        <v/>
      </c>
    </row>
    <row r="2947">
      <c r="A2947" s="14">
        <f>IF(OR(NOT(ISNUMBER(Ввод!$B$5)),NOT(ISNUMBER(Ввод!$B$6))),"",IF(Ввод!$B$5+2945&gt;Ввод!$B$6,"",Ввод!$B$5+2945))</f>
        <v/>
      </c>
      <c r="B2947">
        <f>IF(A2947="","",IFERROR(INDEX(Ввод!$B$12:$B$71,MATCH(A2947,Ввод!$D$12:$D$71,1)),""))</f>
        <v/>
      </c>
      <c r="C2947">
        <f>IF(A2947="","",DATE(YEAR(A2947),12,31)-DATE(YEAR(A2947),1,1)+1)</f>
        <v/>
      </c>
      <c r="D2947">
        <f>IF(A2947="","",Ввод!$B$4-SUMIF(Оплаты!$A$6:$A$505,"&lt;"&amp;A2947,Оплаты!$B$6:$B$505))</f>
        <v/>
      </c>
      <c r="E2947">
        <f>IF(A2947="","",IF(SUMPRODUCT((Ввод!$F$12:$F$31&lt;&gt;"")*(Ввод!$F$12:$F$31&lt;=A2947)*(Ввод!$G$12:$G$31&gt;=A2947))&gt;0,1,0))</f>
        <v/>
      </c>
      <c r="F2947">
        <f>IF(OR(A2947="",B2947=""),"",IF(E2947=1,0,D2947*B2947/100/C2947))</f>
        <v/>
      </c>
      <c r="G2947">
        <f>IF(A2947="","",IF(OR(B2947&lt;&gt;B2946,C2947&lt;&gt;C2946,D2947&lt;&gt;D2946,E2947&lt;&gt;E2946),G2946+1,G2946))</f>
        <v/>
      </c>
    </row>
    <row r="2948">
      <c r="A2948" s="14">
        <f>IF(OR(NOT(ISNUMBER(Ввод!$B$5)),NOT(ISNUMBER(Ввод!$B$6))),"",IF(Ввод!$B$5+2946&gt;Ввод!$B$6,"",Ввод!$B$5+2946))</f>
        <v/>
      </c>
      <c r="B2948">
        <f>IF(A2948="","",IFERROR(INDEX(Ввод!$B$12:$B$71,MATCH(A2948,Ввод!$D$12:$D$71,1)),""))</f>
        <v/>
      </c>
      <c r="C2948">
        <f>IF(A2948="","",DATE(YEAR(A2948),12,31)-DATE(YEAR(A2948),1,1)+1)</f>
        <v/>
      </c>
      <c r="D2948">
        <f>IF(A2948="","",Ввод!$B$4-SUMIF(Оплаты!$A$6:$A$505,"&lt;"&amp;A2948,Оплаты!$B$6:$B$505))</f>
        <v/>
      </c>
      <c r="E2948">
        <f>IF(A2948="","",IF(SUMPRODUCT((Ввод!$F$12:$F$31&lt;&gt;"")*(Ввод!$F$12:$F$31&lt;=A2948)*(Ввод!$G$12:$G$31&gt;=A2948))&gt;0,1,0))</f>
        <v/>
      </c>
      <c r="F2948">
        <f>IF(OR(A2948="",B2948=""),"",IF(E2948=1,0,D2948*B2948/100/C2948))</f>
        <v/>
      </c>
      <c r="G2948">
        <f>IF(A2948="","",IF(OR(B2948&lt;&gt;B2947,C2948&lt;&gt;C2947,D2948&lt;&gt;D2947,E2948&lt;&gt;E2947),G2947+1,G2947))</f>
        <v/>
      </c>
    </row>
    <row r="2949">
      <c r="A2949" s="14">
        <f>IF(OR(NOT(ISNUMBER(Ввод!$B$5)),NOT(ISNUMBER(Ввод!$B$6))),"",IF(Ввод!$B$5+2947&gt;Ввод!$B$6,"",Ввод!$B$5+2947))</f>
        <v/>
      </c>
      <c r="B2949">
        <f>IF(A2949="","",IFERROR(INDEX(Ввод!$B$12:$B$71,MATCH(A2949,Ввод!$D$12:$D$71,1)),""))</f>
        <v/>
      </c>
      <c r="C2949">
        <f>IF(A2949="","",DATE(YEAR(A2949),12,31)-DATE(YEAR(A2949),1,1)+1)</f>
        <v/>
      </c>
      <c r="D2949">
        <f>IF(A2949="","",Ввод!$B$4-SUMIF(Оплаты!$A$6:$A$505,"&lt;"&amp;A2949,Оплаты!$B$6:$B$505))</f>
        <v/>
      </c>
      <c r="E2949">
        <f>IF(A2949="","",IF(SUMPRODUCT((Ввод!$F$12:$F$31&lt;&gt;"")*(Ввод!$F$12:$F$31&lt;=A2949)*(Ввод!$G$12:$G$31&gt;=A2949))&gt;0,1,0))</f>
        <v/>
      </c>
      <c r="F2949">
        <f>IF(OR(A2949="",B2949=""),"",IF(E2949=1,0,D2949*B2949/100/C2949))</f>
        <v/>
      </c>
      <c r="G2949">
        <f>IF(A2949="","",IF(OR(B2949&lt;&gt;B2948,C2949&lt;&gt;C2948,D2949&lt;&gt;D2948,E2949&lt;&gt;E2948),G2948+1,G2948))</f>
        <v/>
      </c>
    </row>
    <row r="2950">
      <c r="A2950" s="14">
        <f>IF(OR(NOT(ISNUMBER(Ввод!$B$5)),NOT(ISNUMBER(Ввод!$B$6))),"",IF(Ввод!$B$5+2948&gt;Ввод!$B$6,"",Ввод!$B$5+2948))</f>
        <v/>
      </c>
      <c r="B2950">
        <f>IF(A2950="","",IFERROR(INDEX(Ввод!$B$12:$B$71,MATCH(A2950,Ввод!$D$12:$D$71,1)),""))</f>
        <v/>
      </c>
      <c r="C2950">
        <f>IF(A2950="","",DATE(YEAR(A2950),12,31)-DATE(YEAR(A2950),1,1)+1)</f>
        <v/>
      </c>
      <c r="D2950">
        <f>IF(A2950="","",Ввод!$B$4-SUMIF(Оплаты!$A$6:$A$505,"&lt;"&amp;A2950,Оплаты!$B$6:$B$505))</f>
        <v/>
      </c>
      <c r="E2950">
        <f>IF(A2950="","",IF(SUMPRODUCT((Ввод!$F$12:$F$31&lt;&gt;"")*(Ввод!$F$12:$F$31&lt;=A2950)*(Ввод!$G$12:$G$31&gt;=A2950))&gt;0,1,0))</f>
        <v/>
      </c>
      <c r="F2950">
        <f>IF(OR(A2950="",B2950=""),"",IF(E2950=1,0,D2950*B2950/100/C2950))</f>
        <v/>
      </c>
      <c r="G2950">
        <f>IF(A2950="","",IF(OR(B2950&lt;&gt;B2949,C2950&lt;&gt;C2949,D2950&lt;&gt;D2949,E2950&lt;&gt;E2949),G2949+1,G2949))</f>
        <v/>
      </c>
    </row>
    <row r="2951">
      <c r="A2951" s="14">
        <f>IF(OR(NOT(ISNUMBER(Ввод!$B$5)),NOT(ISNUMBER(Ввод!$B$6))),"",IF(Ввод!$B$5+2949&gt;Ввод!$B$6,"",Ввод!$B$5+2949))</f>
        <v/>
      </c>
      <c r="B2951">
        <f>IF(A2951="","",IFERROR(INDEX(Ввод!$B$12:$B$71,MATCH(A2951,Ввод!$D$12:$D$71,1)),""))</f>
        <v/>
      </c>
      <c r="C2951">
        <f>IF(A2951="","",DATE(YEAR(A2951),12,31)-DATE(YEAR(A2951),1,1)+1)</f>
        <v/>
      </c>
      <c r="D2951">
        <f>IF(A2951="","",Ввод!$B$4-SUMIF(Оплаты!$A$6:$A$505,"&lt;"&amp;A2951,Оплаты!$B$6:$B$505))</f>
        <v/>
      </c>
      <c r="E2951">
        <f>IF(A2951="","",IF(SUMPRODUCT((Ввод!$F$12:$F$31&lt;&gt;"")*(Ввод!$F$12:$F$31&lt;=A2951)*(Ввод!$G$12:$G$31&gt;=A2951))&gt;0,1,0))</f>
        <v/>
      </c>
      <c r="F2951">
        <f>IF(OR(A2951="",B2951=""),"",IF(E2951=1,0,D2951*B2951/100/C2951))</f>
        <v/>
      </c>
      <c r="G2951">
        <f>IF(A2951="","",IF(OR(B2951&lt;&gt;B2950,C2951&lt;&gt;C2950,D2951&lt;&gt;D2950,E2951&lt;&gt;E2950),G2950+1,G2950))</f>
        <v/>
      </c>
    </row>
    <row r="2952">
      <c r="A2952" s="14">
        <f>IF(OR(NOT(ISNUMBER(Ввод!$B$5)),NOT(ISNUMBER(Ввод!$B$6))),"",IF(Ввод!$B$5+2950&gt;Ввод!$B$6,"",Ввод!$B$5+2950))</f>
        <v/>
      </c>
      <c r="B2952">
        <f>IF(A2952="","",IFERROR(INDEX(Ввод!$B$12:$B$71,MATCH(A2952,Ввод!$D$12:$D$71,1)),""))</f>
        <v/>
      </c>
      <c r="C2952">
        <f>IF(A2952="","",DATE(YEAR(A2952),12,31)-DATE(YEAR(A2952),1,1)+1)</f>
        <v/>
      </c>
      <c r="D2952">
        <f>IF(A2952="","",Ввод!$B$4-SUMIF(Оплаты!$A$6:$A$505,"&lt;"&amp;A2952,Оплаты!$B$6:$B$505))</f>
        <v/>
      </c>
      <c r="E2952">
        <f>IF(A2952="","",IF(SUMPRODUCT((Ввод!$F$12:$F$31&lt;&gt;"")*(Ввод!$F$12:$F$31&lt;=A2952)*(Ввод!$G$12:$G$31&gt;=A2952))&gt;0,1,0))</f>
        <v/>
      </c>
      <c r="F2952">
        <f>IF(OR(A2952="",B2952=""),"",IF(E2952=1,0,D2952*B2952/100/C2952))</f>
        <v/>
      </c>
      <c r="G2952">
        <f>IF(A2952="","",IF(OR(B2952&lt;&gt;B2951,C2952&lt;&gt;C2951,D2952&lt;&gt;D2951,E2952&lt;&gt;E2951),G2951+1,G2951))</f>
        <v/>
      </c>
    </row>
    <row r="2953">
      <c r="A2953" s="14">
        <f>IF(OR(NOT(ISNUMBER(Ввод!$B$5)),NOT(ISNUMBER(Ввод!$B$6))),"",IF(Ввод!$B$5+2951&gt;Ввод!$B$6,"",Ввод!$B$5+2951))</f>
        <v/>
      </c>
      <c r="B2953">
        <f>IF(A2953="","",IFERROR(INDEX(Ввод!$B$12:$B$71,MATCH(A2953,Ввод!$D$12:$D$71,1)),""))</f>
        <v/>
      </c>
      <c r="C2953">
        <f>IF(A2953="","",DATE(YEAR(A2953),12,31)-DATE(YEAR(A2953),1,1)+1)</f>
        <v/>
      </c>
      <c r="D2953">
        <f>IF(A2953="","",Ввод!$B$4-SUMIF(Оплаты!$A$6:$A$505,"&lt;"&amp;A2953,Оплаты!$B$6:$B$505))</f>
        <v/>
      </c>
      <c r="E2953">
        <f>IF(A2953="","",IF(SUMPRODUCT((Ввод!$F$12:$F$31&lt;&gt;"")*(Ввод!$F$12:$F$31&lt;=A2953)*(Ввод!$G$12:$G$31&gt;=A2953))&gt;0,1,0))</f>
        <v/>
      </c>
      <c r="F2953">
        <f>IF(OR(A2953="",B2953=""),"",IF(E2953=1,0,D2953*B2953/100/C2953))</f>
        <v/>
      </c>
      <c r="G2953">
        <f>IF(A2953="","",IF(OR(B2953&lt;&gt;B2952,C2953&lt;&gt;C2952,D2953&lt;&gt;D2952,E2953&lt;&gt;E2952),G2952+1,G2952))</f>
        <v/>
      </c>
    </row>
    <row r="2954">
      <c r="A2954" s="14">
        <f>IF(OR(NOT(ISNUMBER(Ввод!$B$5)),NOT(ISNUMBER(Ввод!$B$6))),"",IF(Ввод!$B$5+2952&gt;Ввод!$B$6,"",Ввод!$B$5+2952))</f>
        <v/>
      </c>
      <c r="B2954">
        <f>IF(A2954="","",IFERROR(INDEX(Ввод!$B$12:$B$71,MATCH(A2954,Ввод!$D$12:$D$71,1)),""))</f>
        <v/>
      </c>
      <c r="C2954">
        <f>IF(A2954="","",DATE(YEAR(A2954),12,31)-DATE(YEAR(A2954),1,1)+1)</f>
        <v/>
      </c>
      <c r="D2954">
        <f>IF(A2954="","",Ввод!$B$4-SUMIF(Оплаты!$A$6:$A$505,"&lt;"&amp;A2954,Оплаты!$B$6:$B$505))</f>
        <v/>
      </c>
      <c r="E2954">
        <f>IF(A2954="","",IF(SUMPRODUCT((Ввод!$F$12:$F$31&lt;&gt;"")*(Ввод!$F$12:$F$31&lt;=A2954)*(Ввод!$G$12:$G$31&gt;=A2954))&gt;0,1,0))</f>
        <v/>
      </c>
      <c r="F2954">
        <f>IF(OR(A2954="",B2954=""),"",IF(E2954=1,0,D2954*B2954/100/C2954))</f>
        <v/>
      </c>
      <c r="G2954">
        <f>IF(A2954="","",IF(OR(B2954&lt;&gt;B2953,C2954&lt;&gt;C2953,D2954&lt;&gt;D2953,E2954&lt;&gt;E2953),G2953+1,G2953))</f>
        <v/>
      </c>
    </row>
    <row r="2955">
      <c r="A2955" s="14">
        <f>IF(OR(NOT(ISNUMBER(Ввод!$B$5)),NOT(ISNUMBER(Ввод!$B$6))),"",IF(Ввод!$B$5+2953&gt;Ввод!$B$6,"",Ввод!$B$5+2953))</f>
        <v/>
      </c>
      <c r="B2955">
        <f>IF(A2955="","",IFERROR(INDEX(Ввод!$B$12:$B$71,MATCH(A2955,Ввод!$D$12:$D$71,1)),""))</f>
        <v/>
      </c>
      <c r="C2955">
        <f>IF(A2955="","",DATE(YEAR(A2955),12,31)-DATE(YEAR(A2955),1,1)+1)</f>
        <v/>
      </c>
      <c r="D2955">
        <f>IF(A2955="","",Ввод!$B$4-SUMIF(Оплаты!$A$6:$A$505,"&lt;"&amp;A2955,Оплаты!$B$6:$B$505))</f>
        <v/>
      </c>
      <c r="E2955">
        <f>IF(A2955="","",IF(SUMPRODUCT((Ввод!$F$12:$F$31&lt;&gt;"")*(Ввод!$F$12:$F$31&lt;=A2955)*(Ввод!$G$12:$G$31&gt;=A2955))&gt;0,1,0))</f>
        <v/>
      </c>
      <c r="F2955">
        <f>IF(OR(A2955="",B2955=""),"",IF(E2955=1,0,D2955*B2955/100/C2955))</f>
        <v/>
      </c>
      <c r="G2955">
        <f>IF(A2955="","",IF(OR(B2955&lt;&gt;B2954,C2955&lt;&gt;C2954,D2955&lt;&gt;D2954,E2955&lt;&gt;E2954),G2954+1,G2954))</f>
        <v/>
      </c>
    </row>
    <row r="2956">
      <c r="A2956" s="14">
        <f>IF(OR(NOT(ISNUMBER(Ввод!$B$5)),NOT(ISNUMBER(Ввод!$B$6))),"",IF(Ввод!$B$5+2954&gt;Ввод!$B$6,"",Ввод!$B$5+2954))</f>
        <v/>
      </c>
      <c r="B2956">
        <f>IF(A2956="","",IFERROR(INDEX(Ввод!$B$12:$B$71,MATCH(A2956,Ввод!$D$12:$D$71,1)),""))</f>
        <v/>
      </c>
      <c r="C2956">
        <f>IF(A2956="","",DATE(YEAR(A2956),12,31)-DATE(YEAR(A2956),1,1)+1)</f>
        <v/>
      </c>
      <c r="D2956">
        <f>IF(A2956="","",Ввод!$B$4-SUMIF(Оплаты!$A$6:$A$505,"&lt;"&amp;A2956,Оплаты!$B$6:$B$505))</f>
        <v/>
      </c>
      <c r="E2956">
        <f>IF(A2956="","",IF(SUMPRODUCT((Ввод!$F$12:$F$31&lt;&gt;"")*(Ввод!$F$12:$F$31&lt;=A2956)*(Ввод!$G$12:$G$31&gt;=A2956))&gt;0,1,0))</f>
        <v/>
      </c>
      <c r="F2956">
        <f>IF(OR(A2956="",B2956=""),"",IF(E2956=1,0,D2956*B2956/100/C2956))</f>
        <v/>
      </c>
      <c r="G2956">
        <f>IF(A2956="","",IF(OR(B2956&lt;&gt;B2955,C2956&lt;&gt;C2955,D2956&lt;&gt;D2955,E2956&lt;&gt;E2955),G2955+1,G2955))</f>
        <v/>
      </c>
    </row>
    <row r="2957">
      <c r="A2957" s="14">
        <f>IF(OR(NOT(ISNUMBER(Ввод!$B$5)),NOT(ISNUMBER(Ввод!$B$6))),"",IF(Ввод!$B$5+2955&gt;Ввод!$B$6,"",Ввод!$B$5+2955))</f>
        <v/>
      </c>
      <c r="B2957">
        <f>IF(A2957="","",IFERROR(INDEX(Ввод!$B$12:$B$71,MATCH(A2957,Ввод!$D$12:$D$71,1)),""))</f>
        <v/>
      </c>
      <c r="C2957">
        <f>IF(A2957="","",DATE(YEAR(A2957),12,31)-DATE(YEAR(A2957),1,1)+1)</f>
        <v/>
      </c>
      <c r="D2957">
        <f>IF(A2957="","",Ввод!$B$4-SUMIF(Оплаты!$A$6:$A$505,"&lt;"&amp;A2957,Оплаты!$B$6:$B$505))</f>
        <v/>
      </c>
      <c r="E2957">
        <f>IF(A2957="","",IF(SUMPRODUCT((Ввод!$F$12:$F$31&lt;&gt;"")*(Ввод!$F$12:$F$31&lt;=A2957)*(Ввод!$G$12:$G$31&gt;=A2957))&gt;0,1,0))</f>
        <v/>
      </c>
      <c r="F2957">
        <f>IF(OR(A2957="",B2957=""),"",IF(E2957=1,0,D2957*B2957/100/C2957))</f>
        <v/>
      </c>
      <c r="G2957">
        <f>IF(A2957="","",IF(OR(B2957&lt;&gt;B2956,C2957&lt;&gt;C2956,D2957&lt;&gt;D2956,E2957&lt;&gt;E2956),G2956+1,G2956))</f>
        <v/>
      </c>
    </row>
    <row r="2958">
      <c r="A2958" s="14">
        <f>IF(OR(NOT(ISNUMBER(Ввод!$B$5)),NOT(ISNUMBER(Ввод!$B$6))),"",IF(Ввод!$B$5+2956&gt;Ввод!$B$6,"",Ввод!$B$5+2956))</f>
        <v/>
      </c>
      <c r="B2958">
        <f>IF(A2958="","",IFERROR(INDEX(Ввод!$B$12:$B$71,MATCH(A2958,Ввод!$D$12:$D$71,1)),""))</f>
        <v/>
      </c>
      <c r="C2958">
        <f>IF(A2958="","",DATE(YEAR(A2958),12,31)-DATE(YEAR(A2958),1,1)+1)</f>
        <v/>
      </c>
      <c r="D2958">
        <f>IF(A2958="","",Ввод!$B$4-SUMIF(Оплаты!$A$6:$A$505,"&lt;"&amp;A2958,Оплаты!$B$6:$B$505))</f>
        <v/>
      </c>
      <c r="E2958">
        <f>IF(A2958="","",IF(SUMPRODUCT((Ввод!$F$12:$F$31&lt;&gt;"")*(Ввод!$F$12:$F$31&lt;=A2958)*(Ввод!$G$12:$G$31&gt;=A2958))&gt;0,1,0))</f>
        <v/>
      </c>
      <c r="F2958">
        <f>IF(OR(A2958="",B2958=""),"",IF(E2958=1,0,D2958*B2958/100/C2958))</f>
        <v/>
      </c>
      <c r="G2958">
        <f>IF(A2958="","",IF(OR(B2958&lt;&gt;B2957,C2958&lt;&gt;C2957,D2958&lt;&gt;D2957,E2958&lt;&gt;E2957),G2957+1,G2957))</f>
        <v/>
      </c>
    </row>
    <row r="2959">
      <c r="A2959" s="14">
        <f>IF(OR(NOT(ISNUMBER(Ввод!$B$5)),NOT(ISNUMBER(Ввод!$B$6))),"",IF(Ввод!$B$5+2957&gt;Ввод!$B$6,"",Ввод!$B$5+2957))</f>
        <v/>
      </c>
      <c r="B2959">
        <f>IF(A2959="","",IFERROR(INDEX(Ввод!$B$12:$B$71,MATCH(A2959,Ввод!$D$12:$D$71,1)),""))</f>
        <v/>
      </c>
      <c r="C2959">
        <f>IF(A2959="","",DATE(YEAR(A2959),12,31)-DATE(YEAR(A2959),1,1)+1)</f>
        <v/>
      </c>
      <c r="D2959">
        <f>IF(A2959="","",Ввод!$B$4-SUMIF(Оплаты!$A$6:$A$505,"&lt;"&amp;A2959,Оплаты!$B$6:$B$505))</f>
        <v/>
      </c>
      <c r="E2959">
        <f>IF(A2959="","",IF(SUMPRODUCT((Ввод!$F$12:$F$31&lt;&gt;"")*(Ввод!$F$12:$F$31&lt;=A2959)*(Ввод!$G$12:$G$31&gt;=A2959))&gt;0,1,0))</f>
        <v/>
      </c>
      <c r="F2959">
        <f>IF(OR(A2959="",B2959=""),"",IF(E2959=1,0,D2959*B2959/100/C2959))</f>
        <v/>
      </c>
      <c r="G2959">
        <f>IF(A2959="","",IF(OR(B2959&lt;&gt;B2958,C2959&lt;&gt;C2958,D2959&lt;&gt;D2958,E2959&lt;&gt;E2958),G2958+1,G2958))</f>
        <v/>
      </c>
    </row>
    <row r="2960">
      <c r="A2960" s="14">
        <f>IF(OR(NOT(ISNUMBER(Ввод!$B$5)),NOT(ISNUMBER(Ввод!$B$6))),"",IF(Ввод!$B$5+2958&gt;Ввод!$B$6,"",Ввод!$B$5+2958))</f>
        <v/>
      </c>
      <c r="B2960">
        <f>IF(A2960="","",IFERROR(INDEX(Ввод!$B$12:$B$71,MATCH(A2960,Ввод!$D$12:$D$71,1)),""))</f>
        <v/>
      </c>
      <c r="C2960">
        <f>IF(A2960="","",DATE(YEAR(A2960),12,31)-DATE(YEAR(A2960),1,1)+1)</f>
        <v/>
      </c>
      <c r="D2960">
        <f>IF(A2960="","",Ввод!$B$4-SUMIF(Оплаты!$A$6:$A$505,"&lt;"&amp;A2960,Оплаты!$B$6:$B$505))</f>
        <v/>
      </c>
      <c r="E2960">
        <f>IF(A2960="","",IF(SUMPRODUCT((Ввод!$F$12:$F$31&lt;&gt;"")*(Ввод!$F$12:$F$31&lt;=A2960)*(Ввод!$G$12:$G$31&gt;=A2960))&gt;0,1,0))</f>
        <v/>
      </c>
      <c r="F2960">
        <f>IF(OR(A2960="",B2960=""),"",IF(E2960=1,0,D2960*B2960/100/C2960))</f>
        <v/>
      </c>
      <c r="G2960">
        <f>IF(A2960="","",IF(OR(B2960&lt;&gt;B2959,C2960&lt;&gt;C2959,D2960&lt;&gt;D2959,E2960&lt;&gt;E2959),G2959+1,G2959))</f>
        <v/>
      </c>
    </row>
    <row r="2961">
      <c r="A2961" s="14">
        <f>IF(OR(NOT(ISNUMBER(Ввод!$B$5)),NOT(ISNUMBER(Ввод!$B$6))),"",IF(Ввод!$B$5+2959&gt;Ввод!$B$6,"",Ввод!$B$5+2959))</f>
        <v/>
      </c>
      <c r="B2961">
        <f>IF(A2961="","",IFERROR(INDEX(Ввод!$B$12:$B$71,MATCH(A2961,Ввод!$D$12:$D$71,1)),""))</f>
        <v/>
      </c>
      <c r="C2961">
        <f>IF(A2961="","",DATE(YEAR(A2961),12,31)-DATE(YEAR(A2961),1,1)+1)</f>
        <v/>
      </c>
      <c r="D2961">
        <f>IF(A2961="","",Ввод!$B$4-SUMIF(Оплаты!$A$6:$A$505,"&lt;"&amp;A2961,Оплаты!$B$6:$B$505))</f>
        <v/>
      </c>
      <c r="E2961">
        <f>IF(A2961="","",IF(SUMPRODUCT((Ввод!$F$12:$F$31&lt;&gt;"")*(Ввод!$F$12:$F$31&lt;=A2961)*(Ввод!$G$12:$G$31&gt;=A2961))&gt;0,1,0))</f>
        <v/>
      </c>
      <c r="F2961">
        <f>IF(OR(A2961="",B2961=""),"",IF(E2961=1,0,D2961*B2961/100/C2961))</f>
        <v/>
      </c>
      <c r="G2961">
        <f>IF(A2961="","",IF(OR(B2961&lt;&gt;B2960,C2961&lt;&gt;C2960,D2961&lt;&gt;D2960,E2961&lt;&gt;E2960),G2960+1,G2960))</f>
        <v/>
      </c>
    </row>
    <row r="2962">
      <c r="A2962" s="14">
        <f>IF(OR(NOT(ISNUMBER(Ввод!$B$5)),NOT(ISNUMBER(Ввод!$B$6))),"",IF(Ввод!$B$5+2960&gt;Ввод!$B$6,"",Ввод!$B$5+2960))</f>
        <v/>
      </c>
      <c r="B2962">
        <f>IF(A2962="","",IFERROR(INDEX(Ввод!$B$12:$B$71,MATCH(A2962,Ввод!$D$12:$D$71,1)),""))</f>
        <v/>
      </c>
      <c r="C2962">
        <f>IF(A2962="","",DATE(YEAR(A2962),12,31)-DATE(YEAR(A2962),1,1)+1)</f>
        <v/>
      </c>
      <c r="D2962">
        <f>IF(A2962="","",Ввод!$B$4-SUMIF(Оплаты!$A$6:$A$505,"&lt;"&amp;A2962,Оплаты!$B$6:$B$505))</f>
        <v/>
      </c>
      <c r="E2962">
        <f>IF(A2962="","",IF(SUMPRODUCT((Ввод!$F$12:$F$31&lt;&gt;"")*(Ввод!$F$12:$F$31&lt;=A2962)*(Ввод!$G$12:$G$31&gt;=A2962))&gt;0,1,0))</f>
        <v/>
      </c>
      <c r="F2962">
        <f>IF(OR(A2962="",B2962=""),"",IF(E2962=1,0,D2962*B2962/100/C2962))</f>
        <v/>
      </c>
      <c r="G2962">
        <f>IF(A2962="","",IF(OR(B2962&lt;&gt;B2961,C2962&lt;&gt;C2961,D2962&lt;&gt;D2961,E2962&lt;&gt;E2961),G2961+1,G2961))</f>
        <v/>
      </c>
    </row>
    <row r="2963">
      <c r="A2963" s="14">
        <f>IF(OR(NOT(ISNUMBER(Ввод!$B$5)),NOT(ISNUMBER(Ввод!$B$6))),"",IF(Ввод!$B$5+2961&gt;Ввод!$B$6,"",Ввод!$B$5+2961))</f>
        <v/>
      </c>
      <c r="B2963">
        <f>IF(A2963="","",IFERROR(INDEX(Ввод!$B$12:$B$71,MATCH(A2963,Ввод!$D$12:$D$71,1)),""))</f>
        <v/>
      </c>
      <c r="C2963">
        <f>IF(A2963="","",DATE(YEAR(A2963),12,31)-DATE(YEAR(A2963),1,1)+1)</f>
        <v/>
      </c>
      <c r="D2963">
        <f>IF(A2963="","",Ввод!$B$4-SUMIF(Оплаты!$A$6:$A$505,"&lt;"&amp;A2963,Оплаты!$B$6:$B$505))</f>
        <v/>
      </c>
      <c r="E2963">
        <f>IF(A2963="","",IF(SUMPRODUCT((Ввод!$F$12:$F$31&lt;&gt;"")*(Ввод!$F$12:$F$31&lt;=A2963)*(Ввод!$G$12:$G$31&gt;=A2963))&gt;0,1,0))</f>
        <v/>
      </c>
      <c r="F2963">
        <f>IF(OR(A2963="",B2963=""),"",IF(E2963=1,0,D2963*B2963/100/C2963))</f>
        <v/>
      </c>
      <c r="G2963">
        <f>IF(A2963="","",IF(OR(B2963&lt;&gt;B2962,C2963&lt;&gt;C2962,D2963&lt;&gt;D2962,E2963&lt;&gt;E2962),G2962+1,G2962))</f>
        <v/>
      </c>
    </row>
    <row r="2964">
      <c r="A2964" s="14">
        <f>IF(OR(NOT(ISNUMBER(Ввод!$B$5)),NOT(ISNUMBER(Ввод!$B$6))),"",IF(Ввод!$B$5+2962&gt;Ввод!$B$6,"",Ввод!$B$5+2962))</f>
        <v/>
      </c>
      <c r="B2964">
        <f>IF(A2964="","",IFERROR(INDEX(Ввод!$B$12:$B$71,MATCH(A2964,Ввод!$D$12:$D$71,1)),""))</f>
        <v/>
      </c>
      <c r="C2964">
        <f>IF(A2964="","",DATE(YEAR(A2964),12,31)-DATE(YEAR(A2964),1,1)+1)</f>
        <v/>
      </c>
      <c r="D2964">
        <f>IF(A2964="","",Ввод!$B$4-SUMIF(Оплаты!$A$6:$A$505,"&lt;"&amp;A2964,Оплаты!$B$6:$B$505))</f>
        <v/>
      </c>
      <c r="E2964">
        <f>IF(A2964="","",IF(SUMPRODUCT((Ввод!$F$12:$F$31&lt;&gt;"")*(Ввод!$F$12:$F$31&lt;=A2964)*(Ввод!$G$12:$G$31&gt;=A2964))&gt;0,1,0))</f>
        <v/>
      </c>
      <c r="F2964">
        <f>IF(OR(A2964="",B2964=""),"",IF(E2964=1,0,D2964*B2964/100/C2964))</f>
        <v/>
      </c>
      <c r="G2964">
        <f>IF(A2964="","",IF(OR(B2964&lt;&gt;B2963,C2964&lt;&gt;C2963,D2964&lt;&gt;D2963,E2964&lt;&gt;E2963),G2963+1,G2963))</f>
        <v/>
      </c>
    </row>
    <row r="2965">
      <c r="A2965" s="14">
        <f>IF(OR(NOT(ISNUMBER(Ввод!$B$5)),NOT(ISNUMBER(Ввод!$B$6))),"",IF(Ввод!$B$5+2963&gt;Ввод!$B$6,"",Ввод!$B$5+2963))</f>
        <v/>
      </c>
      <c r="B2965">
        <f>IF(A2965="","",IFERROR(INDEX(Ввод!$B$12:$B$71,MATCH(A2965,Ввод!$D$12:$D$71,1)),""))</f>
        <v/>
      </c>
      <c r="C2965">
        <f>IF(A2965="","",DATE(YEAR(A2965),12,31)-DATE(YEAR(A2965),1,1)+1)</f>
        <v/>
      </c>
      <c r="D2965">
        <f>IF(A2965="","",Ввод!$B$4-SUMIF(Оплаты!$A$6:$A$505,"&lt;"&amp;A2965,Оплаты!$B$6:$B$505))</f>
        <v/>
      </c>
      <c r="E2965">
        <f>IF(A2965="","",IF(SUMPRODUCT((Ввод!$F$12:$F$31&lt;&gt;"")*(Ввод!$F$12:$F$31&lt;=A2965)*(Ввод!$G$12:$G$31&gt;=A2965))&gt;0,1,0))</f>
        <v/>
      </c>
      <c r="F2965">
        <f>IF(OR(A2965="",B2965=""),"",IF(E2965=1,0,D2965*B2965/100/C2965))</f>
        <v/>
      </c>
      <c r="G2965">
        <f>IF(A2965="","",IF(OR(B2965&lt;&gt;B2964,C2965&lt;&gt;C2964,D2965&lt;&gt;D2964,E2965&lt;&gt;E2964),G2964+1,G2964))</f>
        <v/>
      </c>
    </row>
    <row r="2966">
      <c r="A2966" s="14">
        <f>IF(OR(NOT(ISNUMBER(Ввод!$B$5)),NOT(ISNUMBER(Ввод!$B$6))),"",IF(Ввод!$B$5+2964&gt;Ввод!$B$6,"",Ввод!$B$5+2964))</f>
        <v/>
      </c>
      <c r="B2966">
        <f>IF(A2966="","",IFERROR(INDEX(Ввод!$B$12:$B$71,MATCH(A2966,Ввод!$D$12:$D$71,1)),""))</f>
        <v/>
      </c>
      <c r="C2966">
        <f>IF(A2966="","",DATE(YEAR(A2966),12,31)-DATE(YEAR(A2966),1,1)+1)</f>
        <v/>
      </c>
      <c r="D2966">
        <f>IF(A2966="","",Ввод!$B$4-SUMIF(Оплаты!$A$6:$A$505,"&lt;"&amp;A2966,Оплаты!$B$6:$B$505))</f>
        <v/>
      </c>
      <c r="E2966">
        <f>IF(A2966="","",IF(SUMPRODUCT((Ввод!$F$12:$F$31&lt;&gt;"")*(Ввод!$F$12:$F$31&lt;=A2966)*(Ввод!$G$12:$G$31&gt;=A2966))&gt;0,1,0))</f>
        <v/>
      </c>
      <c r="F2966">
        <f>IF(OR(A2966="",B2966=""),"",IF(E2966=1,0,D2966*B2966/100/C2966))</f>
        <v/>
      </c>
      <c r="G2966">
        <f>IF(A2966="","",IF(OR(B2966&lt;&gt;B2965,C2966&lt;&gt;C2965,D2966&lt;&gt;D2965,E2966&lt;&gt;E2965),G2965+1,G2965))</f>
        <v/>
      </c>
    </row>
    <row r="2967">
      <c r="A2967" s="14">
        <f>IF(OR(NOT(ISNUMBER(Ввод!$B$5)),NOT(ISNUMBER(Ввод!$B$6))),"",IF(Ввод!$B$5+2965&gt;Ввод!$B$6,"",Ввод!$B$5+2965))</f>
        <v/>
      </c>
      <c r="B2967">
        <f>IF(A2967="","",IFERROR(INDEX(Ввод!$B$12:$B$71,MATCH(A2967,Ввод!$D$12:$D$71,1)),""))</f>
        <v/>
      </c>
      <c r="C2967">
        <f>IF(A2967="","",DATE(YEAR(A2967),12,31)-DATE(YEAR(A2967),1,1)+1)</f>
        <v/>
      </c>
      <c r="D2967">
        <f>IF(A2967="","",Ввод!$B$4-SUMIF(Оплаты!$A$6:$A$505,"&lt;"&amp;A2967,Оплаты!$B$6:$B$505))</f>
        <v/>
      </c>
      <c r="E2967">
        <f>IF(A2967="","",IF(SUMPRODUCT((Ввод!$F$12:$F$31&lt;&gt;"")*(Ввод!$F$12:$F$31&lt;=A2967)*(Ввод!$G$12:$G$31&gt;=A2967))&gt;0,1,0))</f>
        <v/>
      </c>
      <c r="F2967">
        <f>IF(OR(A2967="",B2967=""),"",IF(E2967=1,0,D2967*B2967/100/C2967))</f>
        <v/>
      </c>
      <c r="G2967">
        <f>IF(A2967="","",IF(OR(B2967&lt;&gt;B2966,C2967&lt;&gt;C2966,D2967&lt;&gt;D2966,E2967&lt;&gt;E2966),G2966+1,G2966))</f>
        <v/>
      </c>
    </row>
    <row r="2968">
      <c r="A2968" s="14">
        <f>IF(OR(NOT(ISNUMBER(Ввод!$B$5)),NOT(ISNUMBER(Ввод!$B$6))),"",IF(Ввод!$B$5+2966&gt;Ввод!$B$6,"",Ввод!$B$5+2966))</f>
        <v/>
      </c>
      <c r="B2968">
        <f>IF(A2968="","",IFERROR(INDEX(Ввод!$B$12:$B$71,MATCH(A2968,Ввод!$D$12:$D$71,1)),""))</f>
        <v/>
      </c>
      <c r="C2968">
        <f>IF(A2968="","",DATE(YEAR(A2968),12,31)-DATE(YEAR(A2968),1,1)+1)</f>
        <v/>
      </c>
      <c r="D2968">
        <f>IF(A2968="","",Ввод!$B$4-SUMIF(Оплаты!$A$6:$A$505,"&lt;"&amp;A2968,Оплаты!$B$6:$B$505))</f>
        <v/>
      </c>
      <c r="E2968">
        <f>IF(A2968="","",IF(SUMPRODUCT((Ввод!$F$12:$F$31&lt;&gt;"")*(Ввод!$F$12:$F$31&lt;=A2968)*(Ввод!$G$12:$G$31&gt;=A2968))&gt;0,1,0))</f>
        <v/>
      </c>
      <c r="F2968">
        <f>IF(OR(A2968="",B2968=""),"",IF(E2968=1,0,D2968*B2968/100/C2968))</f>
        <v/>
      </c>
      <c r="G2968">
        <f>IF(A2968="","",IF(OR(B2968&lt;&gt;B2967,C2968&lt;&gt;C2967,D2968&lt;&gt;D2967,E2968&lt;&gt;E2967),G2967+1,G2967))</f>
        <v/>
      </c>
    </row>
    <row r="2969">
      <c r="A2969" s="14">
        <f>IF(OR(NOT(ISNUMBER(Ввод!$B$5)),NOT(ISNUMBER(Ввод!$B$6))),"",IF(Ввод!$B$5+2967&gt;Ввод!$B$6,"",Ввод!$B$5+2967))</f>
        <v/>
      </c>
      <c r="B2969">
        <f>IF(A2969="","",IFERROR(INDEX(Ввод!$B$12:$B$71,MATCH(A2969,Ввод!$D$12:$D$71,1)),""))</f>
        <v/>
      </c>
      <c r="C2969">
        <f>IF(A2969="","",DATE(YEAR(A2969),12,31)-DATE(YEAR(A2969),1,1)+1)</f>
        <v/>
      </c>
      <c r="D2969">
        <f>IF(A2969="","",Ввод!$B$4-SUMIF(Оплаты!$A$6:$A$505,"&lt;"&amp;A2969,Оплаты!$B$6:$B$505))</f>
        <v/>
      </c>
      <c r="E2969">
        <f>IF(A2969="","",IF(SUMPRODUCT((Ввод!$F$12:$F$31&lt;&gt;"")*(Ввод!$F$12:$F$31&lt;=A2969)*(Ввод!$G$12:$G$31&gt;=A2969))&gt;0,1,0))</f>
        <v/>
      </c>
      <c r="F2969">
        <f>IF(OR(A2969="",B2969=""),"",IF(E2969=1,0,D2969*B2969/100/C2969))</f>
        <v/>
      </c>
      <c r="G2969">
        <f>IF(A2969="","",IF(OR(B2969&lt;&gt;B2968,C2969&lt;&gt;C2968,D2969&lt;&gt;D2968,E2969&lt;&gt;E2968),G2968+1,G2968))</f>
        <v/>
      </c>
    </row>
    <row r="2970">
      <c r="A2970" s="14">
        <f>IF(OR(NOT(ISNUMBER(Ввод!$B$5)),NOT(ISNUMBER(Ввод!$B$6))),"",IF(Ввод!$B$5+2968&gt;Ввод!$B$6,"",Ввод!$B$5+2968))</f>
        <v/>
      </c>
      <c r="B2970">
        <f>IF(A2970="","",IFERROR(INDEX(Ввод!$B$12:$B$71,MATCH(A2970,Ввод!$D$12:$D$71,1)),""))</f>
        <v/>
      </c>
      <c r="C2970">
        <f>IF(A2970="","",DATE(YEAR(A2970),12,31)-DATE(YEAR(A2970),1,1)+1)</f>
        <v/>
      </c>
      <c r="D2970">
        <f>IF(A2970="","",Ввод!$B$4-SUMIF(Оплаты!$A$6:$A$505,"&lt;"&amp;A2970,Оплаты!$B$6:$B$505))</f>
        <v/>
      </c>
      <c r="E2970">
        <f>IF(A2970="","",IF(SUMPRODUCT((Ввод!$F$12:$F$31&lt;&gt;"")*(Ввод!$F$12:$F$31&lt;=A2970)*(Ввод!$G$12:$G$31&gt;=A2970))&gt;0,1,0))</f>
        <v/>
      </c>
      <c r="F2970">
        <f>IF(OR(A2970="",B2970=""),"",IF(E2970=1,0,D2970*B2970/100/C2970))</f>
        <v/>
      </c>
      <c r="G2970">
        <f>IF(A2970="","",IF(OR(B2970&lt;&gt;B2969,C2970&lt;&gt;C2969,D2970&lt;&gt;D2969,E2970&lt;&gt;E2969),G2969+1,G2969))</f>
        <v/>
      </c>
    </row>
    <row r="2971">
      <c r="A2971" s="14">
        <f>IF(OR(NOT(ISNUMBER(Ввод!$B$5)),NOT(ISNUMBER(Ввод!$B$6))),"",IF(Ввод!$B$5+2969&gt;Ввод!$B$6,"",Ввод!$B$5+2969))</f>
        <v/>
      </c>
      <c r="B2971">
        <f>IF(A2971="","",IFERROR(INDEX(Ввод!$B$12:$B$71,MATCH(A2971,Ввод!$D$12:$D$71,1)),""))</f>
        <v/>
      </c>
      <c r="C2971">
        <f>IF(A2971="","",DATE(YEAR(A2971),12,31)-DATE(YEAR(A2971),1,1)+1)</f>
        <v/>
      </c>
      <c r="D2971">
        <f>IF(A2971="","",Ввод!$B$4-SUMIF(Оплаты!$A$6:$A$505,"&lt;"&amp;A2971,Оплаты!$B$6:$B$505))</f>
        <v/>
      </c>
      <c r="E2971">
        <f>IF(A2971="","",IF(SUMPRODUCT((Ввод!$F$12:$F$31&lt;&gt;"")*(Ввод!$F$12:$F$31&lt;=A2971)*(Ввод!$G$12:$G$31&gt;=A2971))&gt;0,1,0))</f>
        <v/>
      </c>
      <c r="F2971">
        <f>IF(OR(A2971="",B2971=""),"",IF(E2971=1,0,D2971*B2971/100/C2971))</f>
        <v/>
      </c>
      <c r="G2971">
        <f>IF(A2971="","",IF(OR(B2971&lt;&gt;B2970,C2971&lt;&gt;C2970,D2971&lt;&gt;D2970,E2971&lt;&gt;E2970),G2970+1,G2970))</f>
        <v/>
      </c>
    </row>
    <row r="2972">
      <c r="A2972" s="14">
        <f>IF(OR(NOT(ISNUMBER(Ввод!$B$5)),NOT(ISNUMBER(Ввод!$B$6))),"",IF(Ввод!$B$5+2970&gt;Ввод!$B$6,"",Ввод!$B$5+2970))</f>
        <v/>
      </c>
      <c r="B2972">
        <f>IF(A2972="","",IFERROR(INDEX(Ввод!$B$12:$B$71,MATCH(A2972,Ввод!$D$12:$D$71,1)),""))</f>
        <v/>
      </c>
      <c r="C2972">
        <f>IF(A2972="","",DATE(YEAR(A2972),12,31)-DATE(YEAR(A2972),1,1)+1)</f>
        <v/>
      </c>
      <c r="D2972">
        <f>IF(A2972="","",Ввод!$B$4-SUMIF(Оплаты!$A$6:$A$505,"&lt;"&amp;A2972,Оплаты!$B$6:$B$505))</f>
        <v/>
      </c>
      <c r="E2972">
        <f>IF(A2972="","",IF(SUMPRODUCT((Ввод!$F$12:$F$31&lt;&gt;"")*(Ввод!$F$12:$F$31&lt;=A2972)*(Ввод!$G$12:$G$31&gt;=A2972))&gt;0,1,0))</f>
        <v/>
      </c>
      <c r="F2972">
        <f>IF(OR(A2972="",B2972=""),"",IF(E2972=1,0,D2972*B2972/100/C2972))</f>
        <v/>
      </c>
      <c r="G2972">
        <f>IF(A2972="","",IF(OR(B2972&lt;&gt;B2971,C2972&lt;&gt;C2971,D2972&lt;&gt;D2971,E2972&lt;&gt;E2971),G2971+1,G2971))</f>
        <v/>
      </c>
    </row>
    <row r="2973">
      <c r="A2973" s="14">
        <f>IF(OR(NOT(ISNUMBER(Ввод!$B$5)),NOT(ISNUMBER(Ввод!$B$6))),"",IF(Ввод!$B$5+2971&gt;Ввод!$B$6,"",Ввод!$B$5+2971))</f>
        <v/>
      </c>
      <c r="B2973">
        <f>IF(A2973="","",IFERROR(INDEX(Ввод!$B$12:$B$71,MATCH(A2973,Ввод!$D$12:$D$71,1)),""))</f>
        <v/>
      </c>
      <c r="C2973">
        <f>IF(A2973="","",DATE(YEAR(A2973),12,31)-DATE(YEAR(A2973),1,1)+1)</f>
        <v/>
      </c>
      <c r="D2973">
        <f>IF(A2973="","",Ввод!$B$4-SUMIF(Оплаты!$A$6:$A$505,"&lt;"&amp;A2973,Оплаты!$B$6:$B$505))</f>
        <v/>
      </c>
      <c r="E2973">
        <f>IF(A2973="","",IF(SUMPRODUCT((Ввод!$F$12:$F$31&lt;&gt;"")*(Ввод!$F$12:$F$31&lt;=A2973)*(Ввод!$G$12:$G$31&gt;=A2973))&gt;0,1,0))</f>
        <v/>
      </c>
      <c r="F2973">
        <f>IF(OR(A2973="",B2973=""),"",IF(E2973=1,0,D2973*B2973/100/C2973))</f>
        <v/>
      </c>
      <c r="G2973">
        <f>IF(A2973="","",IF(OR(B2973&lt;&gt;B2972,C2973&lt;&gt;C2972,D2973&lt;&gt;D2972,E2973&lt;&gt;E2972),G2972+1,G2972))</f>
        <v/>
      </c>
    </row>
    <row r="2974">
      <c r="A2974" s="14">
        <f>IF(OR(NOT(ISNUMBER(Ввод!$B$5)),NOT(ISNUMBER(Ввод!$B$6))),"",IF(Ввод!$B$5+2972&gt;Ввод!$B$6,"",Ввод!$B$5+2972))</f>
        <v/>
      </c>
      <c r="B2974">
        <f>IF(A2974="","",IFERROR(INDEX(Ввод!$B$12:$B$71,MATCH(A2974,Ввод!$D$12:$D$71,1)),""))</f>
        <v/>
      </c>
      <c r="C2974">
        <f>IF(A2974="","",DATE(YEAR(A2974),12,31)-DATE(YEAR(A2974),1,1)+1)</f>
        <v/>
      </c>
      <c r="D2974">
        <f>IF(A2974="","",Ввод!$B$4-SUMIF(Оплаты!$A$6:$A$505,"&lt;"&amp;A2974,Оплаты!$B$6:$B$505))</f>
        <v/>
      </c>
      <c r="E2974">
        <f>IF(A2974="","",IF(SUMPRODUCT((Ввод!$F$12:$F$31&lt;&gt;"")*(Ввод!$F$12:$F$31&lt;=A2974)*(Ввод!$G$12:$G$31&gt;=A2974))&gt;0,1,0))</f>
        <v/>
      </c>
      <c r="F2974">
        <f>IF(OR(A2974="",B2974=""),"",IF(E2974=1,0,D2974*B2974/100/C2974))</f>
        <v/>
      </c>
      <c r="G2974">
        <f>IF(A2974="","",IF(OR(B2974&lt;&gt;B2973,C2974&lt;&gt;C2973,D2974&lt;&gt;D2973,E2974&lt;&gt;E2973),G2973+1,G2973))</f>
        <v/>
      </c>
    </row>
    <row r="2975">
      <c r="A2975" s="14">
        <f>IF(OR(NOT(ISNUMBER(Ввод!$B$5)),NOT(ISNUMBER(Ввод!$B$6))),"",IF(Ввод!$B$5+2973&gt;Ввод!$B$6,"",Ввод!$B$5+2973))</f>
        <v/>
      </c>
      <c r="B2975">
        <f>IF(A2975="","",IFERROR(INDEX(Ввод!$B$12:$B$71,MATCH(A2975,Ввод!$D$12:$D$71,1)),""))</f>
        <v/>
      </c>
      <c r="C2975">
        <f>IF(A2975="","",DATE(YEAR(A2975),12,31)-DATE(YEAR(A2975),1,1)+1)</f>
        <v/>
      </c>
      <c r="D2975">
        <f>IF(A2975="","",Ввод!$B$4-SUMIF(Оплаты!$A$6:$A$505,"&lt;"&amp;A2975,Оплаты!$B$6:$B$505))</f>
        <v/>
      </c>
      <c r="E2975">
        <f>IF(A2975="","",IF(SUMPRODUCT((Ввод!$F$12:$F$31&lt;&gt;"")*(Ввод!$F$12:$F$31&lt;=A2975)*(Ввод!$G$12:$G$31&gt;=A2975))&gt;0,1,0))</f>
        <v/>
      </c>
      <c r="F2975">
        <f>IF(OR(A2975="",B2975=""),"",IF(E2975=1,0,D2975*B2975/100/C2975))</f>
        <v/>
      </c>
      <c r="G2975">
        <f>IF(A2975="","",IF(OR(B2975&lt;&gt;B2974,C2975&lt;&gt;C2974,D2975&lt;&gt;D2974,E2975&lt;&gt;E2974),G2974+1,G2974))</f>
        <v/>
      </c>
    </row>
    <row r="2976">
      <c r="A2976" s="14">
        <f>IF(OR(NOT(ISNUMBER(Ввод!$B$5)),NOT(ISNUMBER(Ввод!$B$6))),"",IF(Ввод!$B$5+2974&gt;Ввод!$B$6,"",Ввод!$B$5+2974))</f>
        <v/>
      </c>
      <c r="B2976">
        <f>IF(A2976="","",IFERROR(INDEX(Ввод!$B$12:$B$71,MATCH(A2976,Ввод!$D$12:$D$71,1)),""))</f>
        <v/>
      </c>
      <c r="C2976">
        <f>IF(A2976="","",DATE(YEAR(A2976),12,31)-DATE(YEAR(A2976),1,1)+1)</f>
        <v/>
      </c>
      <c r="D2976">
        <f>IF(A2976="","",Ввод!$B$4-SUMIF(Оплаты!$A$6:$A$505,"&lt;"&amp;A2976,Оплаты!$B$6:$B$505))</f>
        <v/>
      </c>
      <c r="E2976">
        <f>IF(A2976="","",IF(SUMPRODUCT((Ввод!$F$12:$F$31&lt;&gt;"")*(Ввод!$F$12:$F$31&lt;=A2976)*(Ввод!$G$12:$G$31&gt;=A2976))&gt;0,1,0))</f>
        <v/>
      </c>
      <c r="F2976">
        <f>IF(OR(A2976="",B2976=""),"",IF(E2976=1,0,D2976*B2976/100/C2976))</f>
        <v/>
      </c>
      <c r="G2976">
        <f>IF(A2976="","",IF(OR(B2976&lt;&gt;B2975,C2976&lt;&gt;C2975,D2976&lt;&gt;D2975,E2976&lt;&gt;E2975),G2975+1,G2975))</f>
        <v/>
      </c>
    </row>
    <row r="2977">
      <c r="A2977" s="14">
        <f>IF(OR(NOT(ISNUMBER(Ввод!$B$5)),NOT(ISNUMBER(Ввод!$B$6))),"",IF(Ввод!$B$5+2975&gt;Ввод!$B$6,"",Ввод!$B$5+2975))</f>
        <v/>
      </c>
      <c r="B2977">
        <f>IF(A2977="","",IFERROR(INDEX(Ввод!$B$12:$B$71,MATCH(A2977,Ввод!$D$12:$D$71,1)),""))</f>
        <v/>
      </c>
      <c r="C2977">
        <f>IF(A2977="","",DATE(YEAR(A2977),12,31)-DATE(YEAR(A2977),1,1)+1)</f>
        <v/>
      </c>
      <c r="D2977">
        <f>IF(A2977="","",Ввод!$B$4-SUMIF(Оплаты!$A$6:$A$505,"&lt;"&amp;A2977,Оплаты!$B$6:$B$505))</f>
        <v/>
      </c>
      <c r="E2977">
        <f>IF(A2977="","",IF(SUMPRODUCT((Ввод!$F$12:$F$31&lt;&gt;"")*(Ввод!$F$12:$F$31&lt;=A2977)*(Ввод!$G$12:$G$31&gt;=A2977))&gt;0,1,0))</f>
        <v/>
      </c>
      <c r="F2977">
        <f>IF(OR(A2977="",B2977=""),"",IF(E2977=1,0,D2977*B2977/100/C2977))</f>
        <v/>
      </c>
      <c r="G2977">
        <f>IF(A2977="","",IF(OR(B2977&lt;&gt;B2976,C2977&lt;&gt;C2976,D2977&lt;&gt;D2976,E2977&lt;&gt;E2976),G2976+1,G2976))</f>
        <v/>
      </c>
    </row>
    <row r="2978">
      <c r="A2978" s="14">
        <f>IF(OR(NOT(ISNUMBER(Ввод!$B$5)),NOT(ISNUMBER(Ввод!$B$6))),"",IF(Ввод!$B$5+2976&gt;Ввод!$B$6,"",Ввод!$B$5+2976))</f>
        <v/>
      </c>
      <c r="B2978">
        <f>IF(A2978="","",IFERROR(INDEX(Ввод!$B$12:$B$71,MATCH(A2978,Ввод!$D$12:$D$71,1)),""))</f>
        <v/>
      </c>
      <c r="C2978">
        <f>IF(A2978="","",DATE(YEAR(A2978),12,31)-DATE(YEAR(A2978),1,1)+1)</f>
        <v/>
      </c>
      <c r="D2978">
        <f>IF(A2978="","",Ввод!$B$4-SUMIF(Оплаты!$A$6:$A$505,"&lt;"&amp;A2978,Оплаты!$B$6:$B$505))</f>
        <v/>
      </c>
      <c r="E2978">
        <f>IF(A2978="","",IF(SUMPRODUCT((Ввод!$F$12:$F$31&lt;&gt;"")*(Ввод!$F$12:$F$31&lt;=A2978)*(Ввод!$G$12:$G$31&gt;=A2978))&gt;0,1,0))</f>
        <v/>
      </c>
      <c r="F2978">
        <f>IF(OR(A2978="",B2978=""),"",IF(E2978=1,0,D2978*B2978/100/C2978))</f>
        <v/>
      </c>
      <c r="G2978">
        <f>IF(A2978="","",IF(OR(B2978&lt;&gt;B2977,C2978&lt;&gt;C2977,D2978&lt;&gt;D2977,E2978&lt;&gt;E2977),G2977+1,G2977))</f>
        <v/>
      </c>
    </row>
    <row r="2979">
      <c r="A2979" s="14">
        <f>IF(OR(NOT(ISNUMBER(Ввод!$B$5)),NOT(ISNUMBER(Ввод!$B$6))),"",IF(Ввод!$B$5+2977&gt;Ввод!$B$6,"",Ввод!$B$5+2977))</f>
        <v/>
      </c>
      <c r="B2979">
        <f>IF(A2979="","",IFERROR(INDEX(Ввод!$B$12:$B$71,MATCH(A2979,Ввод!$D$12:$D$71,1)),""))</f>
        <v/>
      </c>
      <c r="C2979">
        <f>IF(A2979="","",DATE(YEAR(A2979),12,31)-DATE(YEAR(A2979),1,1)+1)</f>
        <v/>
      </c>
      <c r="D2979">
        <f>IF(A2979="","",Ввод!$B$4-SUMIF(Оплаты!$A$6:$A$505,"&lt;"&amp;A2979,Оплаты!$B$6:$B$505))</f>
        <v/>
      </c>
      <c r="E2979">
        <f>IF(A2979="","",IF(SUMPRODUCT((Ввод!$F$12:$F$31&lt;&gt;"")*(Ввод!$F$12:$F$31&lt;=A2979)*(Ввод!$G$12:$G$31&gt;=A2979))&gt;0,1,0))</f>
        <v/>
      </c>
      <c r="F2979">
        <f>IF(OR(A2979="",B2979=""),"",IF(E2979=1,0,D2979*B2979/100/C2979))</f>
        <v/>
      </c>
      <c r="G2979">
        <f>IF(A2979="","",IF(OR(B2979&lt;&gt;B2978,C2979&lt;&gt;C2978,D2979&lt;&gt;D2978,E2979&lt;&gt;E2978),G2978+1,G2978))</f>
        <v/>
      </c>
    </row>
    <row r="2980">
      <c r="A2980" s="14">
        <f>IF(OR(NOT(ISNUMBER(Ввод!$B$5)),NOT(ISNUMBER(Ввод!$B$6))),"",IF(Ввод!$B$5+2978&gt;Ввод!$B$6,"",Ввод!$B$5+2978))</f>
        <v/>
      </c>
      <c r="B2980">
        <f>IF(A2980="","",IFERROR(INDEX(Ввод!$B$12:$B$71,MATCH(A2980,Ввод!$D$12:$D$71,1)),""))</f>
        <v/>
      </c>
      <c r="C2980">
        <f>IF(A2980="","",DATE(YEAR(A2980),12,31)-DATE(YEAR(A2980),1,1)+1)</f>
        <v/>
      </c>
      <c r="D2980">
        <f>IF(A2980="","",Ввод!$B$4-SUMIF(Оплаты!$A$6:$A$505,"&lt;"&amp;A2980,Оплаты!$B$6:$B$505))</f>
        <v/>
      </c>
      <c r="E2980">
        <f>IF(A2980="","",IF(SUMPRODUCT((Ввод!$F$12:$F$31&lt;&gt;"")*(Ввод!$F$12:$F$31&lt;=A2980)*(Ввод!$G$12:$G$31&gt;=A2980))&gt;0,1,0))</f>
        <v/>
      </c>
      <c r="F2980">
        <f>IF(OR(A2980="",B2980=""),"",IF(E2980=1,0,D2980*B2980/100/C2980))</f>
        <v/>
      </c>
      <c r="G2980">
        <f>IF(A2980="","",IF(OR(B2980&lt;&gt;B2979,C2980&lt;&gt;C2979,D2980&lt;&gt;D2979,E2980&lt;&gt;E2979),G2979+1,G2979))</f>
        <v/>
      </c>
    </row>
    <row r="2981">
      <c r="A2981" s="14">
        <f>IF(OR(NOT(ISNUMBER(Ввод!$B$5)),NOT(ISNUMBER(Ввод!$B$6))),"",IF(Ввод!$B$5+2979&gt;Ввод!$B$6,"",Ввод!$B$5+2979))</f>
        <v/>
      </c>
      <c r="B2981">
        <f>IF(A2981="","",IFERROR(INDEX(Ввод!$B$12:$B$71,MATCH(A2981,Ввод!$D$12:$D$71,1)),""))</f>
        <v/>
      </c>
      <c r="C2981">
        <f>IF(A2981="","",DATE(YEAR(A2981),12,31)-DATE(YEAR(A2981),1,1)+1)</f>
        <v/>
      </c>
      <c r="D2981">
        <f>IF(A2981="","",Ввод!$B$4-SUMIF(Оплаты!$A$6:$A$505,"&lt;"&amp;A2981,Оплаты!$B$6:$B$505))</f>
        <v/>
      </c>
      <c r="E2981">
        <f>IF(A2981="","",IF(SUMPRODUCT((Ввод!$F$12:$F$31&lt;&gt;"")*(Ввод!$F$12:$F$31&lt;=A2981)*(Ввод!$G$12:$G$31&gt;=A2981))&gt;0,1,0))</f>
        <v/>
      </c>
      <c r="F2981">
        <f>IF(OR(A2981="",B2981=""),"",IF(E2981=1,0,D2981*B2981/100/C2981))</f>
        <v/>
      </c>
      <c r="G2981">
        <f>IF(A2981="","",IF(OR(B2981&lt;&gt;B2980,C2981&lt;&gt;C2980,D2981&lt;&gt;D2980,E2981&lt;&gt;E2980),G2980+1,G2980))</f>
        <v/>
      </c>
    </row>
    <row r="2982">
      <c r="A2982" s="14">
        <f>IF(OR(NOT(ISNUMBER(Ввод!$B$5)),NOT(ISNUMBER(Ввод!$B$6))),"",IF(Ввод!$B$5+2980&gt;Ввод!$B$6,"",Ввод!$B$5+2980))</f>
        <v/>
      </c>
      <c r="B2982">
        <f>IF(A2982="","",IFERROR(INDEX(Ввод!$B$12:$B$71,MATCH(A2982,Ввод!$D$12:$D$71,1)),""))</f>
        <v/>
      </c>
      <c r="C2982">
        <f>IF(A2982="","",DATE(YEAR(A2982),12,31)-DATE(YEAR(A2982),1,1)+1)</f>
        <v/>
      </c>
      <c r="D2982">
        <f>IF(A2982="","",Ввод!$B$4-SUMIF(Оплаты!$A$6:$A$505,"&lt;"&amp;A2982,Оплаты!$B$6:$B$505))</f>
        <v/>
      </c>
      <c r="E2982">
        <f>IF(A2982="","",IF(SUMPRODUCT((Ввод!$F$12:$F$31&lt;&gt;"")*(Ввод!$F$12:$F$31&lt;=A2982)*(Ввод!$G$12:$G$31&gt;=A2982))&gt;0,1,0))</f>
        <v/>
      </c>
      <c r="F2982">
        <f>IF(OR(A2982="",B2982=""),"",IF(E2982=1,0,D2982*B2982/100/C2982))</f>
        <v/>
      </c>
      <c r="G2982">
        <f>IF(A2982="","",IF(OR(B2982&lt;&gt;B2981,C2982&lt;&gt;C2981,D2982&lt;&gt;D2981,E2982&lt;&gt;E2981),G2981+1,G2981))</f>
        <v/>
      </c>
    </row>
    <row r="2983">
      <c r="A2983" s="14">
        <f>IF(OR(NOT(ISNUMBER(Ввод!$B$5)),NOT(ISNUMBER(Ввод!$B$6))),"",IF(Ввод!$B$5+2981&gt;Ввод!$B$6,"",Ввод!$B$5+2981))</f>
        <v/>
      </c>
      <c r="B2983">
        <f>IF(A2983="","",IFERROR(INDEX(Ввод!$B$12:$B$71,MATCH(A2983,Ввод!$D$12:$D$71,1)),""))</f>
        <v/>
      </c>
      <c r="C2983">
        <f>IF(A2983="","",DATE(YEAR(A2983),12,31)-DATE(YEAR(A2983),1,1)+1)</f>
        <v/>
      </c>
      <c r="D2983">
        <f>IF(A2983="","",Ввод!$B$4-SUMIF(Оплаты!$A$6:$A$505,"&lt;"&amp;A2983,Оплаты!$B$6:$B$505))</f>
        <v/>
      </c>
      <c r="E2983">
        <f>IF(A2983="","",IF(SUMPRODUCT((Ввод!$F$12:$F$31&lt;&gt;"")*(Ввод!$F$12:$F$31&lt;=A2983)*(Ввод!$G$12:$G$31&gt;=A2983))&gt;0,1,0))</f>
        <v/>
      </c>
      <c r="F2983">
        <f>IF(OR(A2983="",B2983=""),"",IF(E2983=1,0,D2983*B2983/100/C2983))</f>
        <v/>
      </c>
      <c r="G2983">
        <f>IF(A2983="","",IF(OR(B2983&lt;&gt;B2982,C2983&lt;&gt;C2982,D2983&lt;&gt;D2982,E2983&lt;&gt;E2982),G2982+1,G2982))</f>
        <v/>
      </c>
    </row>
    <row r="2984">
      <c r="A2984" s="14">
        <f>IF(OR(NOT(ISNUMBER(Ввод!$B$5)),NOT(ISNUMBER(Ввод!$B$6))),"",IF(Ввод!$B$5+2982&gt;Ввод!$B$6,"",Ввод!$B$5+2982))</f>
        <v/>
      </c>
      <c r="B2984">
        <f>IF(A2984="","",IFERROR(INDEX(Ввод!$B$12:$B$71,MATCH(A2984,Ввод!$D$12:$D$71,1)),""))</f>
        <v/>
      </c>
      <c r="C2984">
        <f>IF(A2984="","",DATE(YEAR(A2984),12,31)-DATE(YEAR(A2984),1,1)+1)</f>
        <v/>
      </c>
      <c r="D2984">
        <f>IF(A2984="","",Ввод!$B$4-SUMIF(Оплаты!$A$6:$A$505,"&lt;"&amp;A2984,Оплаты!$B$6:$B$505))</f>
        <v/>
      </c>
      <c r="E2984">
        <f>IF(A2984="","",IF(SUMPRODUCT((Ввод!$F$12:$F$31&lt;&gt;"")*(Ввод!$F$12:$F$31&lt;=A2984)*(Ввод!$G$12:$G$31&gt;=A2984))&gt;0,1,0))</f>
        <v/>
      </c>
      <c r="F2984">
        <f>IF(OR(A2984="",B2984=""),"",IF(E2984=1,0,D2984*B2984/100/C2984))</f>
        <v/>
      </c>
      <c r="G2984">
        <f>IF(A2984="","",IF(OR(B2984&lt;&gt;B2983,C2984&lt;&gt;C2983,D2984&lt;&gt;D2983,E2984&lt;&gt;E2983),G2983+1,G2983))</f>
        <v/>
      </c>
    </row>
    <row r="2985">
      <c r="A2985" s="14">
        <f>IF(OR(NOT(ISNUMBER(Ввод!$B$5)),NOT(ISNUMBER(Ввод!$B$6))),"",IF(Ввод!$B$5+2983&gt;Ввод!$B$6,"",Ввод!$B$5+2983))</f>
        <v/>
      </c>
      <c r="B2985">
        <f>IF(A2985="","",IFERROR(INDEX(Ввод!$B$12:$B$71,MATCH(A2985,Ввод!$D$12:$D$71,1)),""))</f>
        <v/>
      </c>
      <c r="C2985">
        <f>IF(A2985="","",DATE(YEAR(A2985),12,31)-DATE(YEAR(A2985),1,1)+1)</f>
        <v/>
      </c>
      <c r="D2985">
        <f>IF(A2985="","",Ввод!$B$4-SUMIF(Оплаты!$A$6:$A$505,"&lt;"&amp;A2985,Оплаты!$B$6:$B$505))</f>
        <v/>
      </c>
      <c r="E2985">
        <f>IF(A2985="","",IF(SUMPRODUCT((Ввод!$F$12:$F$31&lt;&gt;"")*(Ввод!$F$12:$F$31&lt;=A2985)*(Ввод!$G$12:$G$31&gt;=A2985))&gt;0,1,0))</f>
        <v/>
      </c>
      <c r="F2985">
        <f>IF(OR(A2985="",B2985=""),"",IF(E2985=1,0,D2985*B2985/100/C2985))</f>
        <v/>
      </c>
      <c r="G2985">
        <f>IF(A2985="","",IF(OR(B2985&lt;&gt;B2984,C2985&lt;&gt;C2984,D2985&lt;&gt;D2984,E2985&lt;&gt;E2984),G2984+1,G2984))</f>
        <v/>
      </c>
    </row>
    <row r="2986">
      <c r="A2986" s="14">
        <f>IF(OR(NOT(ISNUMBER(Ввод!$B$5)),NOT(ISNUMBER(Ввод!$B$6))),"",IF(Ввод!$B$5+2984&gt;Ввод!$B$6,"",Ввод!$B$5+2984))</f>
        <v/>
      </c>
      <c r="B2986">
        <f>IF(A2986="","",IFERROR(INDEX(Ввод!$B$12:$B$71,MATCH(A2986,Ввод!$D$12:$D$71,1)),""))</f>
        <v/>
      </c>
      <c r="C2986">
        <f>IF(A2986="","",DATE(YEAR(A2986),12,31)-DATE(YEAR(A2986),1,1)+1)</f>
        <v/>
      </c>
      <c r="D2986">
        <f>IF(A2986="","",Ввод!$B$4-SUMIF(Оплаты!$A$6:$A$505,"&lt;"&amp;A2986,Оплаты!$B$6:$B$505))</f>
        <v/>
      </c>
      <c r="E2986">
        <f>IF(A2986="","",IF(SUMPRODUCT((Ввод!$F$12:$F$31&lt;&gt;"")*(Ввод!$F$12:$F$31&lt;=A2986)*(Ввод!$G$12:$G$31&gt;=A2986))&gt;0,1,0))</f>
        <v/>
      </c>
      <c r="F2986">
        <f>IF(OR(A2986="",B2986=""),"",IF(E2986=1,0,D2986*B2986/100/C2986))</f>
        <v/>
      </c>
      <c r="G2986">
        <f>IF(A2986="","",IF(OR(B2986&lt;&gt;B2985,C2986&lt;&gt;C2985,D2986&lt;&gt;D2985,E2986&lt;&gt;E2985),G2985+1,G2985))</f>
        <v/>
      </c>
    </row>
    <row r="2987">
      <c r="A2987" s="14">
        <f>IF(OR(NOT(ISNUMBER(Ввод!$B$5)),NOT(ISNUMBER(Ввод!$B$6))),"",IF(Ввод!$B$5+2985&gt;Ввод!$B$6,"",Ввод!$B$5+2985))</f>
        <v/>
      </c>
      <c r="B2987">
        <f>IF(A2987="","",IFERROR(INDEX(Ввод!$B$12:$B$71,MATCH(A2987,Ввод!$D$12:$D$71,1)),""))</f>
        <v/>
      </c>
      <c r="C2987">
        <f>IF(A2987="","",DATE(YEAR(A2987),12,31)-DATE(YEAR(A2987),1,1)+1)</f>
        <v/>
      </c>
      <c r="D2987">
        <f>IF(A2987="","",Ввод!$B$4-SUMIF(Оплаты!$A$6:$A$505,"&lt;"&amp;A2987,Оплаты!$B$6:$B$505))</f>
        <v/>
      </c>
      <c r="E2987">
        <f>IF(A2987="","",IF(SUMPRODUCT((Ввод!$F$12:$F$31&lt;&gt;"")*(Ввод!$F$12:$F$31&lt;=A2987)*(Ввод!$G$12:$G$31&gt;=A2987))&gt;0,1,0))</f>
        <v/>
      </c>
      <c r="F2987">
        <f>IF(OR(A2987="",B2987=""),"",IF(E2987=1,0,D2987*B2987/100/C2987))</f>
        <v/>
      </c>
      <c r="G2987">
        <f>IF(A2987="","",IF(OR(B2987&lt;&gt;B2986,C2987&lt;&gt;C2986,D2987&lt;&gt;D2986,E2987&lt;&gt;E2986),G2986+1,G2986))</f>
        <v/>
      </c>
    </row>
    <row r="2988">
      <c r="A2988" s="14">
        <f>IF(OR(NOT(ISNUMBER(Ввод!$B$5)),NOT(ISNUMBER(Ввод!$B$6))),"",IF(Ввод!$B$5+2986&gt;Ввод!$B$6,"",Ввод!$B$5+2986))</f>
        <v/>
      </c>
      <c r="B2988">
        <f>IF(A2988="","",IFERROR(INDEX(Ввод!$B$12:$B$71,MATCH(A2988,Ввод!$D$12:$D$71,1)),""))</f>
        <v/>
      </c>
      <c r="C2988">
        <f>IF(A2988="","",DATE(YEAR(A2988),12,31)-DATE(YEAR(A2988),1,1)+1)</f>
        <v/>
      </c>
      <c r="D2988">
        <f>IF(A2988="","",Ввод!$B$4-SUMIF(Оплаты!$A$6:$A$505,"&lt;"&amp;A2988,Оплаты!$B$6:$B$505))</f>
        <v/>
      </c>
      <c r="E2988">
        <f>IF(A2988="","",IF(SUMPRODUCT((Ввод!$F$12:$F$31&lt;&gt;"")*(Ввод!$F$12:$F$31&lt;=A2988)*(Ввод!$G$12:$G$31&gt;=A2988))&gt;0,1,0))</f>
        <v/>
      </c>
      <c r="F2988">
        <f>IF(OR(A2988="",B2988=""),"",IF(E2988=1,0,D2988*B2988/100/C2988))</f>
        <v/>
      </c>
      <c r="G2988">
        <f>IF(A2988="","",IF(OR(B2988&lt;&gt;B2987,C2988&lt;&gt;C2987,D2988&lt;&gt;D2987,E2988&lt;&gt;E2987),G2987+1,G2987))</f>
        <v/>
      </c>
    </row>
    <row r="2989">
      <c r="A2989" s="14">
        <f>IF(OR(NOT(ISNUMBER(Ввод!$B$5)),NOT(ISNUMBER(Ввод!$B$6))),"",IF(Ввод!$B$5+2987&gt;Ввод!$B$6,"",Ввод!$B$5+2987))</f>
        <v/>
      </c>
      <c r="B2989">
        <f>IF(A2989="","",IFERROR(INDEX(Ввод!$B$12:$B$71,MATCH(A2989,Ввод!$D$12:$D$71,1)),""))</f>
        <v/>
      </c>
      <c r="C2989">
        <f>IF(A2989="","",DATE(YEAR(A2989),12,31)-DATE(YEAR(A2989),1,1)+1)</f>
        <v/>
      </c>
      <c r="D2989">
        <f>IF(A2989="","",Ввод!$B$4-SUMIF(Оплаты!$A$6:$A$505,"&lt;"&amp;A2989,Оплаты!$B$6:$B$505))</f>
        <v/>
      </c>
      <c r="E2989">
        <f>IF(A2989="","",IF(SUMPRODUCT((Ввод!$F$12:$F$31&lt;&gt;"")*(Ввод!$F$12:$F$31&lt;=A2989)*(Ввод!$G$12:$G$31&gt;=A2989))&gt;0,1,0))</f>
        <v/>
      </c>
      <c r="F2989">
        <f>IF(OR(A2989="",B2989=""),"",IF(E2989=1,0,D2989*B2989/100/C2989))</f>
        <v/>
      </c>
      <c r="G2989">
        <f>IF(A2989="","",IF(OR(B2989&lt;&gt;B2988,C2989&lt;&gt;C2988,D2989&lt;&gt;D2988,E2989&lt;&gt;E2988),G2988+1,G2988))</f>
        <v/>
      </c>
    </row>
    <row r="2990">
      <c r="A2990" s="14">
        <f>IF(OR(NOT(ISNUMBER(Ввод!$B$5)),NOT(ISNUMBER(Ввод!$B$6))),"",IF(Ввод!$B$5+2988&gt;Ввод!$B$6,"",Ввод!$B$5+2988))</f>
        <v/>
      </c>
      <c r="B2990">
        <f>IF(A2990="","",IFERROR(INDEX(Ввод!$B$12:$B$71,MATCH(A2990,Ввод!$D$12:$D$71,1)),""))</f>
        <v/>
      </c>
      <c r="C2990">
        <f>IF(A2990="","",DATE(YEAR(A2990),12,31)-DATE(YEAR(A2990),1,1)+1)</f>
        <v/>
      </c>
      <c r="D2990">
        <f>IF(A2990="","",Ввод!$B$4-SUMIF(Оплаты!$A$6:$A$505,"&lt;"&amp;A2990,Оплаты!$B$6:$B$505))</f>
        <v/>
      </c>
      <c r="E2990">
        <f>IF(A2990="","",IF(SUMPRODUCT((Ввод!$F$12:$F$31&lt;&gt;"")*(Ввод!$F$12:$F$31&lt;=A2990)*(Ввод!$G$12:$G$31&gt;=A2990))&gt;0,1,0))</f>
        <v/>
      </c>
      <c r="F2990">
        <f>IF(OR(A2990="",B2990=""),"",IF(E2990=1,0,D2990*B2990/100/C2990))</f>
        <v/>
      </c>
      <c r="G2990">
        <f>IF(A2990="","",IF(OR(B2990&lt;&gt;B2989,C2990&lt;&gt;C2989,D2990&lt;&gt;D2989,E2990&lt;&gt;E2989),G2989+1,G2989))</f>
        <v/>
      </c>
    </row>
    <row r="2991">
      <c r="A2991" s="14">
        <f>IF(OR(NOT(ISNUMBER(Ввод!$B$5)),NOT(ISNUMBER(Ввод!$B$6))),"",IF(Ввод!$B$5+2989&gt;Ввод!$B$6,"",Ввод!$B$5+2989))</f>
        <v/>
      </c>
      <c r="B2991">
        <f>IF(A2991="","",IFERROR(INDEX(Ввод!$B$12:$B$71,MATCH(A2991,Ввод!$D$12:$D$71,1)),""))</f>
        <v/>
      </c>
      <c r="C2991">
        <f>IF(A2991="","",DATE(YEAR(A2991),12,31)-DATE(YEAR(A2991),1,1)+1)</f>
        <v/>
      </c>
      <c r="D2991">
        <f>IF(A2991="","",Ввод!$B$4-SUMIF(Оплаты!$A$6:$A$505,"&lt;"&amp;A2991,Оплаты!$B$6:$B$505))</f>
        <v/>
      </c>
      <c r="E2991">
        <f>IF(A2991="","",IF(SUMPRODUCT((Ввод!$F$12:$F$31&lt;&gt;"")*(Ввод!$F$12:$F$31&lt;=A2991)*(Ввод!$G$12:$G$31&gt;=A2991))&gt;0,1,0))</f>
        <v/>
      </c>
      <c r="F2991">
        <f>IF(OR(A2991="",B2991=""),"",IF(E2991=1,0,D2991*B2991/100/C2991))</f>
        <v/>
      </c>
      <c r="G2991">
        <f>IF(A2991="","",IF(OR(B2991&lt;&gt;B2990,C2991&lt;&gt;C2990,D2991&lt;&gt;D2990,E2991&lt;&gt;E2990),G2990+1,G2990))</f>
        <v/>
      </c>
    </row>
    <row r="2992">
      <c r="A2992" s="14">
        <f>IF(OR(NOT(ISNUMBER(Ввод!$B$5)),NOT(ISNUMBER(Ввод!$B$6))),"",IF(Ввод!$B$5+2990&gt;Ввод!$B$6,"",Ввод!$B$5+2990))</f>
        <v/>
      </c>
      <c r="B2992">
        <f>IF(A2992="","",IFERROR(INDEX(Ввод!$B$12:$B$71,MATCH(A2992,Ввод!$D$12:$D$71,1)),""))</f>
        <v/>
      </c>
      <c r="C2992">
        <f>IF(A2992="","",DATE(YEAR(A2992),12,31)-DATE(YEAR(A2992),1,1)+1)</f>
        <v/>
      </c>
      <c r="D2992">
        <f>IF(A2992="","",Ввод!$B$4-SUMIF(Оплаты!$A$6:$A$505,"&lt;"&amp;A2992,Оплаты!$B$6:$B$505))</f>
        <v/>
      </c>
      <c r="E2992">
        <f>IF(A2992="","",IF(SUMPRODUCT((Ввод!$F$12:$F$31&lt;&gt;"")*(Ввод!$F$12:$F$31&lt;=A2992)*(Ввод!$G$12:$G$31&gt;=A2992))&gt;0,1,0))</f>
        <v/>
      </c>
      <c r="F2992">
        <f>IF(OR(A2992="",B2992=""),"",IF(E2992=1,0,D2992*B2992/100/C2992))</f>
        <v/>
      </c>
      <c r="G2992">
        <f>IF(A2992="","",IF(OR(B2992&lt;&gt;B2991,C2992&lt;&gt;C2991,D2992&lt;&gt;D2991,E2992&lt;&gt;E2991),G2991+1,G2991))</f>
        <v/>
      </c>
    </row>
    <row r="2993">
      <c r="A2993" s="14">
        <f>IF(OR(NOT(ISNUMBER(Ввод!$B$5)),NOT(ISNUMBER(Ввод!$B$6))),"",IF(Ввод!$B$5+2991&gt;Ввод!$B$6,"",Ввод!$B$5+2991))</f>
        <v/>
      </c>
      <c r="B2993">
        <f>IF(A2993="","",IFERROR(INDEX(Ввод!$B$12:$B$71,MATCH(A2993,Ввод!$D$12:$D$71,1)),""))</f>
        <v/>
      </c>
      <c r="C2993">
        <f>IF(A2993="","",DATE(YEAR(A2993),12,31)-DATE(YEAR(A2993),1,1)+1)</f>
        <v/>
      </c>
      <c r="D2993">
        <f>IF(A2993="","",Ввод!$B$4-SUMIF(Оплаты!$A$6:$A$505,"&lt;"&amp;A2993,Оплаты!$B$6:$B$505))</f>
        <v/>
      </c>
      <c r="E2993">
        <f>IF(A2993="","",IF(SUMPRODUCT((Ввод!$F$12:$F$31&lt;&gt;"")*(Ввод!$F$12:$F$31&lt;=A2993)*(Ввод!$G$12:$G$31&gt;=A2993))&gt;0,1,0))</f>
        <v/>
      </c>
      <c r="F2993">
        <f>IF(OR(A2993="",B2993=""),"",IF(E2993=1,0,D2993*B2993/100/C2993))</f>
        <v/>
      </c>
      <c r="G2993">
        <f>IF(A2993="","",IF(OR(B2993&lt;&gt;B2992,C2993&lt;&gt;C2992,D2993&lt;&gt;D2992,E2993&lt;&gt;E2992),G2992+1,G2992))</f>
        <v/>
      </c>
    </row>
    <row r="2994">
      <c r="A2994" s="14">
        <f>IF(OR(NOT(ISNUMBER(Ввод!$B$5)),NOT(ISNUMBER(Ввод!$B$6))),"",IF(Ввод!$B$5+2992&gt;Ввод!$B$6,"",Ввод!$B$5+2992))</f>
        <v/>
      </c>
      <c r="B2994">
        <f>IF(A2994="","",IFERROR(INDEX(Ввод!$B$12:$B$71,MATCH(A2994,Ввод!$D$12:$D$71,1)),""))</f>
        <v/>
      </c>
      <c r="C2994">
        <f>IF(A2994="","",DATE(YEAR(A2994),12,31)-DATE(YEAR(A2994),1,1)+1)</f>
        <v/>
      </c>
      <c r="D2994">
        <f>IF(A2994="","",Ввод!$B$4-SUMIF(Оплаты!$A$6:$A$505,"&lt;"&amp;A2994,Оплаты!$B$6:$B$505))</f>
        <v/>
      </c>
      <c r="E2994">
        <f>IF(A2994="","",IF(SUMPRODUCT((Ввод!$F$12:$F$31&lt;&gt;"")*(Ввод!$F$12:$F$31&lt;=A2994)*(Ввод!$G$12:$G$31&gt;=A2994))&gt;0,1,0))</f>
        <v/>
      </c>
      <c r="F2994">
        <f>IF(OR(A2994="",B2994=""),"",IF(E2994=1,0,D2994*B2994/100/C2994))</f>
        <v/>
      </c>
      <c r="G2994">
        <f>IF(A2994="","",IF(OR(B2994&lt;&gt;B2993,C2994&lt;&gt;C2993,D2994&lt;&gt;D2993,E2994&lt;&gt;E2993),G2993+1,G2993))</f>
        <v/>
      </c>
    </row>
    <row r="2995">
      <c r="A2995" s="14">
        <f>IF(OR(NOT(ISNUMBER(Ввод!$B$5)),NOT(ISNUMBER(Ввод!$B$6))),"",IF(Ввод!$B$5+2993&gt;Ввод!$B$6,"",Ввод!$B$5+2993))</f>
        <v/>
      </c>
      <c r="B2995">
        <f>IF(A2995="","",IFERROR(INDEX(Ввод!$B$12:$B$71,MATCH(A2995,Ввод!$D$12:$D$71,1)),""))</f>
        <v/>
      </c>
      <c r="C2995">
        <f>IF(A2995="","",DATE(YEAR(A2995),12,31)-DATE(YEAR(A2995),1,1)+1)</f>
        <v/>
      </c>
      <c r="D2995">
        <f>IF(A2995="","",Ввод!$B$4-SUMIF(Оплаты!$A$6:$A$505,"&lt;"&amp;A2995,Оплаты!$B$6:$B$505))</f>
        <v/>
      </c>
      <c r="E2995">
        <f>IF(A2995="","",IF(SUMPRODUCT((Ввод!$F$12:$F$31&lt;&gt;"")*(Ввод!$F$12:$F$31&lt;=A2995)*(Ввод!$G$12:$G$31&gt;=A2995))&gt;0,1,0))</f>
        <v/>
      </c>
      <c r="F2995">
        <f>IF(OR(A2995="",B2995=""),"",IF(E2995=1,0,D2995*B2995/100/C2995))</f>
        <v/>
      </c>
      <c r="G2995">
        <f>IF(A2995="","",IF(OR(B2995&lt;&gt;B2994,C2995&lt;&gt;C2994,D2995&lt;&gt;D2994,E2995&lt;&gt;E2994),G2994+1,G2994))</f>
        <v/>
      </c>
    </row>
    <row r="2996">
      <c r="A2996" s="14">
        <f>IF(OR(NOT(ISNUMBER(Ввод!$B$5)),NOT(ISNUMBER(Ввод!$B$6))),"",IF(Ввод!$B$5+2994&gt;Ввод!$B$6,"",Ввод!$B$5+2994))</f>
        <v/>
      </c>
      <c r="B2996">
        <f>IF(A2996="","",IFERROR(INDEX(Ввод!$B$12:$B$71,MATCH(A2996,Ввод!$D$12:$D$71,1)),""))</f>
        <v/>
      </c>
      <c r="C2996">
        <f>IF(A2996="","",DATE(YEAR(A2996),12,31)-DATE(YEAR(A2996),1,1)+1)</f>
        <v/>
      </c>
      <c r="D2996">
        <f>IF(A2996="","",Ввод!$B$4-SUMIF(Оплаты!$A$6:$A$505,"&lt;"&amp;A2996,Оплаты!$B$6:$B$505))</f>
        <v/>
      </c>
      <c r="E2996">
        <f>IF(A2996="","",IF(SUMPRODUCT((Ввод!$F$12:$F$31&lt;&gt;"")*(Ввод!$F$12:$F$31&lt;=A2996)*(Ввод!$G$12:$G$31&gt;=A2996))&gt;0,1,0))</f>
        <v/>
      </c>
      <c r="F2996">
        <f>IF(OR(A2996="",B2996=""),"",IF(E2996=1,0,D2996*B2996/100/C2996))</f>
        <v/>
      </c>
      <c r="G2996">
        <f>IF(A2996="","",IF(OR(B2996&lt;&gt;B2995,C2996&lt;&gt;C2995,D2996&lt;&gt;D2995,E2996&lt;&gt;E2995),G2995+1,G2995))</f>
        <v/>
      </c>
    </row>
    <row r="2997">
      <c r="A2997" s="14">
        <f>IF(OR(NOT(ISNUMBER(Ввод!$B$5)),NOT(ISNUMBER(Ввод!$B$6))),"",IF(Ввод!$B$5+2995&gt;Ввод!$B$6,"",Ввод!$B$5+2995))</f>
        <v/>
      </c>
      <c r="B2997">
        <f>IF(A2997="","",IFERROR(INDEX(Ввод!$B$12:$B$71,MATCH(A2997,Ввод!$D$12:$D$71,1)),""))</f>
        <v/>
      </c>
      <c r="C2997">
        <f>IF(A2997="","",DATE(YEAR(A2997),12,31)-DATE(YEAR(A2997),1,1)+1)</f>
        <v/>
      </c>
      <c r="D2997">
        <f>IF(A2997="","",Ввод!$B$4-SUMIF(Оплаты!$A$6:$A$505,"&lt;"&amp;A2997,Оплаты!$B$6:$B$505))</f>
        <v/>
      </c>
      <c r="E2997">
        <f>IF(A2997="","",IF(SUMPRODUCT((Ввод!$F$12:$F$31&lt;&gt;"")*(Ввод!$F$12:$F$31&lt;=A2997)*(Ввод!$G$12:$G$31&gt;=A2997))&gt;0,1,0))</f>
        <v/>
      </c>
      <c r="F2997">
        <f>IF(OR(A2997="",B2997=""),"",IF(E2997=1,0,D2997*B2997/100/C2997))</f>
        <v/>
      </c>
      <c r="G2997">
        <f>IF(A2997="","",IF(OR(B2997&lt;&gt;B2996,C2997&lt;&gt;C2996,D2997&lt;&gt;D2996,E2997&lt;&gt;E2996),G2996+1,G2996))</f>
        <v/>
      </c>
    </row>
    <row r="2998">
      <c r="A2998" s="14">
        <f>IF(OR(NOT(ISNUMBER(Ввод!$B$5)),NOT(ISNUMBER(Ввод!$B$6))),"",IF(Ввод!$B$5+2996&gt;Ввод!$B$6,"",Ввод!$B$5+2996))</f>
        <v/>
      </c>
      <c r="B2998">
        <f>IF(A2998="","",IFERROR(INDEX(Ввод!$B$12:$B$71,MATCH(A2998,Ввод!$D$12:$D$71,1)),""))</f>
        <v/>
      </c>
      <c r="C2998">
        <f>IF(A2998="","",DATE(YEAR(A2998),12,31)-DATE(YEAR(A2998),1,1)+1)</f>
        <v/>
      </c>
      <c r="D2998">
        <f>IF(A2998="","",Ввод!$B$4-SUMIF(Оплаты!$A$6:$A$505,"&lt;"&amp;A2998,Оплаты!$B$6:$B$505))</f>
        <v/>
      </c>
      <c r="E2998">
        <f>IF(A2998="","",IF(SUMPRODUCT((Ввод!$F$12:$F$31&lt;&gt;"")*(Ввод!$F$12:$F$31&lt;=A2998)*(Ввод!$G$12:$G$31&gt;=A2998))&gt;0,1,0))</f>
        <v/>
      </c>
      <c r="F2998">
        <f>IF(OR(A2998="",B2998=""),"",IF(E2998=1,0,D2998*B2998/100/C2998))</f>
        <v/>
      </c>
      <c r="G2998">
        <f>IF(A2998="","",IF(OR(B2998&lt;&gt;B2997,C2998&lt;&gt;C2997,D2998&lt;&gt;D2997,E2998&lt;&gt;E2997),G2997+1,G2997))</f>
        <v/>
      </c>
    </row>
    <row r="2999">
      <c r="A2999" s="14">
        <f>IF(OR(NOT(ISNUMBER(Ввод!$B$5)),NOT(ISNUMBER(Ввод!$B$6))),"",IF(Ввод!$B$5+2997&gt;Ввод!$B$6,"",Ввод!$B$5+2997))</f>
        <v/>
      </c>
      <c r="B2999">
        <f>IF(A2999="","",IFERROR(INDEX(Ввод!$B$12:$B$71,MATCH(A2999,Ввод!$D$12:$D$71,1)),""))</f>
        <v/>
      </c>
      <c r="C2999">
        <f>IF(A2999="","",DATE(YEAR(A2999),12,31)-DATE(YEAR(A2999),1,1)+1)</f>
        <v/>
      </c>
      <c r="D2999">
        <f>IF(A2999="","",Ввод!$B$4-SUMIF(Оплаты!$A$6:$A$505,"&lt;"&amp;A2999,Оплаты!$B$6:$B$505))</f>
        <v/>
      </c>
      <c r="E2999">
        <f>IF(A2999="","",IF(SUMPRODUCT((Ввод!$F$12:$F$31&lt;&gt;"")*(Ввод!$F$12:$F$31&lt;=A2999)*(Ввод!$G$12:$G$31&gt;=A2999))&gt;0,1,0))</f>
        <v/>
      </c>
      <c r="F2999">
        <f>IF(OR(A2999="",B2999=""),"",IF(E2999=1,0,D2999*B2999/100/C2999))</f>
        <v/>
      </c>
      <c r="G2999">
        <f>IF(A2999="","",IF(OR(B2999&lt;&gt;B2998,C2999&lt;&gt;C2998,D2999&lt;&gt;D2998,E2999&lt;&gt;E2998),G2998+1,G2998))</f>
        <v/>
      </c>
    </row>
    <row r="3000">
      <c r="A3000" s="14">
        <f>IF(OR(NOT(ISNUMBER(Ввод!$B$5)),NOT(ISNUMBER(Ввод!$B$6))),"",IF(Ввод!$B$5+2998&gt;Ввод!$B$6,"",Ввод!$B$5+2998))</f>
        <v/>
      </c>
      <c r="B3000">
        <f>IF(A3000="","",IFERROR(INDEX(Ввод!$B$12:$B$71,MATCH(A3000,Ввод!$D$12:$D$71,1)),""))</f>
        <v/>
      </c>
      <c r="C3000">
        <f>IF(A3000="","",DATE(YEAR(A3000),12,31)-DATE(YEAR(A3000),1,1)+1)</f>
        <v/>
      </c>
      <c r="D3000">
        <f>IF(A3000="","",Ввод!$B$4-SUMIF(Оплаты!$A$6:$A$505,"&lt;"&amp;A3000,Оплаты!$B$6:$B$505))</f>
        <v/>
      </c>
      <c r="E3000">
        <f>IF(A3000="","",IF(SUMPRODUCT((Ввод!$F$12:$F$31&lt;&gt;"")*(Ввод!$F$12:$F$31&lt;=A3000)*(Ввод!$G$12:$G$31&gt;=A3000))&gt;0,1,0))</f>
        <v/>
      </c>
      <c r="F3000">
        <f>IF(OR(A3000="",B3000=""),"",IF(E3000=1,0,D3000*B3000/100/C3000))</f>
        <v/>
      </c>
      <c r="G3000">
        <f>IF(A3000="","",IF(OR(B3000&lt;&gt;B2999,C3000&lt;&gt;C2999,D3000&lt;&gt;D2999,E3000&lt;&gt;E2999),G2999+1,G2999))</f>
        <v/>
      </c>
    </row>
    <row r="3001">
      <c r="A3001" s="14">
        <f>IF(OR(NOT(ISNUMBER(Ввод!$B$5)),NOT(ISNUMBER(Ввод!$B$6))),"",IF(Ввод!$B$5+2999&gt;Ввод!$B$6,"",Ввод!$B$5+2999))</f>
        <v/>
      </c>
      <c r="B3001">
        <f>IF(A3001="","",IFERROR(INDEX(Ввод!$B$12:$B$71,MATCH(A3001,Ввод!$D$12:$D$71,1)),""))</f>
        <v/>
      </c>
      <c r="C3001">
        <f>IF(A3001="","",DATE(YEAR(A3001),12,31)-DATE(YEAR(A3001),1,1)+1)</f>
        <v/>
      </c>
      <c r="D3001">
        <f>IF(A3001="","",Ввод!$B$4-SUMIF(Оплаты!$A$6:$A$505,"&lt;"&amp;A3001,Оплаты!$B$6:$B$505))</f>
        <v/>
      </c>
      <c r="E3001">
        <f>IF(A3001="","",IF(SUMPRODUCT((Ввод!$F$12:$F$31&lt;&gt;"")*(Ввод!$F$12:$F$31&lt;=A3001)*(Ввод!$G$12:$G$31&gt;=A3001))&gt;0,1,0))</f>
        <v/>
      </c>
      <c r="F3001">
        <f>IF(OR(A3001="",B3001=""),"",IF(E3001=1,0,D3001*B3001/100/C3001))</f>
        <v/>
      </c>
      <c r="G3001">
        <f>IF(A3001="","",IF(OR(B3001&lt;&gt;B3000,C3001&lt;&gt;C3000,D3001&lt;&gt;D3000,E3001&lt;&gt;E3000),G3000+1,G3000))</f>
        <v/>
      </c>
    </row>
    <row r="3002">
      <c r="A3002" s="14">
        <f>IF(OR(NOT(ISNUMBER(Ввод!$B$5)),NOT(ISNUMBER(Ввод!$B$6))),"",IF(Ввод!$B$5+3000&gt;Ввод!$B$6,"",Ввод!$B$5+3000))</f>
        <v/>
      </c>
      <c r="B3002">
        <f>IF(A3002="","",IFERROR(INDEX(Ввод!$B$12:$B$71,MATCH(A3002,Ввод!$D$12:$D$71,1)),""))</f>
        <v/>
      </c>
      <c r="C3002">
        <f>IF(A3002="","",DATE(YEAR(A3002),12,31)-DATE(YEAR(A3002),1,1)+1)</f>
        <v/>
      </c>
      <c r="D3002">
        <f>IF(A3002="","",Ввод!$B$4-SUMIF(Оплаты!$A$6:$A$505,"&lt;"&amp;A3002,Оплаты!$B$6:$B$505))</f>
        <v/>
      </c>
      <c r="E3002">
        <f>IF(A3002="","",IF(SUMPRODUCT((Ввод!$F$12:$F$31&lt;&gt;"")*(Ввод!$F$12:$F$31&lt;=A3002)*(Ввод!$G$12:$G$31&gt;=A3002))&gt;0,1,0))</f>
        <v/>
      </c>
      <c r="F3002">
        <f>IF(OR(A3002="",B3002=""),"",IF(E3002=1,0,D3002*B3002/100/C3002))</f>
        <v/>
      </c>
      <c r="G3002">
        <f>IF(A3002="","",IF(OR(B3002&lt;&gt;B3001,C3002&lt;&gt;C3001,D3002&lt;&gt;D3001,E3002&lt;&gt;E3001),G3001+1,G3001))</f>
        <v/>
      </c>
    </row>
    <row r="3003">
      <c r="A3003" s="14">
        <f>IF(OR(NOT(ISNUMBER(Ввод!$B$5)),NOT(ISNUMBER(Ввод!$B$6))),"",IF(Ввод!$B$5+3001&gt;Ввод!$B$6,"",Ввод!$B$5+3001))</f>
        <v/>
      </c>
      <c r="B3003">
        <f>IF(A3003="","",IFERROR(INDEX(Ввод!$B$12:$B$71,MATCH(A3003,Ввод!$D$12:$D$71,1)),""))</f>
        <v/>
      </c>
      <c r="C3003">
        <f>IF(A3003="","",DATE(YEAR(A3003),12,31)-DATE(YEAR(A3003),1,1)+1)</f>
        <v/>
      </c>
      <c r="D3003">
        <f>IF(A3003="","",Ввод!$B$4-SUMIF(Оплаты!$A$6:$A$505,"&lt;"&amp;A3003,Оплаты!$B$6:$B$505))</f>
        <v/>
      </c>
      <c r="E3003">
        <f>IF(A3003="","",IF(SUMPRODUCT((Ввод!$F$12:$F$31&lt;&gt;"")*(Ввод!$F$12:$F$31&lt;=A3003)*(Ввод!$G$12:$G$31&gt;=A3003))&gt;0,1,0))</f>
        <v/>
      </c>
      <c r="F3003">
        <f>IF(OR(A3003="",B3003=""),"",IF(E3003=1,0,D3003*B3003/100/C3003))</f>
        <v/>
      </c>
      <c r="G3003">
        <f>IF(A3003="","",IF(OR(B3003&lt;&gt;B3002,C3003&lt;&gt;C3002,D3003&lt;&gt;D3002,E3003&lt;&gt;E3002),G3002+1,G3002))</f>
        <v/>
      </c>
    </row>
    <row r="3004">
      <c r="A3004" s="14">
        <f>IF(OR(NOT(ISNUMBER(Ввод!$B$5)),NOT(ISNUMBER(Ввод!$B$6))),"",IF(Ввод!$B$5+3002&gt;Ввод!$B$6,"",Ввод!$B$5+3002))</f>
        <v/>
      </c>
      <c r="B3004">
        <f>IF(A3004="","",IFERROR(INDEX(Ввод!$B$12:$B$71,MATCH(A3004,Ввод!$D$12:$D$71,1)),""))</f>
        <v/>
      </c>
      <c r="C3004">
        <f>IF(A3004="","",DATE(YEAR(A3004),12,31)-DATE(YEAR(A3004),1,1)+1)</f>
        <v/>
      </c>
      <c r="D3004">
        <f>IF(A3004="","",Ввод!$B$4-SUMIF(Оплаты!$A$6:$A$505,"&lt;"&amp;A3004,Оплаты!$B$6:$B$505))</f>
        <v/>
      </c>
      <c r="E3004">
        <f>IF(A3004="","",IF(SUMPRODUCT((Ввод!$F$12:$F$31&lt;&gt;"")*(Ввод!$F$12:$F$31&lt;=A3004)*(Ввод!$G$12:$G$31&gt;=A3004))&gt;0,1,0))</f>
        <v/>
      </c>
      <c r="F3004">
        <f>IF(OR(A3004="",B3004=""),"",IF(E3004=1,0,D3004*B3004/100/C3004))</f>
        <v/>
      </c>
      <c r="G3004">
        <f>IF(A3004="","",IF(OR(B3004&lt;&gt;B3003,C3004&lt;&gt;C3003,D3004&lt;&gt;D3003,E3004&lt;&gt;E3003),G3003+1,G3003))</f>
        <v/>
      </c>
    </row>
    <row r="3005">
      <c r="A3005" s="14">
        <f>IF(OR(NOT(ISNUMBER(Ввод!$B$5)),NOT(ISNUMBER(Ввод!$B$6))),"",IF(Ввод!$B$5+3003&gt;Ввод!$B$6,"",Ввод!$B$5+3003))</f>
        <v/>
      </c>
      <c r="B3005">
        <f>IF(A3005="","",IFERROR(INDEX(Ввод!$B$12:$B$71,MATCH(A3005,Ввод!$D$12:$D$71,1)),""))</f>
        <v/>
      </c>
      <c r="C3005">
        <f>IF(A3005="","",DATE(YEAR(A3005),12,31)-DATE(YEAR(A3005),1,1)+1)</f>
        <v/>
      </c>
      <c r="D3005">
        <f>IF(A3005="","",Ввод!$B$4-SUMIF(Оплаты!$A$6:$A$505,"&lt;"&amp;A3005,Оплаты!$B$6:$B$505))</f>
        <v/>
      </c>
      <c r="E3005">
        <f>IF(A3005="","",IF(SUMPRODUCT((Ввод!$F$12:$F$31&lt;&gt;"")*(Ввод!$F$12:$F$31&lt;=A3005)*(Ввод!$G$12:$G$31&gt;=A3005))&gt;0,1,0))</f>
        <v/>
      </c>
      <c r="F3005">
        <f>IF(OR(A3005="",B3005=""),"",IF(E3005=1,0,D3005*B3005/100/C3005))</f>
        <v/>
      </c>
      <c r="G3005">
        <f>IF(A3005="","",IF(OR(B3005&lt;&gt;B3004,C3005&lt;&gt;C3004,D3005&lt;&gt;D3004,E3005&lt;&gt;E3004),G3004+1,G3004))</f>
        <v/>
      </c>
    </row>
    <row r="3006">
      <c r="A3006" s="14">
        <f>IF(OR(NOT(ISNUMBER(Ввод!$B$5)),NOT(ISNUMBER(Ввод!$B$6))),"",IF(Ввод!$B$5+3004&gt;Ввод!$B$6,"",Ввод!$B$5+3004))</f>
        <v/>
      </c>
      <c r="B3006">
        <f>IF(A3006="","",IFERROR(INDEX(Ввод!$B$12:$B$71,MATCH(A3006,Ввод!$D$12:$D$71,1)),""))</f>
        <v/>
      </c>
      <c r="C3006">
        <f>IF(A3006="","",DATE(YEAR(A3006),12,31)-DATE(YEAR(A3006),1,1)+1)</f>
        <v/>
      </c>
      <c r="D3006">
        <f>IF(A3006="","",Ввод!$B$4-SUMIF(Оплаты!$A$6:$A$505,"&lt;"&amp;A3006,Оплаты!$B$6:$B$505))</f>
        <v/>
      </c>
      <c r="E3006">
        <f>IF(A3006="","",IF(SUMPRODUCT((Ввод!$F$12:$F$31&lt;&gt;"")*(Ввод!$F$12:$F$31&lt;=A3006)*(Ввод!$G$12:$G$31&gt;=A3006))&gt;0,1,0))</f>
        <v/>
      </c>
      <c r="F3006">
        <f>IF(OR(A3006="",B3006=""),"",IF(E3006=1,0,D3006*B3006/100/C3006))</f>
        <v/>
      </c>
      <c r="G3006">
        <f>IF(A3006="","",IF(OR(B3006&lt;&gt;B3005,C3006&lt;&gt;C3005,D3006&lt;&gt;D3005,E3006&lt;&gt;E3005),G3005+1,G3005))</f>
        <v/>
      </c>
    </row>
    <row r="3007">
      <c r="A3007" s="14">
        <f>IF(OR(NOT(ISNUMBER(Ввод!$B$5)),NOT(ISNUMBER(Ввод!$B$6))),"",IF(Ввод!$B$5+3005&gt;Ввод!$B$6,"",Ввод!$B$5+3005))</f>
        <v/>
      </c>
      <c r="B3007">
        <f>IF(A3007="","",IFERROR(INDEX(Ввод!$B$12:$B$71,MATCH(A3007,Ввод!$D$12:$D$71,1)),""))</f>
        <v/>
      </c>
      <c r="C3007">
        <f>IF(A3007="","",DATE(YEAR(A3007),12,31)-DATE(YEAR(A3007),1,1)+1)</f>
        <v/>
      </c>
      <c r="D3007">
        <f>IF(A3007="","",Ввод!$B$4-SUMIF(Оплаты!$A$6:$A$505,"&lt;"&amp;A3007,Оплаты!$B$6:$B$505))</f>
        <v/>
      </c>
      <c r="E3007">
        <f>IF(A3007="","",IF(SUMPRODUCT((Ввод!$F$12:$F$31&lt;&gt;"")*(Ввод!$F$12:$F$31&lt;=A3007)*(Ввод!$G$12:$G$31&gt;=A3007))&gt;0,1,0))</f>
        <v/>
      </c>
      <c r="F3007">
        <f>IF(OR(A3007="",B3007=""),"",IF(E3007=1,0,D3007*B3007/100/C3007))</f>
        <v/>
      </c>
      <c r="G3007">
        <f>IF(A3007="","",IF(OR(B3007&lt;&gt;B3006,C3007&lt;&gt;C3006,D3007&lt;&gt;D3006,E3007&lt;&gt;E3006),G3006+1,G3006))</f>
        <v/>
      </c>
    </row>
    <row r="3008">
      <c r="A3008" s="14">
        <f>IF(OR(NOT(ISNUMBER(Ввод!$B$5)),NOT(ISNUMBER(Ввод!$B$6))),"",IF(Ввод!$B$5+3006&gt;Ввод!$B$6,"",Ввод!$B$5+3006))</f>
        <v/>
      </c>
      <c r="B3008">
        <f>IF(A3008="","",IFERROR(INDEX(Ввод!$B$12:$B$71,MATCH(A3008,Ввод!$D$12:$D$71,1)),""))</f>
        <v/>
      </c>
      <c r="C3008">
        <f>IF(A3008="","",DATE(YEAR(A3008),12,31)-DATE(YEAR(A3008),1,1)+1)</f>
        <v/>
      </c>
      <c r="D3008">
        <f>IF(A3008="","",Ввод!$B$4-SUMIF(Оплаты!$A$6:$A$505,"&lt;"&amp;A3008,Оплаты!$B$6:$B$505))</f>
        <v/>
      </c>
      <c r="E3008">
        <f>IF(A3008="","",IF(SUMPRODUCT((Ввод!$F$12:$F$31&lt;&gt;"")*(Ввод!$F$12:$F$31&lt;=A3008)*(Ввод!$G$12:$G$31&gt;=A3008))&gt;0,1,0))</f>
        <v/>
      </c>
      <c r="F3008">
        <f>IF(OR(A3008="",B3008=""),"",IF(E3008=1,0,D3008*B3008/100/C3008))</f>
        <v/>
      </c>
      <c r="G3008">
        <f>IF(A3008="","",IF(OR(B3008&lt;&gt;B3007,C3008&lt;&gt;C3007,D3008&lt;&gt;D3007,E3008&lt;&gt;E3007),G3007+1,G3007))</f>
        <v/>
      </c>
    </row>
    <row r="3009">
      <c r="A3009" s="14">
        <f>IF(OR(NOT(ISNUMBER(Ввод!$B$5)),NOT(ISNUMBER(Ввод!$B$6))),"",IF(Ввод!$B$5+3007&gt;Ввод!$B$6,"",Ввод!$B$5+3007))</f>
        <v/>
      </c>
      <c r="B3009">
        <f>IF(A3009="","",IFERROR(INDEX(Ввод!$B$12:$B$71,MATCH(A3009,Ввод!$D$12:$D$71,1)),""))</f>
        <v/>
      </c>
      <c r="C3009">
        <f>IF(A3009="","",DATE(YEAR(A3009),12,31)-DATE(YEAR(A3009),1,1)+1)</f>
        <v/>
      </c>
      <c r="D3009">
        <f>IF(A3009="","",Ввод!$B$4-SUMIF(Оплаты!$A$6:$A$505,"&lt;"&amp;A3009,Оплаты!$B$6:$B$505))</f>
        <v/>
      </c>
      <c r="E3009">
        <f>IF(A3009="","",IF(SUMPRODUCT((Ввод!$F$12:$F$31&lt;&gt;"")*(Ввод!$F$12:$F$31&lt;=A3009)*(Ввод!$G$12:$G$31&gt;=A3009))&gt;0,1,0))</f>
        <v/>
      </c>
      <c r="F3009">
        <f>IF(OR(A3009="",B3009=""),"",IF(E3009=1,0,D3009*B3009/100/C3009))</f>
        <v/>
      </c>
      <c r="G3009">
        <f>IF(A3009="","",IF(OR(B3009&lt;&gt;B3008,C3009&lt;&gt;C3008,D3009&lt;&gt;D3008,E3009&lt;&gt;E3008),G3008+1,G3008))</f>
        <v/>
      </c>
    </row>
    <row r="3010">
      <c r="A3010" s="14">
        <f>IF(OR(NOT(ISNUMBER(Ввод!$B$5)),NOT(ISNUMBER(Ввод!$B$6))),"",IF(Ввод!$B$5+3008&gt;Ввод!$B$6,"",Ввод!$B$5+3008))</f>
        <v/>
      </c>
      <c r="B3010">
        <f>IF(A3010="","",IFERROR(INDEX(Ввод!$B$12:$B$71,MATCH(A3010,Ввод!$D$12:$D$71,1)),""))</f>
        <v/>
      </c>
      <c r="C3010">
        <f>IF(A3010="","",DATE(YEAR(A3010),12,31)-DATE(YEAR(A3010),1,1)+1)</f>
        <v/>
      </c>
      <c r="D3010">
        <f>IF(A3010="","",Ввод!$B$4-SUMIF(Оплаты!$A$6:$A$505,"&lt;"&amp;A3010,Оплаты!$B$6:$B$505))</f>
        <v/>
      </c>
      <c r="E3010">
        <f>IF(A3010="","",IF(SUMPRODUCT((Ввод!$F$12:$F$31&lt;&gt;"")*(Ввод!$F$12:$F$31&lt;=A3010)*(Ввод!$G$12:$G$31&gt;=A3010))&gt;0,1,0))</f>
        <v/>
      </c>
      <c r="F3010">
        <f>IF(OR(A3010="",B3010=""),"",IF(E3010=1,0,D3010*B3010/100/C3010))</f>
        <v/>
      </c>
      <c r="G3010">
        <f>IF(A3010="","",IF(OR(B3010&lt;&gt;B3009,C3010&lt;&gt;C3009,D3010&lt;&gt;D3009,E3010&lt;&gt;E3009),G3009+1,G3009))</f>
        <v/>
      </c>
    </row>
    <row r="3011">
      <c r="A3011" s="14">
        <f>IF(OR(NOT(ISNUMBER(Ввод!$B$5)),NOT(ISNUMBER(Ввод!$B$6))),"",IF(Ввод!$B$5+3009&gt;Ввод!$B$6,"",Ввод!$B$5+3009))</f>
        <v/>
      </c>
      <c r="B3011">
        <f>IF(A3011="","",IFERROR(INDEX(Ввод!$B$12:$B$71,MATCH(A3011,Ввод!$D$12:$D$71,1)),""))</f>
        <v/>
      </c>
      <c r="C3011">
        <f>IF(A3011="","",DATE(YEAR(A3011),12,31)-DATE(YEAR(A3011),1,1)+1)</f>
        <v/>
      </c>
      <c r="D3011">
        <f>IF(A3011="","",Ввод!$B$4-SUMIF(Оплаты!$A$6:$A$505,"&lt;"&amp;A3011,Оплаты!$B$6:$B$505))</f>
        <v/>
      </c>
      <c r="E3011">
        <f>IF(A3011="","",IF(SUMPRODUCT((Ввод!$F$12:$F$31&lt;&gt;"")*(Ввод!$F$12:$F$31&lt;=A3011)*(Ввод!$G$12:$G$31&gt;=A3011))&gt;0,1,0))</f>
        <v/>
      </c>
      <c r="F3011">
        <f>IF(OR(A3011="",B3011=""),"",IF(E3011=1,0,D3011*B3011/100/C3011))</f>
        <v/>
      </c>
      <c r="G3011">
        <f>IF(A3011="","",IF(OR(B3011&lt;&gt;B3010,C3011&lt;&gt;C3010,D3011&lt;&gt;D3010,E3011&lt;&gt;E3010),G3010+1,G3010))</f>
        <v/>
      </c>
    </row>
    <row r="3012">
      <c r="A3012" s="14">
        <f>IF(OR(NOT(ISNUMBER(Ввод!$B$5)),NOT(ISNUMBER(Ввод!$B$6))),"",IF(Ввод!$B$5+3010&gt;Ввод!$B$6,"",Ввод!$B$5+3010))</f>
        <v/>
      </c>
      <c r="B3012">
        <f>IF(A3012="","",IFERROR(INDEX(Ввод!$B$12:$B$71,MATCH(A3012,Ввод!$D$12:$D$71,1)),""))</f>
        <v/>
      </c>
      <c r="C3012">
        <f>IF(A3012="","",DATE(YEAR(A3012),12,31)-DATE(YEAR(A3012),1,1)+1)</f>
        <v/>
      </c>
      <c r="D3012">
        <f>IF(A3012="","",Ввод!$B$4-SUMIF(Оплаты!$A$6:$A$505,"&lt;"&amp;A3012,Оплаты!$B$6:$B$505))</f>
        <v/>
      </c>
      <c r="E3012">
        <f>IF(A3012="","",IF(SUMPRODUCT((Ввод!$F$12:$F$31&lt;&gt;"")*(Ввод!$F$12:$F$31&lt;=A3012)*(Ввод!$G$12:$G$31&gt;=A3012))&gt;0,1,0))</f>
        <v/>
      </c>
      <c r="F3012">
        <f>IF(OR(A3012="",B3012=""),"",IF(E3012=1,0,D3012*B3012/100/C3012))</f>
        <v/>
      </c>
      <c r="G3012">
        <f>IF(A3012="","",IF(OR(B3012&lt;&gt;B3011,C3012&lt;&gt;C3011,D3012&lt;&gt;D3011,E3012&lt;&gt;E3011),G3011+1,G3011))</f>
        <v/>
      </c>
    </row>
    <row r="3013">
      <c r="A3013" s="14">
        <f>IF(OR(NOT(ISNUMBER(Ввод!$B$5)),NOT(ISNUMBER(Ввод!$B$6))),"",IF(Ввод!$B$5+3011&gt;Ввод!$B$6,"",Ввод!$B$5+3011))</f>
        <v/>
      </c>
      <c r="B3013">
        <f>IF(A3013="","",IFERROR(INDEX(Ввод!$B$12:$B$71,MATCH(A3013,Ввод!$D$12:$D$71,1)),""))</f>
        <v/>
      </c>
      <c r="C3013">
        <f>IF(A3013="","",DATE(YEAR(A3013),12,31)-DATE(YEAR(A3013),1,1)+1)</f>
        <v/>
      </c>
      <c r="D3013">
        <f>IF(A3013="","",Ввод!$B$4-SUMIF(Оплаты!$A$6:$A$505,"&lt;"&amp;A3013,Оплаты!$B$6:$B$505))</f>
        <v/>
      </c>
      <c r="E3013">
        <f>IF(A3013="","",IF(SUMPRODUCT((Ввод!$F$12:$F$31&lt;&gt;"")*(Ввод!$F$12:$F$31&lt;=A3013)*(Ввод!$G$12:$G$31&gt;=A3013))&gt;0,1,0))</f>
        <v/>
      </c>
      <c r="F3013">
        <f>IF(OR(A3013="",B3013=""),"",IF(E3013=1,0,D3013*B3013/100/C3013))</f>
        <v/>
      </c>
      <c r="G3013">
        <f>IF(A3013="","",IF(OR(B3013&lt;&gt;B3012,C3013&lt;&gt;C3012,D3013&lt;&gt;D3012,E3013&lt;&gt;E3012),G3012+1,G3012))</f>
        <v/>
      </c>
    </row>
    <row r="3014">
      <c r="A3014" s="14">
        <f>IF(OR(NOT(ISNUMBER(Ввод!$B$5)),NOT(ISNUMBER(Ввод!$B$6))),"",IF(Ввод!$B$5+3012&gt;Ввод!$B$6,"",Ввод!$B$5+3012))</f>
        <v/>
      </c>
      <c r="B3014">
        <f>IF(A3014="","",IFERROR(INDEX(Ввод!$B$12:$B$71,MATCH(A3014,Ввод!$D$12:$D$71,1)),""))</f>
        <v/>
      </c>
      <c r="C3014">
        <f>IF(A3014="","",DATE(YEAR(A3014),12,31)-DATE(YEAR(A3014),1,1)+1)</f>
        <v/>
      </c>
      <c r="D3014">
        <f>IF(A3014="","",Ввод!$B$4-SUMIF(Оплаты!$A$6:$A$505,"&lt;"&amp;A3014,Оплаты!$B$6:$B$505))</f>
        <v/>
      </c>
      <c r="E3014">
        <f>IF(A3014="","",IF(SUMPRODUCT((Ввод!$F$12:$F$31&lt;&gt;"")*(Ввод!$F$12:$F$31&lt;=A3014)*(Ввод!$G$12:$G$31&gt;=A3014))&gt;0,1,0))</f>
        <v/>
      </c>
      <c r="F3014">
        <f>IF(OR(A3014="",B3014=""),"",IF(E3014=1,0,D3014*B3014/100/C3014))</f>
        <v/>
      </c>
      <c r="G3014">
        <f>IF(A3014="","",IF(OR(B3014&lt;&gt;B3013,C3014&lt;&gt;C3013,D3014&lt;&gt;D3013,E3014&lt;&gt;E3013),G3013+1,G3013))</f>
        <v/>
      </c>
    </row>
    <row r="3015">
      <c r="A3015" s="14">
        <f>IF(OR(NOT(ISNUMBER(Ввод!$B$5)),NOT(ISNUMBER(Ввод!$B$6))),"",IF(Ввод!$B$5+3013&gt;Ввод!$B$6,"",Ввод!$B$5+3013))</f>
        <v/>
      </c>
      <c r="B3015">
        <f>IF(A3015="","",IFERROR(INDEX(Ввод!$B$12:$B$71,MATCH(A3015,Ввод!$D$12:$D$71,1)),""))</f>
        <v/>
      </c>
      <c r="C3015">
        <f>IF(A3015="","",DATE(YEAR(A3015),12,31)-DATE(YEAR(A3015),1,1)+1)</f>
        <v/>
      </c>
      <c r="D3015">
        <f>IF(A3015="","",Ввод!$B$4-SUMIF(Оплаты!$A$6:$A$505,"&lt;"&amp;A3015,Оплаты!$B$6:$B$505))</f>
        <v/>
      </c>
      <c r="E3015">
        <f>IF(A3015="","",IF(SUMPRODUCT((Ввод!$F$12:$F$31&lt;&gt;"")*(Ввод!$F$12:$F$31&lt;=A3015)*(Ввод!$G$12:$G$31&gt;=A3015))&gt;0,1,0))</f>
        <v/>
      </c>
      <c r="F3015">
        <f>IF(OR(A3015="",B3015=""),"",IF(E3015=1,0,D3015*B3015/100/C3015))</f>
        <v/>
      </c>
      <c r="G3015">
        <f>IF(A3015="","",IF(OR(B3015&lt;&gt;B3014,C3015&lt;&gt;C3014,D3015&lt;&gt;D3014,E3015&lt;&gt;E3014),G3014+1,G3014))</f>
        <v/>
      </c>
    </row>
    <row r="3016">
      <c r="A3016" s="14">
        <f>IF(OR(NOT(ISNUMBER(Ввод!$B$5)),NOT(ISNUMBER(Ввод!$B$6))),"",IF(Ввод!$B$5+3014&gt;Ввод!$B$6,"",Ввод!$B$5+3014))</f>
        <v/>
      </c>
      <c r="B3016">
        <f>IF(A3016="","",IFERROR(INDEX(Ввод!$B$12:$B$71,MATCH(A3016,Ввод!$D$12:$D$71,1)),""))</f>
        <v/>
      </c>
      <c r="C3016">
        <f>IF(A3016="","",DATE(YEAR(A3016),12,31)-DATE(YEAR(A3016),1,1)+1)</f>
        <v/>
      </c>
      <c r="D3016">
        <f>IF(A3016="","",Ввод!$B$4-SUMIF(Оплаты!$A$6:$A$505,"&lt;"&amp;A3016,Оплаты!$B$6:$B$505))</f>
        <v/>
      </c>
      <c r="E3016">
        <f>IF(A3016="","",IF(SUMPRODUCT((Ввод!$F$12:$F$31&lt;&gt;"")*(Ввод!$F$12:$F$31&lt;=A3016)*(Ввод!$G$12:$G$31&gt;=A3016))&gt;0,1,0))</f>
        <v/>
      </c>
      <c r="F3016">
        <f>IF(OR(A3016="",B3016=""),"",IF(E3016=1,0,D3016*B3016/100/C3016))</f>
        <v/>
      </c>
      <c r="G3016">
        <f>IF(A3016="","",IF(OR(B3016&lt;&gt;B3015,C3016&lt;&gt;C3015,D3016&lt;&gt;D3015,E3016&lt;&gt;E3015),G3015+1,G3015))</f>
        <v/>
      </c>
    </row>
    <row r="3017">
      <c r="A3017" s="14">
        <f>IF(OR(NOT(ISNUMBER(Ввод!$B$5)),NOT(ISNUMBER(Ввод!$B$6))),"",IF(Ввод!$B$5+3015&gt;Ввод!$B$6,"",Ввод!$B$5+3015))</f>
        <v/>
      </c>
      <c r="B3017">
        <f>IF(A3017="","",IFERROR(INDEX(Ввод!$B$12:$B$71,MATCH(A3017,Ввод!$D$12:$D$71,1)),""))</f>
        <v/>
      </c>
      <c r="C3017">
        <f>IF(A3017="","",DATE(YEAR(A3017),12,31)-DATE(YEAR(A3017),1,1)+1)</f>
        <v/>
      </c>
      <c r="D3017">
        <f>IF(A3017="","",Ввод!$B$4-SUMIF(Оплаты!$A$6:$A$505,"&lt;"&amp;A3017,Оплаты!$B$6:$B$505))</f>
        <v/>
      </c>
      <c r="E3017">
        <f>IF(A3017="","",IF(SUMPRODUCT((Ввод!$F$12:$F$31&lt;&gt;"")*(Ввод!$F$12:$F$31&lt;=A3017)*(Ввод!$G$12:$G$31&gt;=A3017))&gt;0,1,0))</f>
        <v/>
      </c>
      <c r="F3017">
        <f>IF(OR(A3017="",B3017=""),"",IF(E3017=1,0,D3017*B3017/100/C3017))</f>
        <v/>
      </c>
      <c r="G3017">
        <f>IF(A3017="","",IF(OR(B3017&lt;&gt;B3016,C3017&lt;&gt;C3016,D3017&lt;&gt;D3016,E3017&lt;&gt;E3016),G3016+1,G3016))</f>
        <v/>
      </c>
    </row>
    <row r="3018">
      <c r="A3018" s="14">
        <f>IF(OR(NOT(ISNUMBER(Ввод!$B$5)),NOT(ISNUMBER(Ввод!$B$6))),"",IF(Ввод!$B$5+3016&gt;Ввод!$B$6,"",Ввод!$B$5+3016))</f>
        <v/>
      </c>
      <c r="B3018">
        <f>IF(A3018="","",IFERROR(INDEX(Ввод!$B$12:$B$71,MATCH(A3018,Ввод!$D$12:$D$71,1)),""))</f>
        <v/>
      </c>
      <c r="C3018">
        <f>IF(A3018="","",DATE(YEAR(A3018),12,31)-DATE(YEAR(A3018),1,1)+1)</f>
        <v/>
      </c>
      <c r="D3018">
        <f>IF(A3018="","",Ввод!$B$4-SUMIF(Оплаты!$A$6:$A$505,"&lt;"&amp;A3018,Оплаты!$B$6:$B$505))</f>
        <v/>
      </c>
      <c r="E3018">
        <f>IF(A3018="","",IF(SUMPRODUCT((Ввод!$F$12:$F$31&lt;&gt;"")*(Ввод!$F$12:$F$31&lt;=A3018)*(Ввод!$G$12:$G$31&gt;=A3018))&gt;0,1,0))</f>
        <v/>
      </c>
      <c r="F3018">
        <f>IF(OR(A3018="",B3018=""),"",IF(E3018=1,0,D3018*B3018/100/C3018))</f>
        <v/>
      </c>
      <c r="G3018">
        <f>IF(A3018="","",IF(OR(B3018&lt;&gt;B3017,C3018&lt;&gt;C3017,D3018&lt;&gt;D3017,E3018&lt;&gt;E3017),G3017+1,G3017))</f>
        <v/>
      </c>
    </row>
    <row r="3019">
      <c r="A3019" s="14">
        <f>IF(OR(NOT(ISNUMBER(Ввод!$B$5)),NOT(ISNUMBER(Ввод!$B$6))),"",IF(Ввод!$B$5+3017&gt;Ввод!$B$6,"",Ввод!$B$5+3017))</f>
        <v/>
      </c>
      <c r="B3019">
        <f>IF(A3019="","",IFERROR(INDEX(Ввод!$B$12:$B$71,MATCH(A3019,Ввод!$D$12:$D$71,1)),""))</f>
        <v/>
      </c>
      <c r="C3019">
        <f>IF(A3019="","",DATE(YEAR(A3019),12,31)-DATE(YEAR(A3019),1,1)+1)</f>
        <v/>
      </c>
      <c r="D3019">
        <f>IF(A3019="","",Ввод!$B$4-SUMIF(Оплаты!$A$6:$A$505,"&lt;"&amp;A3019,Оплаты!$B$6:$B$505))</f>
        <v/>
      </c>
      <c r="E3019">
        <f>IF(A3019="","",IF(SUMPRODUCT((Ввод!$F$12:$F$31&lt;&gt;"")*(Ввод!$F$12:$F$31&lt;=A3019)*(Ввод!$G$12:$G$31&gt;=A3019))&gt;0,1,0))</f>
        <v/>
      </c>
      <c r="F3019">
        <f>IF(OR(A3019="",B3019=""),"",IF(E3019=1,0,D3019*B3019/100/C3019))</f>
        <v/>
      </c>
      <c r="G3019">
        <f>IF(A3019="","",IF(OR(B3019&lt;&gt;B3018,C3019&lt;&gt;C3018,D3019&lt;&gt;D3018,E3019&lt;&gt;E3018),G3018+1,G3018))</f>
        <v/>
      </c>
    </row>
    <row r="3020">
      <c r="A3020" s="14">
        <f>IF(OR(NOT(ISNUMBER(Ввод!$B$5)),NOT(ISNUMBER(Ввод!$B$6))),"",IF(Ввод!$B$5+3018&gt;Ввод!$B$6,"",Ввод!$B$5+3018))</f>
        <v/>
      </c>
      <c r="B3020">
        <f>IF(A3020="","",IFERROR(INDEX(Ввод!$B$12:$B$71,MATCH(A3020,Ввод!$D$12:$D$71,1)),""))</f>
        <v/>
      </c>
      <c r="C3020">
        <f>IF(A3020="","",DATE(YEAR(A3020),12,31)-DATE(YEAR(A3020),1,1)+1)</f>
        <v/>
      </c>
      <c r="D3020">
        <f>IF(A3020="","",Ввод!$B$4-SUMIF(Оплаты!$A$6:$A$505,"&lt;"&amp;A3020,Оплаты!$B$6:$B$505))</f>
        <v/>
      </c>
      <c r="E3020">
        <f>IF(A3020="","",IF(SUMPRODUCT((Ввод!$F$12:$F$31&lt;&gt;"")*(Ввод!$F$12:$F$31&lt;=A3020)*(Ввод!$G$12:$G$31&gt;=A3020))&gt;0,1,0))</f>
        <v/>
      </c>
      <c r="F3020">
        <f>IF(OR(A3020="",B3020=""),"",IF(E3020=1,0,D3020*B3020/100/C3020))</f>
        <v/>
      </c>
      <c r="G3020">
        <f>IF(A3020="","",IF(OR(B3020&lt;&gt;B3019,C3020&lt;&gt;C3019,D3020&lt;&gt;D3019,E3020&lt;&gt;E3019),G3019+1,G3019))</f>
        <v/>
      </c>
    </row>
    <row r="3021">
      <c r="A3021" s="14">
        <f>IF(OR(NOT(ISNUMBER(Ввод!$B$5)),NOT(ISNUMBER(Ввод!$B$6))),"",IF(Ввод!$B$5+3019&gt;Ввод!$B$6,"",Ввод!$B$5+3019))</f>
        <v/>
      </c>
      <c r="B3021">
        <f>IF(A3021="","",IFERROR(INDEX(Ввод!$B$12:$B$71,MATCH(A3021,Ввод!$D$12:$D$71,1)),""))</f>
        <v/>
      </c>
      <c r="C3021">
        <f>IF(A3021="","",DATE(YEAR(A3021),12,31)-DATE(YEAR(A3021),1,1)+1)</f>
        <v/>
      </c>
      <c r="D3021">
        <f>IF(A3021="","",Ввод!$B$4-SUMIF(Оплаты!$A$6:$A$505,"&lt;"&amp;A3021,Оплаты!$B$6:$B$505))</f>
        <v/>
      </c>
      <c r="E3021">
        <f>IF(A3021="","",IF(SUMPRODUCT((Ввод!$F$12:$F$31&lt;&gt;"")*(Ввод!$F$12:$F$31&lt;=A3021)*(Ввод!$G$12:$G$31&gt;=A3021))&gt;0,1,0))</f>
        <v/>
      </c>
      <c r="F3021">
        <f>IF(OR(A3021="",B3021=""),"",IF(E3021=1,0,D3021*B3021/100/C3021))</f>
        <v/>
      </c>
      <c r="G3021">
        <f>IF(A3021="","",IF(OR(B3021&lt;&gt;B3020,C3021&lt;&gt;C3020,D3021&lt;&gt;D3020,E3021&lt;&gt;E3020),G3020+1,G3020))</f>
        <v/>
      </c>
    </row>
    <row r="3022">
      <c r="A3022" s="14">
        <f>IF(OR(NOT(ISNUMBER(Ввод!$B$5)),NOT(ISNUMBER(Ввод!$B$6))),"",IF(Ввод!$B$5+3020&gt;Ввод!$B$6,"",Ввод!$B$5+3020))</f>
        <v/>
      </c>
      <c r="B3022">
        <f>IF(A3022="","",IFERROR(INDEX(Ввод!$B$12:$B$71,MATCH(A3022,Ввод!$D$12:$D$71,1)),""))</f>
        <v/>
      </c>
      <c r="C3022">
        <f>IF(A3022="","",DATE(YEAR(A3022),12,31)-DATE(YEAR(A3022),1,1)+1)</f>
        <v/>
      </c>
      <c r="D3022">
        <f>IF(A3022="","",Ввод!$B$4-SUMIF(Оплаты!$A$6:$A$505,"&lt;"&amp;A3022,Оплаты!$B$6:$B$505))</f>
        <v/>
      </c>
      <c r="E3022">
        <f>IF(A3022="","",IF(SUMPRODUCT((Ввод!$F$12:$F$31&lt;&gt;"")*(Ввод!$F$12:$F$31&lt;=A3022)*(Ввод!$G$12:$G$31&gt;=A3022))&gt;0,1,0))</f>
        <v/>
      </c>
      <c r="F3022">
        <f>IF(OR(A3022="",B3022=""),"",IF(E3022=1,0,D3022*B3022/100/C3022))</f>
        <v/>
      </c>
      <c r="G3022">
        <f>IF(A3022="","",IF(OR(B3022&lt;&gt;B3021,C3022&lt;&gt;C3021,D3022&lt;&gt;D3021,E3022&lt;&gt;E3021),G3021+1,G3021))</f>
        <v/>
      </c>
    </row>
    <row r="3023">
      <c r="A3023" s="14">
        <f>IF(OR(NOT(ISNUMBER(Ввод!$B$5)),NOT(ISNUMBER(Ввод!$B$6))),"",IF(Ввод!$B$5+3021&gt;Ввод!$B$6,"",Ввод!$B$5+3021))</f>
        <v/>
      </c>
      <c r="B3023">
        <f>IF(A3023="","",IFERROR(INDEX(Ввод!$B$12:$B$71,MATCH(A3023,Ввод!$D$12:$D$71,1)),""))</f>
        <v/>
      </c>
      <c r="C3023">
        <f>IF(A3023="","",DATE(YEAR(A3023),12,31)-DATE(YEAR(A3023),1,1)+1)</f>
        <v/>
      </c>
      <c r="D3023">
        <f>IF(A3023="","",Ввод!$B$4-SUMIF(Оплаты!$A$6:$A$505,"&lt;"&amp;A3023,Оплаты!$B$6:$B$505))</f>
        <v/>
      </c>
      <c r="E3023">
        <f>IF(A3023="","",IF(SUMPRODUCT((Ввод!$F$12:$F$31&lt;&gt;"")*(Ввод!$F$12:$F$31&lt;=A3023)*(Ввод!$G$12:$G$31&gt;=A3023))&gt;0,1,0))</f>
        <v/>
      </c>
      <c r="F3023">
        <f>IF(OR(A3023="",B3023=""),"",IF(E3023=1,0,D3023*B3023/100/C3023))</f>
        <v/>
      </c>
      <c r="G3023">
        <f>IF(A3023="","",IF(OR(B3023&lt;&gt;B3022,C3023&lt;&gt;C3022,D3023&lt;&gt;D3022,E3023&lt;&gt;E3022),G3022+1,G3022))</f>
        <v/>
      </c>
    </row>
    <row r="3024">
      <c r="A3024" s="14">
        <f>IF(OR(NOT(ISNUMBER(Ввод!$B$5)),NOT(ISNUMBER(Ввод!$B$6))),"",IF(Ввод!$B$5+3022&gt;Ввод!$B$6,"",Ввод!$B$5+3022))</f>
        <v/>
      </c>
      <c r="B3024">
        <f>IF(A3024="","",IFERROR(INDEX(Ввод!$B$12:$B$71,MATCH(A3024,Ввод!$D$12:$D$71,1)),""))</f>
        <v/>
      </c>
      <c r="C3024">
        <f>IF(A3024="","",DATE(YEAR(A3024),12,31)-DATE(YEAR(A3024),1,1)+1)</f>
        <v/>
      </c>
      <c r="D3024">
        <f>IF(A3024="","",Ввод!$B$4-SUMIF(Оплаты!$A$6:$A$505,"&lt;"&amp;A3024,Оплаты!$B$6:$B$505))</f>
        <v/>
      </c>
      <c r="E3024">
        <f>IF(A3024="","",IF(SUMPRODUCT((Ввод!$F$12:$F$31&lt;&gt;"")*(Ввод!$F$12:$F$31&lt;=A3024)*(Ввод!$G$12:$G$31&gt;=A3024))&gt;0,1,0))</f>
        <v/>
      </c>
      <c r="F3024">
        <f>IF(OR(A3024="",B3024=""),"",IF(E3024=1,0,D3024*B3024/100/C3024))</f>
        <v/>
      </c>
      <c r="G3024">
        <f>IF(A3024="","",IF(OR(B3024&lt;&gt;B3023,C3024&lt;&gt;C3023,D3024&lt;&gt;D3023,E3024&lt;&gt;E3023),G3023+1,G3023))</f>
        <v/>
      </c>
    </row>
    <row r="3025">
      <c r="A3025" s="14">
        <f>IF(OR(NOT(ISNUMBER(Ввод!$B$5)),NOT(ISNUMBER(Ввод!$B$6))),"",IF(Ввод!$B$5+3023&gt;Ввод!$B$6,"",Ввод!$B$5+3023))</f>
        <v/>
      </c>
      <c r="B3025">
        <f>IF(A3025="","",IFERROR(INDEX(Ввод!$B$12:$B$71,MATCH(A3025,Ввод!$D$12:$D$71,1)),""))</f>
        <v/>
      </c>
      <c r="C3025">
        <f>IF(A3025="","",DATE(YEAR(A3025),12,31)-DATE(YEAR(A3025),1,1)+1)</f>
        <v/>
      </c>
      <c r="D3025">
        <f>IF(A3025="","",Ввод!$B$4-SUMIF(Оплаты!$A$6:$A$505,"&lt;"&amp;A3025,Оплаты!$B$6:$B$505))</f>
        <v/>
      </c>
      <c r="E3025">
        <f>IF(A3025="","",IF(SUMPRODUCT((Ввод!$F$12:$F$31&lt;&gt;"")*(Ввод!$F$12:$F$31&lt;=A3025)*(Ввод!$G$12:$G$31&gt;=A3025))&gt;0,1,0))</f>
        <v/>
      </c>
      <c r="F3025">
        <f>IF(OR(A3025="",B3025=""),"",IF(E3025=1,0,D3025*B3025/100/C3025))</f>
        <v/>
      </c>
      <c r="G3025">
        <f>IF(A3025="","",IF(OR(B3025&lt;&gt;B3024,C3025&lt;&gt;C3024,D3025&lt;&gt;D3024,E3025&lt;&gt;E3024),G3024+1,G3024))</f>
        <v/>
      </c>
    </row>
    <row r="3026">
      <c r="A3026" s="14">
        <f>IF(OR(NOT(ISNUMBER(Ввод!$B$5)),NOT(ISNUMBER(Ввод!$B$6))),"",IF(Ввод!$B$5+3024&gt;Ввод!$B$6,"",Ввод!$B$5+3024))</f>
        <v/>
      </c>
      <c r="B3026">
        <f>IF(A3026="","",IFERROR(INDEX(Ввод!$B$12:$B$71,MATCH(A3026,Ввод!$D$12:$D$71,1)),""))</f>
        <v/>
      </c>
      <c r="C3026">
        <f>IF(A3026="","",DATE(YEAR(A3026),12,31)-DATE(YEAR(A3026),1,1)+1)</f>
        <v/>
      </c>
      <c r="D3026">
        <f>IF(A3026="","",Ввод!$B$4-SUMIF(Оплаты!$A$6:$A$505,"&lt;"&amp;A3026,Оплаты!$B$6:$B$505))</f>
        <v/>
      </c>
      <c r="E3026">
        <f>IF(A3026="","",IF(SUMPRODUCT((Ввод!$F$12:$F$31&lt;&gt;"")*(Ввод!$F$12:$F$31&lt;=A3026)*(Ввод!$G$12:$G$31&gt;=A3026))&gt;0,1,0))</f>
        <v/>
      </c>
      <c r="F3026">
        <f>IF(OR(A3026="",B3026=""),"",IF(E3026=1,0,D3026*B3026/100/C3026))</f>
        <v/>
      </c>
      <c r="G3026">
        <f>IF(A3026="","",IF(OR(B3026&lt;&gt;B3025,C3026&lt;&gt;C3025,D3026&lt;&gt;D3025,E3026&lt;&gt;E3025),G3025+1,G3025))</f>
        <v/>
      </c>
    </row>
    <row r="3027">
      <c r="A3027" s="14">
        <f>IF(OR(NOT(ISNUMBER(Ввод!$B$5)),NOT(ISNUMBER(Ввод!$B$6))),"",IF(Ввод!$B$5+3025&gt;Ввод!$B$6,"",Ввод!$B$5+3025))</f>
        <v/>
      </c>
      <c r="B3027">
        <f>IF(A3027="","",IFERROR(INDEX(Ввод!$B$12:$B$71,MATCH(A3027,Ввод!$D$12:$D$71,1)),""))</f>
        <v/>
      </c>
      <c r="C3027">
        <f>IF(A3027="","",DATE(YEAR(A3027),12,31)-DATE(YEAR(A3027),1,1)+1)</f>
        <v/>
      </c>
      <c r="D3027">
        <f>IF(A3027="","",Ввод!$B$4-SUMIF(Оплаты!$A$6:$A$505,"&lt;"&amp;A3027,Оплаты!$B$6:$B$505))</f>
        <v/>
      </c>
      <c r="E3027">
        <f>IF(A3027="","",IF(SUMPRODUCT((Ввод!$F$12:$F$31&lt;&gt;"")*(Ввод!$F$12:$F$31&lt;=A3027)*(Ввод!$G$12:$G$31&gt;=A3027))&gt;0,1,0))</f>
        <v/>
      </c>
      <c r="F3027">
        <f>IF(OR(A3027="",B3027=""),"",IF(E3027=1,0,D3027*B3027/100/C3027))</f>
        <v/>
      </c>
      <c r="G3027">
        <f>IF(A3027="","",IF(OR(B3027&lt;&gt;B3026,C3027&lt;&gt;C3026,D3027&lt;&gt;D3026,E3027&lt;&gt;E3026),G3026+1,G3026))</f>
        <v/>
      </c>
    </row>
    <row r="3028">
      <c r="A3028" s="14">
        <f>IF(OR(NOT(ISNUMBER(Ввод!$B$5)),NOT(ISNUMBER(Ввод!$B$6))),"",IF(Ввод!$B$5+3026&gt;Ввод!$B$6,"",Ввод!$B$5+3026))</f>
        <v/>
      </c>
      <c r="B3028">
        <f>IF(A3028="","",IFERROR(INDEX(Ввод!$B$12:$B$71,MATCH(A3028,Ввод!$D$12:$D$71,1)),""))</f>
        <v/>
      </c>
      <c r="C3028">
        <f>IF(A3028="","",DATE(YEAR(A3028),12,31)-DATE(YEAR(A3028),1,1)+1)</f>
        <v/>
      </c>
      <c r="D3028">
        <f>IF(A3028="","",Ввод!$B$4-SUMIF(Оплаты!$A$6:$A$505,"&lt;"&amp;A3028,Оплаты!$B$6:$B$505))</f>
        <v/>
      </c>
      <c r="E3028">
        <f>IF(A3028="","",IF(SUMPRODUCT((Ввод!$F$12:$F$31&lt;&gt;"")*(Ввод!$F$12:$F$31&lt;=A3028)*(Ввод!$G$12:$G$31&gt;=A3028))&gt;0,1,0))</f>
        <v/>
      </c>
      <c r="F3028">
        <f>IF(OR(A3028="",B3028=""),"",IF(E3028=1,0,D3028*B3028/100/C3028))</f>
        <v/>
      </c>
      <c r="G3028">
        <f>IF(A3028="","",IF(OR(B3028&lt;&gt;B3027,C3028&lt;&gt;C3027,D3028&lt;&gt;D3027,E3028&lt;&gt;E3027),G3027+1,G3027))</f>
        <v/>
      </c>
    </row>
    <row r="3029">
      <c r="A3029" s="14">
        <f>IF(OR(NOT(ISNUMBER(Ввод!$B$5)),NOT(ISNUMBER(Ввод!$B$6))),"",IF(Ввод!$B$5+3027&gt;Ввод!$B$6,"",Ввод!$B$5+3027))</f>
        <v/>
      </c>
      <c r="B3029">
        <f>IF(A3029="","",IFERROR(INDEX(Ввод!$B$12:$B$71,MATCH(A3029,Ввод!$D$12:$D$71,1)),""))</f>
        <v/>
      </c>
      <c r="C3029">
        <f>IF(A3029="","",DATE(YEAR(A3029),12,31)-DATE(YEAR(A3029),1,1)+1)</f>
        <v/>
      </c>
      <c r="D3029">
        <f>IF(A3029="","",Ввод!$B$4-SUMIF(Оплаты!$A$6:$A$505,"&lt;"&amp;A3029,Оплаты!$B$6:$B$505))</f>
        <v/>
      </c>
      <c r="E3029">
        <f>IF(A3029="","",IF(SUMPRODUCT((Ввод!$F$12:$F$31&lt;&gt;"")*(Ввод!$F$12:$F$31&lt;=A3029)*(Ввод!$G$12:$G$31&gt;=A3029))&gt;0,1,0))</f>
        <v/>
      </c>
      <c r="F3029">
        <f>IF(OR(A3029="",B3029=""),"",IF(E3029=1,0,D3029*B3029/100/C3029))</f>
        <v/>
      </c>
      <c r="G3029">
        <f>IF(A3029="","",IF(OR(B3029&lt;&gt;B3028,C3029&lt;&gt;C3028,D3029&lt;&gt;D3028,E3029&lt;&gt;E3028),G3028+1,G3028))</f>
        <v/>
      </c>
    </row>
    <row r="3030">
      <c r="A3030" s="14">
        <f>IF(OR(NOT(ISNUMBER(Ввод!$B$5)),NOT(ISNUMBER(Ввод!$B$6))),"",IF(Ввод!$B$5+3028&gt;Ввод!$B$6,"",Ввод!$B$5+3028))</f>
        <v/>
      </c>
      <c r="B3030">
        <f>IF(A3030="","",IFERROR(INDEX(Ввод!$B$12:$B$71,MATCH(A3030,Ввод!$D$12:$D$71,1)),""))</f>
        <v/>
      </c>
      <c r="C3030">
        <f>IF(A3030="","",DATE(YEAR(A3030),12,31)-DATE(YEAR(A3030),1,1)+1)</f>
        <v/>
      </c>
      <c r="D3030">
        <f>IF(A3030="","",Ввод!$B$4-SUMIF(Оплаты!$A$6:$A$505,"&lt;"&amp;A3030,Оплаты!$B$6:$B$505))</f>
        <v/>
      </c>
      <c r="E3030">
        <f>IF(A3030="","",IF(SUMPRODUCT((Ввод!$F$12:$F$31&lt;&gt;"")*(Ввод!$F$12:$F$31&lt;=A3030)*(Ввод!$G$12:$G$31&gt;=A3030))&gt;0,1,0))</f>
        <v/>
      </c>
      <c r="F3030">
        <f>IF(OR(A3030="",B3030=""),"",IF(E3030=1,0,D3030*B3030/100/C3030))</f>
        <v/>
      </c>
      <c r="G3030">
        <f>IF(A3030="","",IF(OR(B3030&lt;&gt;B3029,C3030&lt;&gt;C3029,D3030&lt;&gt;D3029,E3030&lt;&gt;E3029),G3029+1,G3029))</f>
        <v/>
      </c>
    </row>
    <row r="3031">
      <c r="A3031" s="14">
        <f>IF(OR(NOT(ISNUMBER(Ввод!$B$5)),NOT(ISNUMBER(Ввод!$B$6))),"",IF(Ввод!$B$5+3029&gt;Ввод!$B$6,"",Ввод!$B$5+3029))</f>
        <v/>
      </c>
      <c r="B3031">
        <f>IF(A3031="","",IFERROR(INDEX(Ввод!$B$12:$B$71,MATCH(A3031,Ввод!$D$12:$D$71,1)),""))</f>
        <v/>
      </c>
      <c r="C3031">
        <f>IF(A3031="","",DATE(YEAR(A3031),12,31)-DATE(YEAR(A3031),1,1)+1)</f>
        <v/>
      </c>
      <c r="D3031">
        <f>IF(A3031="","",Ввод!$B$4-SUMIF(Оплаты!$A$6:$A$505,"&lt;"&amp;A3031,Оплаты!$B$6:$B$505))</f>
        <v/>
      </c>
      <c r="E3031">
        <f>IF(A3031="","",IF(SUMPRODUCT((Ввод!$F$12:$F$31&lt;&gt;"")*(Ввод!$F$12:$F$31&lt;=A3031)*(Ввод!$G$12:$G$31&gt;=A3031))&gt;0,1,0))</f>
        <v/>
      </c>
      <c r="F3031">
        <f>IF(OR(A3031="",B3031=""),"",IF(E3031=1,0,D3031*B3031/100/C3031))</f>
        <v/>
      </c>
      <c r="G3031">
        <f>IF(A3031="","",IF(OR(B3031&lt;&gt;B3030,C3031&lt;&gt;C3030,D3031&lt;&gt;D3030,E3031&lt;&gt;E3030),G3030+1,G3030))</f>
        <v/>
      </c>
    </row>
    <row r="3032">
      <c r="A3032" s="14">
        <f>IF(OR(NOT(ISNUMBER(Ввод!$B$5)),NOT(ISNUMBER(Ввод!$B$6))),"",IF(Ввод!$B$5+3030&gt;Ввод!$B$6,"",Ввод!$B$5+3030))</f>
        <v/>
      </c>
      <c r="B3032">
        <f>IF(A3032="","",IFERROR(INDEX(Ввод!$B$12:$B$71,MATCH(A3032,Ввод!$D$12:$D$71,1)),""))</f>
        <v/>
      </c>
      <c r="C3032">
        <f>IF(A3032="","",DATE(YEAR(A3032),12,31)-DATE(YEAR(A3032),1,1)+1)</f>
        <v/>
      </c>
      <c r="D3032">
        <f>IF(A3032="","",Ввод!$B$4-SUMIF(Оплаты!$A$6:$A$505,"&lt;"&amp;A3032,Оплаты!$B$6:$B$505))</f>
        <v/>
      </c>
      <c r="E3032">
        <f>IF(A3032="","",IF(SUMPRODUCT((Ввод!$F$12:$F$31&lt;&gt;"")*(Ввод!$F$12:$F$31&lt;=A3032)*(Ввод!$G$12:$G$31&gt;=A3032))&gt;0,1,0))</f>
        <v/>
      </c>
      <c r="F3032">
        <f>IF(OR(A3032="",B3032=""),"",IF(E3032=1,0,D3032*B3032/100/C3032))</f>
        <v/>
      </c>
      <c r="G3032">
        <f>IF(A3032="","",IF(OR(B3032&lt;&gt;B3031,C3032&lt;&gt;C3031,D3032&lt;&gt;D3031,E3032&lt;&gt;E3031),G3031+1,G3031))</f>
        <v/>
      </c>
    </row>
    <row r="3033">
      <c r="A3033" s="14">
        <f>IF(OR(NOT(ISNUMBER(Ввод!$B$5)),NOT(ISNUMBER(Ввод!$B$6))),"",IF(Ввод!$B$5+3031&gt;Ввод!$B$6,"",Ввод!$B$5+3031))</f>
        <v/>
      </c>
      <c r="B3033">
        <f>IF(A3033="","",IFERROR(INDEX(Ввод!$B$12:$B$71,MATCH(A3033,Ввод!$D$12:$D$71,1)),""))</f>
        <v/>
      </c>
      <c r="C3033">
        <f>IF(A3033="","",DATE(YEAR(A3033),12,31)-DATE(YEAR(A3033),1,1)+1)</f>
        <v/>
      </c>
      <c r="D3033">
        <f>IF(A3033="","",Ввод!$B$4-SUMIF(Оплаты!$A$6:$A$505,"&lt;"&amp;A3033,Оплаты!$B$6:$B$505))</f>
        <v/>
      </c>
      <c r="E3033">
        <f>IF(A3033="","",IF(SUMPRODUCT((Ввод!$F$12:$F$31&lt;&gt;"")*(Ввод!$F$12:$F$31&lt;=A3033)*(Ввод!$G$12:$G$31&gt;=A3033))&gt;0,1,0))</f>
        <v/>
      </c>
      <c r="F3033">
        <f>IF(OR(A3033="",B3033=""),"",IF(E3033=1,0,D3033*B3033/100/C3033))</f>
        <v/>
      </c>
      <c r="G3033">
        <f>IF(A3033="","",IF(OR(B3033&lt;&gt;B3032,C3033&lt;&gt;C3032,D3033&lt;&gt;D3032,E3033&lt;&gt;E3032),G3032+1,G3032))</f>
        <v/>
      </c>
    </row>
    <row r="3034">
      <c r="A3034" s="14">
        <f>IF(OR(NOT(ISNUMBER(Ввод!$B$5)),NOT(ISNUMBER(Ввод!$B$6))),"",IF(Ввод!$B$5+3032&gt;Ввод!$B$6,"",Ввод!$B$5+3032))</f>
        <v/>
      </c>
      <c r="B3034">
        <f>IF(A3034="","",IFERROR(INDEX(Ввод!$B$12:$B$71,MATCH(A3034,Ввод!$D$12:$D$71,1)),""))</f>
        <v/>
      </c>
      <c r="C3034">
        <f>IF(A3034="","",DATE(YEAR(A3034),12,31)-DATE(YEAR(A3034),1,1)+1)</f>
        <v/>
      </c>
      <c r="D3034">
        <f>IF(A3034="","",Ввод!$B$4-SUMIF(Оплаты!$A$6:$A$505,"&lt;"&amp;A3034,Оплаты!$B$6:$B$505))</f>
        <v/>
      </c>
      <c r="E3034">
        <f>IF(A3034="","",IF(SUMPRODUCT((Ввод!$F$12:$F$31&lt;&gt;"")*(Ввод!$F$12:$F$31&lt;=A3034)*(Ввод!$G$12:$G$31&gt;=A3034))&gt;0,1,0))</f>
        <v/>
      </c>
      <c r="F3034">
        <f>IF(OR(A3034="",B3034=""),"",IF(E3034=1,0,D3034*B3034/100/C3034))</f>
        <v/>
      </c>
      <c r="G3034">
        <f>IF(A3034="","",IF(OR(B3034&lt;&gt;B3033,C3034&lt;&gt;C3033,D3034&lt;&gt;D3033,E3034&lt;&gt;E3033),G3033+1,G3033))</f>
        <v/>
      </c>
    </row>
    <row r="3035">
      <c r="A3035" s="14">
        <f>IF(OR(NOT(ISNUMBER(Ввод!$B$5)),NOT(ISNUMBER(Ввод!$B$6))),"",IF(Ввод!$B$5+3033&gt;Ввод!$B$6,"",Ввод!$B$5+3033))</f>
        <v/>
      </c>
      <c r="B3035">
        <f>IF(A3035="","",IFERROR(INDEX(Ввод!$B$12:$B$71,MATCH(A3035,Ввод!$D$12:$D$71,1)),""))</f>
        <v/>
      </c>
      <c r="C3035">
        <f>IF(A3035="","",DATE(YEAR(A3035),12,31)-DATE(YEAR(A3035),1,1)+1)</f>
        <v/>
      </c>
      <c r="D3035">
        <f>IF(A3035="","",Ввод!$B$4-SUMIF(Оплаты!$A$6:$A$505,"&lt;"&amp;A3035,Оплаты!$B$6:$B$505))</f>
        <v/>
      </c>
      <c r="E3035">
        <f>IF(A3035="","",IF(SUMPRODUCT((Ввод!$F$12:$F$31&lt;&gt;"")*(Ввод!$F$12:$F$31&lt;=A3035)*(Ввод!$G$12:$G$31&gt;=A3035))&gt;0,1,0))</f>
        <v/>
      </c>
      <c r="F3035">
        <f>IF(OR(A3035="",B3035=""),"",IF(E3035=1,0,D3035*B3035/100/C3035))</f>
        <v/>
      </c>
      <c r="G3035">
        <f>IF(A3035="","",IF(OR(B3035&lt;&gt;B3034,C3035&lt;&gt;C3034,D3035&lt;&gt;D3034,E3035&lt;&gt;E3034),G3034+1,G3034))</f>
        <v/>
      </c>
    </row>
    <row r="3036">
      <c r="A3036" s="14">
        <f>IF(OR(NOT(ISNUMBER(Ввод!$B$5)),NOT(ISNUMBER(Ввод!$B$6))),"",IF(Ввод!$B$5+3034&gt;Ввод!$B$6,"",Ввод!$B$5+3034))</f>
        <v/>
      </c>
      <c r="B3036">
        <f>IF(A3036="","",IFERROR(INDEX(Ввод!$B$12:$B$71,MATCH(A3036,Ввод!$D$12:$D$71,1)),""))</f>
        <v/>
      </c>
      <c r="C3036">
        <f>IF(A3036="","",DATE(YEAR(A3036),12,31)-DATE(YEAR(A3036),1,1)+1)</f>
        <v/>
      </c>
      <c r="D3036">
        <f>IF(A3036="","",Ввод!$B$4-SUMIF(Оплаты!$A$6:$A$505,"&lt;"&amp;A3036,Оплаты!$B$6:$B$505))</f>
        <v/>
      </c>
      <c r="E3036">
        <f>IF(A3036="","",IF(SUMPRODUCT((Ввод!$F$12:$F$31&lt;&gt;"")*(Ввод!$F$12:$F$31&lt;=A3036)*(Ввод!$G$12:$G$31&gt;=A3036))&gt;0,1,0))</f>
        <v/>
      </c>
      <c r="F3036">
        <f>IF(OR(A3036="",B3036=""),"",IF(E3036=1,0,D3036*B3036/100/C3036))</f>
        <v/>
      </c>
      <c r="G3036">
        <f>IF(A3036="","",IF(OR(B3036&lt;&gt;B3035,C3036&lt;&gt;C3035,D3036&lt;&gt;D3035,E3036&lt;&gt;E3035),G3035+1,G3035))</f>
        <v/>
      </c>
    </row>
    <row r="3037">
      <c r="A3037" s="14">
        <f>IF(OR(NOT(ISNUMBER(Ввод!$B$5)),NOT(ISNUMBER(Ввод!$B$6))),"",IF(Ввод!$B$5+3035&gt;Ввод!$B$6,"",Ввод!$B$5+3035))</f>
        <v/>
      </c>
      <c r="B3037">
        <f>IF(A3037="","",IFERROR(INDEX(Ввод!$B$12:$B$71,MATCH(A3037,Ввод!$D$12:$D$71,1)),""))</f>
        <v/>
      </c>
      <c r="C3037">
        <f>IF(A3037="","",DATE(YEAR(A3037),12,31)-DATE(YEAR(A3037),1,1)+1)</f>
        <v/>
      </c>
      <c r="D3037">
        <f>IF(A3037="","",Ввод!$B$4-SUMIF(Оплаты!$A$6:$A$505,"&lt;"&amp;A3037,Оплаты!$B$6:$B$505))</f>
        <v/>
      </c>
      <c r="E3037">
        <f>IF(A3037="","",IF(SUMPRODUCT((Ввод!$F$12:$F$31&lt;&gt;"")*(Ввод!$F$12:$F$31&lt;=A3037)*(Ввод!$G$12:$G$31&gt;=A3037))&gt;0,1,0))</f>
        <v/>
      </c>
      <c r="F3037">
        <f>IF(OR(A3037="",B3037=""),"",IF(E3037=1,0,D3037*B3037/100/C3037))</f>
        <v/>
      </c>
      <c r="G3037">
        <f>IF(A3037="","",IF(OR(B3037&lt;&gt;B3036,C3037&lt;&gt;C3036,D3037&lt;&gt;D3036,E3037&lt;&gt;E3036),G3036+1,G3036))</f>
        <v/>
      </c>
    </row>
    <row r="3038">
      <c r="A3038" s="14">
        <f>IF(OR(NOT(ISNUMBER(Ввод!$B$5)),NOT(ISNUMBER(Ввод!$B$6))),"",IF(Ввод!$B$5+3036&gt;Ввод!$B$6,"",Ввод!$B$5+3036))</f>
        <v/>
      </c>
      <c r="B3038">
        <f>IF(A3038="","",IFERROR(INDEX(Ввод!$B$12:$B$71,MATCH(A3038,Ввод!$D$12:$D$71,1)),""))</f>
        <v/>
      </c>
      <c r="C3038">
        <f>IF(A3038="","",DATE(YEAR(A3038),12,31)-DATE(YEAR(A3038),1,1)+1)</f>
        <v/>
      </c>
      <c r="D3038">
        <f>IF(A3038="","",Ввод!$B$4-SUMIF(Оплаты!$A$6:$A$505,"&lt;"&amp;A3038,Оплаты!$B$6:$B$505))</f>
        <v/>
      </c>
      <c r="E3038">
        <f>IF(A3038="","",IF(SUMPRODUCT((Ввод!$F$12:$F$31&lt;&gt;"")*(Ввод!$F$12:$F$31&lt;=A3038)*(Ввод!$G$12:$G$31&gt;=A3038))&gt;0,1,0))</f>
        <v/>
      </c>
      <c r="F3038">
        <f>IF(OR(A3038="",B3038=""),"",IF(E3038=1,0,D3038*B3038/100/C3038))</f>
        <v/>
      </c>
      <c r="G3038">
        <f>IF(A3038="","",IF(OR(B3038&lt;&gt;B3037,C3038&lt;&gt;C3037,D3038&lt;&gt;D3037,E3038&lt;&gt;E3037),G3037+1,G3037))</f>
        <v/>
      </c>
    </row>
    <row r="3039">
      <c r="A3039" s="14">
        <f>IF(OR(NOT(ISNUMBER(Ввод!$B$5)),NOT(ISNUMBER(Ввод!$B$6))),"",IF(Ввод!$B$5+3037&gt;Ввод!$B$6,"",Ввод!$B$5+3037))</f>
        <v/>
      </c>
      <c r="B3039">
        <f>IF(A3039="","",IFERROR(INDEX(Ввод!$B$12:$B$71,MATCH(A3039,Ввод!$D$12:$D$71,1)),""))</f>
        <v/>
      </c>
      <c r="C3039">
        <f>IF(A3039="","",DATE(YEAR(A3039),12,31)-DATE(YEAR(A3039),1,1)+1)</f>
        <v/>
      </c>
      <c r="D3039">
        <f>IF(A3039="","",Ввод!$B$4-SUMIF(Оплаты!$A$6:$A$505,"&lt;"&amp;A3039,Оплаты!$B$6:$B$505))</f>
        <v/>
      </c>
      <c r="E3039">
        <f>IF(A3039="","",IF(SUMPRODUCT((Ввод!$F$12:$F$31&lt;&gt;"")*(Ввод!$F$12:$F$31&lt;=A3039)*(Ввод!$G$12:$G$31&gt;=A3039))&gt;0,1,0))</f>
        <v/>
      </c>
      <c r="F3039">
        <f>IF(OR(A3039="",B3039=""),"",IF(E3039=1,0,D3039*B3039/100/C3039))</f>
        <v/>
      </c>
      <c r="G3039">
        <f>IF(A3039="","",IF(OR(B3039&lt;&gt;B3038,C3039&lt;&gt;C3038,D3039&lt;&gt;D3038,E3039&lt;&gt;E3038),G3038+1,G3038))</f>
        <v/>
      </c>
    </row>
    <row r="3040">
      <c r="A3040" s="14">
        <f>IF(OR(NOT(ISNUMBER(Ввод!$B$5)),NOT(ISNUMBER(Ввод!$B$6))),"",IF(Ввод!$B$5+3038&gt;Ввод!$B$6,"",Ввод!$B$5+3038))</f>
        <v/>
      </c>
      <c r="B3040">
        <f>IF(A3040="","",IFERROR(INDEX(Ввод!$B$12:$B$71,MATCH(A3040,Ввод!$D$12:$D$71,1)),""))</f>
        <v/>
      </c>
      <c r="C3040">
        <f>IF(A3040="","",DATE(YEAR(A3040),12,31)-DATE(YEAR(A3040),1,1)+1)</f>
        <v/>
      </c>
      <c r="D3040">
        <f>IF(A3040="","",Ввод!$B$4-SUMIF(Оплаты!$A$6:$A$505,"&lt;"&amp;A3040,Оплаты!$B$6:$B$505))</f>
        <v/>
      </c>
      <c r="E3040">
        <f>IF(A3040="","",IF(SUMPRODUCT((Ввод!$F$12:$F$31&lt;&gt;"")*(Ввод!$F$12:$F$31&lt;=A3040)*(Ввод!$G$12:$G$31&gt;=A3040))&gt;0,1,0))</f>
        <v/>
      </c>
      <c r="F3040">
        <f>IF(OR(A3040="",B3040=""),"",IF(E3040=1,0,D3040*B3040/100/C3040))</f>
        <v/>
      </c>
      <c r="G3040">
        <f>IF(A3040="","",IF(OR(B3040&lt;&gt;B3039,C3040&lt;&gt;C3039,D3040&lt;&gt;D3039,E3040&lt;&gt;E3039),G3039+1,G3039))</f>
        <v/>
      </c>
    </row>
    <row r="3041">
      <c r="A3041" s="14">
        <f>IF(OR(NOT(ISNUMBER(Ввод!$B$5)),NOT(ISNUMBER(Ввод!$B$6))),"",IF(Ввод!$B$5+3039&gt;Ввод!$B$6,"",Ввод!$B$5+3039))</f>
        <v/>
      </c>
      <c r="B3041">
        <f>IF(A3041="","",IFERROR(INDEX(Ввод!$B$12:$B$71,MATCH(A3041,Ввод!$D$12:$D$71,1)),""))</f>
        <v/>
      </c>
      <c r="C3041">
        <f>IF(A3041="","",DATE(YEAR(A3041),12,31)-DATE(YEAR(A3041),1,1)+1)</f>
        <v/>
      </c>
      <c r="D3041">
        <f>IF(A3041="","",Ввод!$B$4-SUMIF(Оплаты!$A$6:$A$505,"&lt;"&amp;A3041,Оплаты!$B$6:$B$505))</f>
        <v/>
      </c>
      <c r="E3041">
        <f>IF(A3041="","",IF(SUMPRODUCT((Ввод!$F$12:$F$31&lt;&gt;"")*(Ввод!$F$12:$F$31&lt;=A3041)*(Ввод!$G$12:$G$31&gt;=A3041))&gt;0,1,0))</f>
        <v/>
      </c>
      <c r="F3041">
        <f>IF(OR(A3041="",B3041=""),"",IF(E3041=1,0,D3041*B3041/100/C3041))</f>
        <v/>
      </c>
      <c r="G3041">
        <f>IF(A3041="","",IF(OR(B3041&lt;&gt;B3040,C3041&lt;&gt;C3040,D3041&lt;&gt;D3040,E3041&lt;&gt;E3040),G3040+1,G3040))</f>
        <v/>
      </c>
    </row>
    <row r="3042">
      <c r="A3042" s="14">
        <f>IF(OR(NOT(ISNUMBER(Ввод!$B$5)),NOT(ISNUMBER(Ввод!$B$6))),"",IF(Ввод!$B$5+3040&gt;Ввод!$B$6,"",Ввод!$B$5+3040))</f>
        <v/>
      </c>
      <c r="B3042">
        <f>IF(A3042="","",IFERROR(INDEX(Ввод!$B$12:$B$71,MATCH(A3042,Ввод!$D$12:$D$71,1)),""))</f>
        <v/>
      </c>
      <c r="C3042">
        <f>IF(A3042="","",DATE(YEAR(A3042),12,31)-DATE(YEAR(A3042),1,1)+1)</f>
        <v/>
      </c>
      <c r="D3042">
        <f>IF(A3042="","",Ввод!$B$4-SUMIF(Оплаты!$A$6:$A$505,"&lt;"&amp;A3042,Оплаты!$B$6:$B$505))</f>
        <v/>
      </c>
      <c r="E3042">
        <f>IF(A3042="","",IF(SUMPRODUCT((Ввод!$F$12:$F$31&lt;&gt;"")*(Ввод!$F$12:$F$31&lt;=A3042)*(Ввод!$G$12:$G$31&gt;=A3042))&gt;0,1,0))</f>
        <v/>
      </c>
      <c r="F3042">
        <f>IF(OR(A3042="",B3042=""),"",IF(E3042=1,0,D3042*B3042/100/C3042))</f>
        <v/>
      </c>
      <c r="G3042">
        <f>IF(A3042="","",IF(OR(B3042&lt;&gt;B3041,C3042&lt;&gt;C3041,D3042&lt;&gt;D3041,E3042&lt;&gt;E3041),G3041+1,G3041))</f>
        <v/>
      </c>
    </row>
    <row r="3043">
      <c r="A3043" s="14">
        <f>IF(OR(NOT(ISNUMBER(Ввод!$B$5)),NOT(ISNUMBER(Ввод!$B$6))),"",IF(Ввод!$B$5+3041&gt;Ввод!$B$6,"",Ввод!$B$5+3041))</f>
        <v/>
      </c>
      <c r="B3043">
        <f>IF(A3043="","",IFERROR(INDEX(Ввод!$B$12:$B$71,MATCH(A3043,Ввод!$D$12:$D$71,1)),""))</f>
        <v/>
      </c>
      <c r="C3043">
        <f>IF(A3043="","",DATE(YEAR(A3043),12,31)-DATE(YEAR(A3043),1,1)+1)</f>
        <v/>
      </c>
      <c r="D3043">
        <f>IF(A3043="","",Ввод!$B$4-SUMIF(Оплаты!$A$6:$A$505,"&lt;"&amp;A3043,Оплаты!$B$6:$B$505))</f>
        <v/>
      </c>
      <c r="E3043">
        <f>IF(A3043="","",IF(SUMPRODUCT((Ввод!$F$12:$F$31&lt;&gt;"")*(Ввод!$F$12:$F$31&lt;=A3043)*(Ввод!$G$12:$G$31&gt;=A3043))&gt;0,1,0))</f>
        <v/>
      </c>
      <c r="F3043">
        <f>IF(OR(A3043="",B3043=""),"",IF(E3043=1,0,D3043*B3043/100/C3043))</f>
        <v/>
      </c>
      <c r="G3043">
        <f>IF(A3043="","",IF(OR(B3043&lt;&gt;B3042,C3043&lt;&gt;C3042,D3043&lt;&gt;D3042,E3043&lt;&gt;E3042),G3042+1,G3042))</f>
        <v/>
      </c>
    </row>
    <row r="3044">
      <c r="A3044" s="14">
        <f>IF(OR(NOT(ISNUMBER(Ввод!$B$5)),NOT(ISNUMBER(Ввод!$B$6))),"",IF(Ввод!$B$5+3042&gt;Ввод!$B$6,"",Ввод!$B$5+3042))</f>
        <v/>
      </c>
      <c r="B3044">
        <f>IF(A3044="","",IFERROR(INDEX(Ввод!$B$12:$B$71,MATCH(A3044,Ввод!$D$12:$D$71,1)),""))</f>
        <v/>
      </c>
      <c r="C3044">
        <f>IF(A3044="","",DATE(YEAR(A3044),12,31)-DATE(YEAR(A3044),1,1)+1)</f>
        <v/>
      </c>
      <c r="D3044">
        <f>IF(A3044="","",Ввод!$B$4-SUMIF(Оплаты!$A$6:$A$505,"&lt;"&amp;A3044,Оплаты!$B$6:$B$505))</f>
        <v/>
      </c>
      <c r="E3044">
        <f>IF(A3044="","",IF(SUMPRODUCT((Ввод!$F$12:$F$31&lt;&gt;"")*(Ввод!$F$12:$F$31&lt;=A3044)*(Ввод!$G$12:$G$31&gt;=A3044))&gt;0,1,0))</f>
        <v/>
      </c>
      <c r="F3044">
        <f>IF(OR(A3044="",B3044=""),"",IF(E3044=1,0,D3044*B3044/100/C3044))</f>
        <v/>
      </c>
      <c r="G3044">
        <f>IF(A3044="","",IF(OR(B3044&lt;&gt;B3043,C3044&lt;&gt;C3043,D3044&lt;&gt;D3043,E3044&lt;&gt;E3043),G3043+1,G3043))</f>
        <v/>
      </c>
    </row>
    <row r="3045">
      <c r="A3045" s="14">
        <f>IF(OR(NOT(ISNUMBER(Ввод!$B$5)),NOT(ISNUMBER(Ввод!$B$6))),"",IF(Ввод!$B$5+3043&gt;Ввод!$B$6,"",Ввод!$B$5+3043))</f>
        <v/>
      </c>
      <c r="B3045">
        <f>IF(A3045="","",IFERROR(INDEX(Ввод!$B$12:$B$71,MATCH(A3045,Ввод!$D$12:$D$71,1)),""))</f>
        <v/>
      </c>
      <c r="C3045">
        <f>IF(A3045="","",DATE(YEAR(A3045),12,31)-DATE(YEAR(A3045),1,1)+1)</f>
        <v/>
      </c>
      <c r="D3045">
        <f>IF(A3045="","",Ввод!$B$4-SUMIF(Оплаты!$A$6:$A$505,"&lt;"&amp;A3045,Оплаты!$B$6:$B$505))</f>
        <v/>
      </c>
      <c r="E3045">
        <f>IF(A3045="","",IF(SUMPRODUCT((Ввод!$F$12:$F$31&lt;&gt;"")*(Ввод!$F$12:$F$31&lt;=A3045)*(Ввод!$G$12:$G$31&gt;=A3045))&gt;0,1,0))</f>
        <v/>
      </c>
      <c r="F3045">
        <f>IF(OR(A3045="",B3045=""),"",IF(E3045=1,0,D3045*B3045/100/C3045))</f>
        <v/>
      </c>
      <c r="G3045">
        <f>IF(A3045="","",IF(OR(B3045&lt;&gt;B3044,C3045&lt;&gt;C3044,D3045&lt;&gt;D3044,E3045&lt;&gt;E3044),G3044+1,G3044))</f>
        <v/>
      </c>
    </row>
    <row r="3046">
      <c r="A3046" s="14">
        <f>IF(OR(NOT(ISNUMBER(Ввод!$B$5)),NOT(ISNUMBER(Ввод!$B$6))),"",IF(Ввод!$B$5+3044&gt;Ввод!$B$6,"",Ввод!$B$5+3044))</f>
        <v/>
      </c>
      <c r="B3046">
        <f>IF(A3046="","",IFERROR(INDEX(Ввод!$B$12:$B$71,MATCH(A3046,Ввод!$D$12:$D$71,1)),""))</f>
        <v/>
      </c>
      <c r="C3046">
        <f>IF(A3046="","",DATE(YEAR(A3046),12,31)-DATE(YEAR(A3046),1,1)+1)</f>
        <v/>
      </c>
      <c r="D3046">
        <f>IF(A3046="","",Ввод!$B$4-SUMIF(Оплаты!$A$6:$A$505,"&lt;"&amp;A3046,Оплаты!$B$6:$B$505))</f>
        <v/>
      </c>
      <c r="E3046">
        <f>IF(A3046="","",IF(SUMPRODUCT((Ввод!$F$12:$F$31&lt;&gt;"")*(Ввод!$F$12:$F$31&lt;=A3046)*(Ввод!$G$12:$G$31&gt;=A3046))&gt;0,1,0))</f>
        <v/>
      </c>
      <c r="F3046">
        <f>IF(OR(A3046="",B3046=""),"",IF(E3046=1,0,D3046*B3046/100/C3046))</f>
        <v/>
      </c>
      <c r="G3046">
        <f>IF(A3046="","",IF(OR(B3046&lt;&gt;B3045,C3046&lt;&gt;C3045,D3046&lt;&gt;D3045,E3046&lt;&gt;E3045),G3045+1,G3045))</f>
        <v/>
      </c>
    </row>
    <row r="3047">
      <c r="A3047" s="14">
        <f>IF(OR(NOT(ISNUMBER(Ввод!$B$5)),NOT(ISNUMBER(Ввод!$B$6))),"",IF(Ввод!$B$5+3045&gt;Ввод!$B$6,"",Ввод!$B$5+3045))</f>
        <v/>
      </c>
      <c r="B3047">
        <f>IF(A3047="","",IFERROR(INDEX(Ввод!$B$12:$B$71,MATCH(A3047,Ввод!$D$12:$D$71,1)),""))</f>
        <v/>
      </c>
      <c r="C3047">
        <f>IF(A3047="","",DATE(YEAR(A3047),12,31)-DATE(YEAR(A3047),1,1)+1)</f>
        <v/>
      </c>
      <c r="D3047">
        <f>IF(A3047="","",Ввод!$B$4-SUMIF(Оплаты!$A$6:$A$505,"&lt;"&amp;A3047,Оплаты!$B$6:$B$505))</f>
        <v/>
      </c>
      <c r="E3047">
        <f>IF(A3047="","",IF(SUMPRODUCT((Ввод!$F$12:$F$31&lt;&gt;"")*(Ввод!$F$12:$F$31&lt;=A3047)*(Ввод!$G$12:$G$31&gt;=A3047))&gt;0,1,0))</f>
        <v/>
      </c>
      <c r="F3047">
        <f>IF(OR(A3047="",B3047=""),"",IF(E3047=1,0,D3047*B3047/100/C3047))</f>
        <v/>
      </c>
      <c r="G3047">
        <f>IF(A3047="","",IF(OR(B3047&lt;&gt;B3046,C3047&lt;&gt;C3046,D3047&lt;&gt;D3046,E3047&lt;&gt;E3046),G3046+1,G3046))</f>
        <v/>
      </c>
    </row>
    <row r="3048">
      <c r="A3048" s="14">
        <f>IF(OR(NOT(ISNUMBER(Ввод!$B$5)),NOT(ISNUMBER(Ввод!$B$6))),"",IF(Ввод!$B$5+3046&gt;Ввод!$B$6,"",Ввод!$B$5+3046))</f>
        <v/>
      </c>
      <c r="B3048">
        <f>IF(A3048="","",IFERROR(INDEX(Ввод!$B$12:$B$71,MATCH(A3048,Ввод!$D$12:$D$71,1)),""))</f>
        <v/>
      </c>
      <c r="C3048">
        <f>IF(A3048="","",DATE(YEAR(A3048),12,31)-DATE(YEAR(A3048),1,1)+1)</f>
        <v/>
      </c>
      <c r="D3048">
        <f>IF(A3048="","",Ввод!$B$4-SUMIF(Оплаты!$A$6:$A$505,"&lt;"&amp;A3048,Оплаты!$B$6:$B$505))</f>
        <v/>
      </c>
      <c r="E3048">
        <f>IF(A3048="","",IF(SUMPRODUCT((Ввод!$F$12:$F$31&lt;&gt;"")*(Ввод!$F$12:$F$31&lt;=A3048)*(Ввод!$G$12:$G$31&gt;=A3048))&gt;0,1,0))</f>
        <v/>
      </c>
      <c r="F3048">
        <f>IF(OR(A3048="",B3048=""),"",IF(E3048=1,0,D3048*B3048/100/C3048))</f>
        <v/>
      </c>
      <c r="G3048">
        <f>IF(A3048="","",IF(OR(B3048&lt;&gt;B3047,C3048&lt;&gt;C3047,D3048&lt;&gt;D3047,E3048&lt;&gt;E3047),G3047+1,G3047))</f>
        <v/>
      </c>
    </row>
    <row r="3049">
      <c r="A3049" s="14">
        <f>IF(OR(NOT(ISNUMBER(Ввод!$B$5)),NOT(ISNUMBER(Ввод!$B$6))),"",IF(Ввод!$B$5+3047&gt;Ввод!$B$6,"",Ввод!$B$5+3047))</f>
        <v/>
      </c>
      <c r="B3049">
        <f>IF(A3049="","",IFERROR(INDEX(Ввод!$B$12:$B$71,MATCH(A3049,Ввод!$D$12:$D$71,1)),""))</f>
        <v/>
      </c>
      <c r="C3049">
        <f>IF(A3049="","",DATE(YEAR(A3049),12,31)-DATE(YEAR(A3049),1,1)+1)</f>
        <v/>
      </c>
      <c r="D3049">
        <f>IF(A3049="","",Ввод!$B$4-SUMIF(Оплаты!$A$6:$A$505,"&lt;"&amp;A3049,Оплаты!$B$6:$B$505))</f>
        <v/>
      </c>
      <c r="E3049">
        <f>IF(A3049="","",IF(SUMPRODUCT((Ввод!$F$12:$F$31&lt;&gt;"")*(Ввод!$F$12:$F$31&lt;=A3049)*(Ввод!$G$12:$G$31&gt;=A3049))&gt;0,1,0))</f>
        <v/>
      </c>
      <c r="F3049">
        <f>IF(OR(A3049="",B3049=""),"",IF(E3049=1,0,D3049*B3049/100/C3049))</f>
        <v/>
      </c>
      <c r="G3049">
        <f>IF(A3049="","",IF(OR(B3049&lt;&gt;B3048,C3049&lt;&gt;C3048,D3049&lt;&gt;D3048,E3049&lt;&gt;E3048),G3048+1,G3048))</f>
        <v/>
      </c>
    </row>
    <row r="3050">
      <c r="A3050" s="14">
        <f>IF(OR(NOT(ISNUMBER(Ввод!$B$5)),NOT(ISNUMBER(Ввод!$B$6))),"",IF(Ввод!$B$5+3048&gt;Ввод!$B$6,"",Ввод!$B$5+3048))</f>
        <v/>
      </c>
      <c r="B3050">
        <f>IF(A3050="","",IFERROR(INDEX(Ввод!$B$12:$B$71,MATCH(A3050,Ввод!$D$12:$D$71,1)),""))</f>
        <v/>
      </c>
      <c r="C3050">
        <f>IF(A3050="","",DATE(YEAR(A3050),12,31)-DATE(YEAR(A3050),1,1)+1)</f>
        <v/>
      </c>
      <c r="D3050">
        <f>IF(A3050="","",Ввод!$B$4-SUMIF(Оплаты!$A$6:$A$505,"&lt;"&amp;A3050,Оплаты!$B$6:$B$505))</f>
        <v/>
      </c>
      <c r="E3050">
        <f>IF(A3050="","",IF(SUMPRODUCT((Ввод!$F$12:$F$31&lt;&gt;"")*(Ввод!$F$12:$F$31&lt;=A3050)*(Ввод!$G$12:$G$31&gt;=A3050))&gt;0,1,0))</f>
        <v/>
      </c>
      <c r="F3050">
        <f>IF(OR(A3050="",B3050=""),"",IF(E3050=1,0,D3050*B3050/100/C3050))</f>
        <v/>
      </c>
      <c r="G3050">
        <f>IF(A3050="","",IF(OR(B3050&lt;&gt;B3049,C3050&lt;&gt;C3049,D3050&lt;&gt;D3049,E3050&lt;&gt;E3049),G3049+1,G3049))</f>
        <v/>
      </c>
    </row>
    <row r="3051">
      <c r="A3051" s="14">
        <f>IF(OR(NOT(ISNUMBER(Ввод!$B$5)),NOT(ISNUMBER(Ввод!$B$6))),"",IF(Ввод!$B$5+3049&gt;Ввод!$B$6,"",Ввод!$B$5+3049))</f>
        <v/>
      </c>
      <c r="B3051">
        <f>IF(A3051="","",IFERROR(INDEX(Ввод!$B$12:$B$71,MATCH(A3051,Ввод!$D$12:$D$71,1)),""))</f>
        <v/>
      </c>
      <c r="C3051">
        <f>IF(A3051="","",DATE(YEAR(A3051),12,31)-DATE(YEAR(A3051),1,1)+1)</f>
        <v/>
      </c>
      <c r="D3051">
        <f>IF(A3051="","",Ввод!$B$4-SUMIF(Оплаты!$A$6:$A$505,"&lt;"&amp;A3051,Оплаты!$B$6:$B$505))</f>
        <v/>
      </c>
      <c r="E3051">
        <f>IF(A3051="","",IF(SUMPRODUCT((Ввод!$F$12:$F$31&lt;&gt;"")*(Ввод!$F$12:$F$31&lt;=A3051)*(Ввод!$G$12:$G$31&gt;=A3051))&gt;0,1,0))</f>
        <v/>
      </c>
      <c r="F3051">
        <f>IF(OR(A3051="",B3051=""),"",IF(E3051=1,0,D3051*B3051/100/C3051))</f>
        <v/>
      </c>
      <c r="G3051">
        <f>IF(A3051="","",IF(OR(B3051&lt;&gt;B3050,C3051&lt;&gt;C3050,D3051&lt;&gt;D3050,E3051&lt;&gt;E3050),G3050+1,G3050))</f>
        <v/>
      </c>
    </row>
    <row r="3052">
      <c r="A3052" s="14">
        <f>IF(OR(NOT(ISNUMBER(Ввод!$B$5)),NOT(ISNUMBER(Ввод!$B$6))),"",IF(Ввод!$B$5+3050&gt;Ввод!$B$6,"",Ввод!$B$5+3050))</f>
        <v/>
      </c>
      <c r="B3052">
        <f>IF(A3052="","",IFERROR(INDEX(Ввод!$B$12:$B$71,MATCH(A3052,Ввод!$D$12:$D$71,1)),""))</f>
        <v/>
      </c>
      <c r="C3052">
        <f>IF(A3052="","",DATE(YEAR(A3052),12,31)-DATE(YEAR(A3052),1,1)+1)</f>
        <v/>
      </c>
      <c r="D3052">
        <f>IF(A3052="","",Ввод!$B$4-SUMIF(Оплаты!$A$6:$A$505,"&lt;"&amp;A3052,Оплаты!$B$6:$B$505))</f>
        <v/>
      </c>
      <c r="E3052">
        <f>IF(A3052="","",IF(SUMPRODUCT((Ввод!$F$12:$F$31&lt;&gt;"")*(Ввод!$F$12:$F$31&lt;=A3052)*(Ввод!$G$12:$G$31&gt;=A3052))&gt;0,1,0))</f>
        <v/>
      </c>
      <c r="F3052">
        <f>IF(OR(A3052="",B3052=""),"",IF(E3052=1,0,D3052*B3052/100/C3052))</f>
        <v/>
      </c>
      <c r="G3052">
        <f>IF(A3052="","",IF(OR(B3052&lt;&gt;B3051,C3052&lt;&gt;C3051,D3052&lt;&gt;D3051,E3052&lt;&gt;E3051),G3051+1,G3051))</f>
        <v/>
      </c>
    </row>
    <row r="3053">
      <c r="A3053" s="14">
        <f>IF(OR(NOT(ISNUMBER(Ввод!$B$5)),NOT(ISNUMBER(Ввод!$B$6))),"",IF(Ввод!$B$5+3051&gt;Ввод!$B$6,"",Ввод!$B$5+3051))</f>
        <v/>
      </c>
      <c r="B3053">
        <f>IF(A3053="","",IFERROR(INDEX(Ввод!$B$12:$B$71,MATCH(A3053,Ввод!$D$12:$D$71,1)),""))</f>
        <v/>
      </c>
      <c r="C3053">
        <f>IF(A3053="","",DATE(YEAR(A3053),12,31)-DATE(YEAR(A3053),1,1)+1)</f>
        <v/>
      </c>
      <c r="D3053">
        <f>IF(A3053="","",Ввод!$B$4-SUMIF(Оплаты!$A$6:$A$505,"&lt;"&amp;A3053,Оплаты!$B$6:$B$505))</f>
        <v/>
      </c>
      <c r="E3053">
        <f>IF(A3053="","",IF(SUMPRODUCT((Ввод!$F$12:$F$31&lt;&gt;"")*(Ввод!$F$12:$F$31&lt;=A3053)*(Ввод!$G$12:$G$31&gt;=A3053))&gt;0,1,0))</f>
        <v/>
      </c>
      <c r="F3053">
        <f>IF(OR(A3053="",B3053=""),"",IF(E3053=1,0,D3053*B3053/100/C3053))</f>
        <v/>
      </c>
      <c r="G3053">
        <f>IF(A3053="","",IF(OR(B3053&lt;&gt;B3052,C3053&lt;&gt;C3052,D3053&lt;&gt;D3052,E3053&lt;&gt;E3052),G3052+1,G3052))</f>
        <v/>
      </c>
    </row>
    <row r="3054">
      <c r="A3054" s="14">
        <f>IF(OR(NOT(ISNUMBER(Ввод!$B$5)),NOT(ISNUMBER(Ввод!$B$6))),"",IF(Ввод!$B$5+3052&gt;Ввод!$B$6,"",Ввод!$B$5+3052))</f>
        <v/>
      </c>
      <c r="B3054">
        <f>IF(A3054="","",IFERROR(INDEX(Ввод!$B$12:$B$71,MATCH(A3054,Ввод!$D$12:$D$71,1)),""))</f>
        <v/>
      </c>
      <c r="C3054">
        <f>IF(A3054="","",DATE(YEAR(A3054),12,31)-DATE(YEAR(A3054),1,1)+1)</f>
        <v/>
      </c>
      <c r="D3054">
        <f>IF(A3054="","",Ввод!$B$4-SUMIF(Оплаты!$A$6:$A$505,"&lt;"&amp;A3054,Оплаты!$B$6:$B$505))</f>
        <v/>
      </c>
      <c r="E3054">
        <f>IF(A3054="","",IF(SUMPRODUCT((Ввод!$F$12:$F$31&lt;&gt;"")*(Ввод!$F$12:$F$31&lt;=A3054)*(Ввод!$G$12:$G$31&gt;=A3054))&gt;0,1,0))</f>
        <v/>
      </c>
      <c r="F3054">
        <f>IF(OR(A3054="",B3054=""),"",IF(E3054=1,0,D3054*B3054/100/C3054))</f>
        <v/>
      </c>
      <c r="G3054">
        <f>IF(A3054="","",IF(OR(B3054&lt;&gt;B3053,C3054&lt;&gt;C3053,D3054&lt;&gt;D3053,E3054&lt;&gt;E3053),G3053+1,G3053))</f>
        <v/>
      </c>
    </row>
    <row r="3055">
      <c r="A3055" s="14">
        <f>IF(OR(NOT(ISNUMBER(Ввод!$B$5)),NOT(ISNUMBER(Ввод!$B$6))),"",IF(Ввод!$B$5+3053&gt;Ввод!$B$6,"",Ввод!$B$5+3053))</f>
        <v/>
      </c>
      <c r="B3055">
        <f>IF(A3055="","",IFERROR(INDEX(Ввод!$B$12:$B$71,MATCH(A3055,Ввод!$D$12:$D$71,1)),""))</f>
        <v/>
      </c>
      <c r="C3055">
        <f>IF(A3055="","",DATE(YEAR(A3055),12,31)-DATE(YEAR(A3055),1,1)+1)</f>
        <v/>
      </c>
      <c r="D3055">
        <f>IF(A3055="","",Ввод!$B$4-SUMIF(Оплаты!$A$6:$A$505,"&lt;"&amp;A3055,Оплаты!$B$6:$B$505))</f>
        <v/>
      </c>
      <c r="E3055">
        <f>IF(A3055="","",IF(SUMPRODUCT((Ввод!$F$12:$F$31&lt;&gt;"")*(Ввод!$F$12:$F$31&lt;=A3055)*(Ввод!$G$12:$G$31&gt;=A3055))&gt;0,1,0))</f>
        <v/>
      </c>
      <c r="F3055">
        <f>IF(OR(A3055="",B3055=""),"",IF(E3055=1,0,D3055*B3055/100/C3055))</f>
        <v/>
      </c>
      <c r="G3055">
        <f>IF(A3055="","",IF(OR(B3055&lt;&gt;B3054,C3055&lt;&gt;C3054,D3055&lt;&gt;D3054,E3055&lt;&gt;E3054),G3054+1,G3054))</f>
        <v/>
      </c>
    </row>
    <row r="3056">
      <c r="A3056" s="14">
        <f>IF(OR(NOT(ISNUMBER(Ввод!$B$5)),NOT(ISNUMBER(Ввод!$B$6))),"",IF(Ввод!$B$5+3054&gt;Ввод!$B$6,"",Ввод!$B$5+3054))</f>
        <v/>
      </c>
      <c r="B3056">
        <f>IF(A3056="","",IFERROR(INDEX(Ввод!$B$12:$B$71,MATCH(A3056,Ввод!$D$12:$D$71,1)),""))</f>
        <v/>
      </c>
      <c r="C3056">
        <f>IF(A3056="","",DATE(YEAR(A3056),12,31)-DATE(YEAR(A3056),1,1)+1)</f>
        <v/>
      </c>
      <c r="D3056">
        <f>IF(A3056="","",Ввод!$B$4-SUMIF(Оплаты!$A$6:$A$505,"&lt;"&amp;A3056,Оплаты!$B$6:$B$505))</f>
        <v/>
      </c>
      <c r="E3056">
        <f>IF(A3056="","",IF(SUMPRODUCT((Ввод!$F$12:$F$31&lt;&gt;"")*(Ввод!$F$12:$F$31&lt;=A3056)*(Ввод!$G$12:$G$31&gt;=A3056))&gt;0,1,0))</f>
        <v/>
      </c>
      <c r="F3056">
        <f>IF(OR(A3056="",B3056=""),"",IF(E3056=1,0,D3056*B3056/100/C3056))</f>
        <v/>
      </c>
      <c r="G3056">
        <f>IF(A3056="","",IF(OR(B3056&lt;&gt;B3055,C3056&lt;&gt;C3055,D3056&lt;&gt;D3055,E3056&lt;&gt;E3055),G3055+1,G3055))</f>
        <v/>
      </c>
    </row>
    <row r="3057">
      <c r="A3057" s="14">
        <f>IF(OR(NOT(ISNUMBER(Ввод!$B$5)),NOT(ISNUMBER(Ввод!$B$6))),"",IF(Ввод!$B$5+3055&gt;Ввод!$B$6,"",Ввод!$B$5+3055))</f>
        <v/>
      </c>
      <c r="B3057">
        <f>IF(A3057="","",IFERROR(INDEX(Ввод!$B$12:$B$71,MATCH(A3057,Ввод!$D$12:$D$71,1)),""))</f>
        <v/>
      </c>
      <c r="C3057">
        <f>IF(A3057="","",DATE(YEAR(A3057),12,31)-DATE(YEAR(A3057),1,1)+1)</f>
        <v/>
      </c>
      <c r="D3057">
        <f>IF(A3057="","",Ввод!$B$4-SUMIF(Оплаты!$A$6:$A$505,"&lt;"&amp;A3057,Оплаты!$B$6:$B$505))</f>
        <v/>
      </c>
      <c r="E3057">
        <f>IF(A3057="","",IF(SUMPRODUCT((Ввод!$F$12:$F$31&lt;&gt;"")*(Ввод!$F$12:$F$31&lt;=A3057)*(Ввод!$G$12:$G$31&gt;=A3057))&gt;0,1,0))</f>
        <v/>
      </c>
      <c r="F3057">
        <f>IF(OR(A3057="",B3057=""),"",IF(E3057=1,0,D3057*B3057/100/C3057))</f>
        <v/>
      </c>
      <c r="G3057">
        <f>IF(A3057="","",IF(OR(B3057&lt;&gt;B3056,C3057&lt;&gt;C3056,D3057&lt;&gt;D3056,E3057&lt;&gt;E3056),G3056+1,G3056))</f>
        <v/>
      </c>
    </row>
    <row r="3058">
      <c r="A3058" s="14">
        <f>IF(OR(NOT(ISNUMBER(Ввод!$B$5)),NOT(ISNUMBER(Ввод!$B$6))),"",IF(Ввод!$B$5+3056&gt;Ввод!$B$6,"",Ввод!$B$5+3056))</f>
        <v/>
      </c>
      <c r="B3058">
        <f>IF(A3058="","",IFERROR(INDEX(Ввод!$B$12:$B$71,MATCH(A3058,Ввод!$D$12:$D$71,1)),""))</f>
        <v/>
      </c>
      <c r="C3058">
        <f>IF(A3058="","",DATE(YEAR(A3058),12,31)-DATE(YEAR(A3058),1,1)+1)</f>
        <v/>
      </c>
      <c r="D3058">
        <f>IF(A3058="","",Ввод!$B$4-SUMIF(Оплаты!$A$6:$A$505,"&lt;"&amp;A3058,Оплаты!$B$6:$B$505))</f>
        <v/>
      </c>
      <c r="E3058">
        <f>IF(A3058="","",IF(SUMPRODUCT((Ввод!$F$12:$F$31&lt;&gt;"")*(Ввод!$F$12:$F$31&lt;=A3058)*(Ввод!$G$12:$G$31&gt;=A3058))&gt;0,1,0))</f>
        <v/>
      </c>
      <c r="F3058">
        <f>IF(OR(A3058="",B3058=""),"",IF(E3058=1,0,D3058*B3058/100/C3058))</f>
        <v/>
      </c>
      <c r="G3058">
        <f>IF(A3058="","",IF(OR(B3058&lt;&gt;B3057,C3058&lt;&gt;C3057,D3058&lt;&gt;D3057,E3058&lt;&gt;E3057),G3057+1,G3057))</f>
        <v/>
      </c>
    </row>
    <row r="3059">
      <c r="A3059" s="14">
        <f>IF(OR(NOT(ISNUMBER(Ввод!$B$5)),NOT(ISNUMBER(Ввод!$B$6))),"",IF(Ввод!$B$5+3057&gt;Ввод!$B$6,"",Ввод!$B$5+3057))</f>
        <v/>
      </c>
      <c r="B3059">
        <f>IF(A3059="","",IFERROR(INDEX(Ввод!$B$12:$B$71,MATCH(A3059,Ввод!$D$12:$D$71,1)),""))</f>
        <v/>
      </c>
      <c r="C3059">
        <f>IF(A3059="","",DATE(YEAR(A3059),12,31)-DATE(YEAR(A3059),1,1)+1)</f>
        <v/>
      </c>
      <c r="D3059">
        <f>IF(A3059="","",Ввод!$B$4-SUMIF(Оплаты!$A$6:$A$505,"&lt;"&amp;A3059,Оплаты!$B$6:$B$505))</f>
        <v/>
      </c>
      <c r="E3059">
        <f>IF(A3059="","",IF(SUMPRODUCT((Ввод!$F$12:$F$31&lt;&gt;"")*(Ввод!$F$12:$F$31&lt;=A3059)*(Ввод!$G$12:$G$31&gt;=A3059))&gt;0,1,0))</f>
        <v/>
      </c>
      <c r="F3059">
        <f>IF(OR(A3059="",B3059=""),"",IF(E3059=1,0,D3059*B3059/100/C3059))</f>
        <v/>
      </c>
      <c r="G3059">
        <f>IF(A3059="","",IF(OR(B3059&lt;&gt;B3058,C3059&lt;&gt;C3058,D3059&lt;&gt;D3058,E3059&lt;&gt;E3058),G3058+1,G3058))</f>
        <v/>
      </c>
    </row>
    <row r="3060">
      <c r="A3060" s="14">
        <f>IF(OR(NOT(ISNUMBER(Ввод!$B$5)),NOT(ISNUMBER(Ввод!$B$6))),"",IF(Ввод!$B$5+3058&gt;Ввод!$B$6,"",Ввод!$B$5+3058))</f>
        <v/>
      </c>
      <c r="B3060">
        <f>IF(A3060="","",IFERROR(INDEX(Ввод!$B$12:$B$71,MATCH(A3060,Ввод!$D$12:$D$71,1)),""))</f>
        <v/>
      </c>
      <c r="C3060">
        <f>IF(A3060="","",DATE(YEAR(A3060),12,31)-DATE(YEAR(A3060),1,1)+1)</f>
        <v/>
      </c>
      <c r="D3060">
        <f>IF(A3060="","",Ввод!$B$4-SUMIF(Оплаты!$A$6:$A$505,"&lt;"&amp;A3060,Оплаты!$B$6:$B$505))</f>
        <v/>
      </c>
      <c r="E3060">
        <f>IF(A3060="","",IF(SUMPRODUCT((Ввод!$F$12:$F$31&lt;&gt;"")*(Ввод!$F$12:$F$31&lt;=A3060)*(Ввод!$G$12:$G$31&gt;=A3060))&gt;0,1,0))</f>
        <v/>
      </c>
      <c r="F3060">
        <f>IF(OR(A3060="",B3060=""),"",IF(E3060=1,0,D3060*B3060/100/C3060))</f>
        <v/>
      </c>
      <c r="G3060">
        <f>IF(A3060="","",IF(OR(B3060&lt;&gt;B3059,C3060&lt;&gt;C3059,D3060&lt;&gt;D3059,E3060&lt;&gt;E3059),G3059+1,G3059))</f>
        <v/>
      </c>
    </row>
    <row r="3061">
      <c r="A3061" s="14">
        <f>IF(OR(NOT(ISNUMBER(Ввод!$B$5)),NOT(ISNUMBER(Ввод!$B$6))),"",IF(Ввод!$B$5+3059&gt;Ввод!$B$6,"",Ввод!$B$5+3059))</f>
        <v/>
      </c>
      <c r="B3061">
        <f>IF(A3061="","",IFERROR(INDEX(Ввод!$B$12:$B$71,MATCH(A3061,Ввод!$D$12:$D$71,1)),""))</f>
        <v/>
      </c>
      <c r="C3061">
        <f>IF(A3061="","",DATE(YEAR(A3061),12,31)-DATE(YEAR(A3061),1,1)+1)</f>
        <v/>
      </c>
      <c r="D3061">
        <f>IF(A3061="","",Ввод!$B$4-SUMIF(Оплаты!$A$6:$A$505,"&lt;"&amp;A3061,Оплаты!$B$6:$B$505))</f>
        <v/>
      </c>
      <c r="E3061">
        <f>IF(A3061="","",IF(SUMPRODUCT((Ввод!$F$12:$F$31&lt;&gt;"")*(Ввод!$F$12:$F$31&lt;=A3061)*(Ввод!$G$12:$G$31&gt;=A3061))&gt;0,1,0))</f>
        <v/>
      </c>
      <c r="F3061">
        <f>IF(OR(A3061="",B3061=""),"",IF(E3061=1,0,D3061*B3061/100/C3061))</f>
        <v/>
      </c>
      <c r="G3061">
        <f>IF(A3061="","",IF(OR(B3061&lt;&gt;B3060,C3061&lt;&gt;C3060,D3061&lt;&gt;D3060,E3061&lt;&gt;E3060),G3060+1,G3060))</f>
        <v/>
      </c>
    </row>
    <row r="3062">
      <c r="A3062" s="14">
        <f>IF(OR(NOT(ISNUMBER(Ввод!$B$5)),NOT(ISNUMBER(Ввод!$B$6))),"",IF(Ввод!$B$5+3060&gt;Ввод!$B$6,"",Ввод!$B$5+3060))</f>
        <v/>
      </c>
      <c r="B3062">
        <f>IF(A3062="","",IFERROR(INDEX(Ввод!$B$12:$B$71,MATCH(A3062,Ввод!$D$12:$D$71,1)),""))</f>
        <v/>
      </c>
      <c r="C3062">
        <f>IF(A3062="","",DATE(YEAR(A3062),12,31)-DATE(YEAR(A3062),1,1)+1)</f>
        <v/>
      </c>
      <c r="D3062">
        <f>IF(A3062="","",Ввод!$B$4-SUMIF(Оплаты!$A$6:$A$505,"&lt;"&amp;A3062,Оплаты!$B$6:$B$505))</f>
        <v/>
      </c>
      <c r="E3062">
        <f>IF(A3062="","",IF(SUMPRODUCT((Ввод!$F$12:$F$31&lt;&gt;"")*(Ввод!$F$12:$F$31&lt;=A3062)*(Ввод!$G$12:$G$31&gt;=A3062))&gt;0,1,0))</f>
        <v/>
      </c>
      <c r="F3062">
        <f>IF(OR(A3062="",B3062=""),"",IF(E3062=1,0,D3062*B3062/100/C3062))</f>
        <v/>
      </c>
      <c r="G3062">
        <f>IF(A3062="","",IF(OR(B3062&lt;&gt;B3061,C3062&lt;&gt;C3061,D3062&lt;&gt;D3061,E3062&lt;&gt;E3061),G3061+1,G3061))</f>
        <v/>
      </c>
    </row>
    <row r="3063">
      <c r="A3063" s="14">
        <f>IF(OR(NOT(ISNUMBER(Ввод!$B$5)),NOT(ISNUMBER(Ввод!$B$6))),"",IF(Ввод!$B$5+3061&gt;Ввод!$B$6,"",Ввод!$B$5+3061))</f>
        <v/>
      </c>
      <c r="B3063">
        <f>IF(A3063="","",IFERROR(INDEX(Ввод!$B$12:$B$71,MATCH(A3063,Ввод!$D$12:$D$71,1)),""))</f>
        <v/>
      </c>
      <c r="C3063">
        <f>IF(A3063="","",DATE(YEAR(A3063),12,31)-DATE(YEAR(A3063),1,1)+1)</f>
        <v/>
      </c>
      <c r="D3063">
        <f>IF(A3063="","",Ввод!$B$4-SUMIF(Оплаты!$A$6:$A$505,"&lt;"&amp;A3063,Оплаты!$B$6:$B$505))</f>
        <v/>
      </c>
      <c r="E3063">
        <f>IF(A3063="","",IF(SUMPRODUCT((Ввод!$F$12:$F$31&lt;&gt;"")*(Ввод!$F$12:$F$31&lt;=A3063)*(Ввод!$G$12:$G$31&gt;=A3063))&gt;0,1,0))</f>
        <v/>
      </c>
      <c r="F3063">
        <f>IF(OR(A3063="",B3063=""),"",IF(E3063=1,0,D3063*B3063/100/C3063))</f>
        <v/>
      </c>
      <c r="G3063">
        <f>IF(A3063="","",IF(OR(B3063&lt;&gt;B3062,C3063&lt;&gt;C3062,D3063&lt;&gt;D3062,E3063&lt;&gt;E3062),G3062+1,G3062))</f>
        <v/>
      </c>
    </row>
    <row r="3064">
      <c r="A3064" s="14">
        <f>IF(OR(NOT(ISNUMBER(Ввод!$B$5)),NOT(ISNUMBER(Ввод!$B$6))),"",IF(Ввод!$B$5+3062&gt;Ввод!$B$6,"",Ввод!$B$5+3062))</f>
        <v/>
      </c>
      <c r="B3064">
        <f>IF(A3064="","",IFERROR(INDEX(Ввод!$B$12:$B$71,MATCH(A3064,Ввод!$D$12:$D$71,1)),""))</f>
        <v/>
      </c>
      <c r="C3064">
        <f>IF(A3064="","",DATE(YEAR(A3064),12,31)-DATE(YEAR(A3064),1,1)+1)</f>
        <v/>
      </c>
      <c r="D3064">
        <f>IF(A3064="","",Ввод!$B$4-SUMIF(Оплаты!$A$6:$A$505,"&lt;"&amp;A3064,Оплаты!$B$6:$B$505))</f>
        <v/>
      </c>
      <c r="E3064">
        <f>IF(A3064="","",IF(SUMPRODUCT((Ввод!$F$12:$F$31&lt;&gt;"")*(Ввод!$F$12:$F$31&lt;=A3064)*(Ввод!$G$12:$G$31&gt;=A3064))&gt;0,1,0))</f>
        <v/>
      </c>
      <c r="F3064">
        <f>IF(OR(A3064="",B3064=""),"",IF(E3064=1,0,D3064*B3064/100/C3064))</f>
        <v/>
      </c>
      <c r="G3064">
        <f>IF(A3064="","",IF(OR(B3064&lt;&gt;B3063,C3064&lt;&gt;C3063,D3064&lt;&gt;D3063,E3064&lt;&gt;E3063),G3063+1,G3063))</f>
        <v/>
      </c>
    </row>
    <row r="3065">
      <c r="A3065" s="14">
        <f>IF(OR(NOT(ISNUMBER(Ввод!$B$5)),NOT(ISNUMBER(Ввод!$B$6))),"",IF(Ввод!$B$5+3063&gt;Ввод!$B$6,"",Ввод!$B$5+3063))</f>
        <v/>
      </c>
      <c r="B3065">
        <f>IF(A3065="","",IFERROR(INDEX(Ввод!$B$12:$B$71,MATCH(A3065,Ввод!$D$12:$D$71,1)),""))</f>
        <v/>
      </c>
      <c r="C3065">
        <f>IF(A3065="","",DATE(YEAR(A3065),12,31)-DATE(YEAR(A3065),1,1)+1)</f>
        <v/>
      </c>
      <c r="D3065">
        <f>IF(A3065="","",Ввод!$B$4-SUMIF(Оплаты!$A$6:$A$505,"&lt;"&amp;A3065,Оплаты!$B$6:$B$505))</f>
        <v/>
      </c>
      <c r="E3065">
        <f>IF(A3065="","",IF(SUMPRODUCT((Ввод!$F$12:$F$31&lt;&gt;"")*(Ввод!$F$12:$F$31&lt;=A3065)*(Ввод!$G$12:$G$31&gt;=A3065))&gt;0,1,0))</f>
        <v/>
      </c>
      <c r="F3065">
        <f>IF(OR(A3065="",B3065=""),"",IF(E3065=1,0,D3065*B3065/100/C3065))</f>
        <v/>
      </c>
      <c r="G3065">
        <f>IF(A3065="","",IF(OR(B3065&lt;&gt;B3064,C3065&lt;&gt;C3064,D3065&lt;&gt;D3064,E3065&lt;&gt;E3064),G3064+1,G3064))</f>
        <v/>
      </c>
    </row>
    <row r="3066">
      <c r="A3066" s="14">
        <f>IF(OR(NOT(ISNUMBER(Ввод!$B$5)),NOT(ISNUMBER(Ввод!$B$6))),"",IF(Ввод!$B$5+3064&gt;Ввод!$B$6,"",Ввод!$B$5+3064))</f>
        <v/>
      </c>
      <c r="B3066">
        <f>IF(A3066="","",IFERROR(INDEX(Ввод!$B$12:$B$71,MATCH(A3066,Ввод!$D$12:$D$71,1)),""))</f>
        <v/>
      </c>
      <c r="C3066">
        <f>IF(A3066="","",DATE(YEAR(A3066),12,31)-DATE(YEAR(A3066),1,1)+1)</f>
        <v/>
      </c>
      <c r="D3066">
        <f>IF(A3066="","",Ввод!$B$4-SUMIF(Оплаты!$A$6:$A$505,"&lt;"&amp;A3066,Оплаты!$B$6:$B$505))</f>
        <v/>
      </c>
      <c r="E3066">
        <f>IF(A3066="","",IF(SUMPRODUCT((Ввод!$F$12:$F$31&lt;&gt;"")*(Ввод!$F$12:$F$31&lt;=A3066)*(Ввод!$G$12:$G$31&gt;=A3066))&gt;0,1,0))</f>
        <v/>
      </c>
      <c r="F3066">
        <f>IF(OR(A3066="",B3066=""),"",IF(E3066=1,0,D3066*B3066/100/C3066))</f>
        <v/>
      </c>
      <c r="G3066">
        <f>IF(A3066="","",IF(OR(B3066&lt;&gt;B3065,C3066&lt;&gt;C3065,D3066&lt;&gt;D3065,E3066&lt;&gt;E3065),G3065+1,G3065))</f>
        <v/>
      </c>
    </row>
    <row r="3067">
      <c r="A3067" s="14">
        <f>IF(OR(NOT(ISNUMBER(Ввод!$B$5)),NOT(ISNUMBER(Ввод!$B$6))),"",IF(Ввод!$B$5+3065&gt;Ввод!$B$6,"",Ввод!$B$5+3065))</f>
        <v/>
      </c>
      <c r="B3067">
        <f>IF(A3067="","",IFERROR(INDEX(Ввод!$B$12:$B$71,MATCH(A3067,Ввод!$D$12:$D$71,1)),""))</f>
        <v/>
      </c>
      <c r="C3067">
        <f>IF(A3067="","",DATE(YEAR(A3067),12,31)-DATE(YEAR(A3067),1,1)+1)</f>
        <v/>
      </c>
      <c r="D3067">
        <f>IF(A3067="","",Ввод!$B$4-SUMIF(Оплаты!$A$6:$A$505,"&lt;"&amp;A3067,Оплаты!$B$6:$B$505))</f>
        <v/>
      </c>
      <c r="E3067">
        <f>IF(A3067="","",IF(SUMPRODUCT((Ввод!$F$12:$F$31&lt;&gt;"")*(Ввод!$F$12:$F$31&lt;=A3067)*(Ввод!$G$12:$G$31&gt;=A3067))&gt;0,1,0))</f>
        <v/>
      </c>
      <c r="F3067">
        <f>IF(OR(A3067="",B3067=""),"",IF(E3067=1,0,D3067*B3067/100/C3067))</f>
        <v/>
      </c>
      <c r="G3067">
        <f>IF(A3067="","",IF(OR(B3067&lt;&gt;B3066,C3067&lt;&gt;C3066,D3067&lt;&gt;D3066,E3067&lt;&gt;E3066),G3066+1,G3066))</f>
        <v/>
      </c>
    </row>
    <row r="3068">
      <c r="A3068" s="14">
        <f>IF(OR(NOT(ISNUMBER(Ввод!$B$5)),NOT(ISNUMBER(Ввод!$B$6))),"",IF(Ввод!$B$5+3066&gt;Ввод!$B$6,"",Ввод!$B$5+3066))</f>
        <v/>
      </c>
      <c r="B3068">
        <f>IF(A3068="","",IFERROR(INDEX(Ввод!$B$12:$B$71,MATCH(A3068,Ввод!$D$12:$D$71,1)),""))</f>
        <v/>
      </c>
      <c r="C3068">
        <f>IF(A3068="","",DATE(YEAR(A3068),12,31)-DATE(YEAR(A3068),1,1)+1)</f>
        <v/>
      </c>
      <c r="D3068">
        <f>IF(A3068="","",Ввод!$B$4-SUMIF(Оплаты!$A$6:$A$505,"&lt;"&amp;A3068,Оплаты!$B$6:$B$505))</f>
        <v/>
      </c>
      <c r="E3068">
        <f>IF(A3068="","",IF(SUMPRODUCT((Ввод!$F$12:$F$31&lt;&gt;"")*(Ввод!$F$12:$F$31&lt;=A3068)*(Ввод!$G$12:$G$31&gt;=A3068))&gt;0,1,0))</f>
        <v/>
      </c>
      <c r="F3068">
        <f>IF(OR(A3068="",B3068=""),"",IF(E3068=1,0,D3068*B3068/100/C3068))</f>
        <v/>
      </c>
      <c r="G3068">
        <f>IF(A3068="","",IF(OR(B3068&lt;&gt;B3067,C3068&lt;&gt;C3067,D3068&lt;&gt;D3067,E3068&lt;&gt;E3067),G3067+1,G3067))</f>
        <v/>
      </c>
    </row>
    <row r="3069">
      <c r="A3069" s="14">
        <f>IF(OR(NOT(ISNUMBER(Ввод!$B$5)),NOT(ISNUMBER(Ввод!$B$6))),"",IF(Ввод!$B$5+3067&gt;Ввод!$B$6,"",Ввод!$B$5+3067))</f>
        <v/>
      </c>
      <c r="B3069">
        <f>IF(A3069="","",IFERROR(INDEX(Ввод!$B$12:$B$71,MATCH(A3069,Ввод!$D$12:$D$71,1)),""))</f>
        <v/>
      </c>
      <c r="C3069">
        <f>IF(A3069="","",DATE(YEAR(A3069),12,31)-DATE(YEAR(A3069),1,1)+1)</f>
        <v/>
      </c>
      <c r="D3069">
        <f>IF(A3069="","",Ввод!$B$4-SUMIF(Оплаты!$A$6:$A$505,"&lt;"&amp;A3069,Оплаты!$B$6:$B$505))</f>
        <v/>
      </c>
      <c r="E3069">
        <f>IF(A3069="","",IF(SUMPRODUCT((Ввод!$F$12:$F$31&lt;&gt;"")*(Ввод!$F$12:$F$31&lt;=A3069)*(Ввод!$G$12:$G$31&gt;=A3069))&gt;0,1,0))</f>
        <v/>
      </c>
      <c r="F3069">
        <f>IF(OR(A3069="",B3069=""),"",IF(E3069=1,0,D3069*B3069/100/C3069))</f>
        <v/>
      </c>
      <c r="G3069">
        <f>IF(A3069="","",IF(OR(B3069&lt;&gt;B3068,C3069&lt;&gt;C3068,D3069&lt;&gt;D3068,E3069&lt;&gt;E3068),G3068+1,G3068))</f>
        <v/>
      </c>
    </row>
    <row r="3070">
      <c r="A3070" s="14">
        <f>IF(OR(NOT(ISNUMBER(Ввод!$B$5)),NOT(ISNUMBER(Ввод!$B$6))),"",IF(Ввод!$B$5+3068&gt;Ввод!$B$6,"",Ввод!$B$5+3068))</f>
        <v/>
      </c>
      <c r="B3070">
        <f>IF(A3070="","",IFERROR(INDEX(Ввод!$B$12:$B$71,MATCH(A3070,Ввод!$D$12:$D$71,1)),""))</f>
        <v/>
      </c>
      <c r="C3070">
        <f>IF(A3070="","",DATE(YEAR(A3070),12,31)-DATE(YEAR(A3070),1,1)+1)</f>
        <v/>
      </c>
      <c r="D3070">
        <f>IF(A3070="","",Ввод!$B$4-SUMIF(Оплаты!$A$6:$A$505,"&lt;"&amp;A3070,Оплаты!$B$6:$B$505))</f>
        <v/>
      </c>
      <c r="E3070">
        <f>IF(A3070="","",IF(SUMPRODUCT((Ввод!$F$12:$F$31&lt;&gt;"")*(Ввод!$F$12:$F$31&lt;=A3070)*(Ввод!$G$12:$G$31&gt;=A3070))&gt;0,1,0))</f>
        <v/>
      </c>
      <c r="F3070">
        <f>IF(OR(A3070="",B3070=""),"",IF(E3070=1,0,D3070*B3070/100/C3070))</f>
        <v/>
      </c>
      <c r="G3070">
        <f>IF(A3070="","",IF(OR(B3070&lt;&gt;B3069,C3070&lt;&gt;C3069,D3070&lt;&gt;D3069,E3070&lt;&gt;E3069),G3069+1,G3069))</f>
        <v/>
      </c>
    </row>
    <row r="3071">
      <c r="A3071" s="14">
        <f>IF(OR(NOT(ISNUMBER(Ввод!$B$5)),NOT(ISNUMBER(Ввод!$B$6))),"",IF(Ввод!$B$5+3069&gt;Ввод!$B$6,"",Ввод!$B$5+3069))</f>
        <v/>
      </c>
      <c r="B3071">
        <f>IF(A3071="","",IFERROR(INDEX(Ввод!$B$12:$B$71,MATCH(A3071,Ввод!$D$12:$D$71,1)),""))</f>
        <v/>
      </c>
      <c r="C3071">
        <f>IF(A3071="","",DATE(YEAR(A3071),12,31)-DATE(YEAR(A3071),1,1)+1)</f>
        <v/>
      </c>
      <c r="D3071">
        <f>IF(A3071="","",Ввод!$B$4-SUMIF(Оплаты!$A$6:$A$505,"&lt;"&amp;A3071,Оплаты!$B$6:$B$505))</f>
        <v/>
      </c>
      <c r="E3071">
        <f>IF(A3071="","",IF(SUMPRODUCT((Ввод!$F$12:$F$31&lt;&gt;"")*(Ввод!$F$12:$F$31&lt;=A3071)*(Ввод!$G$12:$G$31&gt;=A3071))&gt;0,1,0))</f>
        <v/>
      </c>
      <c r="F3071">
        <f>IF(OR(A3071="",B3071=""),"",IF(E3071=1,0,D3071*B3071/100/C3071))</f>
        <v/>
      </c>
      <c r="G3071">
        <f>IF(A3071="","",IF(OR(B3071&lt;&gt;B3070,C3071&lt;&gt;C3070,D3071&lt;&gt;D3070,E3071&lt;&gt;E3070),G3070+1,G3070))</f>
        <v/>
      </c>
    </row>
    <row r="3072">
      <c r="A3072" s="14">
        <f>IF(OR(NOT(ISNUMBER(Ввод!$B$5)),NOT(ISNUMBER(Ввод!$B$6))),"",IF(Ввод!$B$5+3070&gt;Ввод!$B$6,"",Ввод!$B$5+3070))</f>
        <v/>
      </c>
      <c r="B3072">
        <f>IF(A3072="","",IFERROR(INDEX(Ввод!$B$12:$B$71,MATCH(A3072,Ввод!$D$12:$D$71,1)),""))</f>
        <v/>
      </c>
      <c r="C3072">
        <f>IF(A3072="","",DATE(YEAR(A3072),12,31)-DATE(YEAR(A3072),1,1)+1)</f>
        <v/>
      </c>
      <c r="D3072">
        <f>IF(A3072="","",Ввод!$B$4-SUMIF(Оплаты!$A$6:$A$505,"&lt;"&amp;A3072,Оплаты!$B$6:$B$505))</f>
        <v/>
      </c>
      <c r="E3072">
        <f>IF(A3072="","",IF(SUMPRODUCT((Ввод!$F$12:$F$31&lt;&gt;"")*(Ввод!$F$12:$F$31&lt;=A3072)*(Ввод!$G$12:$G$31&gt;=A3072))&gt;0,1,0))</f>
        <v/>
      </c>
      <c r="F3072">
        <f>IF(OR(A3072="",B3072=""),"",IF(E3072=1,0,D3072*B3072/100/C3072))</f>
        <v/>
      </c>
      <c r="G3072">
        <f>IF(A3072="","",IF(OR(B3072&lt;&gt;B3071,C3072&lt;&gt;C3071,D3072&lt;&gt;D3071,E3072&lt;&gt;E3071),G3071+1,G3071))</f>
        <v/>
      </c>
    </row>
    <row r="3073">
      <c r="A3073" s="14">
        <f>IF(OR(NOT(ISNUMBER(Ввод!$B$5)),NOT(ISNUMBER(Ввод!$B$6))),"",IF(Ввод!$B$5+3071&gt;Ввод!$B$6,"",Ввод!$B$5+3071))</f>
        <v/>
      </c>
      <c r="B3073">
        <f>IF(A3073="","",IFERROR(INDEX(Ввод!$B$12:$B$71,MATCH(A3073,Ввод!$D$12:$D$71,1)),""))</f>
        <v/>
      </c>
      <c r="C3073">
        <f>IF(A3073="","",DATE(YEAR(A3073),12,31)-DATE(YEAR(A3073),1,1)+1)</f>
        <v/>
      </c>
      <c r="D3073">
        <f>IF(A3073="","",Ввод!$B$4-SUMIF(Оплаты!$A$6:$A$505,"&lt;"&amp;A3073,Оплаты!$B$6:$B$505))</f>
        <v/>
      </c>
      <c r="E3073">
        <f>IF(A3073="","",IF(SUMPRODUCT((Ввод!$F$12:$F$31&lt;&gt;"")*(Ввод!$F$12:$F$31&lt;=A3073)*(Ввод!$G$12:$G$31&gt;=A3073))&gt;0,1,0))</f>
        <v/>
      </c>
      <c r="F3073">
        <f>IF(OR(A3073="",B3073=""),"",IF(E3073=1,0,D3073*B3073/100/C3073))</f>
        <v/>
      </c>
      <c r="G3073">
        <f>IF(A3073="","",IF(OR(B3073&lt;&gt;B3072,C3073&lt;&gt;C3072,D3073&lt;&gt;D3072,E3073&lt;&gt;E3072),G3072+1,G3072))</f>
        <v/>
      </c>
    </row>
    <row r="3074">
      <c r="A3074" s="14">
        <f>IF(OR(NOT(ISNUMBER(Ввод!$B$5)),NOT(ISNUMBER(Ввод!$B$6))),"",IF(Ввод!$B$5+3072&gt;Ввод!$B$6,"",Ввод!$B$5+3072))</f>
        <v/>
      </c>
      <c r="B3074">
        <f>IF(A3074="","",IFERROR(INDEX(Ввод!$B$12:$B$71,MATCH(A3074,Ввод!$D$12:$D$71,1)),""))</f>
        <v/>
      </c>
      <c r="C3074">
        <f>IF(A3074="","",DATE(YEAR(A3074),12,31)-DATE(YEAR(A3074),1,1)+1)</f>
        <v/>
      </c>
      <c r="D3074">
        <f>IF(A3074="","",Ввод!$B$4-SUMIF(Оплаты!$A$6:$A$505,"&lt;"&amp;A3074,Оплаты!$B$6:$B$505))</f>
        <v/>
      </c>
      <c r="E3074">
        <f>IF(A3074="","",IF(SUMPRODUCT((Ввод!$F$12:$F$31&lt;&gt;"")*(Ввод!$F$12:$F$31&lt;=A3074)*(Ввод!$G$12:$G$31&gt;=A3074))&gt;0,1,0))</f>
        <v/>
      </c>
      <c r="F3074">
        <f>IF(OR(A3074="",B3074=""),"",IF(E3074=1,0,D3074*B3074/100/C3074))</f>
        <v/>
      </c>
      <c r="G3074">
        <f>IF(A3074="","",IF(OR(B3074&lt;&gt;B3073,C3074&lt;&gt;C3073,D3074&lt;&gt;D3073,E3074&lt;&gt;E3073),G3073+1,G3073))</f>
        <v/>
      </c>
    </row>
    <row r="3075">
      <c r="A3075" s="14">
        <f>IF(OR(NOT(ISNUMBER(Ввод!$B$5)),NOT(ISNUMBER(Ввод!$B$6))),"",IF(Ввод!$B$5+3073&gt;Ввод!$B$6,"",Ввод!$B$5+3073))</f>
        <v/>
      </c>
      <c r="B3075">
        <f>IF(A3075="","",IFERROR(INDEX(Ввод!$B$12:$B$71,MATCH(A3075,Ввод!$D$12:$D$71,1)),""))</f>
        <v/>
      </c>
      <c r="C3075">
        <f>IF(A3075="","",DATE(YEAR(A3075),12,31)-DATE(YEAR(A3075),1,1)+1)</f>
        <v/>
      </c>
      <c r="D3075">
        <f>IF(A3075="","",Ввод!$B$4-SUMIF(Оплаты!$A$6:$A$505,"&lt;"&amp;A3075,Оплаты!$B$6:$B$505))</f>
        <v/>
      </c>
      <c r="E3075">
        <f>IF(A3075="","",IF(SUMPRODUCT((Ввод!$F$12:$F$31&lt;&gt;"")*(Ввод!$F$12:$F$31&lt;=A3075)*(Ввод!$G$12:$G$31&gt;=A3075))&gt;0,1,0))</f>
        <v/>
      </c>
      <c r="F3075">
        <f>IF(OR(A3075="",B3075=""),"",IF(E3075=1,0,D3075*B3075/100/C3075))</f>
        <v/>
      </c>
      <c r="G3075">
        <f>IF(A3075="","",IF(OR(B3075&lt;&gt;B3074,C3075&lt;&gt;C3074,D3075&lt;&gt;D3074,E3075&lt;&gt;E3074),G3074+1,G3074))</f>
        <v/>
      </c>
    </row>
    <row r="3076">
      <c r="A3076" s="14">
        <f>IF(OR(NOT(ISNUMBER(Ввод!$B$5)),NOT(ISNUMBER(Ввод!$B$6))),"",IF(Ввод!$B$5+3074&gt;Ввод!$B$6,"",Ввод!$B$5+3074))</f>
        <v/>
      </c>
      <c r="B3076">
        <f>IF(A3076="","",IFERROR(INDEX(Ввод!$B$12:$B$71,MATCH(A3076,Ввод!$D$12:$D$71,1)),""))</f>
        <v/>
      </c>
      <c r="C3076">
        <f>IF(A3076="","",DATE(YEAR(A3076),12,31)-DATE(YEAR(A3076),1,1)+1)</f>
        <v/>
      </c>
      <c r="D3076">
        <f>IF(A3076="","",Ввод!$B$4-SUMIF(Оплаты!$A$6:$A$505,"&lt;"&amp;A3076,Оплаты!$B$6:$B$505))</f>
        <v/>
      </c>
      <c r="E3076">
        <f>IF(A3076="","",IF(SUMPRODUCT((Ввод!$F$12:$F$31&lt;&gt;"")*(Ввод!$F$12:$F$31&lt;=A3076)*(Ввод!$G$12:$G$31&gt;=A3076))&gt;0,1,0))</f>
        <v/>
      </c>
      <c r="F3076">
        <f>IF(OR(A3076="",B3076=""),"",IF(E3076=1,0,D3076*B3076/100/C3076))</f>
        <v/>
      </c>
      <c r="G3076">
        <f>IF(A3076="","",IF(OR(B3076&lt;&gt;B3075,C3076&lt;&gt;C3075,D3076&lt;&gt;D3075,E3076&lt;&gt;E3075),G3075+1,G3075))</f>
        <v/>
      </c>
    </row>
    <row r="3077">
      <c r="A3077" s="14">
        <f>IF(OR(NOT(ISNUMBER(Ввод!$B$5)),NOT(ISNUMBER(Ввод!$B$6))),"",IF(Ввод!$B$5+3075&gt;Ввод!$B$6,"",Ввод!$B$5+3075))</f>
        <v/>
      </c>
      <c r="B3077">
        <f>IF(A3077="","",IFERROR(INDEX(Ввод!$B$12:$B$71,MATCH(A3077,Ввод!$D$12:$D$71,1)),""))</f>
        <v/>
      </c>
      <c r="C3077">
        <f>IF(A3077="","",DATE(YEAR(A3077),12,31)-DATE(YEAR(A3077),1,1)+1)</f>
        <v/>
      </c>
      <c r="D3077">
        <f>IF(A3077="","",Ввод!$B$4-SUMIF(Оплаты!$A$6:$A$505,"&lt;"&amp;A3077,Оплаты!$B$6:$B$505))</f>
        <v/>
      </c>
      <c r="E3077">
        <f>IF(A3077="","",IF(SUMPRODUCT((Ввод!$F$12:$F$31&lt;&gt;"")*(Ввод!$F$12:$F$31&lt;=A3077)*(Ввод!$G$12:$G$31&gt;=A3077))&gt;0,1,0))</f>
        <v/>
      </c>
      <c r="F3077">
        <f>IF(OR(A3077="",B3077=""),"",IF(E3077=1,0,D3077*B3077/100/C3077))</f>
        <v/>
      </c>
      <c r="G3077">
        <f>IF(A3077="","",IF(OR(B3077&lt;&gt;B3076,C3077&lt;&gt;C3076,D3077&lt;&gt;D3076,E3077&lt;&gt;E3076),G3076+1,G3076))</f>
        <v/>
      </c>
    </row>
    <row r="3078">
      <c r="A3078" s="14">
        <f>IF(OR(NOT(ISNUMBER(Ввод!$B$5)),NOT(ISNUMBER(Ввод!$B$6))),"",IF(Ввод!$B$5+3076&gt;Ввод!$B$6,"",Ввод!$B$5+3076))</f>
        <v/>
      </c>
      <c r="B3078">
        <f>IF(A3078="","",IFERROR(INDEX(Ввод!$B$12:$B$71,MATCH(A3078,Ввод!$D$12:$D$71,1)),""))</f>
        <v/>
      </c>
      <c r="C3078">
        <f>IF(A3078="","",DATE(YEAR(A3078),12,31)-DATE(YEAR(A3078),1,1)+1)</f>
        <v/>
      </c>
      <c r="D3078">
        <f>IF(A3078="","",Ввод!$B$4-SUMIF(Оплаты!$A$6:$A$505,"&lt;"&amp;A3078,Оплаты!$B$6:$B$505))</f>
        <v/>
      </c>
      <c r="E3078">
        <f>IF(A3078="","",IF(SUMPRODUCT((Ввод!$F$12:$F$31&lt;&gt;"")*(Ввод!$F$12:$F$31&lt;=A3078)*(Ввод!$G$12:$G$31&gt;=A3078))&gt;0,1,0))</f>
        <v/>
      </c>
      <c r="F3078">
        <f>IF(OR(A3078="",B3078=""),"",IF(E3078=1,0,D3078*B3078/100/C3078))</f>
        <v/>
      </c>
      <c r="G3078">
        <f>IF(A3078="","",IF(OR(B3078&lt;&gt;B3077,C3078&lt;&gt;C3077,D3078&lt;&gt;D3077,E3078&lt;&gt;E3077),G3077+1,G3077))</f>
        <v/>
      </c>
    </row>
    <row r="3079">
      <c r="A3079" s="14">
        <f>IF(OR(NOT(ISNUMBER(Ввод!$B$5)),NOT(ISNUMBER(Ввод!$B$6))),"",IF(Ввод!$B$5+3077&gt;Ввод!$B$6,"",Ввод!$B$5+3077))</f>
        <v/>
      </c>
      <c r="B3079">
        <f>IF(A3079="","",IFERROR(INDEX(Ввод!$B$12:$B$71,MATCH(A3079,Ввод!$D$12:$D$71,1)),""))</f>
        <v/>
      </c>
      <c r="C3079">
        <f>IF(A3079="","",DATE(YEAR(A3079),12,31)-DATE(YEAR(A3079),1,1)+1)</f>
        <v/>
      </c>
      <c r="D3079">
        <f>IF(A3079="","",Ввод!$B$4-SUMIF(Оплаты!$A$6:$A$505,"&lt;"&amp;A3079,Оплаты!$B$6:$B$505))</f>
        <v/>
      </c>
      <c r="E3079">
        <f>IF(A3079="","",IF(SUMPRODUCT((Ввод!$F$12:$F$31&lt;&gt;"")*(Ввод!$F$12:$F$31&lt;=A3079)*(Ввод!$G$12:$G$31&gt;=A3079))&gt;0,1,0))</f>
        <v/>
      </c>
      <c r="F3079">
        <f>IF(OR(A3079="",B3079=""),"",IF(E3079=1,0,D3079*B3079/100/C3079))</f>
        <v/>
      </c>
      <c r="G3079">
        <f>IF(A3079="","",IF(OR(B3079&lt;&gt;B3078,C3079&lt;&gt;C3078,D3079&lt;&gt;D3078,E3079&lt;&gt;E3078),G3078+1,G3078))</f>
        <v/>
      </c>
    </row>
    <row r="3080">
      <c r="A3080" s="14">
        <f>IF(OR(NOT(ISNUMBER(Ввод!$B$5)),NOT(ISNUMBER(Ввод!$B$6))),"",IF(Ввод!$B$5+3078&gt;Ввод!$B$6,"",Ввод!$B$5+3078))</f>
        <v/>
      </c>
      <c r="B3080">
        <f>IF(A3080="","",IFERROR(INDEX(Ввод!$B$12:$B$71,MATCH(A3080,Ввод!$D$12:$D$71,1)),""))</f>
        <v/>
      </c>
      <c r="C3080">
        <f>IF(A3080="","",DATE(YEAR(A3080),12,31)-DATE(YEAR(A3080),1,1)+1)</f>
        <v/>
      </c>
      <c r="D3080">
        <f>IF(A3080="","",Ввод!$B$4-SUMIF(Оплаты!$A$6:$A$505,"&lt;"&amp;A3080,Оплаты!$B$6:$B$505))</f>
        <v/>
      </c>
      <c r="E3080">
        <f>IF(A3080="","",IF(SUMPRODUCT((Ввод!$F$12:$F$31&lt;&gt;"")*(Ввод!$F$12:$F$31&lt;=A3080)*(Ввод!$G$12:$G$31&gt;=A3080))&gt;0,1,0))</f>
        <v/>
      </c>
      <c r="F3080">
        <f>IF(OR(A3080="",B3080=""),"",IF(E3080=1,0,D3080*B3080/100/C3080))</f>
        <v/>
      </c>
      <c r="G3080">
        <f>IF(A3080="","",IF(OR(B3080&lt;&gt;B3079,C3080&lt;&gt;C3079,D3080&lt;&gt;D3079,E3080&lt;&gt;E3079),G3079+1,G3079))</f>
        <v/>
      </c>
    </row>
    <row r="3081">
      <c r="A3081" s="14">
        <f>IF(OR(NOT(ISNUMBER(Ввод!$B$5)),NOT(ISNUMBER(Ввод!$B$6))),"",IF(Ввод!$B$5+3079&gt;Ввод!$B$6,"",Ввод!$B$5+3079))</f>
        <v/>
      </c>
      <c r="B3081">
        <f>IF(A3081="","",IFERROR(INDEX(Ввод!$B$12:$B$71,MATCH(A3081,Ввод!$D$12:$D$71,1)),""))</f>
        <v/>
      </c>
      <c r="C3081">
        <f>IF(A3081="","",DATE(YEAR(A3081),12,31)-DATE(YEAR(A3081),1,1)+1)</f>
        <v/>
      </c>
      <c r="D3081">
        <f>IF(A3081="","",Ввод!$B$4-SUMIF(Оплаты!$A$6:$A$505,"&lt;"&amp;A3081,Оплаты!$B$6:$B$505))</f>
        <v/>
      </c>
      <c r="E3081">
        <f>IF(A3081="","",IF(SUMPRODUCT((Ввод!$F$12:$F$31&lt;&gt;"")*(Ввод!$F$12:$F$31&lt;=A3081)*(Ввод!$G$12:$G$31&gt;=A3081))&gt;0,1,0))</f>
        <v/>
      </c>
      <c r="F3081">
        <f>IF(OR(A3081="",B3081=""),"",IF(E3081=1,0,D3081*B3081/100/C3081))</f>
        <v/>
      </c>
      <c r="G3081">
        <f>IF(A3081="","",IF(OR(B3081&lt;&gt;B3080,C3081&lt;&gt;C3080,D3081&lt;&gt;D3080,E3081&lt;&gt;E3080),G3080+1,G3080))</f>
        <v/>
      </c>
    </row>
    <row r="3082">
      <c r="A3082" s="14">
        <f>IF(OR(NOT(ISNUMBER(Ввод!$B$5)),NOT(ISNUMBER(Ввод!$B$6))),"",IF(Ввод!$B$5+3080&gt;Ввод!$B$6,"",Ввод!$B$5+3080))</f>
        <v/>
      </c>
      <c r="B3082">
        <f>IF(A3082="","",IFERROR(INDEX(Ввод!$B$12:$B$71,MATCH(A3082,Ввод!$D$12:$D$71,1)),""))</f>
        <v/>
      </c>
      <c r="C3082">
        <f>IF(A3082="","",DATE(YEAR(A3082),12,31)-DATE(YEAR(A3082),1,1)+1)</f>
        <v/>
      </c>
      <c r="D3082">
        <f>IF(A3082="","",Ввод!$B$4-SUMIF(Оплаты!$A$6:$A$505,"&lt;"&amp;A3082,Оплаты!$B$6:$B$505))</f>
        <v/>
      </c>
      <c r="E3082">
        <f>IF(A3082="","",IF(SUMPRODUCT((Ввод!$F$12:$F$31&lt;&gt;"")*(Ввод!$F$12:$F$31&lt;=A3082)*(Ввод!$G$12:$G$31&gt;=A3082))&gt;0,1,0))</f>
        <v/>
      </c>
      <c r="F3082">
        <f>IF(OR(A3082="",B3082=""),"",IF(E3082=1,0,D3082*B3082/100/C3082))</f>
        <v/>
      </c>
      <c r="G3082">
        <f>IF(A3082="","",IF(OR(B3082&lt;&gt;B3081,C3082&lt;&gt;C3081,D3082&lt;&gt;D3081,E3082&lt;&gt;E3081),G3081+1,G3081))</f>
        <v/>
      </c>
    </row>
    <row r="3083">
      <c r="A3083" s="14">
        <f>IF(OR(NOT(ISNUMBER(Ввод!$B$5)),NOT(ISNUMBER(Ввод!$B$6))),"",IF(Ввод!$B$5+3081&gt;Ввод!$B$6,"",Ввод!$B$5+3081))</f>
        <v/>
      </c>
      <c r="B3083">
        <f>IF(A3083="","",IFERROR(INDEX(Ввод!$B$12:$B$71,MATCH(A3083,Ввод!$D$12:$D$71,1)),""))</f>
        <v/>
      </c>
      <c r="C3083">
        <f>IF(A3083="","",DATE(YEAR(A3083),12,31)-DATE(YEAR(A3083),1,1)+1)</f>
        <v/>
      </c>
      <c r="D3083">
        <f>IF(A3083="","",Ввод!$B$4-SUMIF(Оплаты!$A$6:$A$505,"&lt;"&amp;A3083,Оплаты!$B$6:$B$505))</f>
        <v/>
      </c>
      <c r="E3083">
        <f>IF(A3083="","",IF(SUMPRODUCT((Ввод!$F$12:$F$31&lt;&gt;"")*(Ввод!$F$12:$F$31&lt;=A3083)*(Ввод!$G$12:$G$31&gt;=A3083))&gt;0,1,0))</f>
        <v/>
      </c>
      <c r="F3083">
        <f>IF(OR(A3083="",B3083=""),"",IF(E3083=1,0,D3083*B3083/100/C3083))</f>
        <v/>
      </c>
      <c r="G3083">
        <f>IF(A3083="","",IF(OR(B3083&lt;&gt;B3082,C3083&lt;&gt;C3082,D3083&lt;&gt;D3082,E3083&lt;&gt;E3082),G3082+1,G3082))</f>
        <v/>
      </c>
    </row>
    <row r="3084">
      <c r="A3084" s="14">
        <f>IF(OR(NOT(ISNUMBER(Ввод!$B$5)),NOT(ISNUMBER(Ввод!$B$6))),"",IF(Ввод!$B$5+3082&gt;Ввод!$B$6,"",Ввод!$B$5+3082))</f>
        <v/>
      </c>
      <c r="B3084">
        <f>IF(A3084="","",IFERROR(INDEX(Ввод!$B$12:$B$71,MATCH(A3084,Ввод!$D$12:$D$71,1)),""))</f>
        <v/>
      </c>
      <c r="C3084">
        <f>IF(A3084="","",DATE(YEAR(A3084),12,31)-DATE(YEAR(A3084),1,1)+1)</f>
        <v/>
      </c>
      <c r="D3084">
        <f>IF(A3084="","",Ввод!$B$4-SUMIF(Оплаты!$A$6:$A$505,"&lt;"&amp;A3084,Оплаты!$B$6:$B$505))</f>
        <v/>
      </c>
      <c r="E3084">
        <f>IF(A3084="","",IF(SUMPRODUCT((Ввод!$F$12:$F$31&lt;&gt;"")*(Ввод!$F$12:$F$31&lt;=A3084)*(Ввод!$G$12:$G$31&gt;=A3084))&gt;0,1,0))</f>
        <v/>
      </c>
      <c r="F3084">
        <f>IF(OR(A3084="",B3084=""),"",IF(E3084=1,0,D3084*B3084/100/C3084))</f>
        <v/>
      </c>
      <c r="G3084">
        <f>IF(A3084="","",IF(OR(B3084&lt;&gt;B3083,C3084&lt;&gt;C3083,D3084&lt;&gt;D3083,E3084&lt;&gt;E3083),G3083+1,G3083))</f>
        <v/>
      </c>
    </row>
    <row r="3085">
      <c r="A3085" s="14">
        <f>IF(OR(NOT(ISNUMBER(Ввод!$B$5)),NOT(ISNUMBER(Ввод!$B$6))),"",IF(Ввод!$B$5+3083&gt;Ввод!$B$6,"",Ввод!$B$5+3083))</f>
        <v/>
      </c>
      <c r="B3085">
        <f>IF(A3085="","",IFERROR(INDEX(Ввод!$B$12:$B$71,MATCH(A3085,Ввод!$D$12:$D$71,1)),""))</f>
        <v/>
      </c>
      <c r="C3085">
        <f>IF(A3085="","",DATE(YEAR(A3085),12,31)-DATE(YEAR(A3085),1,1)+1)</f>
        <v/>
      </c>
      <c r="D3085">
        <f>IF(A3085="","",Ввод!$B$4-SUMIF(Оплаты!$A$6:$A$505,"&lt;"&amp;A3085,Оплаты!$B$6:$B$505))</f>
        <v/>
      </c>
      <c r="E3085">
        <f>IF(A3085="","",IF(SUMPRODUCT((Ввод!$F$12:$F$31&lt;&gt;"")*(Ввод!$F$12:$F$31&lt;=A3085)*(Ввод!$G$12:$G$31&gt;=A3085))&gt;0,1,0))</f>
        <v/>
      </c>
      <c r="F3085">
        <f>IF(OR(A3085="",B3085=""),"",IF(E3085=1,0,D3085*B3085/100/C3085))</f>
        <v/>
      </c>
      <c r="G3085">
        <f>IF(A3085="","",IF(OR(B3085&lt;&gt;B3084,C3085&lt;&gt;C3084,D3085&lt;&gt;D3084,E3085&lt;&gt;E3084),G3084+1,G3084))</f>
        <v/>
      </c>
    </row>
    <row r="3086">
      <c r="A3086" s="14">
        <f>IF(OR(NOT(ISNUMBER(Ввод!$B$5)),NOT(ISNUMBER(Ввод!$B$6))),"",IF(Ввод!$B$5+3084&gt;Ввод!$B$6,"",Ввод!$B$5+3084))</f>
        <v/>
      </c>
      <c r="B3086">
        <f>IF(A3086="","",IFERROR(INDEX(Ввод!$B$12:$B$71,MATCH(A3086,Ввод!$D$12:$D$71,1)),""))</f>
        <v/>
      </c>
      <c r="C3086">
        <f>IF(A3086="","",DATE(YEAR(A3086),12,31)-DATE(YEAR(A3086),1,1)+1)</f>
        <v/>
      </c>
      <c r="D3086">
        <f>IF(A3086="","",Ввод!$B$4-SUMIF(Оплаты!$A$6:$A$505,"&lt;"&amp;A3086,Оплаты!$B$6:$B$505))</f>
        <v/>
      </c>
      <c r="E3086">
        <f>IF(A3086="","",IF(SUMPRODUCT((Ввод!$F$12:$F$31&lt;&gt;"")*(Ввод!$F$12:$F$31&lt;=A3086)*(Ввод!$G$12:$G$31&gt;=A3086))&gt;0,1,0))</f>
        <v/>
      </c>
      <c r="F3086">
        <f>IF(OR(A3086="",B3086=""),"",IF(E3086=1,0,D3086*B3086/100/C3086))</f>
        <v/>
      </c>
      <c r="G3086">
        <f>IF(A3086="","",IF(OR(B3086&lt;&gt;B3085,C3086&lt;&gt;C3085,D3086&lt;&gt;D3085,E3086&lt;&gt;E3085),G3085+1,G3085))</f>
        <v/>
      </c>
    </row>
    <row r="3087">
      <c r="A3087" s="14">
        <f>IF(OR(NOT(ISNUMBER(Ввод!$B$5)),NOT(ISNUMBER(Ввод!$B$6))),"",IF(Ввод!$B$5+3085&gt;Ввод!$B$6,"",Ввод!$B$5+3085))</f>
        <v/>
      </c>
      <c r="B3087">
        <f>IF(A3087="","",IFERROR(INDEX(Ввод!$B$12:$B$71,MATCH(A3087,Ввод!$D$12:$D$71,1)),""))</f>
        <v/>
      </c>
      <c r="C3087">
        <f>IF(A3087="","",DATE(YEAR(A3087),12,31)-DATE(YEAR(A3087),1,1)+1)</f>
        <v/>
      </c>
      <c r="D3087">
        <f>IF(A3087="","",Ввод!$B$4-SUMIF(Оплаты!$A$6:$A$505,"&lt;"&amp;A3087,Оплаты!$B$6:$B$505))</f>
        <v/>
      </c>
      <c r="E3087">
        <f>IF(A3087="","",IF(SUMPRODUCT((Ввод!$F$12:$F$31&lt;&gt;"")*(Ввод!$F$12:$F$31&lt;=A3087)*(Ввод!$G$12:$G$31&gt;=A3087))&gt;0,1,0))</f>
        <v/>
      </c>
      <c r="F3087">
        <f>IF(OR(A3087="",B3087=""),"",IF(E3087=1,0,D3087*B3087/100/C3087))</f>
        <v/>
      </c>
      <c r="G3087">
        <f>IF(A3087="","",IF(OR(B3087&lt;&gt;B3086,C3087&lt;&gt;C3086,D3087&lt;&gt;D3086,E3087&lt;&gt;E3086),G3086+1,G3086))</f>
        <v/>
      </c>
    </row>
    <row r="3088">
      <c r="A3088" s="14">
        <f>IF(OR(NOT(ISNUMBER(Ввод!$B$5)),NOT(ISNUMBER(Ввод!$B$6))),"",IF(Ввод!$B$5+3086&gt;Ввод!$B$6,"",Ввод!$B$5+3086))</f>
        <v/>
      </c>
      <c r="B3088">
        <f>IF(A3088="","",IFERROR(INDEX(Ввод!$B$12:$B$71,MATCH(A3088,Ввод!$D$12:$D$71,1)),""))</f>
        <v/>
      </c>
      <c r="C3088">
        <f>IF(A3088="","",DATE(YEAR(A3088),12,31)-DATE(YEAR(A3088),1,1)+1)</f>
        <v/>
      </c>
      <c r="D3088">
        <f>IF(A3088="","",Ввод!$B$4-SUMIF(Оплаты!$A$6:$A$505,"&lt;"&amp;A3088,Оплаты!$B$6:$B$505))</f>
        <v/>
      </c>
      <c r="E3088">
        <f>IF(A3088="","",IF(SUMPRODUCT((Ввод!$F$12:$F$31&lt;&gt;"")*(Ввод!$F$12:$F$31&lt;=A3088)*(Ввод!$G$12:$G$31&gt;=A3088))&gt;0,1,0))</f>
        <v/>
      </c>
      <c r="F3088">
        <f>IF(OR(A3088="",B3088=""),"",IF(E3088=1,0,D3088*B3088/100/C3088))</f>
        <v/>
      </c>
      <c r="G3088">
        <f>IF(A3088="","",IF(OR(B3088&lt;&gt;B3087,C3088&lt;&gt;C3087,D3088&lt;&gt;D3087,E3088&lt;&gt;E3087),G3087+1,G3087))</f>
        <v/>
      </c>
    </row>
    <row r="3089">
      <c r="A3089" s="14">
        <f>IF(OR(NOT(ISNUMBER(Ввод!$B$5)),NOT(ISNUMBER(Ввод!$B$6))),"",IF(Ввод!$B$5+3087&gt;Ввод!$B$6,"",Ввод!$B$5+3087))</f>
        <v/>
      </c>
      <c r="B3089">
        <f>IF(A3089="","",IFERROR(INDEX(Ввод!$B$12:$B$71,MATCH(A3089,Ввод!$D$12:$D$71,1)),""))</f>
        <v/>
      </c>
      <c r="C3089">
        <f>IF(A3089="","",DATE(YEAR(A3089),12,31)-DATE(YEAR(A3089),1,1)+1)</f>
        <v/>
      </c>
      <c r="D3089">
        <f>IF(A3089="","",Ввод!$B$4-SUMIF(Оплаты!$A$6:$A$505,"&lt;"&amp;A3089,Оплаты!$B$6:$B$505))</f>
        <v/>
      </c>
      <c r="E3089">
        <f>IF(A3089="","",IF(SUMPRODUCT((Ввод!$F$12:$F$31&lt;&gt;"")*(Ввод!$F$12:$F$31&lt;=A3089)*(Ввод!$G$12:$G$31&gt;=A3089))&gt;0,1,0))</f>
        <v/>
      </c>
      <c r="F3089">
        <f>IF(OR(A3089="",B3089=""),"",IF(E3089=1,0,D3089*B3089/100/C3089))</f>
        <v/>
      </c>
      <c r="G3089">
        <f>IF(A3089="","",IF(OR(B3089&lt;&gt;B3088,C3089&lt;&gt;C3088,D3089&lt;&gt;D3088,E3089&lt;&gt;E3088),G3088+1,G3088))</f>
        <v/>
      </c>
    </row>
    <row r="3090">
      <c r="A3090" s="14">
        <f>IF(OR(NOT(ISNUMBER(Ввод!$B$5)),NOT(ISNUMBER(Ввод!$B$6))),"",IF(Ввод!$B$5+3088&gt;Ввод!$B$6,"",Ввод!$B$5+3088))</f>
        <v/>
      </c>
      <c r="B3090">
        <f>IF(A3090="","",IFERROR(INDEX(Ввод!$B$12:$B$71,MATCH(A3090,Ввод!$D$12:$D$71,1)),""))</f>
        <v/>
      </c>
      <c r="C3090">
        <f>IF(A3090="","",DATE(YEAR(A3090),12,31)-DATE(YEAR(A3090),1,1)+1)</f>
        <v/>
      </c>
      <c r="D3090">
        <f>IF(A3090="","",Ввод!$B$4-SUMIF(Оплаты!$A$6:$A$505,"&lt;"&amp;A3090,Оплаты!$B$6:$B$505))</f>
        <v/>
      </c>
      <c r="E3090">
        <f>IF(A3090="","",IF(SUMPRODUCT((Ввод!$F$12:$F$31&lt;&gt;"")*(Ввод!$F$12:$F$31&lt;=A3090)*(Ввод!$G$12:$G$31&gt;=A3090))&gt;0,1,0))</f>
        <v/>
      </c>
      <c r="F3090">
        <f>IF(OR(A3090="",B3090=""),"",IF(E3090=1,0,D3090*B3090/100/C3090))</f>
        <v/>
      </c>
      <c r="G3090">
        <f>IF(A3090="","",IF(OR(B3090&lt;&gt;B3089,C3090&lt;&gt;C3089,D3090&lt;&gt;D3089,E3090&lt;&gt;E3089),G3089+1,G3089))</f>
        <v/>
      </c>
    </row>
    <row r="3091">
      <c r="A3091" s="14">
        <f>IF(OR(NOT(ISNUMBER(Ввод!$B$5)),NOT(ISNUMBER(Ввод!$B$6))),"",IF(Ввод!$B$5+3089&gt;Ввод!$B$6,"",Ввод!$B$5+3089))</f>
        <v/>
      </c>
      <c r="B3091">
        <f>IF(A3091="","",IFERROR(INDEX(Ввод!$B$12:$B$71,MATCH(A3091,Ввод!$D$12:$D$71,1)),""))</f>
        <v/>
      </c>
      <c r="C3091">
        <f>IF(A3091="","",DATE(YEAR(A3091),12,31)-DATE(YEAR(A3091),1,1)+1)</f>
        <v/>
      </c>
      <c r="D3091">
        <f>IF(A3091="","",Ввод!$B$4-SUMIF(Оплаты!$A$6:$A$505,"&lt;"&amp;A3091,Оплаты!$B$6:$B$505))</f>
        <v/>
      </c>
      <c r="E3091">
        <f>IF(A3091="","",IF(SUMPRODUCT((Ввод!$F$12:$F$31&lt;&gt;"")*(Ввод!$F$12:$F$31&lt;=A3091)*(Ввод!$G$12:$G$31&gt;=A3091))&gt;0,1,0))</f>
        <v/>
      </c>
      <c r="F3091">
        <f>IF(OR(A3091="",B3091=""),"",IF(E3091=1,0,D3091*B3091/100/C3091))</f>
        <v/>
      </c>
      <c r="G3091">
        <f>IF(A3091="","",IF(OR(B3091&lt;&gt;B3090,C3091&lt;&gt;C3090,D3091&lt;&gt;D3090,E3091&lt;&gt;E3090),G3090+1,G3090))</f>
        <v/>
      </c>
    </row>
    <row r="3092">
      <c r="A3092" s="14">
        <f>IF(OR(NOT(ISNUMBER(Ввод!$B$5)),NOT(ISNUMBER(Ввод!$B$6))),"",IF(Ввод!$B$5+3090&gt;Ввод!$B$6,"",Ввод!$B$5+3090))</f>
        <v/>
      </c>
      <c r="B3092">
        <f>IF(A3092="","",IFERROR(INDEX(Ввод!$B$12:$B$71,MATCH(A3092,Ввод!$D$12:$D$71,1)),""))</f>
        <v/>
      </c>
      <c r="C3092">
        <f>IF(A3092="","",DATE(YEAR(A3092),12,31)-DATE(YEAR(A3092),1,1)+1)</f>
        <v/>
      </c>
      <c r="D3092">
        <f>IF(A3092="","",Ввод!$B$4-SUMIF(Оплаты!$A$6:$A$505,"&lt;"&amp;A3092,Оплаты!$B$6:$B$505))</f>
        <v/>
      </c>
      <c r="E3092">
        <f>IF(A3092="","",IF(SUMPRODUCT((Ввод!$F$12:$F$31&lt;&gt;"")*(Ввод!$F$12:$F$31&lt;=A3092)*(Ввод!$G$12:$G$31&gt;=A3092))&gt;0,1,0))</f>
        <v/>
      </c>
      <c r="F3092">
        <f>IF(OR(A3092="",B3092=""),"",IF(E3092=1,0,D3092*B3092/100/C3092))</f>
        <v/>
      </c>
      <c r="G3092">
        <f>IF(A3092="","",IF(OR(B3092&lt;&gt;B3091,C3092&lt;&gt;C3091,D3092&lt;&gt;D3091,E3092&lt;&gt;E3091),G3091+1,G3091))</f>
        <v/>
      </c>
    </row>
    <row r="3093">
      <c r="A3093" s="14">
        <f>IF(OR(NOT(ISNUMBER(Ввод!$B$5)),NOT(ISNUMBER(Ввод!$B$6))),"",IF(Ввод!$B$5+3091&gt;Ввод!$B$6,"",Ввод!$B$5+3091))</f>
        <v/>
      </c>
      <c r="B3093">
        <f>IF(A3093="","",IFERROR(INDEX(Ввод!$B$12:$B$71,MATCH(A3093,Ввод!$D$12:$D$71,1)),""))</f>
        <v/>
      </c>
      <c r="C3093">
        <f>IF(A3093="","",DATE(YEAR(A3093),12,31)-DATE(YEAR(A3093),1,1)+1)</f>
        <v/>
      </c>
      <c r="D3093">
        <f>IF(A3093="","",Ввод!$B$4-SUMIF(Оплаты!$A$6:$A$505,"&lt;"&amp;A3093,Оплаты!$B$6:$B$505))</f>
        <v/>
      </c>
      <c r="E3093">
        <f>IF(A3093="","",IF(SUMPRODUCT((Ввод!$F$12:$F$31&lt;&gt;"")*(Ввод!$F$12:$F$31&lt;=A3093)*(Ввод!$G$12:$G$31&gt;=A3093))&gt;0,1,0))</f>
        <v/>
      </c>
      <c r="F3093">
        <f>IF(OR(A3093="",B3093=""),"",IF(E3093=1,0,D3093*B3093/100/C3093))</f>
        <v/>
      </c>
      <c r="G3093">
        <f>IF(A3093="","",IF(OR(B3093&lt;&gt;B3092,C3093&lt;&gt;C3092,D3093&lt;&gt;D3092,E3093&lt;&gt;E3092),G3092+1,G3092))</f>
        <v/>
      </c>
    </row>
    <row r="3094">
      <c r="A3094" s="14">
        <f>IF(OR(NOT(ISNUMBER(Ввод!$B$5)),NOT(ISNUMBER(Ввод!$B$6))),"",IF(Ввод!$B$5+3092&gt;Ввод!$B$6,"",Ввод!$B$5+3092))</f>
        <v/>
      </c>
      <c r="B3094">
        <f>IF(A3094="","",IFERROR(INDEX(Ввод!$B$12:$B$71,MATCH(A3094,Ввод!$D$12:$D$71,1)),""))</f>
        <v/>
      </c>
      <c r="C3094">
        <f>IF(A3094="","",DATE(YEAR(A3094),12,31)-DATE(YEAR(A3094),1,1)+1)</f>
        <v/>
      </c>
      <c r="D3094">
        <f>IF(A3094="","",Ввод!$B$4-SUMIF(Оплаты!$A$6:$A$505,"&lt;"&amp;A3094,Оплаты!$B$6:$B$505))</f>
        <v/>
      </c>
      <c r="E3094">
        <f>IF(A3094="","",IF(SUMPRODUCT((Ввод!$F$12:$F$31&lt;&gt;"")*(Ввод!$F$12:$F$31&lt;=A3094)*(Ввод!$G$12:$G$31&gt;=A3094))&gt;0,1,0))</f>
        <v/>
      </c>
      <c r="F3094">
        <f>IF(OR(A3094="",B3094=""),"",IF(E3094=1,0,D3094*B3094/100/C3094))</f>
        <v/>
      </c>
      <c r="G3094">
        <f>IF(A3094="","",IF(OR(B3094&lt;&gt;B3093,C3094&lt;&gt;C3093,D3094&lt;&gt;D3093,E3094&lt;&gt;E3093),G3093+1,G3093))</f>
        <v/>
      </c>
    </row>
    <row r="3095">
      <c r="A3095" s="14">
        <f>IF(OR(NOT(ISNUMBER(Ввод!$B$5)),NOT(ISNUMBER(Ввод!$B$6))),"",IF(Ввод!$B$5+3093&gt;Ввод!$B$6,"",Ввод!$B$5+3093))</f>
        <v/>
      </c>
      <c r="B3095">
        <f>IF(A3095="","",IFERROR(INDEX(Ввод!$B$12:$B$71,MATCH(A3095,Ввод!$D$12:$D$71,1)),""))</f>
        <v/>
      </c>
      <c r="C3095">
        <f>IF(A3095="","",DATE(YEAR(A3095),12,31)-DATE(YEAR(A3095),1,1)+1)</f>
        <v/>
      </c>
      <c r="D3095">
        <f>IF(A3095="","",Ввод!$B$4-SUMIF(Оплаты!$A$6:$A$505,"&lt;"&amp;A3095,Оплаты!$B$6:$B$505))</f>
        <v/>
      </c>
      <c r="E3095">
        <f>IF(A3095="","",IF(SUMPRODUCT((Ввод!$F$12:$F$31&lt;&gt;"")*(Ввод!$F$12:$F$31&lt;=A3095)*(Ввод!$G$12:$G$31&gt;=A3095))&gt;0,1,0))</f>
        <v/>
      </c>
      <c r="F3095">
        <f>IF(OR(A3095="",B3095=""),"",IF(E3095=1,0,D3095*B3095/100/C3095))</f>
        <v/>
      </c>
      <c r="G3095">
        <f>IF(A3095="","",IF(OR(B3095&lt;&gt;B3094,C3095&lt;&gt;C3094,D3095&lt;&gt;D3094,E3095&lt;&gt;E3094),G3094+1,G3094))</f>
        <v/>
      </c>
    </row>
    <row r="3096">
      <c r="A3096" s="14">
        <f>IF(OR(NOT(ISNUMBER(Ввод!$B$5)),NOT(ISNUMBER(Ввод!$B$6))),"",IF(Ввод!$B$5+3094&gt;Ввод!$B$6,"",Ввод!$B$5+3094))</f>
        <v/>
      </c>
      <c r="B3096">
        <f>IF(A3096="","",IFERROR(INDEX(Ввод!$B$12:$B$71,MATCH(A3096,Ввод!$D$12:$D$71,1)),""))</f>
        <v/>
      </c>
      <c r="C3096">
        <f>IF(A3096="","",DATE(YEAR(A3096),12,31)-DATE(YEAR(A3096),1,1)+1)</f>
        <v/>
      </c>
      <c r="D3096">
        <f>IF(A3096="","",Ввод!$B$4-SUMIF(Оплаты!$A$6:$A$505,"&lt;"&amp;A3096,Оплаты!$B$6:$B$505))</f>
        <v/>
      </c>
      <c r="E3096">
        <f>IF(A3096="","",IF(SUMPRODUCT((Ввод!$F$12:$F$31&lt;&gt;"")*(Ввод!$F$12:$F$31&lt;=A3096)*(Ввод!$G$12:$G$31&gt;=A3096))&gt;0,1,0))</f>
        <v/>
      </c>
      <c r="F3096">
        <f>IF(OR(A3096="",B3096=""),"",IF(E3096=1,0,D3096*B3096/100/C3096))</f>
        <v/>
      </c>
      <c r="G3096">
        <f>IF(A3096="","",IF(OR(B3096&lt;&gt;B3095,C3096&lt;&gt;C3095,D3096&lt;&gt;D3095,E3096&lt;&gt;E3095),G3095+1,G3095))</f>
        <v/>
      </c>
    </row>
    <row r="3097">
      <c r="A3097" s="14">
        <f>IF(OR(NOT(ISNUMBER(Ввод!$B$5)),NOT(ISNUMBER(Ввод!$B$6))),"",IF(Ввод!$B$5+3095&gt;Ввод!$B$6,"",Ввод!$B$5+3095))</f>
        <v/>
      </c>
      <c r="B3097">
        <f>IF(A3097="","",IFERROR(INDEX(Ввод!$B$12:$B$71,MATCH(A3097,Ввод!$D$12:$D$71,1)),""))</f>
        <v/>
      </c>
      <c r="C3097">
        <f>IF(A3097="","",DATE(YEAR(A3097),12,31)-DATE(YEAR(A3097),1,1)+1)</f>
        <v/>
      </c>
      <c r="D3097">
        <f>IF(A3097="","",Ввод!$B$4-SUMIF(Оплаты!$A$6:$A$505,"&lt;"&amp;A3097,Оплаты!$B$6:$B$505))</f>
        <v/>
      </c>
      <c r="E3097">
        <f>IF(A3097="","",IF(SUMPRODUCT((Ввод!$F$12:$F$31&lt;&gt;"")*(Ввод!$F$12:$F$31&lt;=A3097)*(Ввод!$G$12:$G$31&gt;=A3097))&gt;0,1,0))</f>
        <v/>
      </c>
      <c r="F3097">
        <f>IF(OR(A3097="",B3097=""),"",IF(E3097=1,0,D3097*B3097/100/C3097))</f>
        <v/>
      </c>
      <c r="G3097">
        <f>IF(A3097="","",IF(OR(B3097&lt;&gt;B3096,C3097&lt;&gt;C3096,D3097&lt;&gt;D3096,E3097&lt;&gt;E3096),G3096+1,G3096))</f>
        <v/>
      </c>
    </row>
    <row r="3098">
      <c r="A3098" s="14">
        <f>IF(OR(NOT(ISNUMBER(Ввод!$B$5)),NOT(ISNUMBER(Ввод!$B$6))),"",IF(Ввод!$B$5+3096&gt;Ввод!$B$6,"",Ввод!$B$5+3096))</f>
        <v/>
      </c>
      <c r="B3098">
        <f>IF(A3098="","",IFERROR(INDEX(Ввод!$B$12:$B$71,MATCH(A3098,Ввод!$D$12:$D$71,1)),""))</f>
        <v/>
      </c>
      <c r="C3098">
        <f>IF(A3098="","",DATE(YEAR(A3098),12,31)-DATE(YEAR(A3098),1,1)+1)</f>
        <v/>
      </c>
      <c r="D3098">
        <f>IF(A3098="","",Ввод!$B$4-SUMIF(Оплаты!$A$6:$A$505,"&lt;"&amp;A3098,Оплаты!$B$6:$B$505))</f>
        <v/>
      </c>
      <c r="E3098">
        <f>IF(A3098="","",IF(SUMPRODUCT((Ввод!$F$12:$F$31&lt;&gt;"")*(Ввод!$F$12:$F$31&lt;=A3098)*(Ввод!$G$12:$G$31&gt;=A3098))&gt;0,1,0))</f>
        <v/>
      </c>
      <c r="F3098">
        <f>IF(OR(A3098="",B3098=""),"",IF(E3098=1,0,D3098*B3098/100/C3098))</f>
        <v/>
      </c>
      <c r="G3098">
        <f>IF(A3098="","",IF(OR(B3098&lt;&gt;B3097,C3098&lt;&gt;C3097,D3098&lt;&gt;D3097,E3098&lt;&gt;E3097),G3097+1,G3097))</f>
        <v/>
      </c>
    </row>
    <row r="3099">
      <c r="A3099" s="14">
        <f>IF(OR(NOT(ISNUMBER(Ввод!$B$5)),NOT(ISNUMBER(Ввод!$B$6))),"",IF(Ввод!$B$5+3097&gt;Ввод!$B$6,"",Ввод!$B$5+3097))</f>
        <v/>
      </c>
      <c r="B3099">
        <f>IF(A3099="","",IFERROR(INDEX(Ввод!$B$12:$B$71,MATCH(A3099,Ввод!$D$12:$D$71,1)),""))</f>
        <v/>
      </c>
      <c r="C3099">
        <f>IF(A3099="","",DATE(YEAR(A3099),12,31)-DATE(YEAR(A3099),1,1)+1)</f>
        <v/>
      </c>
      <c r="D3099">
        <f>IF(A3099="","",Ввод!$B$4-SUMIF(Оплаты!$A$6:$A$505,"&lt;"&amp;A3099,Оплаты!$B$6:$B$505))</f>
        <v/>
      </c>
      <c r="E3099">
        <f>IF(A3099="","",IF(SUMPRODUCT((Ввод!$F$12:$F$31&lt;&gt;"")*(Ввод!$F$12:$F$31&lt;=A3099)*(Ввод!$G$12:$G$31&gt;=A3099))&gt;0,1,0))</f>
        <v/>
      </c>
      <c r="F3099">
        <f>IF(OR(A3099="",B3099=""),"",IF(E3099=1,0,D3099*B3099/100/C3099))</f>
        <v/>
      </c>
      <c r="G3099">
        <f>IF(A3099="","",IF(OR(B3099&lt;&gt;B3098,C3099&lt;&gt;C3098,D3099&lt;&gt;D3098,E3099&lt;&gt;E3098),G3098+1,G3098))</f>
        <v/>
      </c>
    </row>
    <row r="3100">
      <c r="A3100" s="14">
        <f>IF(OR(NOT(ISNUMBER(Ввод!$B$5)),NOT(ISNUMBER(Ввод!$B$6))),"",IF(Ввод!$B$5+3098&gt;Ввод!$B$6,"",Ввод!$B$5+3098))</f>
        <v/>
      </c>
      <c r="B3100">
        <f>IF(A3100="","",IFERROR(INDEX(Ввод!$B$12:$B$71,MATCH(A3100,Ввод!$D$12:$D$71,1)),""))</f>
        <v/>
      </c>
      <c r="C3100">
        <f>IF(A3100="","",DATE(YEAR(A3100),12,31)-DATE(YEAR(A3100),1,1)+1)</f>
        <v/>
      </c>
      <c r="D3100">
        <f>IF(A3100="","",Ввод!$B$4-SUMIF(Оплаты!$A$6:$A$505,"&lt;"&amp;A3100,Оплаты!$B$6:$B$505))</f>
        <v/>
      </c>
      <c r="E3100">
        <f>IF(A3100="","",IF(SUMPRODUCT((Ввод!$F$12:$F$31&lt;&gt;"")*(Ввод!$F$12:$F$31&lt;=A3100)*(Ввод!$G$12:$G$31&gt;=A3100))&gt;0,1,0))</f>
        <v/>
      </c>
      <c r="F3100">
        <f>IF(OR(A3100="",B3100=""),"",IF(E3100=1,0,D3100*B3100/100/C3100))</f>
        <v/>
      </c>
      <c r="G3100">
        <f>IF(A3100="","",IF(OR(B3100&lt;&gt;B3099,C3100&lt;&gt;C3099,D3100&lt;&gt;D3099,E3100&lt;&gt;E3099),G3099+1,G3099))</f>
        <v/>
      </c>
    </row>
    <row r="3101">
      <c r="A3101" s="14">
        <f>IF(OR(NOT(ISNUMBER(Ввод!$B$5)),NOT(ISNUMBER(Ввод!$B$6))),"",IF(Ввод!$B$5+3099&gt;Ввод!$B$6,"",Ввод!$B$5+3099))</f>
        <v/>
      </c>
      <c r="B3101">
        <f>IF(A3101="","",IFERROR(INDEX(Ввод!$B$12:$B$71,MATCH(A3101,Ввод!$D$12:$D$71,1)),""))</f>
        <v/>
      </c>
      <c r="C3101">
        <f>IF(A3101="","",DATE(YEAR(A3101),12,31)-DATE(YEAR(A3101),1,1)+1)</f>
        <v/>
      </c>
      <c r="D3101">
        <f>IF(A3101="","",Ввод!$B$4-SUMIF(Оплаты!$A$6:$A$505,"&lt;"&amp;A3101,Оплаты!$B$6:$B$505))</f>
        <v/>
      </c>
      <c r="E3101">
        <f>IF(A3101="","",IF(SUMPRODUCT((Ввод!$F$12:$F$31&lt;&gt;"")*(Ввод!$F$12:$F$31&lt;=A3101)*(Ввод!$G$12:$G$31&gt;=A3101))&gt;0,1,0))</f>
        <v/>
      </c>
      <c r="F3101">
        <f>IF(OR(A3101="",B3101=""),"",IF(E3101=1,0,D3101*B3101/100/C3101))</f>
        <v/>
      </c>
      <c r="G3101">
        <f>IF(A3101="","",IF(OR(B3101&lt;&gt;B3100,C3101&lt;&gt;C3100,D3101&lt;&gt;D3100,E3101&lt;&gt;E3100),G3100+1,G3100))</f>
        <v/>
      </c>
    </row>
    <row r="3102">
      <c r="A3102" s="14">
        <f>IF(OR(NOT(ISNUMBER(Ввод!$B$5)),NOT(ISNUMBER(Ввод!$B$6))),"",IF(Ввод!$B$5+3100&gt;Ввод!$B$6,"",Ввод!$B$5+3100))</f>
        <v/>
      </c>
      <c r="B3102">
        <f>IF(A3102="","",IFERROR(INDEX(Ввод!$B$12:$B$71,MATCH(A3102,Ввод!$D$12:$D$71,1)),""))</f>
        <v/>
      </c>
      <c r="C3102">
        <f>IF(A3102="","",DATE(YEAR(A3102),12,31)-DATE(YEAR(A3102),1,1)+1)</f>
        <v/>
      </c>
      <c r="D3102">
        <f>IF(A3102="","",Ввод!$B$4-SUMIF(Оплаты!$A$6:$A$505,"&lt;"&amp;A3102,Оплаты!$B$6:$B$505))</f>
        <v/>
      </c>
      <c r="E3102">
        <f>IF(A3102="","",IF(SUMPRODUCT((Ввод!$F$12:$F$31&lt;&gt;"")*(Ввод!$F$12:$F$31&lt;=A3102)*(Ввод!$G$12:$G$31&gt;=A3102))&gt;0,1,0))</f>
        <v/>
      </c>
      <c r="F3102">
        <f>IF(OR(A3102="",B3102=""),"",IF(E3102=1,0,D3102*B3102/100/C3102))</f>
        <v/>
      </c>
      <c r="G3102">
        <f>IF(A3102="","",IF(OR(B3102&lt;&gt;B3101,C3102&lt;&gt;C3101,D3102&lt;&gt;D3101,E3102&lt;&gt;E3101),G3101+1,G3101))</f>
        <v/>
      </c>
    </row>
    <row r="3103">
      <c r="A3103" s="14">
        <f>IF(OR(NOT(ISNUMBER(Ввод!$B$5)),NOT(ISNUMBER(Ввод!$B$6))),"",IF(Ввод!$B$5+3101&gt;Ввод!$B$6,"",Ввод!$B$5+3101))</f>
        <v/>
      </c>
      <c r="B3103">
        <f>IF(A3103="","",IFERROR(INDEX(Ввод!$B$12:$B$71,MATCH(A3103,Ввод!$D$12:$D$71,1)),""))</f>
        <v/>
      </c>
      <c r="C3103">
        <f>IF(A3103="","",DATE(YEAR(A3103),12,31)-DATE(YEAR(A3103),1,1)+1)</f>
        <v/>
      </c>
      <c r="D3103">
        <f>IF(A3103="","",Ввод!$B$4-SUMIF(Оплаты!$A$6:$A$505,"&lt;"&amp;A3103,Оплаты!$B$6:$B$505))</f>
        <v/>
      </c>
      <c r="E3103">
        <f>IF(A3103="","",IF(SUMPRODUCT((Ввод!$F$12:$F$31&lt;&gt;"")*(Ввод!$F$12:$F$31&lt;=A3103)*(Ввод!$G$12:$G$31&gt;=A3103))&gt;0,1,0))</f>
        <v/>
      </c>
      <c r="F3103">
        <f>IF(OR(A3103="",B3103=""),"",IF(E3103=1,0,D3103*B3103/100/C3103))</f>
        <v/>
      </c>
      <c r="G3103">
        <f>IF(A3103="","",IF(OR(B3103&lt;&gt;B3102,C3103&lt;&gt;C3102,D3103&lt;&gt;D3102,E3103&lt;&gt;E3102),G3102+1,G3102))</f>
        <v/>
      </c>
    </row>
    <row r="3104">
      <c r="A3104" s="14">
        <f>IF(OR(NOT(ISNUMBER(Ввод!$B$5)),NOT(ISNUMBER(Ввод!$B$6))),"",IF(Ввод!$B$5+3102&gt;Ввод!$B$6,"",Ввод!$B$5+3102))</f>
        <v/>
      </c>
      <c r="B3104">
        <f>IF(A3104="","",IFERROR(INDEX(Ввод!$B$12:$B$71,MATCH(A3104,Ввод!$D$12:$D$71,1)),""))</f>
        <v/>
      </c>
      <c r="C3104">
        <f>IF(A3104="","",DATE(YEAR(A3104),12,31)-DATE(YEAR(A3104),1,1)+1)</f>
        <v/>
      </c>
      <c r="D3104">
        <f>IF(A3104="","",Ввод!$B$4-SUMIF(Оплаты!$A$6:$A$505,"&lt;"&amp;A3104,Оплаты!$B$6:$B$505))</f>
        <v/>
      </c>
      <c r="E3104">
        <f>IF(A3104="","",IF(SUMPRODUCT((Ввод!$F$12:$F$31&lt;&gt;"")*(Ввод!$F$12:$F$31&lt;=A3104)*(Ввод!$G$12:$G$31&gt;=A3104))&gt;0,1,0))</f>
        <v/>
      </c>
      <c r="F3104">
        <f>IF(OR(A3104="",B3104=""),"",IF(E3104=1,0,D3104*B3104/100/C3104))</f>
        <v/>
      </c>
      <c r="G3104">
        <f>IF(A3104="","",IF(OR(B3104&lt;&gt;B3103,C3104&lt;&gt;C3103,D3104&lt;&gt;D3103,E3104&lt;&gt;E3103),G3103+1,G3103))</f>
        <v/>
      </c>
    </row>
    <row r="3105">
      <c r="A3105" s="14">
        <f>IF(OR(NOT(ISNUMBER(Ввод!$B$5)),NOT(ISNUMBER(Ввод!$B$6))),"",IF(Ввод!$B$5+3103&gt;Ввод!$B$6,"",Ввод!$B$5+3103))</f>
        <v/>
      </c>
      <c r="B3105">
        <f>IF(A3105="","",IFERROR(INDEX(Ввод!$B$12:$B$71,MATCH(A3105,Ввод!$D$12:$D$71,1)),""))</f>
        <v/>
      </c>
      <c r="C3105">
        <f>IF(A3105="","",DATE(YEAR(A3105),12,31)-DATE(YEAR(A3105),1,1)+1)</f>
        <v/>
      </c>
      <c r="D3105">
        <f>IF(A3105="","",Ввод!$B$4-SUMIF(Оплаты!$A$6:$A$505,"&lt;"&amp;A3105,Оплаты!$B$6:$B$505))</f>
        <v/>
      </c>
      <c r="E3105">
        <f>IF(A3105="","",IF(SUMPRODUCT((Ввод!$F$12:$F$31&lt;&gt;"")*(Ввод!$F$12:$F$31&lt;=A3105)*(Ввод!$G$12:$G$31&gt;=A3105))&gt;0,1,0))</f>
        <v/>
      </c>
      <c r="F3105">
        <f>IF(OR(A3105="",B3105=""),"",IF(E3105=1,0,D3105*B3105/100/C3105))</f>
        <v/>
      </c>
      <c r="G3105">
        <f>IF(A3105="","",IF(OR(B3105&lt;&gt;B3104,C3105&lt;&gt;C3104,D3105&lt;&gt;D3104,E3105&lt;&gt;E3104),G3104+1,G3104))</f>
        <v/>
      </c>
    </row>
    <row r="3106">
      <c r="A3106" s="14">
        <f>IF(OR(NOT(ISNUMBER(Ввод!$B$5)),NOT(ISNUMBER(Ввод!$B$6))),"",IF(Ввод!$B$5+3104&gt;Ввод!$B$6,"",Ввод!$B$5+3104))</f>
        <v/>
      </c>
      <c r="B3106">
        <f>IF(A3106="","",IFERROR(INDEX(Ввод!$B$12:$B$71,MATCH(A3106,Ввод!$D$12:$D$71,1)),""))</f>
        <v/>
      </c>
      <c r="C3106">
        <f>IF(A3106="","",DATE(YEAR(A3106),12,31)-DATE(YEAR(A3106),1,1)+1)</f>
        <v/>
      </c>
      <c r="D3106">
        <f>IF(A3106="","",Ввод!$B$4-SUMIF(Оплаты!$A$6:$A$505,"&lt;"&amp;A3106,Оплаты!$B$6:$B$505))</f>
        <v/>
      </c>
      <c r="E3106">
        <f>IF(A3106="","",IF(SUMPRODUCT((Ввод!$F$12:$F$31&lt;&gt;"")*(Ввод!$F$12:$F$31&lt;=A3106)*(Ввод!$G$12:$G$31&gt;=A3106))&gt;0,1,0))</f>
        <v/>
      </c>
      <c r="F3106">
        <f>IF(OR(A3106="",B3106=""),"",IF(E3106=1,0,D3106*B3106/100/C3106))</f>
        <v/>
      </c>
      <c r="G3106">
        <f>IF(A3106="","",IF(OR(B3106&lt;&gt;B3105,C3106&lt;&gt;C3105,D3106&lt;&gt;D3105,E3106&lt;&gt;E3105),G3105+1,G3105))</f>
        <v/>
      </c>
    </row>
    <row r="3107">
      <c r="A3107" s="14">
        <f>IF(OR(NOT(ISNUMBER(Ввод!$B$5)),NOT(ISNUMBER(Ввод!$B$6))),"",IF(Ввод!$B$5+3105&gt;Ввод!$B$6,"",Ввод!$B$5+3105))</f>
        <v/>
      </c>
      <c r="B3107">
        <f>IF(A3107="","",IFERROR(INDEX(Ввод!$B$12:$B$71,MATCH(A3107,Ввод!$D$12:$D$71,1)),""))</f>
        <v/>
      </c>
      <c r="C3107">
        <f>IF(A3107="","",DATE(YEAR(A3107),12,31)-DATE(YEAR(A3107),1,1)+1)</f>
        <v/>
      </c>
      <c r="D3107">
        <f>IF(A3107="","",Ввод!$B$4-SUMIF(Оплаты!$A$6:$A$505,"&lt;"&amp;A3107,Оплаты!$B$6:$B$505))</f>
        <v/>
      </c>
      <c r="E3107">
        <f>IF(A3107="","",IF(SUMPRODUCT((Ввод!$F$12:$F$31&lt;&gt;"")*(Ввод!$F$12:$F$31&lt;=A3107)*(Ввод!$G$12:$G$31&gt;=A3107))&gt;0,1,0))</f>
        <v/>
      </c>
      <c r="F3107">
        <f>IF(OR(A3107="",B3107=""),"",IF(E3107=1,0,D3107*B3107/100/C3107))</f>
        <v/>
      </c>
      <c r="G3107">
        <f>IF(A3107="","",IF(OR(B3107&lt;&gt;B3106,C3107&lt;&gt;C3106,D3107&lt;&gt;D3106,E3107&lt;&gt;E3106),G3106+1,G3106))</f>
        <v/>
      </c>
    </row>
    <row r="3108">
      <c r="A3108" s="14">
        <f>IF(OR(NOT(ISNUMBER(Ввод!$B$5)),NOT(ISNUMBER(Ввод!$B$6))),"",IF(Ввод!$B$5+3106&gt;Ввод!$B$6,"",Ввод!$B$5+3106))</f>
        <v/>
      </c>
      <c r="B3108">
        <f>IF(A3108="","",IFERROR(INDEX(Ввод!$B$12:$B$71,MATCH(A3108,Ввод!$D$12:$D$71,1)),""))</f>
        <v/>
      </c>
      <c r="C3108">
        <f>IF(A3108="","",DATE(YEAR(A3108),12,31)-DATE(YEAR(A3108),1,1)+1)</f>
        <v/>
      </c>
      <c r="D3108">
        <f>IF(A3108="","",Ввод!$B$4-SUMIF(Оплаты!$A$6:$A$505,"&lt;"&amp;A3108,Оплаты!$B$6:$B$505))</f>
        <v/>
      </c>
      <c r="E3108">
        <f>IF(A3108="","",IF(SUMPRODUCT((Ввод!$F$12:$F$31&lt;&gt;"")*(Ввод!$F$12:$F$31&lt;=A3108)*(Ввод!$G$12:$G$31&gt;=A3108))&gt;0,1,0))</f>
        <v/>
      </c>
      <c r="F3108">
        <f>IF(OR(A3108="",B3108=""),"",IF(E3108=1,0,D3108*B3108/100/C3108))</f>
        <v/>
      </c>
      <c r="G3108">
        <f>IF(A3108="","",IF(OR(B3108&lt;&gt;B3107,C3108&lt;&gt;C3107,D3108&lt;&gt;D3107,E3108&lt;&gt;E3107),G3107+1,G3107))</f>
        <v/>
      </c>
    </row>
    <row r="3109">
      <c r="A3109" s="14">
        <f>IF(OR(NOT(ISNUMBER(Ввод!$B$5)),NOT(ISNUMBER(Ввод!$B$6))),"",IF(Ввод!$B$5+3107&gt;Ввод!$B$6,"",Ввод!$B$5+3107))</f>
        <v/>
      </c>
      <c r="B3109">
        <f>IF(A3109="","",IFERROR(INDEX(Ввод!$B$12:$B$71,MATCH(A3109,Ввод!$D$12:$D$71,1)),""))</f>
        <v/>
      </c>
      <c r="C3109">
        <f>IF(A3109="","",DATE(YEAR(A3109),12,31)-DATE(YEAR(A3109),1,1)+1)</f>
        <v/>
      </c>
      <c r="D3109">
        <f>IF(A3109="","",Ввод!$B$4-SUMIF(Оплаты!$A$6:$A$505,"&lt;"&amp;A3109,Оплаты!$B$6:$B$505))</f>
        <v/>
      </c>
      <c r="E3109">
        <f>IF(A3109="","",IF(SUMPRODUCT((Ввод!$F$12:$F$31&lt;&gt;"")*(Ввод!$F$12:$F$31&lt;=A3109)*(Ввод!$G$12:$G$31&gt;=A3109))&gt;0,1,0))</f>
        <v/>
      </c>
      <c r="F3109">
        <f>IF(OR(A3109="",B3109=""),"",IF(E3109=1,0,D3109*B3109/100/C3109))</f>
        <v/>
      </c>
      <c r="G3109">
        <f>IF(A3109="","",IF(OR(B3109&lt;&gt;B3108,C3109&lt;&gt;C3108,D3109&lt;&gt;D3108,E3109&lt;&gt;E3108),G3108+1,G3108))</f>
        <v/>
      </c>
    </row>
    <row r="3110">
      <c r="A3110" s="14">
        <f>IF(OR(NOT(ISNUMBER(Ввод!$B$5)),NOT(ISNUMBER(Ввод!$B$6))),"",IF(Ввод!$B$5+3108&gt;Ввод!$B$6,"",Ввод!$B$5+3108))</f>
        <v/>
      </c>
      <c r="B3110">
        <f>IF(A3110="","",IFERROR(INDEX(Ввод!$B$12:$B$71,MATCH(A3110,Ввод!$D$12:$D$71,1)),""))</f>
        <v/>
      </c>
      <c r="C3110">
        <f>IF(A3110="","",DATE(YEAR(A3110),12,31)-DATE(YEAR(A3110),1,1)+1)</f>
        <v/>
      </c>
      <c r="D3110">
        <f>IF(A3110="","",Ввод!$B$4-SUMIF(Оплаты!$A$6:$A$505,"&lt;"&amp;A3110,Оплаты!$B$6:$B$505))</f>
        <v/>
      </c>
      <c r="E3110">
        <f>IF(A3110="","",IF(SUMPRODUCT((Ввод!$F$12:$F$31&lt;&gt;"")*(Ввод!$F$12:$F$31&lt;=A3110)*(Ввод!$G$12:$G$31&gt;=A3110))&gt;0,1,0))</f>
        <v/>
      </c>
      <c r="F3110">
        <f>IF(OR(A3110="",B3110=""),"",IF(E3110=1,0,D3110*B3110/100/C3110))</f>
        <v/>
      </c>
      <c r="G3110">
        <f>IF(A3110="","",IF(OR(B3110&lt;&gt;B3109,C3110&lt;&gt;C3109,D3110&lt;&gt;D3109,E3110&lt;&gt;E3109),G3109+1,G3109))</f>
        <v/>
      </c>
    </row>
    <row r="3111">
      <c r="A3111" s="14">
        <f>IF(OR(NOT(ISNUMBER(Ввод!$B$5)),NOT(ISNUMBER(Ввод!$B$6))),"",IF(Ввод!$B$5+3109&gt;Ввод!$B$6,"",Ввод!$B$5+3109))</f>
        <v/>
      </c>
      <c r="B3111">
        <f>IF(A3111="","",IFERROR(INDEX(Ввод!$B$12:$B$71,MATCH(A3111,Ввод!$D$12:$D$71,1)),""))</f>
        <v/>
      </c>
      <c r="C3111">
        <f>IF(A3111="","",DATE(YEAR(A3111),12,31)-DATE(YEAR(A3111),1,1)+1)</f>
        <v/>
      </c>
      <c r="D3111">
        <f>IF(A3111="","",Ввод!$B$4-SUMIF(Оплаты!$A$6:$A$505,"&lt;"&amp;A3111,Оплаты!$B$6:$B$505))</f>
        <v/>
      </c>
      <c r="E3111">
        <f>IF(A3111="","",IF(SUMPRODUCT((Ввод!$F$12:$F$31&lt;&gt;"")*(Ввод!$F$12:$F$31&lt;=A3111)*(Ввод!$G$12:$G$31&gt;=A3111))&gt;0,1,0))</f>
        <v/>
      </c>
      <c r="F3111">
        <f>IF(OR(A3111="",B3111=""),"",IF(E3111=1,0,D3111*B3111/100/C3111))</f>
        <v/>
      </c>
      <c r="G3111">
        <f>IF(A3111="","",IF(OR(B3111&lt;&gt;B3110,C3111&lt;&gt;C3110,D3111&lt;&gt;D3110,E3111&lt;&gt;E3110),G3110+1,G3110))</f>
        <v/>
      </c>
    </row>
    <row r="3112">
      <c r="A3112" s="14">
        <f>IF(OR(NOT(ISNUMBER(Ввод!$B$5)),NOT(ISNUMBER(Ввод!$B$6))),"",IF(Ввод!$B$5+3110&gt;Ввод!$B$6,"",Ввод!$B$5+3110))</f>
        <v/>
      </c>
      <c r="B3112">
        <f>IF(A3112="","",IFERROR(INDEX(Ввод!$B$12:$B$71,MATCH(A3112,Ввод!$D$12:$D$71,1)),""))</f>
        <v/>
      </c>
      <c r="C3112">
        <f>IF(A3112="","",DATE(YEAR(A3112),12,31)-DATE(YEAR(A3112),1,1)+1)</f>
        <v/>
      </c>
      <c r="D3112">
        <f>IF(A3112="","",Ввод!$B$4-SUMIF(Оплаты!$A$6:$A$505,"&lt;"&amp;A3112,Оплаты!$B$6:$B$505))</f>
        <v/>
      </c>
      <c r="E3112">
        <f>IF(A3112="","",IF(SUMPRODUCT((Ввод!$F$12:$F$31&lt;&gt;"")*(Ввод!$F$12:$F$31&lt;=A3112)*(Ввод!$G$12:$G$31&gt;=A3112))&gt;0,1,0))</f>
        <v/>
      </c>
      <c r="F3112">
        <f>IF(OR(A3112="",B3112=""),"",IF(E3112=1,0,D3112*B3112/100/C3112))</f>
        <v/>
      </c>
      <c r="G3112">
        <f>IF(A3112="","",IF(OR(B3112&lt;&gt;B3111,C3112&lt;&gt;C3111,D3112&lt;&gt;D3111,E3112&lt;&gt;E3111),G3111+1,G3111))</f>
        <v/>
      </c>
    </row>
    <row r="3113">
      <c r="A3113" s="14">
        <f>IF(OR(NOT(ISNUMBER(Ввод!$B$5)),NOT(ISNUMBER(Ввод!$B$6))),"",IF(Ввод!$B$5+3111&gt;Ввод!$B$6,"",Ввод!$B$5+3111))</f>
        <v/>
      </c>
      <c r="B3113">
        <f>IF(A3113="","",IFERROR(INDEX(Ввод!$B$12:$B$71,MATCH(A3113,Ввод!$D$12:$D$71,1)),""))</f>
        <v/>
      </c>
      <c r="C3113">
        <f>IF(A3113="","",DATE(YEAR(A3113),12,31)-DATE(YEAR(A3113),1,1)+1)</f>
        <v/>
      </c>
      <c r="D3113">
        <f>IF(A3113="","",Ввод!$B$4-SUMIF(Оплаты!$A$6:$A$505,"&lt;"&amp;A3113,Оплаты!$B$6:$B$505))</f>
        <v/>
      </c>
      <c r="E3113">
        <f>IF(A3113="","",IF(SUMPRODUCT((Ввод!$F$12:$F$31&lt;&gt;"")*(Ввод!$F$12:$F$31&lt;=A3113)*(Ввод!$G$12:$G$31&gt;=A3113))&gt;0,1,0))</f>
        <v/>
      </c>
      <c r="F3113">
        <f>IF(OR(A3113="",B3113=""),"",IF(E3113=1,0,D3113*B3113/100/C3113))</f>
        <v/>
      </c>
      <c r="G3113">
        <f>IF(A3113="","",IF(OR(B3113&lt;&gt;B3112,C3113&lt;&gt;C3112,D3113&lt;&gt;D3112,E3113&lt;&gt;E3112),G3112+1,G3112))</f>
        <v/>
      </c>
    </row>
    <row r="3114">
      <c r="A3114" s="14">
        <f>IF(OR(NOT(ISNUMBER(Ввод!$B$5)),NOT(ISNUMBER(Ввод!$B$6))),"",IF(Ввод!$B$5+3112&gt;Ввод!$B$6,"",Ввод!$B$5+3112))</f>
        <v/>
      </c>
      <c r="B3114">
        <f>IF(A3114="","",IFERROR(INDEX(Ввод!$B$12:$B$71,MATCH(A3114,Ввод!$D$12:$D$71,1)),""))</f>
        <v/>
      </c>
      <c r="C3114">
        <f>IF(A3114="","",DATE(YEAR(A3114),12,31)-DATE(YEAR(A3114),1,1)+1)</f>
        <v/>
      </c>
      <c r="D3114">
        <f>IF(A3114="","",Ввод!$B$4-SUMIF(Оплаты!$A$6:$A$505,"&lt;"&amp;A3114,Оплаты!$B$6:$B$505))</f>
        <v/>
      </c>
      <c r="E3114">
        <f>IF(A3114="","",IF(SUMPRODUCT((Ввод!$F$12:$F$31&lt;&gt;"")*(Ввод!$F$12:$F$31&lt;=A3114)*(Ввод!$G$12:$G$31&gt;=A3114))&gt;0,1,0))</f>
        <v/>
      </c>
      <c r="F3114">
        <f>IF(OR(A3114="",B3114=""),"",IF(E3114=1,0,D3114*B3114/100/C3114))</f>
        <v/>
      </c>
      <c r="G3114">
        <f>IF(A3114="","",IF(OR(B3114&lt;&gt;B3113,C3114&lt;&gt;C3113,D3114&lt;&gt;D3113,E3114&lt;&gt;E3113),G3113+1,G3113))</f>
        <v/>
      </c>
    </row>
    <row r="3115">
      <c r="A3115" s="14">
        <f>IF(OR(NOT(ISNUMBER(Ввод!$B$5)),NOT(ISNUMBER(Ввод!$B$6))),"",IF(Ввод!$B$5+3113&gt;Ввод!$B$6,"",Ввод!$B$5+3113))</f>
        <v/>
      </c>
      <c r="B3115">
        <f>IF(A3115="","",IFERROR(INDEX(Ввод!$B$12:$B$71,MATCH(A3115,Ввод!$D$12:$D$71,1)),""))</f>
        <v/>
      </c>
      <c r="C3115">
        <f>IF(A3115="","",DATE(YEAR(A3115),12,31)-DATE(YEAR(A3115),1,1)+1)</f>
        <v/>
      </c>
      <c r="D3115">
        <f>IF(A3115="","",Ввод!$B$4-SUMIF(Оплаты!$A$6:$A$505,"&lt;"&amp;A3115,Оплаты!$B$6:$B$505))</f>
        <v/>
      </c>
      <c r="E3115">
        <f>IF(A3115="","",IF(SUMPRODUCT((Ввод!$F$12:$F$31&lt;&gt;"")*(Ввод!$F$12:$F$31&lt;=A3115)*(Ввод!$G$12:$G$31&gt;=A3115))&gt;0,1,0))</f>
        <v/>
      </c>
      <c r="F3115">
        <f>IF(OR(A3115="",B3115=""),"",IF(E3115=1,0,D3115*B3115/100/C3115))</f>
        <v/>
      </c>
      <c r="G3115">
        <f>IF(A3115="","",IF(OR(B3115&lt;&gt;B3114,C3115&lt;&gt;C3114,D3115&lt;&gt;D3114,E3115&lt;&gt;E3114),G3114+1,G3114))</f>
        <v/>
      </c>
    </row>
    <row r="3116">
      <c r="A3116" s="14">
        <f>IF(OR(NOT(ISNUMBER(Ввод!$B$5)),NOT(ISNUMBER(Ввод!$B$6))),"",IF(Ввод!$B$5+3114&gt;Ввод!$B$6,"",Ввод!$B$5+3114))</f>
        <v/>
      </c>
      <c r="B3116">
        <f>IF(A3116="","",IFERROR(INDEX(Ввод!$B$12:$B$71,MATCH(A3116,Ввод!$D$12:$D$71,1)),""))</f>
        <v/>
      </c>
      <c r="C3116">
        <f>IF(A3116="","",DATE(YEAR(A3116),12,31)-DATE(YEAR(A3116),1,1)+1)</f>
        <v/>
      </c>
      <c r="D3116">
        <f>IF(A3116="","",Ввод!$B$4-SUMIF(Оплаты!$A$6:$A$505,"&lt;"&amp;A3116,Оплаты!$B$6:$B$505))</f>
        <v/>
      </c>
      <c r="E3116">
        <f>IF(A3116="","",IF(SUMPRODUCT((Ввод!$F$12:$F$31&lt;&gt;"")*(Ввод!$F$12:$F$31&lt;=A3116)*(Ввод!$G$12:$G$31&gt;=A3116))&gt;0,1,0))</f>
        <v/>
      </c>
      <c r="F3116">
        <f>IF(OR(A3116="",B3116=""),"",IF(E3116=1,0,D3116*B3116/100/C3116))</f>
        <v/>
      </c>
      <c r="G3116">
        <f>IF(A3116="","",IF(OR(B3116&lt;&gt;B3115,C3116&lt;&gt;C3115,D3116&lt;&gt;D3115,E3116&lt;&gt;E3115),G3115+1,G3115))</f>
        <v/>
      </c>
    </row>
    <row r="3117">
      <c r="A3117" s="14">
        <f>IF(OR(NOT(ISNUMBER(Ввод!$B$5)),NOT(ISNUMBER(Ввод!$B$6))),"",IF(Ввод!$B$5+3115&gt;Ввод!$B$6,"",Ввод!$B$5+3115))</f>
        <v/>
      </c>
      <c r="B3117">
        <f>IF(A3117="","",IFERROR(INDEX(Ввод!$B$12:$B$71,MATCH(A3117,Ввод!$D$12:$D$71,1)),""))</f>
        <v/>
      </c>
      <c r="C3117">
        <f>IF(A3117="","",DATE(YEAR(A3117),12,31)-DATE(YEAR(A3117),1,1)+1)</f>
        <v/>
      </c>
      <c r="D3117">
        <f>IF(A3117="","",Ввод!$B$4-SUMIF(Оплаты!$A$6:$A$505,"&lt;"&amp;A3117,Оплаты!$B$6:$B$505))</f>
        <v/>
      </c>
      <c r="E3117">
        <f>IF(A3117="","",IF(SUMPRODUCT((Ввод!$F$12:$F$31&lt;&gt;"")*(Ввод!$F$12:$F$31&lt;=A3117)*(Ввод!$G$12:$G$31&gt;=A3117))&gt;0,1,0))</f>
        <v/>
      </c>
      <c r="F3117">
        <f>IF(OR(A3117="",B3117=""),"",IF(E3117=1,0,D3117*B3117/100/C3117))</f>
        <v/>
      </c>
      <c r="G3117">
        <f>IF(A3117="","",IF(OR(B3117&lt;&gt;B3116,C3117&lt;&gt;C3116,D3117&lt;&gt;D3116,E3117&lt;&gt;E3116),G3116+1,G3116))</f>
        <v/>
      </c>
    </row>
    <row r="3118">
      <c r="A3118" s="14">
        <f>IF(OR(NOT(ISNUMBER(Ввод!$B$5)),NOT(ISNUMBER(Ввод!$B$6))),"",IF(Ввод!$B$5+3116&gt;Ввод!$B$6,"",Ввод!$B$5+3116))</f>
        <v/>
      </c>
      <c r="B3118">
        <f>IF(A3118="","",IFERROR(INDEX(Ввод!$B$12:$B$71,MATCH(A3118,Ввод!$D$12:$D$71,1)),""))</f>
        <v/>
      </c>
      <c r="C3118">
        <f>IF(A3118="","",DATE(YEAR(A3118),12,31)-DATE(YEAR(A3118),1,1)+1)</f>
        <v/>
      </c>
      <c r="D3118">
        <f>IF(A3118="","",Ввод!$B$4-SUMIF(Оплаты!$A$6:$A$505,"&lt;"&amp;A3118,Оплаты!$B$6:$B$505))</f>
        <v/>
      </c>
      <c r="E3118">
        <f>IF(A3118="","",IF(SUMPRODUCT((Ввод!$F$12:$F$31&lt;&gt;"")*(Ввод!$F$12:$F$31&lt;=A3118)*(Ввод!$G$12:$G$31&gt;=A3118))&gt;0,1,0))</f>
        <v/>
      </c>
      <c r="F3118">
        <f>IF(OR(A3118="",B3118=""),"",IF(E3118=1,0,D3118*B3118/100/C3118))</f>
        <v/>
      </c>
      <c r="G3118">
        <f>IF(A3118="","",IF(OR(B3118&lt;&gt;B3117,C3118&lt;&gt;C3117,D3118&lt;&gt;D3117,E3118&lt;&gt;E3117),G3117+1,G3117))</f>
        <v/>
      </c>
    </row>
    <row r="3119">
      <c r="A3119" s="14">
        <f>IF(OR(NOT(ISNUMBER(Ввод!$B$5)),NOT(ISNUMBER(Ввод!$B$6))),"",IF(Ввод!$B$5+3117&gt;Ввод!$B$6,"",Ввод!$B$5+3117))</f>
        <v/>
      </c>
      <c r="B3119">
        <f>IF(A3119="","",IFERROR(INDEX(Ввод!$B$12:$B$71,MATCH(A3119,Ввод!$D$12:$D$71,1)),""))</f>
        <v/>
      </c>
      <c r="C3119">
        <f>IF(A3119="","",DATE(YEAR(A3119),12,31)-DATE(YEAR(A3119),1,1)+1)</f>
        <v/>
      </c>
      <c r="D3119">
        <f>IF(A3119="","",Ввод!$B$4-SUMIF(Оплаты!$A$6:$A$505,"&lt;"&amp;A3119,Оплаты!$B$6:$B$505))</f>
        <v/>
      </c>
      <c r="E3119">
        <f>IF(A3119="","",IF(SUMPRODUCT((Ввод!$F$12:$F$31&lt;&gt;"")*(Ввод!$F$12:$F$31&lt;=A3119)*(Ввод!$G$12:$G$31&gt;=A3119))&gt;0,1,0))</f>
        <v/>
      </c>
      <c r="F3119">
        <f>IF(OR(A3119="",B3119=""),"",IF(E3119=1,0,D3119*B3119/100/C3119))</f>
        <v/>
      </c>
      <c r="G3119">
        <f>IF(A3119="","",IF(OR(B3119&lt;&gt;B3118,C3119&lt;&gt;C3118,D3119&lt;&gt;D3118,E3119&lt;&gt;E3118),G3118+1,G3118))</f>
        <v/>
      </c>
    </row>
    <row r="3120">
      <c r="A3120" s="14">
        <f>IF(OR(NOT(ISNUMBER(Ввод!$B$5)),NOT(ISNUMBER(Ввод!$B$6))),"",IF(Ввод!$B$5+3118&gt;Ввод!$B$6,"",Ввод!$B$5+3118))</f>
        <v/>
      </c>
      <c r="B3120">
        <f>IF(A3120="","",IFERROR(INDEX(Ввод!$B$12:$B$71,MATCH(A3120,Ввод!$D$12:$D$71,1)),""))</f>
        <v/>
      </c>
      <c r="C3120">
        <f>IF(A3120="","",DATE(YEAR(A3120),12,31)-DATE(YEAR(A3120),1,1)+1)</f>
        <v/>
      </c>
      <c r="D3120">
        <f>IF(A3120="","",Ввод!$B$4-SUMIF(Оплаты!$A$6:$A$505,"&lt;"&amp;A3120,Оплаты!$B$6:$B$505))</f>
        <v/>
      </c>
      <c r="E3120">
        <f>IF(A3120="","",IF(SUMPRODUCT((Ввод!$F$12:$F$31&lt;&gt;"")*(Ввод!$F$12:$F$31&lt;=A3120)*(Ввод!$G$12:$G$31&gt;=A3120))&gt;0,1,0))</f>
        <v/>
      </c>
      <c r="F3120">
        <f>IF(OR(A3120="",B3120=""),"",IF(E3120=1,0,D3120*B3120/100/C3120))</f>
        <v/>
      </c>
      <c r="G3120">
        <f>IF(A3120="","",IF(OR(B3120&lt;&gt;B3119,C3120&lt;&gt;C3119,D3120&lt;&gt;D3119,E3120&lt;&gt;E3119),G3119+1,G3119))</f>
        <v/>
      </c>
    </row>
    <row r="3121">
      <c r="A3121" s="14">
        <f>IF(OR(NOT(ISNUMBER(Ввод!$B$5)),NOT(ISNUMBER(Ввод!$B$6))),"",IF(Ввод!$B$5+3119&gt;Ввод!$B$6,"",Ввод!$B$5+3119))</f>
        <v/>
      </c>
      <c r="B3121">
        <f>IF(A3121="","",IFERROR(INDEX(Ввод!$B$12:$B$71,MATCH(A3121,Ввод!$D$12:$D$71,1)),""))</f>
        <v/>
      </c>
      <c r="C3121">
        <f>IF(A3121="","",DATE(YEAR(A3121),12,31)-DATE(YEAR(A3121),1,1)+1)</f>
        <v/>
      </c>
      <c r="D3121">
        <f>IF(A3121="","",Ввод!$B$4-SUMIF(Оплаты!$A$6:$A$505,"&lt;"&amp;A3121,Оплаты!$B$6:$B$505))</f>
        <v/>
      </c>
      <c r="E3121">
        <f>IF(A3121="","",IF(SUMPRODUCT((Ввод!$F$12:$F$31&lt;&gt;"")*(Ввод!$F$12:$F$31&lt;=A3121)*(Ввод!$G$12:$G$31&gt;=A3121))&gt;0,1,0))</f>
        <v/>
      </c>
      <c r="F3121">
        <f>IF(OR(A3121="",B3121=""),"",IF(E3121=1,0,D3121*B3121/100/C3121))</f>
        <v/>
      </c>
      <c r="G3121">
        <f>IF(A3121="","",IF(OR(B3121&lt;&gt;B3120,C3121&lt;&gt;C3120,D3121&lt;&gt;D3120,E3121&lt;&gt;E3120),G3120+1,G3120))</f>
        <v/>
      </c>
    </row>
    <row r="3122">
      <c r="A3122" s="14">
        <f>IF(OR(NOT(ISNUMBER(Ввод!$B$5)),NOT(ISNUMBER(Ввод!$B$6))),"",IF(Ввод!$B$5+3120&gt;Ввод!$B$6,"",Ввод!$B$5+3120))</f>
        <v/>
      </c>
      <c r="B3122">
        <f>IF(A3122="","",IFERROR(INDEX(Ввод!$B$12:$B$71,MATCH(A3122,Ввод!$D$12:$D$71,1)),""))</f>
        <v/>
      </c>
      <c r="C3122">
        <f>IF(A3122="","",DATE(YEAR(A3122),12,31)-DATE(YEAR(A3122),1,1)+1)</f>
        <v/>
      </c>
      <c r="D3122">
        <f>IF(A3122="","",Ввод!$B$4-SUMIF(Оплаты!$A$6:$A$505,"&lt;"&amp;A3122,Оплаты!$B$6:$B$505))</f>
        <v/>
      </c>
      <c r="E3122">
        <f>IF(A3122="","",IF(SUMPRODUCT((Ввод!$F$12:$F$31&lt;&gt;"")*(Ввод!$F$12:$F$31&lt;=A3122)*(Ввод!$G$12:$G$31&gt;=A3122))&gt;0,1,0))</f>
        <v/>
      </c>
      <c r="F3122">
        <f>IF(OR(A3122="",B3122=""),"",IF(E3122=1,0,D3122*B3122/100/C3122))</f>
        <v/>
      </c>
      <c r="G3122">
        <f>IF(A3122="","",IF(OR(B3122&lt;&gt;B3121,C3122&lt;&gt;C3121,D3122&lt;&gt;D3121,E3122&lt;&gt;E3121),G3121+1,G3121))</f>
        <v/>
      </c>
    </row>
    <row r="3123">
      <c r="A3123" s="14">
        <f>IF(OR(NOT(ISNUMBER(Ввод!$B$5)),NOT(ISNUMBER(Ввод!$B$6))),"",IF(Ввод!$B$5+3121&gt;Ввод!$B$6,"",Ввод!$B$5+3121))</f>
        <v/>
      </c>
      <c r="B3123">
        <f>IF(A3123="","",IFERROR(INDEX(Ввод!$B$12:$B$71,MATCH(A3123,Ввод!$D$12:$D$71,1)),""))</f>
        <v/>
      </c>
      <c r="C3123">
        <f>IF(A3123="","",DATE(YEAR(A3123),12,31)-DATE(YEAR(A3123),1,1)+1)</f>
        <v/>
      </c>
      <c r="D3123">
        <f>IF(A3123="","",Ввод!$B$4-SUMIF(Оплаты!$A$6:$A$505,"&lt;"&amp;A3123,Оплаты!$B$6:$B$505))</f>
        <v/>
      </c>
      <c r="E3123">
        <f>IF(A3123="","",IF(SUMPRODUCT((Ввод!$F$12:$F$31&lt;&gt;"")*(Ввод!$F$12:$F$31&lt;=A3123)*(Ввод!$G$12:$G$31&gt;=A3123))&gt;0,1,0))</f>
        <v/>
      </c>
      <c r="F3123">
        <f>IF(OR(A3123="",B3123=""),"",IF(E3123=1,0,D3123*B3123/100/C3123))</f>
        <v/>
      </c>
      <c r="G3123">
        <f>IF(A3123="","",IF(OR(B3123&lt;&gt;B3122,C3123&lt;&gt;C3122,D3123&lt;&gt;D3122,E3123&lt;&gt;E3122),G3122+1,G3122))</f>
        <v/>
      </c>
    </row>
    <row r="3124">
      <c r="A3124" s="14">
        <f>IF(OR(NOT(ISNUMBER(Ввод!$B$5)),NOT(ISNUMBER(Ввод!$B$6))),"",IF(Ввод!$B$5+3122&gt;Ввод!$B$6,"",Ввод!$B$5+3122))</f>
        <v/>
      </c>
      <c r="B3124">
        <f>IF(A3124="","",IFERROR(INDEX(Ввод!$B$12:$B$71,MATCH(A3124,Ввод!$D$12:$D$71,1)),""))</f>
        <v/>
      </c>
      <c r="C3124">
        <f>IF(A3124="","",DATE(YEAR(A3124),12,31)-DATE(YEAR(A3124),1,1)+1)</f>
        <v/>
      </c>
      <c r="D3124">
        <f>IF(A3124="","",Ввод!$B$4-SUMIF(Оплаты!$A$6:$A$505,"&lt;"&amp;A3124,Оплаты!$B$6:$B$505))</f>
        <v/>
      </c>
      <c r="E3124">
        <f>IF(A3124="","",IF(SUMPRODUCT((Ввод!$F$12:$F$31&lt;&gt;"")*(Ввод!$F$12:$F$31&lt;=A3124)*(Ввод!$G$12:$G$31&gt;=A3124))&gt;0,1,0))</f>
        <v/>
      </c>
      <c r="F3124">
        <f>IF(OR(A3124="",B3124=""),"",IF(E3124=1,0,D3124*B3124/100/C3124))</f>
        <v/>
      </c>
      <c r="G3124">
        <f>IF(A3124="","",IF(OR(B3124&lt;&gt;B3123,C3124&lt;&gt;C3123,D3124&lt;&gt;D3123,E3124&lt;&gt;E3123),G3123+1,G3123))</f>
        <v/>
      </c>
    </row>
    <row r="3125">
      <c r="A3125" s="14">
        <f>IF(OR(NOT(ISNUMBER(Ввод!$B$5)),NOT(ISNUMBER(Ввод!$B$6))),"",IF(Ввод!$B$5+3123&gt;Ввод!$B$6,"",Ввод!$B$5+3123))</f>
        <v/>
      </c>
      <c r="B3125">
        <f>IF(A3125="","",IFERROR(INDEX(Ввод!$B$12:$B$71,MATCH(A3125,Ввод!$D$12:$D$71,1)),""))</f>
        <v/>
      </c>
      <c r="C3125">
        <f>IF(A3125="","",DATE(YEAR(A3125),12,31)-DATE(YEAR(A3125),1,1)+1)</f>
        <v/>
      </c>
      <c r="D3125">
        <f>IF(A3125="","",Ввод!$B$4-SUMIF(Оплаты!$A$6:$A$505,"&lt;"&amp;A3125,Оплаты!$B$6:$B$505))</f>
        <v/>
      </c>
      <c r="E3125">
        <f>IF(A3125="","",IF(SUMPRODUCT((Ввод!$F$12:$F$31&lt;&gt;"")*(Ввод!$F$12:$F$31&lt;=A3125)*(Ввод!$G$12:$G$31&gt;=A3125))&gt;0,1,0))</f>
        <v/>
      </c>
      <c r="F3125">
        <f>IF(OR(A3125="",B3125=""),"",IF(E3125=1,0,D3125*B3125/100/C3125))</f>
        <v/>
      </c>
      <c r="G3125">
        <f>IF(A3125="","",IF(OR(B3125&lt;&gt;B3124,C3125&lt;&gt;C3124,D3125&lt;&gt;D3124,E3125&lt;&gt;E3124),G3124+1,G3124))</f>
        <v/>
      </c>
    </row>
    <row r="3126">
      <c r="A3126" s="14">
        <f>IF(OR(NOT(ISNUMBER(Ввод!$B$5)),NOT(ISNUMBER(Ввод!$B$6))),"",IF(Ввод!$B$5+3124&gt;Ввод!$B$6,"",Ввод!$B$5+3124))</f>
        <v/>
      </c>
      <c r="B3126">
        <f>IF(A3126="","",IFERROR(INDEX(Ввод!$B$12:$B$71,MATCH(A3126,Ввод!$D$12:$D$71,1)),""))</f>
        <v/>
      </c>
      <c r="C3126">
        <f>IF(A3126="","",DATE(YEAR(A3126),12,31)-DATE(YEAR(A3126),1,1)+1)</f>
        <v/>
      </c>
      <c r="D3126">
        <f>IF(A3126="","",Ввод!$B$4-SUMIF(Оплаты!$A$6:$A$505,"&lt;"&amp;A3126,Оплаты!$B$6:$B$505))</f>
        <v/>
      </c>
      <c r="E3126">
        <f>IF(A3126="","",IF(SUMPRODUCT((Ввод!$F$12:$F$31&lt;&gt;"")*(Ввод!$F$12:$F$31&lt;=A3126)*(Ввод!$G$12:$G$31&gt;=A3126))&gt;0,1,0))</f>
        <v/>
      </c>
      <c r="F3126">
        <f>IF(OR(A3126="",B3126=""),"",IF(E3126=1,0,D3126*B3126/100/C3126))</f>
        <v/>
      </c>
      <c r="G3126">
        <f>IF(A3126="","",IF(OR(B3126&lt;&gt;B3125,C3126&lt;&gt;C3125,D3126&lt;&gt;D3125,E3126&lt;&gt;E3125),G3125+1,G3125))</f>
        <v/>
      </c>
    </row>
    <row r="3127">
      <c r="A3127" s="14">
        <f>IF(OR(NOT(ISNUMBER(Ввод!$B$5)),NOT(ISNUMBER(Ввод!$B$6))),"",IF(Ввод!$B$5+3125&gt;Ввод!$B$6,"",Ввод!$B$5+3125))</f>
        <v/>
      </c>
      <c r="B3127">
        <f>IF(A3127="","",IFERROR(INDEX(Ввод!$B$12:$B$71,MATCH(A3127,Ввод!$D$12:$D$71,1)),""))</f>
        <v/>
      </c>
      <c r="C3127">
        <f>IF(A3127="","",DATE(YEAR(A3127),12,31)-DATE(YEAR(A3127),1,1)+1)</f>
        <v/>
      </c>
      <c r="D3127">
        <f>IF(A3127="","",Ввод!$B$4-SUMIF(Оплаты!$A$6:$A$505,"&lt;"&amp;A3127,Оплаты!$B$6:$B$505))</f>
        <v/>
      </c>
      <c r="E3127">
        <f>IF(A3127="","",IF(SUMPRODUCT((Ввод!$F$12:$F$31&lt;&gt;"")*(Ввод!$F$12:$F$31&lt;=A3127)*(Ввод!$G$12:$G$31&gt;=A3127))&gt;0,1,0))</f>
        <v/>
      </c>
      <c r="F3127">
        <f>IF(OR(A3127="",B3127=""),"",IF(E3127=1,0,D3127*B3127/100/C3127))</f>
        <v/>
      </c>
      <c r="G3127">
        <f>IF(A3127="","",IF(OR(B3127&lt;&gt;B3126,C3127&lt;&gt;C3126,D3127&lt;&gt;D3126,E3127&lt;&gt;E3126),G3126+1,G3126))</f>
        <v/>
      </c>
    </row>
    <row r="3128">
      <c r="A3128" s="14">
        <f>IF(OR(NOT(ISNUMBER(Ввод!$B$5)),NOT(ISNUMBER(Ввод!$B$6))),"",IF(Ввод!$B$5+3126&gt;Ввод!$B$6,"",Ввод!$B$5+3126))</f>
        <v/>
      </c>
      <c r="B3128">
        <f>IF(A3128="","",IFERROR(INDEX(Ввод!$B$12:$B$71,MATCH(A3128,Ввод!$D$12:$D$71,1)),""))</f>
        <v/>
      </c>
      <c r="C3128">
        <f>IF(A3128="","",DATE(YEAR(A3128),12,31)-DATE(YEAR(A3128),1,1)+1)</f>
        <v/>
      </c>
      <c r="D3128">
        <f>IF(A3128="","",Ввод!$B$4-SUMIF(Оплаты!$A$6:$A$505,"&lt;"&amp;A3128,Оплаты!$B$6:$B$505))</f>
        <v/>
      </c>
      <c r="E3128">
        <f>IF(A3128="","",IF(SUMPRODUCT((Ввод!$F$12:$F$31&lt;&gt;"")*(Ввод!$F$12:$F$31&lt;=A3128)*(Ввод!$G$12:$G$31&gt;=A3128))&gt;0,1,0))</f>
        <v/>
      </c>
      <c r="F3128">
        <f>IF(OR(A3128="",B3128=""),"",IF(E3128=1,0,D3128*B3128/100/C3128))</f>
        <v/>
      </c>
      <c r="G3128">
        <f>IF(A3128="","",IF(OR(B3128&lt;&gt;B3127,C3128&lt;&gt;C3127,D3128&lt;&gt;D3127,E3128&lt;&gt;E3127),G3127+1,G3127))</f>
        <v/>
      </c>
    </row>
    <row r="3129">
      <c r="A3129" s="14">
        <f>IF(OR(NOT(ISNUMBER(Ввод!$B$5)),NOT(ISNUMBER(Ввод!$B$6))),"",IF(Ввод!$B$5+3127&gt;Ввод!$B$6,"",Ввод!$B$5+3127))</f>
        <v/>
      </c>
      <c r="B3129">
        <f>IF(A3129="","",IFERROR(INDEX(Ввод!$B$12:$B$71,MATCH(A3129,Ввод!$D$12:$D$71,1)),""))</f>
        <v/>
      </c>
      <c r="C3129">
        <f>IF(A3129="","",DATE(YEAR(A3129),12,31)-DATE(YEAR(A3129),1,1)+1)</f>
        <v/>
      </c>
      <c r="D3129">
        <f>IF(A3129="","",Ввод!$B$4-SUMIF(Оплаты!$A$6:$A$505,"&lt;"&amp;A3129,Оплаты!$B$6:$B$505))</f>
        <v/>
      </c>
      <c r="E3129">
        <f>IF(A3129="","",IF(SUMPRODUCT((Ввод!$F$12:$F$31&lt;&gt;"")*(Ввод!$F$12:$F$31&lt;=A3129)*(Ввод!$G$12:$G$31&gt;=A3129))&gt;0,1,0))</f>
        <v/>
      </c>
      <c r="F3129">
        <f>IF(OR(A3129="",B3129=""),"",IF(E3129=1,0,D3129*B3129/100/C3129))</f>
        <v/>
      </c>
      <c r="G3129">
        <f>IF(A3129="","",IF(OR(B3129&lt;&gt;B3128,C3129&lt;&gt;C3128,D3129&lt;&gt;D3128,E3129&lt;&gt;E3128),G3128+1,G3128))</f>
        <v/>
      </c>
    </row>
    <row r="3130">
      <c r="A3130" s="14">
        <f>IF(OR(NOT(ISNUMBER(Ввод!$B$5)),NOT(ISNUMBER(Ввод!$B$6))),"",IF(Ввод!$B$5+3128&gt;Ввод!$B$6,"",Ввод!$B$5+3128))</f>
        <v/>
      </c>
      <c r="B3130">
        <f>IF(A3130="","",IFERROR(INDEX(Ввод!$B$12:$B$71,MATCH(A3130,Ввод!$D$12:$D$71,1)),""))</f>
        <v/>
      </c>
      <c r="C3130">
        <f>IF(A3130="","",DATE(YEAR(A3130),12,31)-DATE(YEAR(A3130),1,1)+1)</f>
        <v/>
      </c>
      <c r="D3130">
        <f>IF(A3130="","",Ввод!$B$4-SUMIF(Оплаты!$A$6:$A$505,"&lt;"&amp;A3130,Оплаты!$B$6:$B$505))</f>
        <v/>
      </c>
      <c r="E3130">
        <f>IF(A3130="","",IF(SUMPRODUCT((Ввод!$F$12:$F$31&lt;&gt;"")*(Ввод!$F$12:$F$31&lt;=A3130)*(Ввод!$G$12:$G$31&gt;=A3130))&gt;0,1,0))</f>
        <v/>
      </c>
      <c r="F3130">
        <f>IF(OR(A3130="",B3130=""),"",IF(E3130=1,0,D3130*B3130/100/C3130))</f>
        <v/>
      </c>
      <c r="G3130">
        <f>IF(A3130="","",IF(OR(B3130&lt;&gt;B3129,C3130&lt;&gt;C3129,D3130&lt;&gt;D3129,E3130&lt;&gt;E3129),G3129+1,G3129))</f>
        <v/>
      </c>
    </row>
    <row r="3131">
      <c r="A3131" s="14">
        <f>IF(OR(NOT(ISNUMBER(Ввод!$B$5)),NOT(ISNUMBER(Ввод!$B$6))),"",IF(Ввод!$B$5+3129&gt;Ввод!$B$6,"",Ввод!$B$5+3129))</f>
        <v/>
      </c>
      <c r="B3131">
        <f>IF(A3131="","",IFERROR(INDEX(Ввод!$B$12:$B$71,MATCH(A3131,Ввод!$D$12:$D$71,1)),""))</f>
        <v/>
      </c>
      <c r="C3131">
        <f>IF(A3131="","",DATE(YEAR(A3131),12,31)-DATE(YEAR(A3131),1,1)+1)</f>
        <v/>
      </c>
      <c r="D3131">
        <f>IF(A3131="","",Ввод!$B$4-SUMIF(Оплаты!$A$6:$A$505,"&lt;"&amp;A3131,Оплаты!$B$6:$B$505))</f>
        <v/>
      </c>
      <c r="E3131">
        <f>IF(A3131="","",IF(SUMPRODUCT((Ввод!$F$12:$F$31&lt;&gt;"")*(Ввод!$F$12:$F$31&lt;=A3131)*(Ввод!$G$12:$G$31&gt;=A3131))&gt;0,1,0))</f>
        <v/>
      </c>
      <c r="F3131">
        <f>IF(OR(A3131="",B3131=""),"",IF(E3131=1,0,D3131*B3131/100/C3131))</f>
        <v/>
      </c>
      <c r="G3131">
        <f>IF(A3131="","",IF(OR(B3131&lt;&gt;B3130,C3131&lt;&gt;C3130,D3131&lt;&gt;D3130,E3131&lt;&gt;E3130),G3130+1,G3130))</f>
        <v/>
      </c>
    </row>
    <row r="3132">
      <c r="A3132" s="14">
        <f>IF(OR(NOT(ISNUMBER(Ввод!$B$5)),NOT(ISNUMBER(Ввод!$B$6))),"",IF(Ввод!$B$5+3130&gt;Ввод!$B$6,"",Ввод!$B$5+3130))</f>
        <v/>
      </c>
      <c r="B3132">
        <f>IF(A3132="","",IFERROR(INDEX(Ввод!$B$12:$B$71,MATCH(A3132,Ввод!$D$12:$D$71,1)),""))</f>
        <v/>
      </c>
      <c r="C3132">
        <f>IF(A3132="","",DATE(YEAR(A3132),12,31)-DATE(YEAR(A3132),1,1)+1)</f>
        <v/>
      </c>
      <c r="D3132">
        <f>IF(A3132="","",Ввод!$B$4-SUMIF(Оплаты!$A$6:$A$505,"&lt;"&amp;A3132,Оплаты!$B$6:$B$505))</f>
        <v/>
      </c>
      <c r="E3132">
        <f>IF(A3132="","",IF(SUMPRODUCT((Ввод!$F$12:$F$31&lt;&gt;"")*(Ввод!$F$12:$F$31&lt;=A3132)*(Ввод!$G$12:$G$31&gt;=A3132))&gt;0,1,0))</f>
        <v/>
      </c>
      <c r="F3132">
        <f>IF(OR(A3132="",B3132=""),"",IF(E3132=1,0,D3132*B3132/100/C3132))</f>
        <v/>
      </c>
      <c r="G3132">
        <f>IF(A3132="","",IF(OR(B3132&lt;&gt;B3131,C3132&lt;&gt;C3131,D3132&lt;&gt;D3131,E3132&lt;&gt;E3131),G3131+1,G3131))</f>
        <v/>
      </c>
    </row>
    <row r="3133">
      <c r="A3133" s="14">
        <f>IF(OR(NOT(ISNUMBER(Ввод!$B$5)),NOT(ISNUMBER(Ввод!$B$6))),"",IF(Ввод!$B$5+3131&gt;Ввод!$B$6,"",Ввод!$B$5+3131))</f>
        <v/>
      </c>
      <c r="B3133">
        <f>IF(A3133="","",IFERROR(INDEX(Ввод!$B$12:$B$71,MATCH(A3133,Ввод!$D$12:$D$71,1)),""))</f>
        <v/>
      </c>
      <c r="C3133">
        <f>IF(A3133="","",DATE(YEAR(A3133),12,31)-DATE(YEAR(A3133),1,1)+1)</f>
        <v/>
      </c>
      <c r="D3133">
        <f>IF(A3133="","",Ввод!$B$4-SUMIF(Оплаты!$A$6:$A$505,"&lt;"&amp;A3133,Оплаты!$B$6:$B$505))</f>
        <v/>
      </c>
      <c r="E3133">
        <f>IF(A3133="","",IF(SUMPRODUCT((Ввод!$F$12:$F$31&lt;&gt;"")*(Ввод!$F$12:$F$31&lt;=A3133)*(Ввод!$G$12:$G$31&gt;=A3133))&gt;0,1,0))</f>
        <v/>
      </c>
      <c r="F3133">
        <f>IF(OR(A3133="",B3133=""),"",IF(E3133=1,0,D3133*B3133/100/C3133))</f>
        <v/>
      </c>
      <c r="G3133">
        <f>IF(A3133="","",IF(OR(B3133&lt;&gt;B3132,C3133&lt;&gt;C3132,D3133&lt;&gt;D3132,E3133&lt;&gt;E3132),G3132+1,G3132))</f>
        <v/>
      </c>
    </row>
    <row r="3134">
      <c r="A3134" s="14">
        <f>IF(OR(NOT(ISNUMBER(Ввод!$B$5)),NOT(ISNUMBER(Ввод!$B$6))),"",IF(Ввод!$B$5+3132&gt;Ввод!$B$6,"",Ввод!$B$5+3132))</f>
        <v/>
      </c>
      <c r="B3134">
        <f>IF(A3134="","",IFERROR(INDEX(Ввод!$B$12:$B$71,MATCH(A3134,Ввод!$D$12:$D$71,1)),""))</f>
        <v/>
      </c>
      <c r="C3134">
        <f>IF(A3134="","",DATE(YEAR(A3134),12,31)-DATE(YEAR(A3134),1,1)+1)</f>
        <v/>
      </c>
      <c r="D3134">
        <f>IF(A3134="","",Ввод!$B$4-SUMIF(Оплаты!$A$6:$A$505,"&lt;"&amp;A3134,Оплаты!$B$6:$B$505))</f>
        <v/>
      </c>
      <c r="E3134">
        <f>IF(A3134="","",IF(SUMPRODUCT((Ввод!$F$12:$F$31&lt;&gt;"")*(Ввод!$F$12:$F$31&lt;=A3134)*(Ввод!$G$12:$G$31&gt;=A3134))&gt;0,1,0))</f>
        <v/>
      </c>
      <c r="F3134">
        <f>IF(OR(A3134="",B3134=""),"",IF(E3134=1,0,D3134*B3134/100/C3134))</f>
        <v/>
      </c>
      <c r="G3134">
        <f>IF(A3134="","",IF(OR(B3134&lt;&gt;B3133,C3134&lt;&gt;C3133,D3134&lt;&gt;D3133,E3134&lt;&gt;E3133),G3133+1,G3133))</f>
        <v/>
      </c>
    </row>
    <row r="3135">
      <c r="A3135" s="14">
        <f>IF(OR(NOT(ISNUMBER(Ввод!$B$5)),NOT(ISNUMBER(Ввод!$B$6))),"",IF(Ввод!$B$5+3133&gt;Ввод!$B$6,"",Ввод!$B$5+3133))</f>
        <v/>
      </c>
      <c r="B3135">
        <f>IF(A3135="","",IFERROR(INDEX(Ввод!$B$12:$B$71,MATCH(A3135,Ввод!$D$12:$D$71,1)),""))</f>
        <v/>
      </c>
      <c r="C3135">
        <f>IF(A3135="","",DATE(YEAR(A3135),12,31)-DATE(YEAR(A3135),1,1)+1)</f>
        <v/>
      </c>
      <c r="D3135">
        <f>IF(A3135="","",Ввод!$B$4-SUMIF(Оплаты!$A$6:$A$505,"&lt;"&amp;A3135,Оплаты!$B$6:$B$505))</f>
        <v/>
      </c>
      <c r="E3135">
        <f>IF(A3135="","",IF(SUMPRODUCT((Ввод!$F$12:$F$31&lt;&gt;"")*(Ввод!$F$12:$F$31&lt;=A3135)*(Ввод!$G$12:$G$31&gt;=A3135))&gt;0,1,0))</f>
        <v/>
      </c>
      <c r="F3135">
        <f>IF(OR(A3135="",B3135=""),"",IF(E3135=1,0,D3135*B3135/100/C3135))</f>
        <v/>
      </c>
      <c r="G3135">
        <f>IF(A3135="","",IF(OR(B3135&lt;&gt;B3134,C3135&lt;&gt;C3134,D3135&lt;&gt;D3134,E3135&lt;&gt;E3134),G3134+1,G3134))</f>
        <v/>
      </c>
    </row>
    <row r="3136">
      <c r="A3136" s="14">
        <f>IF(OR(NOT(ISNUMBER(Ввод!$B$5)),NOT(ISNUMBER(Ввод!$B$6))),"",IF(Ввод!$B$5+3134&gt;Ввод!$B$6,"",Ввод!$B$5+3134))</f>
        <v/>
      </c>
      <c r="B3136">
        <f>IF(A3136="","",IFERROR(INDEX(Ввод!$B$12:$B$71,MATCH(A3136,Ввод!$D$12:$D$71,1)),""))</f>
        <v/>
      </c>
      <c r="C3136">
        <f>IF(A3136="","",DATE(YEAR(A3136),12,31)-DATE(YEAR(A3136),1,1)+1)</f>
        <v/>
      </c>
      <c r="D3136">
        <f>IF(A3136="","",Ввод!$B$4-SUMIF(Оплаты!$A$6:$A$505,"&lt;"&amp;A3136,Оплаты!$B$6:$B$505))</f>
        <v/>
      </c>
      <c r="E3136">
        <f>IF(A3136="","",IF(SUMPRODUCT((Ввод!$F$12:$F$31&lt;&gt;"")*(Ввод!$F$12:$F$31&lt;=A3136)*(Ввод!$G$12:$G$31&gt;=A3136))&gt;0,1,0))</f>
        <v/>
      </c>
      <c r="F3136">
        <f>IF(OR(A3136="",B3136=""),"",IF(E3136=1,0,D3136*B3136/100/C3136))</f>
        <v/>
      </c>
      <c r="G3136">
        <f>IF(A3136="","",IF(OR(B3136&lt;&gt;B3135,C3136&lt;&gt;C3135,D3136&lt;&gt;D3135,E3136&lt;&gt;E3135),G3135+1,G3135))</f>
        <v/>
      </c>
    </row>
    <row r="3137">
      <c r="A3137" s="14">
        <f>IF(OR(NOT(ISNUMBER(Ввод!$B$5)),NOT(ISNUMBER(Ввод!$B$6))),"",IF(Ввод!$B$5+3135&gt;Ввод!$B$6,"",Ввод!$B$5+3135))</f>
        <v/>
      </c>
      <c r="B3137">
        <f>IF(A3137="","",IFERROR(INDEX(Ввод!$B$12:$B$71,MATCH(A3137,Ввод!$D$12:$D$71,1)),""))</f>
        <v/>
      </c>
      <c r="C3137">
        <f>IF(A3137="","",DATE(YEAR(A3137),12,31)-DATE(YEAR(A3137),1,1)+1)</f>
        <v/>
      </c>
      <c r="D3137">
        <f>IF(A3137="","",Ввод!$B$4-SUMIF(Оплаты!$A$6:$A$505,"&lt;"&amp;A3137,Оплаты!$B$6:$B$505))</f>
        <v/>
      </c>
      <c r="E3137">
        <f>IF(A3137="","",IF(SUMPRODUCT((Ввод!$F$12:$F$31&lt;&gt;"")*(Ввод!$F$12:$F$31&lt;=A3137)*(Ввод!$G$12:$G$31&gt;=A3137))&gt;0,1,0))</f>
        <v/>
      </c>
      <c r="F3137">
        <f>IF(OR(A3137="",B3137=""),"",IF(E3137=1,0,D3137*B3137/100/C3137))</f>
        <v/>
      </c>
      <c r="G3137">
        <f>IF(A3137="","",IF(OR(B3137&lt;&gt;B3136,C3137&lt;&gt;C3136,D3137&lt;&gt;D3136,E3137&lt;&gt;E3136),G3136+1,G3136))</f>
        <v/>
      </c>
    </row>
    <row r="3138">
      <c r="A3138" s="14">
        <f>IF(OR(NOT(ISNUMBER(Ввод!$B$5)),NOT(ISNUMBER(Ввод!$B$6))),"",IF(Ввод!$B$5+3136&gt;Ввод!$B$6,"",Ввод!$B$5+3136))</f>
        <v/>
      </c>
      <c r="B3138">
        <f>IF(A3138="","",IFERROR(INDEX(Ввод!$B$12:$B$71,MATCH(A3138,Ввод!$D$12:$D$71,1)),""))</f>
        <v/>
      </c>
      <c r="C3138">
        <f>IF(A3138="","",DATE(YEAR(A3138),12,31)-DATE(YEAR(A3138),1,1)+1)</f>
        <v/>
      </c>
      <c r="D3138">
        <f>IF(A3138="","",Ввод!$B$4-SUMIF(Оплаты!$A$6:$A$505,"&lt;"&amp;A3138,Оплаты!$B$6:$B$505))</f>
        <v/>
      </c>
      <c r="E3138">
        <f>IF(A3138="","",IF(SUMPRODUCT((Ввод!$F$12:$F$31&lt;&gt;"")*(Ввод!$F$12:$F$31&lt;=A3138)*(Ввод!$G$12:$G$31&gt;=A3138))&gt;0,1,0))</f>
        <v/>
      </c>
      <c r="F3138">
        <f>IF(OR(A3138="",B3138=""),"",IF(E3138=1,0,D3138*B3138/100/C3138))</f>
        <v/>
      </c>
      <c r="G3138">
        <f>IF(A3138="","",IF(OR(B3138&lt;&gt;B3137,C3138&lt;&gt;C3137,D3138&lt;&gt;D3137,E3138&lt;&gt;E3137),G3137+1,G3137))</f>
        <v/>
      </c>
    </row>
    <row r="3139">
      <c r="A3139" s="14">
        <f>IF(OR(NOT(ISNUMBER(Ввод!$B$5)),NOT(ISNUMBER(Ввод!$B$6))),"",IF(Ввод!$B$5+3137&gt;Ввод!$B$6,"",Ввод!$B$5+3137))</f>
        <v/>
      </c>
      <c r="B3139">
        <f>IF(A3139="","",IFERROR(INDEX(Ввод!$B$12:$B$71,MATCH(A3139,Ввод!$D$12:$D$71,1)),""))</f>
        <v/>
      </c>
      <c r="C3139">
        <f>IF(A3139="","",DATE(YEAR(A3139),12,31)-DATE(YEAR(A3139),1,1)+1)</f>
        <v/>
      </c>
      <c r="D3139">
        <f>IF(A3139="","",Ввод!$B$4-SUMIF(Оплаты!$A$6:$A$505,"&lt;"&amp;A3139,Оплаты!$B$6:$B$505))</f>
        <v/>
      </c>
      <c r="E3139">
        <f>IF(A3139="","",IF(SUMPRODUCT((Ввод!$F$12:$F$31&lt;&gt;"")*(Ввод!$F$12:$F$31&lt;=A3139)*(Ввод!$G$12:$G$31&gt;=A3139))&gt;0,1,0))</f>
        <v/>
      </c>
      <c r="F3139">
        <f>IF(OR(A3139="",B3139=""),"",IF(E3139=1,0,D3139*B3139/100/C3139))</f>
        <v/>
      </c>
      <c r="G3139">
        <f>IF(A3139="","",IF(OR(B3139&lt;&gt;B3138,C3139&lt;&gt;C3138,D3139&lt;&gt;D3138,E3139&lt;&gt;E3138),G3138+1,G3138))</f>
        <v/>
      </c>
    </row>
    <row r="3140">
      <c r="A3140" s="14">
        <f>IF(OR(NOT(ISNUMBER(Ввод!$B$5)),NOT(ISNUMBER(Ввод!$B$6))),"",IF(Ввод!$B$5+3138&gt;Ввод!$B$6,"",Ввод!$B$5+3138))</f>
        <v/>
      </c>
      <c r="B3140">
        <f>IF(A3140="","",IFERROR(INDEX(Ввод!$B$12:$B$71,MATCH(A3140,Ввод!$D$12:$D$71,1)),""))</f>
        <v/>
      </c>
      <c r="C3140">
        <f>IF(A3140="","",DATE(YEAR(A3140),12,31)-DATE(YEAR(A3140),1,1)+1)</f>
        <v/>
      </c>
      <c r="D3140">
        <f>IF(A3140="","",Ввод!$B$4-SUMIF(Оплаты!$A$6:$A$505,"&lt;"&amp;A3140,Оплаты!$B$6:$B$505))</f>
        <v/>
      </c>
      <c r="E3140">
        <f>IF(A3140="","",IF(SUMPRODUCT((Ввод!$F$12:$F$31&lt;&gt;"")*(Ввод!$F$12:$F$31&lt;=A3140)*(Ввод!$G$12:$G$31&gt;=A3140))&gt;0,1,0))</f>
        <v/>
      </c>
      <c r="F3140">
        <f>IF(OR(A3140="",B3140=""),"",IF(E3140=1,0,D3140*B3140/100/C3140))</f>
        <v/>
      </c>
      <c r="G3140">
        <f>IF(A3140="","",IF(OR(B3140&lt;&gt;B3139,C3140&lt;&gt;C3139,D3140&lt;&gt;D3139,E3140&lt;&gt;E3139),G3139+1,G3139))</f>
        <v/>
      </c>
    </row>
    <row r="3141">
      <c r="A3141" s="14">
        <f>IF(OR(NOT(ISNUMBER(Ввод!$B$5)),NOT(ISNUMBER(Ввод!$B$6))),"",IF(Ввод!$B$5+3139&gt;Ввод!$B$6,"",Ввод!$B$5+3139))</f>
        <v/>
      </c>
      <c r="B3141">
        <f>IF(A3141="","",IFERROR(INDEX(Ввод!$B$12:$B$71,MATCH(A3141,Ввод!$D$12:$D$71,1)),""))</f>
        <v/>
      </c>
      <c r="C3141">
        <f>IF(A3141="","",DATE(YEAR(A3141),12,31)-DATE(YEAR(A3141),1,1)+1)</f>
        <v/>
      </c>
      <c r="D3141">
        <f>IF(A3141="","",Ввод!$B$4-SUMIF(Оплаты!$A$6:$A$505,"&lt;"&amp;A3141,Оплаты!$B$6:$B$505))</f>
        <v/>
      </c>
      <c r="E3141">
        <f>IF(A3141="","",IF(SUMPRODUCT((Ввод!$F$12:$F$31&lt;&gt;"")*(Ввод!$F$12:$F$31&lt;=A3141)*(Ввод!$G$12:$G$31&gt;=A3141))&gt;0,1,0))</f>
        <v/>
      </c>
      <c r="F3141">
        <f>IF(OR(A3141="",B3141=""),"",IF(E3141=1,0,D3141*B3141/100/C3141))</f>
        <v/>
      </c>
      <c r="G3141">
        <f>IF(A3141="","",IF(OR(B3141&lt;&gt;B3140,C3141&lt;&gt;C3140,D3141&lt;&gt;D3140,E3141&lt;&gt;E3140),G3140+1,G3140))</f>
        <v/>
      </c>
    </row>
    <row r="3142">
      <c r="A3142" s="14">
        <f>IF(OR(NOT(ISNUMBER(Ввод!$B$5)),NOT(ISNUMBER(Ввод!$B$6))),"",IF(Ввод!$B$5+3140&gt;Ввод!$B$6,"",Ввод!$B$5+3140))</f>
        <v/>
      </c>
      <c r="B3142">
        <f>IF(A3142="","",IFERROR(INDEX(Ввод!$B$12:$B$71,MATCH(A3142,Ввод!$D$12:$D$71,1)),""))</f>
        <v/>
      </c>
      <c r="C3142">
        <f>IF(A3142="","",DATE(YEAR(A3142),12,31)-DATE(YEAR(A3142),1,1)+1)</f>
        <v/>
      </c>
      <c r="D3142">
        <f>IF(A3142="","",Ввод!$B$4-SUMIF(Оплаты!$A$6:$A$505,"&lt;"&amp;A3142,Оплаты!$B$6:$B$505))</f>
        <v/>
      </c>
      <c r="E3142">
        <f>IF(A3142="","",IF(SUMPRODUCT((Ввод!$F$12:$F$31&lt;&gt;"")*(Ввод!$F$12:$F$31&lt;=A3142)*(Ввод!$G$12:$G$31&gt;=A3142))&gt;0,1,0))</f>
        <v/>
      </c>
      <c r="F3142">
        <f>IF(OR(A3142="",B3142=""),"",IF(E3142=1,0,D3142*B3142/100/C3142))</f>
        <v/>
      </c>
      <c r="G3142">
        <f>IF(A3142="","",IF(OR(B3142&lt;&gt;B3141,C3142&lt;&gt;C3141,D3142&lt;&gt;D3141,E3142&lt;&gt;E3141),G3141+1,G3141))</f>
        <v/>
      </c>
    </row>
    <row r="3143">
      <c r="A3143" s="14">
        <f>IF(OR(NOT(ISNUMBER(Ввод!$B$5)),NOT(ISNUMBER(Ввод!$B$6))),"",IF(Ввод!$B$5+3141&gt;Ввод!$B$6,"",Ввод!$B$5+3141))</f>
        <v/>
      </c>
      <c r="B3143">
        <f>IF(A3143="","",IFERROR(INDEX(Ввод!$B$12:$B$71,MATCH(A3143,Ввод!$D$12:$D$71,1)),""))</f>
        <v/>
      </c>
      <c r="C3143">
        <f>IF(A3143="","",DATE(YEAR(A3143),12,31)-DATE(YEAR(A3143),1,1)+1)</f>
        <v/>
      </c>
      <c r="D3143">
        <f>IF(A3143="","",Ввод!$B$4-SUMIF(Оплаты!$A$6:$A$505,"&lt;"&amp;A3143,Оплаты!$B$6:$B$505))</f>
        <v/>
      </c>
      <c r="E3143">
        <f>IF(A3143="","",IF(SUMPRODUCT((Ввод!$F$12:$F$31&lt;&gt;"")*(Ввод!$F$12:$F$31&lt;=A3143)*(Ввод!$G$12:$G$31&gt;=A3143))&gt;0,1,0))</f>
        <v/>
      </c>
      <c r="F3143">
        <f>IF(OR(A3143="",B3143=""),"",IF(E3143=1,0,D3143*B3143/100/C3143))</f>
        <v/>
      </c>
      <c r="G3143">
        <f>IF(A3143="","",IF(OR(B3143&lt;&gt;B3142,C3143&lt;&gt;C3142,D3143&lt;&gt;D3142,E3143&lt;&gt;E3142),G3142+1,G3142))</f>
        <v/>
      </c>
    </row>
    <row r="3144">
      <c r="A3144" s="14">
        <f>IF(OR(NOT(ISNUMBER(Ввод!$B$5)),NOT(ISNUMBER(Ввод!$B$6))),"",IF(Ввод!$B$5+3142&gt;Ввод!$B$6,"",Ввод!$B$5+3142))</f>
        <v/>
      </c>
      <c r="B3144">
        <f>IF(A3144="","",IFERROR(INDEX(Ввод!$B$12:$B$71,MATCH(A3144,Ввод!$D$12:$D$71,1)),""))</f>
        <v/>
      </c>
      <c r="C3144">
        <f>IF(A3144="","",DATE(YEAR(A3144),12,31)-DATE(YEAR(A3144),1,1)+1)</f>
        <v/>
      </c>
      <c r="D3144">
        <f>IF(A3144="","",Ввод!$B$4-SUMIF(Оплаты!$A$6:$A$505,"&lt;"&amp;A3144,Оплаты!$B$6:$B$505))</f>
        <v/>
      </c>
      <c r="E3144">
        <f>IF(A3144="","",IF(SUMPRODUCT((Ввод!$F$12:$F$31&lt;&gt;"")*(Ввод!$F$12:$F$31&lt;=A3144)*(Ввод!$G$12:$G$31&gt;=A3144))&gt;0,1,0))</f>
        <v/>
      </c>
      <c r="F3144">
        <f>IF(OR(A3144="",B3144=""),"",IF(E3144=1,0,D3144*B3144/100/C3144))</f>
        <v/>
      </c>
      <c r="G3144">
        <f>IF(A3144="","",IF(OR(B3144&lt;&gt;B3143,C3144&lt;&gt;C3143,D3144&lt;&gt;D3143,E3144&lt;&gt;E3143),G3143+1,G3143))</f>
        <v/>
      </c>
    </row>
    <row r="3145">
      <c r="A3145" s="14">
        <f>IF(OR(NOT(ISNUMBER(Ввод!$B$5)),NOT(ISNUMBER(Ввод!$B$6))),"",IF(Ввод!$B$5+3143&gt;Ввод!$B$6,"",Ввод!$B$5+3143))</f>
        <v/>
      </c>
      <c r="B3145">
        <f>IF(A3145="","",IFERROR(INDEX(Ввод!$B$12:$B$71,MATCH(A3145,Ввод!$D$12:$D$71,1)),""))</f>
        <v/>
      </c>
      <c r="C3145">
        <f>IF(A3145="","",DATE(YEAR(A3145),12,31)-DATE(YEAR(A3145),1,1)+1)</f>
        <v/>
      </c>
      <c r="D3145">
        <f>IF(A3145="","",Ввод!$B$4-SUMIF(Оплаты!$A$6:$A$505,"&lt;"&amp;A3145,Оплаты!$B$6:$B$505))</f>
        <v/>
      </c>
      <c r="E3145">
        <f>IF(A3145="","",IF(SUMPRODUCT((Ввод!$F$12:$F$31&lt;&gt;"")*(Ввод!$F$12:$F$31&lt;=A3145)*(Ввод!$G$12:$G$31&gt;=A3145))&gt;0,1,0))</f>
        <v/>
      </c>
      <c r="F3145">
        <f>IF(OR(A3145="",B3145=""),"",IF(E3145=1,0,D3145*B3145/100/C3145))</f>
        <v/>
      </c>
      <c r="G3145">
        <f>IF(A3145="","",IF(OR(B3145&lt;&gt;B3144,C3145&lt;&gt;C3144,D3145&lt;&gt;D3144,E3145&lt;&gt;E3144),G3144+1,G3144))</f>
        <v/>
      </c>
    </row>
    <row r="3146">
      <c r="A3146" s="14">
        <f>IF(OR(NOT(ISNUMBER(Ввод!$B$5)),NOT(ISNUMBER(Ввод!$B$6))),"",IF(Ввод!$B$5+3144&gt;Ввод!$B$6,"",Ввод!$B$5+3144))</f>
        <v/>
      </c>
      <c r="B3146">
        <f>IF(A3146="","",IFERROR(INDEX(Ввод!$B$12:$B$71,MATCH(A3146,Ввод!$D$12:$D$71,1)),""))</f>
        <v/>
      </c>
      <c r="C3146">
        <f>IF(A3146="","",DATE(YEAR(A3146),12,31)-DATE(YEAR(A3146),1,1)+1)</f>
        <v/>
      </c>
      <c r="D3146">
        <f>IF(A3146="","",Ввод!$B$4-SUMIF(Оплаты!$A$6:$A$505,"&lt;"&amp;A3146,Оплаты!$B$6:$B$505))</f>
        <v/>
      </c>
      <c r="E3146">
        <f>IF(A3146="","",IF(SUMPRODUCT((Ввод!$F$12:$F$31&lt;&gt;"")*(Ввод!$F$12:$F$31&lt;=A3146)*(Ввод!$G$12:$G$31&gt;=A3146))&gt;0,1,0))</f>
        <v/>
      </c>
      <c r="F3146">
        <f>IF(OR(A3146="",B3146=""),"",IF(E3146=1,0,D3146*B3146/100/C3146))</f>
        <v/>
      </c>
      <c r="G3146">
        <f>IF(A3146="","",IF(OR(B3146&lt;&gt;B3145,C3146&lt;&gt;C3145,D3146&lt;&gt;D3145,E3146&lt;&gt;E3145),G3145+1,G3145))</f>
        <v/>
      </c>
    </row>
    <row r="3147">
      <c r="A3147" s="14">
        <f>IF(OR(NOT(ISNUMBER(Ввод!$B$5)),NOT(ISNUMBER(Ввод!$B$6))),"",IF(Ввод!$B$5+3145&gt;Ввод!$B$6,"",Ввод!$B$5+3145))</f>
        <v/>
      </c>
      <c r="B3147">
        <f>IF(A3147="","",IFERROR(INDEX(Ввод!$B$12:$B$71,MATCH(A3147,Ввод!$D$12:$D$71,1)),""))</f>
        <v/>
      </c>
      <c r="C3147">
        <f>IF(A3147="","",DATE(YEAR(A3147),12,31)-DATE(YEAR(A3147),1,1)+1)</f>
        <v/>
      </c>
      <c r="D3147">
        <f>IF(A3147="","",Ввод!$B$4-SUMIF(Оплаты!$A$6:$A$505,"&lt;"&amp;A3147,Оплаты!$B$6:$B$505))</f>
        <v/>
      </c>
      <c r="E3147">
        <f>IF(A3147="","",IF(SUMPRODUCT((Ввод!$F$12:$F$31&lt;&gt;"")*(Ввод!$F$12:$F$31&lt;=A3147)*(Ввод!$G$12:$G$31&gt;=A3147))&gt;0,1,0))</f>
        <v/>
      </c>
      <c r="F3147">
        <f>IF(OR(A3147="",B3147=""),"",IF(E3147=1,0,D3147*B3147/100/C3147))</f>
        <v/>
      </c>
      <c r="G3147">
        <f>IF(A3147="","",IF(OR(B3147&lt;&gt;B3146,C3147&lt;&gt;C3146,D3147&lt;&gt;D3146,E3147&lt;&gt;E3146),G3146+1,G3146))</f>
        <v/>
      </c>
    </row>
    <row r="3148">
      <c r="A3148" s="14">
        <f>IF(OR(NOT(ISNUMBER(Ввод!$B$5)),NOT(ISNUMBER(Ввод!$B$6))),"",IF(Ввод!$B$5+3146&gt;Ввод!$B$6,"",Ввод!$B$5+3146))</f>
        <v/>
      </c>
      <c r="B3148">
        <f>IF(A3148="","",IFERROR(INDEX(Ввод!$B$12:$B$71,MATCH(A3148,Ввод!$D$12:$D$71,1)),""))</f>
        <v/>
      </c>
      <c r="C3148">
        <f>IF(A3148="","",DATE(YEAR(A3148),12,31)-DATE(YEAR(A3148),1,1)+1)</f>
        <v/>
      </c>
      <c r="D3148">
        <f>IF(A3148="","",Ввод!$B$4-SUMIF(Оплаты!$A$6:$A$505,"&lt;"&amp;A3148,Оплаты!$B$6:$B$505))</f>
        <v/>
      </c>
      <c r="E3148">
        <f>IF(A3148="","",IF(SUMPRODUCT((Ввод!$F$12:$F$31&lt;&gt;"")*(Ввод!$F$12:$F$31&lt;=A3148)*(Ввод!$G$12:$G$31&gt;=A3148))&gt;0,1,0))</f>
        <v/>
      </c>
      <c r="F3148">
        <f>IF(OR(A3148="",B3148=""),"",IF(E3148=1,0,D3148*B3148/100/C3148))</f>
        <v/>
      </c>
      <c r="G3148">
        <f>IF(A3148="","",IF(OR(B3148&lt;&gt;B3147,C3148&lt;&gt;C3147,D3148&lt;&gt;D3147,E3148&lt;&gt;E3147),G3147+1,G3147))</f>
        <v/>
      </c>
    </row>
    <row r="3149">
      <c r="A3149" s="14">
        <f>IF(OR(NOT(ISNUMBER(Ввод!$B$5)),NOT(ISNUMBER(Ввод!$B$6))),"",IF(Ввод!$B$5+3147&gt;Ввод!$B$6,"",Ввод!$B$5+3147))</f>
        <v/>
      </c>
      <c r="B3149">
        <f>IF(A3149="","",IFERROR(INDEX(Ввод!$B$12:$B$71,MATCH(A3149,Ввод!$D$12:$D$71,1)),""))</f>
        <v/>
      </c>
      <c r="C3149">
        <f>IF(A3149="","",DATE(YEAR(A3149),12,31)-DATE(YEAR(A3149),1,1)+1)</f>
        <v/>
      </c>
      <c r="D3149">
        <f>IF(A3149="","",Ввод!$B$4-SUMIF(Оплаты!$A$6:$A$505,"&lt;"&amp;A3149,Оплаты!$B$6:$B$505))</f>
        <v/>
      </c>
      <c r="E3149">
        <f>IF(A3149="","",IF(SUMPRODUCT((Ввод!$F$12:$F$31&lt;&gt;"")*(Ввод!$F$12:$F$31&lt;=A3149)*(Ввод!$G$12:$G$31&gt;=A3149))&gt;0,1,0))</f>
        <v/>
      </c>
      <c r="F3149">
        <f>IF(OR(A3149="",B3149=""),"",IF(E3149=1,0,D3149*B3149/100/C3149))</f>
        <v/>
      </c>
      <c r="G3149">
        <f>IF(A3149="","",IF(OR(B3149&lt;&gt;B3148,C3149&lt;&gt;C3148,D3149&lt;&gt;D3148,E3149&lt;&gt;E3148),G3148+1,G3148))</f>
        <v/>
      </c>
    </row>
    <row r="3150">
      <c r="A3150" s="14">
        <f>IF(OR(NOT(ISNUMBER(Ввод!$B$5)),NOT(ISNUMBER(Ввод!$B$6))),"",IF(Ввод!$B$5+3148&gt;Ввод!$B$6,"",Ввод!$B$5+3148))</f>
        <v/>
      </c>
      <c r="B3150">
        <f>IF(A3150="","",IFERROR(INDEX(Ввод!$B$12:$B$71,MATCH(A3150,Ввод!$D$12:$D$71,1)),""))</f>
        <v/>
      </c>
      <c r="C3150">
        <f>IF(A3150="","",DATE(YEAR(A3150),12,31)-DATE(YEAR(A3150),1,1)+1)</f>
        <v/>
      </c>
      <c r="D3150">
        <f>IF(A3150="","",Ввод!$B$4-SUMIF(Оплаты!$A$6:$A$505,"&lt;"&amp;A3150,Оплаты!$B$6:$B$505))</f>
        <v/>
      </c>
      <c r="E3150">
        <f>IF(A3150="","",IF(SUMPRODUCT((Ввод!$F$12:$F$31&lt;&gt;"")*(Ввод!$F$12:$F$31&lt;=A3150)*(Ввод!$G$12:$G$31&gt;=A3150))&gt;0,1,0))</f>
        <v/>
      </c>
      <c r="F3150">
        <f>IF(OR(A3150="",B3150=""),"",IF(E3150=1,0,D3150*B3150/100/C3150))</f>
        <v/>
      </c>
      <c r="G3150">
        <f>IF(A3150="","",IF(OR(B3150&lt;&gt;B3149,C3150&lt;&gt;C3149,D3150&lt;&gt;D3149,E3150&lt;&gt;E3149),G3149+1,G3149))</f>
        <v/>
      </c>
    </row>
    <row r="3151">
      <c r="A3151" s="14">
        <f>IF(OR(NOT(ISNUMBER(Ввод!$B$5)),NOT(ISNUMBER(Ввод!$B$6))),"",IF(Ввод!$B$5+3149&gt;Ввод!$B$6,"",Ввод!$B$5+3149))</f>
        <v/>
      </c>
      <c r="B3151">
        <f>IF(A3151="","",IFERROR(INDEX(Ввод!$B$12:$B$71,MATCH(A3151,Ввод!$D$12:$D$71,1)),""))</f>
        <v/>
      </c>
      <c r="C3151">
        <f>IF(A3151="","",DATE(YEAR(A3151),12,31)-DATE(YEAR(A3151),1,1)+1)</f>
        <v/>
      </c>
      <c r="D3151">
        <f>IF(A3151="","",Ввод!$B$4-SUMIF(Оплаты!$A$6:$A$505,"&lt;"&amp;A3151,Оплаты!$B$6:$B$505))</f>
        <v/>
      </c>
      <c r="E3151">
        <f>IF(A3151="","",IF(SUMPRODUCT((Ввод!$F$12:$F$31&lt;&gt;"")*(Ввод!$F$12:$F$31&lt;=A3151)*(Ввод!$G$12:$G$31&gt;=A3151))&gt;0,1,0))</f>
        <v/>
      </c>
      <c r="F3151">
        <f>IF(OR(A3151="",B3151=""),"",IF(E3151=1,0,D3151*B3151/100/C3151))</f>
        <v/>
      </c>
      <c r="G3151">
        <f>IF(A3151="","",IF(OR(B3151&lt;&gt;B3150,C3151&lt;&gt;C3150,D3151&lt;&gt;D3150,E3151&lt;&gt;E3150),G3150+1,G3150))</f>
        <v/>
      </c>
    </row>
    <row r="3152">
      <c r="A3152" s="14">
        <f>IF(OR(NOT(ISNUMBER(Ввод!$B$5)),NOT(ISNUMBER(Ввод!$B$6))),"",IF(Ввод!$B$5+3150&gt;Ввод!$B$6,"",Ввод!$B$5+3150))</f>
        <v/>
      </c>
      <c r="B3152">
        <f>IF(A3152="","",IFERROR(INDEX(Ввод!$B$12:$B$71,MATCH(A3152,Ввод!$D$12:$D$71,1)),""))</f>
        <v/>
      </c>
      <c r="C3152">
        <f>IF(A3152="","",DATE(YEAR(A3152),12,31)-DATE(YEAR(A3152),1,1)+1)</f>
        <v/>
      </c>
      <c r="D3152">
        <f>IF(A3152="","",Ввод!$B$4-SUMIF(Оплаты!$A$6:$A$505,"&lt;"&amp;A3152,Оплаты!$B$6:$B$505))</f>
        <v/>
      </c>
      <c r="E3152">
        <f>IF(A3152="","",IF(SUMPRODUCT((Ввод!$F$12:$F$31&lt;&gt;"")*(Ввод!$F$12:$F$31&lt;=A3152)*(Ввод!$G$12:$G$31&gt;=A3152))&gt;0,1,0))</f>
        <v/>
      </c>
      <c r="F3152">
        <f>IF(OR(A3152="",B3152=""),"",IF(E3152=1,0,D3152*B3152/100/C3152))</f>
        <v/>
      </c>
      <c r="G3152">
        <f>IF(A3152="","",IF(OR(B3152&lt;&gt;B3151,C3152&lt;&gt;C3151,D3152&lt;&gt;D3151,E3152&lt;&gt;E3151),G3151+1,G3151))</f>
        <v/>
      </c>
    </row>
    <row r="3153">
      <c r="A3153" s="14">
        <f>IF(OR(NOT(ISNUMBER(Ввод!$B$5)),NOT(ISNUMBER(Ввод!$B$6))),"",IF(Ввод!$B$5+3151&gt;Ввод!$B$6,"",Ввод!$B$5+3151))</f>
        <v/>
      </c>
      <c r="B3153">
        <f>IF(A3153="","",IFERROR(INDEX(Ввод!$B$12:$B$71,MATCH(A3153,Ввод!$D$12:$D$71,1)),""))</f>
        <v/>
      </c>
      <c r="C3153">
        <f>IF(A3153="","",DATE(YEAR(A3153),12,31)-DATE(YEAR(A3153),1,1)+1)</f>
        <v/>
      </c>
      <c r="D3153">
        <f>IF(A3153="","",Ввод!$B$4-SUMIF(Оплаты!$A$6:$A$505,"&lt;"&amp;A3153,Оплаты!$B$6:$B$505))</f>
        <v/>
      </c>
      <c r="E3153">
        <f>IF(A3153="","",IF(SUMPRODUCT((Ввод!$F$12:$F$31&lt;&gt;"")*(Ввод!$F$12:$F$31&lt;=A3153)*(Ввод!$G$12:$G$31&gt;=A3153))&gt;0,1,0))</f>
        <v/>
      </c>
      <c r="F3153">
        <f>IF(OR(A3153="",B3153=""),"",IF(E3153=1,0,D3153*B3153/100/C3153))</f>
        <v/>
      </c>
      <c r="G3153">
        <f>IF(A3153="","",IF(OR(B3153&lt;&gt;B3152,C3153&lt;&gt;C3152,D3153&lt;&gt;D3152,E3153&lt;&gt;E3152),G3152+1,G3152))</f>
        <v/>
      </c>
    </row>
    <row r="3154">
      <c r="A3154" s="14">
        <f>IF(OR(NOT(ISNUMBER(Ввод!$B$5)),NOT(ISNUMBER(Ввод!$B$6))),"",IF(Ввод!$B$5+3152&gt;Ввод!$B$6,"",Ввод!$B$5+3152))</f>
        <v/>
      </c>
      <c r="B3154">
        <f>IF(A3154="","",IFERROR(INDEX(Ввод!$B$12:$B$71,MATCH(A3154,Ввод!$D$12:$D$71,1)),""))</f>
        <v/>
      </c>
      <c r="C3154">
        <f>IF(A3154="","",DATE(YEAR(A3154),12,31)-DATE(YEAR(A3154),1,1)+1)</f>
        <v/>
      </c>
      <c r="D3154">
        <f>IF(A3154="","",Ввод!$B$4-SUMIF(Оплаты!$A$6:$A$505,"&lt;"&amp;A3154,Оплаты!$B$6:$B$505))</f>
        <v/>
      </c>
      <c r="E3154">
        <f>IF(A3154="","",IF(SUMPRODUCT((Ввод!$F$12:$F$31&lt;&gt;"")*(Ввод!$F$12:$F$31&lt;=A3154)*(Ввод!$G$12:$G$31&gt;=A3154))&gt;0,1,0))</f>
        <v/>
      </c>
      <c r="F3154">
        <f>IF(OR(A3154="",B3154=""),"",IF(E3154=1,0,D3154*B3154/100/C3154))</f>
        <v/>
      </c>
      <c r="G3154">
        <f>IF(A3154="","",IF(OR(B3154&lt;&gt;B3153,C3154&lt;&gt;C3153,D3154&lt;&gt;D3153,E3154&lt;&gt;E3153),G3153+1,G3153))</f>
        <v/>
      </c>
    </row>
    <row r="3155">
      <c r="A3155" s="14">
        <f>IF(OR(NOT(ISNUMBER(Ввод!$B$5)),NOT(ISNUMBER(Ввод!$B$6))),"",IF(Ввод!$B$5+3153&gt;Ввод!$B$6,"",Ввод!$B$5+3153))</f>
        <v/>
      </c>
      <c r="B3155">
        <f>IF(A3155="","",IFERROR(INDEX(Ввод!$B$12:$B$71,MATCH(A3155,Ввод!$D$12:$D$71,1)),""))</f>
        <v/>
      </c>
      <c r="C3155">
        <f>IF(A3155="","",DATE(YEAR(A3155),12,31)-DATE(YEAR(A3155),1,1)+1)</f>
        <v/>
      </c>
      <c r="D3155">
        <f>IF(A3155="","",Ввод!$B$4-SUMIF(Оплаты!$A$6:$A$505,"&lt;"&amp;A3155,Оплаты!$B$6:$B$505))</f>
        <v/>
      </c>
      <c r="E3155">
        <f>IF(A3155="","",IF(SUMPRODUCT((Ввод!$F$12:$F$31&lt;&gt;"")*(Ввод!$F$12:$F$31&lt;=A3155)*(Ввод!$G$12:$G$31&gt;=A3155))&gt;0,1,0))</f>
        <v/>
      </c>
      <c r="F3155">
        <f>IF(OR(A3155="",B3155=""),"",IF(E3155=1,0,D3155*B3155/100/C3155))</f>
        <v/>
      </c>
      <c r="G3155">
        <f>IF(A3155="","",IF(OR(B3155&lt;&gt;B3154,C3155&lt;&gt;C3154,D3155&lt;&gt;D3154,E3155&lt;&gt;E3154),G3154+1,G3154))</f>
        <v/>
      </c>
    </row>
    <row r="3156">
      <c r="A3156" s="14">
        <f>IF(OR(NOT(ISNUMBER(Ввод!$B$5)),NOT(ISNUMBER(Ввод!$B$6))),"",IF(Ввод!$B$5+3154&gt;Ввод!$B$6,"",Ввод!$B$5+3154))</f>
        <v/>
      </c>
      <c r="B3156">
        <f>IF(A3156="","",IFERROR(INDEX(Ввод!$B$12:$B$71,MATCH(A3156,Ввод!$D$12:$D$71,1)),""))</f>
        <v/>
      </c>
      <c r="C3156">
        <f>IF(A3156="","",DATE(YEAR(A3156),12,31)-DATE(YEAR(A3156),1,1)+1)</f>
        <v/>
      </c>
      <c r="D3156">
        <f>IF(A3156="","",Ввод!$B$4-SUMIF(Оплаты!$A$6:$A$505,"&lt;"&amp;A3156,Оплаты!$B$6:$B$505))</f>
        <v/>
      </c>
      <c r="E3156">
        <f>IF(A3156="","",IF(SUMPRODUCT((Ввод!$F$12:$F$31&lt;&gt;"")*(Ввод!$F$12:$F$31&lt;=A3156)*(Ввод!$G$12:$G$31&gt;=A3156))&gt;0,1,0))</f>
        <v/>
      </c>
      <c r="F3156">
        <f>IF(OR(A3156="",B3156=""),"",IF(E3156=1,0,D3156*B3156/100/C3156))</f>
        <v/>
      </c>
      <c r="G3156">
        <f>IF(A3156="","",IF(OR(B3156&lt;&gt;B3155,C3156&lt;&gt;C3155,D3156&lt;&gt;D3155,E3156&lt;&gt;E3155),G3155+1,G3155))</f>
        <v/>
      </c>
    </row>
    <row r="3157">
      <c r="A3157" s="14">
        <f>IF(OR(NOT(ISNUMBER(Ввод!$B$5)),NOT(ISNUMBER(Ввод!$B$6))),"",IF(Ввод!$B$5+3155&gt;Ввод!$B$6,"",Ввод!$B$5+3155))</f>
        <v/>
      </c>
      <c r="B3157">
        <f>IF(A3157="","",IFERROR(INDEX(Ввод!$B$12:$B$71,MATCH(A3157,Ввод!$D$12:$D$71,1)),""))</f>
        <v/>
      </c>
      <c r="C3157">
        <f>IF(A3157="","",DATE(YEAR(A3157),12,31)-DATE(YEAR(A3157),1,1)+1)</f>
        <v/>
      </c>
      <c r="D3157">
        <f>IF(A3157="","",Ввод!$B$4-SUMIF(Оплаты!$A$6:$A$505,"&lt;"&amp;A3157,Оплаты!$B$6:$B$505))</f>
        <v/>
      </c>
      <c r="E3157">
        <f>IF(A3157="","",IF(SUMPRODUCT((Ввод!$F$12:$F$31&lt;&gt;"")*(Ввод!$F$12:$F$31&lt;=A3157)*(Ввод!$G$12:$G$31&gt;=A3157))&gt;0,1,0))</f>
        <v/>
      </c>
      <c r="F3157">
        <f>IF(OR(A3157="",B3157=""),"",IF(E3157=1,0,D3157*B3157/100/C3157))</f>
        <v/>
      </c>
      <c r="G3157">
        <f>IF(A3157="","",IF(OR(B3157&lt;&gt;B3156,C3157&lt;&gt;C3156,D3157&lt;&gt;D3156,E3157&lt;&gt;E3156),G3156+1,G3156))</f>
        <v/>
      </c>
    </row>
    <row r="3158">
      <c r="A3158" s="14">
        <f>IF(OR(NOT(ISNUMBER(Ввод!$B$5)),NOT(ISNUMBER(Ввод!$B$6))),"",IF(Ввод!$B$5+3156&gt;Ввод!$B$6,"",Ввод!$B$5+3156))</f>
        <v/>
      </c>
      <c r="B3158">
        <f>IF(A3158="","",IFERROR(INDEX(Ввод!$B$12:$B$71,MATCH(A3158,Ввод!$D$12:$D$71,1)),""))</f>
        <v/>
      </c>
      <c r="C3158">
        <f>IF(A3158="","",DATE(YEAR(A3158),12,31)-DATE(YEAR(A3158),1,1)+1)</f>
        <v/>
      </c>
      <c r="D3158">
        <f>IF(A3158="","",Ввод!$B$4-SUMIF(Оплаты!$A$6:$A$505,"&lt;"&amp;A3158,Оплаты!$B$6:$B$505))</f>
        <v/>
      </c>
      <c r="E3158">
        <f>IF(A3158="","",IF(SUMPRODUCT((Ввод!$F$12:$F$31&lt;&gt;"")*(Ввод!$F$12:$F$31&lt;=A3158)*(Ввод!$G$12:$G$31&gt;=A3158))&gt;0,1,0))</f>
        <v/>
      </c>
      <c r="F3158">
        <f>IF(OR(A3158="",B3158=""),"",IF(E3158=1,0,D3158*B3158/100/C3158))</f>
        <v/>
      </c>
      <c r="G3158">
        <f>IF(A3158="","",IF(OR(B3158&lt;&gt;B3157,C3158&lt;&gt;C3157,D3158&lt;&gt;D3157,E3158&lt;&gt;E3157),G3157+1,G3157))</f>
        <v/>
      </c>
    </row>
    <row r="3159">
      <c r="A3159" s="14">
        <f>IF(OR(NOT(ISNUMBER(Ввод!$B$5)),NOT(ISNUMBER(Ввод!$B$6))),"",IF(Ввод!$B$5+3157&gt;Ввод!$B$6,"",Ввод!$B$5+3157))</f>
        <v/>
      </c>
      <c r="B3159">
        <f>IF(A3159="","",IFERROR(INDEX(Ввод!$B$12:$B$71,MATCH(A3159,Ввод!$D$12:$D$71,1)),""))</f>
        <v/>
      </c>
      <c r="C3159">
        <f>IF(A3159="","",DATE(YEAR(A3159),12,31)-DATE(YEAR(A3159),1,1)+1)</f>
        <v/>
      </c>
      <c r="D3159">
        <f>IF(A3159="","",Ввод!$B$4-SUMIF(Оплаты!$A$6:$A$505,"&lt;"&amp;A3159,Оплаты!$B$6:$B$505))</f>
        <v/>
      </c>
      <c r="E3159">
        <f>IF(A3159="","",IF(SUMPRODUCT((Ввод!$F$12:$F$31&lt;&gt;"")*(Ввод!$F$12:$F$31&lt;=A3159)*(Ввод!$G$12:$G$31&gt;=A3159))&gt;0,1,0))</f>
        <v/>
      </c>
      <c r="F3159">
        <f>IF(OR(A3159="",B3159=""),"",IF(E3159=1,0,D3159*B3159/100/C3159))</f>
        <v/>
      </c>
      <c r="G3159">
        <f>IF(A3159="","",IF(OR(B3159&lt;&gt;B3158,C3159&lt;&gt;C3158,D3159&lt;&gt;D3158,E3159&lt;&gt;E3158),G3158+1,G3158))</f>
        <v/>
      </c>
    </row>
    <row r="3160">
      <c r="A3160" s="14">
        <f>IF(OR(NOT(ISNUMBER(Ввод!$B$5)),NOT(ISNUMBER(Ввод!$B$6))),"",IF(Ввод!$B$5+3158&gt;Ввод!$B$6,"",Ввод!$B$5+3158))</f>
        <v/>
      </c>
      <c r="B3160">
        <f>IF(A3160="","",IFERROR(INDEX(Ввод!$B$12:$B$71,MATCH(A3160,Ввод!$D$12:$D$71,1)),""))</f>
        <v/>
      </c>
      <c r="C3160">
        <f>IF(A3160="","",DATE(YEAR(A3160),12,31)-DATE(YEAR(A3160),1,1)+1)</f>
        <v/>
      </c>
      <c r="D3160">
        <f>IF(A3160="","",Ввод!$B$4-SUMIF(Оплаты!$A$6:$A$505,"&lt;"&amp;A3160,Оплаты!$B$6:$B$505))</f>
        <v/>
      </c>
      <c r="E3160">
        <f>IF(A3160="","",IF(SUMPRODUCT((Ввод!$F$12:$F$31&lt;&gt;"")*(Ввод!$F$12:$F$31&lt;=A3160)*(Ввод!$G$12:$G$31&gt;=A3160))&gt;0,1,0))</f>
        <v/>
      </c>
      <c r="F3160">
        <f>IF(OR(A3160="",B3160=""),"",IF(E3160=1,0,D3160*B3160/100/C3160))</f>
        <v/>
      </c>
      <c r="G3160">
        <f>IF(A3160="","",IF(OR(B3160&lt;&gt;B3159,C3160&lt;&gt;C3159,D3160&lt;&gt;D3159,E3160&lt;&gt;E3159),G3159+1,G3159))</f>
        <v/>
      </c>
    </row>
    <row r="3161">
      <c r="A3161" s="14">
        <f>IF(OR(NOT(ISNUMBER(Ввод!$B$5)),NOT(ISNUMBER(Ввод!$B$6))),"",IF(Ввод!$B$5+3159&gt;Ввод!$B$6,"",Ввод!$B$5+3159))</f>
        <v/>
      </c>
      <c r="B3161">
        <f>IF(A3161="","",IFERROR(INDEX(Ввод!$B$12:$B$71,MATCH(A3161,Ввод!$D$12:$D$71,1)),""))</f>
        <v/>
      </c>
      <c r="C3161">
        <f>IF(A3161="","",DATE(YEAR(A3161),12,31)-DATE(YEAR(A3161),1,1)+1)</f>
        <v/>
      </c>
      <c r="D3161">
        <f>IF(A3161="","",Ввод!$B$4-SUMIF(Оплаты!$A$6:$A$505,"&lt;"&amp;A3161,Оплаты!$B$6:$B$505))</f>
        <v/>
      </c>
      <c r="E3161">
        <f>IF(A3161="","",IF(SUMPRODUCT((Ввод!$F$12:$F$31&lt;&gt;"")*(Ввод!$F$12:$F$31&lt;=A3161)*(Ввод!$G$12:$G$31&gt;=A3161))&gt;0,1,0))</f>
        <v/>
      </c>
      <c r="F3161">
        <f>IF(OR(A3161="",B3161=""),"",IF(E3161=1,0,D3161*B3161/100/C3161))</f>
        <v/>
      </c>
      <c r="G3161">
        <f>IF(A3161="","",IF(OR(B3161&lt;&gt;B3160,C3161&lt;&gt;C3160,D3161&lt;&gt;D3160,E3161&lt;&gt;E3160),G3160+1,G3160))</f>
        <v/>
      </c>
    </row>
    <row r="3162">
      <c r="A3162" s="14">
        <f>IF(OR(NOT(ISNUMBER(Ввод!$B$5)),NOT(ISNUMBER(Ввод!$B$6))),"",IF(Ввод!$B$5+3160&gt;Ввод!$B$6,"",Ввод!$B$5+3160))</f>
        <v/>
      </c>
      <c r="B3162">
        <f>IF(A3162="","",IFERROR(INDEX(Ввод!$B$12:$B$71,MATCH(A3162,Ввод!$D$12:$D$71,1)),""))</f>
        <v/>
      </c>
      <c r="C3162">
        <f>IF(A3162="","",DATE(YEAR(A3162),12,31)-DATE(YEAR(A3162),1,1)+1)</f>
        <v/>
      </c>
      <c r="D3162">
        <f>IF(A3162="","",Ввод!$B$4-SUMIF(Оплаты!$A$6:$A$505,"&lt;"&amp;A3162,Оплаты!$B$6:$B$505))</f>
        <v/>
      </c>
      <c r="E3162">
        <f>IF(A3162="","",IF(SUMPRODUCT((Ввод!$F$12:$F$31&lt;&gt;"")*(Ввод!$F$12:$F$31&lt;=A3162)*(Ввод!$G$12:$G$31&gt;=A3162))&gt;0,1,0))</f>
        <v/>
      </c>
      <c r="F3162">
        <f>IF(OR(A3162="",B3162=""),"",IF(E3162=1,0,D3162*B3162/100/C3162))</f>
        <v/>
      </c>
      <c r="G3162">
        <f>IF(A3162="","",IF(OR(B3162&lt;&gt;B3161,C3162&lt;&gt;C3161,D3162&lt;&gt;D3161,E3162&lt;&gt;E3161),G3161+1,G3161))</f>
        <v/>
      </c>
    </row>
    <row r="3163">
      <c r="A3163" s="14">
        <f>IF(OR(NOT(ISNUMBER(Ввод!$B$5)),NOT(ISNUMBER(Ввод!$B$6))),"",IF(Ввод!$B$5+3161&gt;Ввод!$B$6,"",Ввод!$B$5+3161))</f>
        <v/>
      </c>
      <c r="B3163">
        <f>IF(A3163="","",IFERROR(INDEX(Ввод!$B$12:$B$71,MATCH(A3163,Ввод!$D$12:$D$71,1)),""))</f>
        <v/>
      </c>
      <c r="C3163">
        <f>IF(A3163="","",DATE(YEAR(A3163),12,31)-DATE(YEAR(A3163),1,1)+1)</f>
        <v/>
      </c>
      <c r="D3163">
        <f>IF(A3163="","",Ввод!$B$4-SUMIF(Оплаты!$A$6:$A$505,"&lt;"&amp;A3163,Оплаты!$B$6:$B$505))</f>
        <v/>
      </c>
      <c r="E3163">
        <f>IF(A3163="","",IF(SUMPRODUCT((Ввод!$F$12:$F$31&lt;&gt;"")*(Ввод!$F$12:$F$31&lt;=A3163)*(Ввод!$G$12:$G$31&gt;=A3163))&gt;0,1,0))</f>
        <v/>
      </c>
      <c r="F3163">
        <f>IF(OR(A3163="",B3163=""),"",IF(E3163=1,0,D3163*B3163/100/C3163))</f>
        <v/>
      </c>
      <c r="G3163">
        <f>IF(A3163="","",IF(OR(B3163&lt;&gt;B3162,C3163&lt;&gt;C3162,D3163&lt;&gt;D3162,E3163&lt;&gt;E3162),G3162+1,G3162))</f>
        <v/>
      </c>
    </row>
    <row r="3164">
      <c r="A3164" s="14">
        <f>IF(OR(NOT(ISNUMBER(Ввод!$B$5)),NOT(ISNUMBER(Ввод!$B$6))),"",IF(Ввод!$B$5+3162&gt;Ввод!$B$6,"",Ввод!$B$5+3162))</f>
        <v/>
      </c>
      <c r="B3164">
        <f>IF(A3164="","",IFERROR(INDEX(Ввод!$B$12:$B$71,MATCH(A3164,Ввод!$D$12:$D$71,1)),""))</f>
        <v/>
      </c>
      <c r="C3164">
        <f>IF(A3164="","",DATE(YEAR(A3164),12,31)-DATE(YEAR(A3164),1,1)+1)</f>
        <v/>
      </c>
      <c r="D3164">
        <f>IF(A3164="","",Ввод!$B$4-SUMIF(Оплаты!$A$6:$A$505,"&lt;"&amp;A3164,Оплаты!$B$6:$B$505))</f>
        <v/>
      </c>
      <c r="E3164">
        <f>IF(A3164="","",IF(SUMPRODUCT((Ввод!$F$12:$F$31&lt;&gt;"")*(Ввод!$F$12:$F$31&lt;=A3164)*(Ввод!$G$12:$G$31&gt;=A3164))&gt;0,1,0))</f>
        <v/>
      </c>
      <c r="F3164">
        <f>IF(OR(A3164="",B3164=""),"",IF(E3164=1,0,D3164*B3164/100/C3164))</f>
        <v/>
      </c>
      <c r="G3164">
        <f>IF(A3164="","",IF(OR(B3164&lt;&gt;B3163,C3164&lt;&gt;C3163,D3164&lt;&gt;D3163,E3164&lt;&gt;E3163),G3163+1,G3163))</f>
        <v/>
      </c>
    </row>
    <row r="3165">
      <c r="A3165" s="14">
        <f>IF(OR(NOT(ISNUMBER(Ввод!$B$5)),NOT(ISNUMBER(Ввод!$B$6))),"",IF(Ввод!$B$5+3163&gt;Ввод!$B$6,"",Ввод!$B$5+3163))</f>
        <v/>
      </c>
      <c r="B3165">
        <f>IF(A3165="","",IFERROR(INDEX(Ввод!$B$12:$B$71,MATCH(A3165,Ввод!$D$12:$D$71,1)),""))</f>
        <v/>
      </c>
      <c r="C3165">
        <f>IF(A3165="","",DATE(YEAR(A3165),12,31)-DATE(YEAR(A3165),1,1)+1)</f>
        <v/>
      </c>
      <c r="D3165">
        <f>IF(A3165="","",Ввод!$B$4-SUMIF(Оплаты!$A$6:$A$505,"&lt;"&amp;A3165,Оплаты!$B$6:$B$505))</f>
        <v/>
      </c>
      <c r="E3165">
        <f>IF(A3165="","",IF(SUMPRODUCT((Ввод!$F$12:$F$31&lt;&gt;"")*(Ввод!$F$12:$F$31&lt;=A3165)*(Ввод!$G$12:$G$31&gt;=A3165))&gt;0,1,0))</f>
        <v/>
      </c>
      <c r="F3165">
        <f>IF(OR(A3165="",B3165=""),"",IF(E3165=1,0,D3165*B3165/100/C3165))</f>
        <v/>
      </c>
      <c r="G3165">
        <f>IF(A3165="","",IF(OR(B3165&lt;&gt;B3164,C3165&lt;&gt;C3164,D3165&lt;&gt;D3164,E3165&lt;&gt;E3164),G3164+1,G3164))</f>
        <v/>
      </c>
    </row>
    <row r="3166">
      <c r="A3166" s="14">
        <f>IF(OR(NOT(ISNUMBER(Ввод!$B$5)),NOT(ISNUMBER(Ввод!$B$6))),"",IF(Ввод!$B$5+3164&gt;Ввод!$B$6,"",Ввод!$B$5+3164))</f>
        <v/>
      </c>
      <c r="B3166">
        <f>IF(A3166="","",IFERROR(INDEX(Ввод!$B$12:$B$71,MATCH(A3166,Ввод!$D$12:$D$71,1)),""))</f>
        <v/>
      </c>
      <c r="C3166">
        <f>IF(A3166="","",DATE(YEAR(A3166),12,31)-DATE(YEAR(A3166),1,1)+1)</f>
        <v/>
      </c>
      <c r="D3166">
        <f>IF(A3166="","",Ввод!$B$4-SUMIF(Оплаты!$A$6:$A$505,"&lt;"&amp;A3166,Оплаты!$B$6:$B$505))</f>
        <v/>
      </c>
      <c r="E3166">
        <f>IF(A3166="","",IF(SUMPRODUCT((Ввод!$F$12:$F$31&lt;&gt;"")*(Ввод!$F$12:$F$31&lt;=A3166)*(Ввод!$G$12:$G$31&gt;=A3166))&gt;0,1,0))</f>
        <v/>
      </c>
      <c r="F3166">
        <f>IF(OR(A3166="",B3166=""),"",IF(E3166=1,0,D3166*B3166/100/C3166))</f>
        <v/>
      </c>
      <c r="G3166">
        <f>IF(A3166="","",IF(OR(B3166&lt;&gt;B3165,C3166&lt;&gt;C3165,D3166&lt;&gt;D3165,E3166&lt;&gt;E3165),G3165+1,G3165))</f>
        <v/>
      </c>
    </row>
    <row r="3167">
      <c r="A3167" s="14">
        <f>IF(OR(NOT(ISNUMBER(Ввод!$B$5)),NOT(ISNUMBER(Ввод!$B$6))),"",IF(Ввод!$B$5+3165&gt;Ввод!$B$6,"",Ввод!$B$5+3165))</f>
        <v/>
      </c>
      <c r="B3167">
        <f>IF(A3167="","",IFERROR(INDEX(Ввод!$B$12:$B$71,MATCH(A3167,Ввод!$D$12:$D$71,1)),""))</f>
        <v/>
      </c>
      <c r="C3167">
        <f>IF(A3167="","",DATE(YEAR(A3167),12,31)-DATE(YEAR(A3167),1,1)+1)</f>
        <v/>
      </c>
      <c r="D3167">
        <f>IF(A3167="","",Ввод!$B$4-SUMIF(Оплаты!$A$6:$A$505,"&lt;"&amp;A3167,Оплаты!$B$6:$B$505))</f>
        <v/>
      </c>
      <c r="E3167">
        <f>IF(A3167="","",IF(SUMPRODUCT((Ввод!$F$12:$F$31&lt;&gt;"")*(Ввод!$F$12:$F$31&lt;=A3167)*(Ввод!$G$12:$G$31&gt;=A3167))&gt;0,1,0))</f>
        <v/>
      </c>
      <c r="F3167">
        <f>IF(OR(A3167="",B3167=""),"",IF(E3167=1,0,D3167*B3167/100/C3167))</f>
        <v/>
      </c>
      <c r="G3167">
        <f>IF(A3167="","",IF(OR(B3167&lt;&gt;B3166,C3167&lt;&gt;C3166,D3167&lt;&gt;D3166,E3167&lt;&gt;E3166),G3166+1,G3166))</f>
        <v/>
      </c>
    </row>
    <row r="3168">
      <c r="A3168" s="14">
        <f>IF(OR(NOT(ISNUMBER(Ввод!$B$5)),NOT(ISNUMBER(Ввод!$B$6))),"",IF(Ввод!$B$5+3166&gt;Ввод!$B$6,"",Ввод!$B$5+3166))</f>
        <v/>
      </c>
      <c r="B3168">
        <f>IF(A3168="","",IFERROR(INDEX(Ввод!$B$12:$B$71,MATCH(A3168,Ввод!$D$12:$D$71,1)),""))</f>
        <v/>
      </c>
      <c r="C3168">
        <f>IF(A3168="","",DATE(YEAR(A3168),12,31)-DATE(YEAR(A3168),1,1)+1)</f>
        <v/>
      </c>
      <c r="D3168">
        <f>IF(A3168="","",Ввод!$B$4-SUMIF(Оплаты!$A$6:$A$505,"&lt;"&amp;A3168,Оплаты!$B$6:$B$505))</f>
        <v/>
      </c>
      <c r="E3168">
        <f>IF(A3168="","",IF(SUMPRODUCT((Ввод!$F$12:$F$31&lt;&gt;"")*(Ввод!$F$12:$F$31&lt;=A3168)*(Ввод!$G$12:$G$31&gt;=A3168))&gt;0,1,0))</f>
        <v/>
      </c>
      <c r="F3168">
        <f>IF(OR(A3168="",B3168=""),"",IF(E3168=1,0,D3168*B3168/100/C3168))</f>
        <v/>
      </c>
      <c r="G3168">
        <f>IF(A3168="","",IF(OR(B3168&lt;&gt;B3167,C3168&lt;&gt;C3167,D3168&lt;&gt;D3167,E3168&lt;&gt;E3167),G3167+1,G3167))</f>
        <v/>
      </c>
    </row>
    <row r="3169">
      <c r="A3169" s="14">
        <f>IF(OR(NOT(ISNUMBER(Ввод!$B$5)),NOT(ISNUMBER(Ввод!$B$6))),"",IF(Ввод!$B$5+3167&gt;Ввод!$B$6,"",Ввод!$B$5+3167))</f>
        <v/>
      </c>
      <c r="B3169">
        <f>IF(A3169="","",IFERROR(INDEX(Ввод!$B$12:$B$71,MATCH(A3169,Ввод!$D$12:$D$71,1)),""))</f>
        <v/>
      </c>
      <c r="C3169">
        <f>IF(A3169="","",DATE(YEAR(A3169),12,31)-DATE(YEAR(A3169),1,1)+1)</f>
        <v/>
      </c>
      <c r="D3169">
        <f>IF(A3169="","",Ввод!$B$4-SUMIF(Оплаты!$A$6:$A$505,"&lt;"&amp;A3169,Оплаты!$B$6:$B$505))</f>
        <v/>
      </c>
      <c r="E3169">
        <f>IF(A3169="","",IF(SUMPRODUCT((Ввод!$F$12:$F$31&lt;&gt;"")*(Ввод!$F$12:$F$31&lt;=A3169)*(Ввод!$G$12:$G$31&gt;=A3169))&gt;0,1,0))</f>
        <v/>
      </c>
      <c r="F3169">
        <f>IF(OR(A3169="",B3169=""),"",IF(E3169=1,0,D3169*B3169/100/C3169))</f>
        <v/>
      </c>
      <c r="G3169">
        <f>IF(A3169="","",IF(OR(B3169&lt;&gt;B3168,C3169&lt;&gt;C3168,D3169&lt;&gt;D3168,E3169&lt;&gt;E3168),G3168+1,G3168))</f>
        <v/>
      </c>
    </row>
    <row r="3170">
      <c r="A3170" s="14">
        <f>IF(OR(NOT(ISNUMBER(Ввод!$B$5)),NOT(ISNUMBER(Ввод!$B$6))),"",IF(Ввод!$B$5+3168&gt;Ввод!$B$6,"",Ввод!$B$5+3168))</f>
        <v/>
      </c>
      <c r="B3170">
        <f>IF(A3170="","",IFERROR(INDEX(Ввод!$B$12:$B$71,MATCH(A3170,Ввод!$D$12:$D$71,1)),""))</f>
        <v/>
      </c>
      <c r="C3170">
        <f>IF(A3170="","",DATE(YEAR(A3170),12,31)-DATE(YEAR(A3170),1,1)+1)</f>
        <v/>
      </c>
      <c r="D3170">
        <f>IF(A3170="","",Ввод!$B$4-SUMIF(Оплаты!$A$6:$A$505,"&lt;"&amp;A3170,Оплаты!$B$6:$B$505))</f>
        <v/>
      </c>
      <c r="E3170">
        <f>IF(A3170="","",IF(SUMPRODUCT((Ввод!$F$12:$F$31&lt;&gt;"")*(Ввод!$F$12:$F$31&lt;=A3170)*(Ввод!$G$12:$G$31&gt;=A3170))&gt;0,1,0))</f>
        <v/>
      </c>
      <c r="F3170">
        <f>IF(OR(A3170="",B3170=""),"",IF(E3170=1,0,D3170*B3170/100/C3170))</f>
        <v/>
      </c>
      <c r="G3170">
        <f>IF(A3170="","",IF(OR(B3170&lt;&gt;B3169,C3170&lt;&gt;C3169,D3170&lt;&gt;D3169,E3170&lt;&gt;E3169),G3169+1,G3169))</f>
        <v/>
      </c>
    </row>
    <row r="3171">
      <c r="A3171" s="14">
        <f>IF(OR(NOT(ISNUMBER(Ввод!$B$5)),NOT(ISNUMBER(Ввод!$B$6))),"",IF(Ввод!$B$5+3169&gt;Ввод!$B$6,"",Ввод!$B$5+3169))</f>
        <v/>
      </c>
      <c r="B3171">
        <f>IF(A3171="","",IFERROR(INDEX(Ввод!$B$12:$B$71,MATCH(A3171,Ввод!$D$12:$D$71,1)),""))</f>
        <v/>
      </c>
      <c r="C3171">
        <f>IF(A3171="","",DATE(YEAR(A3171),12,31)-DATE(YEAR(A3171),1,1)+1)</f>
        <v/>
      </c>
      <c r="D3171">
        <f>IF(A3171="","",Ввод!$B$4-SUMIF(Оплаты!$A$6:$A$505,"&lt;"&amp;A3171,Оплаты!$B$6:$B$505))</f>
        <v/>
      </c>
      <c r="E3171">
        <f>IF(A3171="","",IF(SUMPRODUCT((Ввод!$F$12:$F$31&lt;&gt;"")*(Ввод!$F$12:$F$31&lt;=A3171)*(Ввод!$G$12:$G$31&gt;=A3171))&gt;0,1,0))</f>
        <v/>
      </c>
      <c r="F3171">
        <f>IF(OR(A3171="",B3171=""),"",IF(E3171=1,0,D3171*B3171/100/C3171))</f>
        <v/>
      </c>
      <c r="G3171">
        <f>IF(A3171="","",IF(OR(B3171&lt;&gt;B3170,C3171&lt;&gt;C3170,D3171&lt;&gt;D3170,E3171&lt;&gt;E3170),G3170+1,G3170))</f>
        <v/>
      </c>
    </row>
    <row r="3172">
      <c r="A3172" s="14">
        <f>IF(OR(NOT(ISNUMBER(Ввод!$B$5)),NOT(ISNUMBER(Ввод!$B$6))),"",IF(Ввод!$B$5+3170&gt;Ввод!$B$6,"",Ввод!$B$5+3170))</f>
        <v/>
      </c>
      <c r="B3172">
        <f>IF(A3172="","",IFERROR(INDEX(Ввод!$B$12:$B$71,MATCH(A3172,Ввод!$D$12:$D$71,1)),""))</f>
        <v/>
      </c>
      <c r="C3172">
        <f>IF(A3172="","",DATE(YEAR(A3172),12,31)-DATE(YEAR(A3172),1,1)+1)</f>
        <v/>
      </c>
      <c r="D3172">
        <f>IF(A3172="","",Ввод!$B$4-SUMIF(Оплаты!$A$6:$A$505,"&lt;"&amp;A3172,Оплаты!$B$6:$B$505))</f>
        <v/>
      </c>
      <c r="E3172">
        <f>IF(A3172="","",IF(SUMPRODUCT((Ввод!$F$12:$F$31&lt;&gt;"")*(Ввод!$F$12:$F$31&lt;=A3172)*(Ввод!$G$12:$G$31&gt;=A3172))&gt;0,1,0))</f>
        <v/>
      </c>
      <c r="F3172">
        <f>IF(OR(A3172="",B3172=""),"",IF(E3172=1,0,D3172*B3172/100/C3172))</f>
        <v/>
      </c>
      <c r="G3172">
        <f>IF(A3172="","",IF(OR(B3172&lt;&gt;B3171,C3172&lt;&gt;C3171,D3172&lt;&gt;D3171,E3172&lt;&gt;E3171),G3171+1,G3171))</f>
        <v/>
      </c>
    </row>
    <row r="3173">
      <c r="A3173" s="14">
        <f>IF(OR(NOT(ISNUMBER(Ввод!$B$5)),NOT(ISNUMBER(Ввод!$B$6))),"",IF(Ввод!$B$5+3171&gt;Ввод!$B$6,"",Ввод!$B$5+3171))</f>
        <v/>
      </c>
      <c r="B3173">
        <f>IF(A3173="","",IFERROR(INDEX(Ввод!$B$12:$B$71,MATCH(A3173,Ввод!$D$12:$D$71,1)),""))</f>
        <v/>
      </c>
      <c r="C3173">
        <f>IF(A3173="","",DATE(YEAR(A3173),12,31)-DATE(YEAR(A3173),1,1)+1)</f>
        <v/>
      </c>
      <c r="D3173">
        <f>IF(A3173="","",Ввод!$B$4-SUMIF(Оплаты!$A$6:$A$505,"&lt;"&amp;A3173,Оплаты!$B$6:$B$505))</f>
        <v/>
      </c>
      <c r="E3173">
        <f>IF(A3173="","",IF(SUMPRODUCT((Ввод!$F$12:$F$31&lt;&gt;"")*(Ввод!$F$12:$F$31&lt;=A3173)*(Ввод!$G$12:$G$31&gt;=A3173))&gt;0,1,0))</f>
        <v/>
      </c>
      <c r="F3173">
        <f>IF(OR(A3173="",B3173=""),"",IF(E3173=1,0,D3173*B3173/100/C3173))</f>
        <v/>
      </c>
      <c r="G3173">
        <f>IF(A3173="","",IF(OR(B3173&lt;&gt;B3172,C3173&lt;&gt;C3172,D3173&lt;&gt;D3172,E3173&lt;&gt;E3172),G3172+1,G3172))</f>
        <v/>
      </c>
    </row>
    <row r="3174">
      <c r="A3174" s="14">
        <f>IF(OR(NOT(ISNUMBER(Ввод!$B$5)),NOT(ISNUMBER(Ввод!$B$6))),"",IF(Ввод!$B$5+3172&gt;Ввод!$B$6,"",Ввод!$B$5+3172))</f>
        <v/>
      </c>
      <c r="B3174">
        <f>IF(A3174="","",IFERROR(INDEX(Ввод!$B$12:$B$71,MATCH(A3174,Ввод!$D$12:$D$71,1)),""))</f>
        <v/>
      </c>
      <c r="C3174">
        <f>IF(A3174="","",DATE(YEAR(A3174),12,31)-DATE(YEAR(A3174),1,1)+1)</f>
        <v/>
      </c>
      <c r="D3174">
        <f>IF(A3174="","",Ввод!$B$4-SUMIF(Оплаты!$A$6:$A$505,"&lt;"&amp;A3174,Оплаты!$B$6:$B$505))</f>
        <v/>
      </c>
      <c r="E3174">
        <f>IF(A3174="","",IF(SUMPRODUCT((Ввод!$F$12:$F$31&lt;&gt;"")*(Ввод!$F$12:$F$31&lt;=A3174)*(Ввод!$G$12:$G$31&gt;=A3174))&gt;0,1,0))</f>
        <v/>
      </c>
      <c r="F3174">
        <f>IF(OR(A3174="",B3174=""),"",IF(E3174=1,0,D3174*B3174/100/C3174))</f>
        <v/>
      </c>
      <c r="G3174">
        <f>IF(A3174="","",IF(OR(B3174&lt;&gt;B3173,C3174&lt;&gt;C3173,D3174&lt;&gt;D3173,E3174&lt;&gt;E3173),G3173+1,G3173))</f>
        <v/>
      </c>
    </row>
    <row r="3175">
      <c r="A3175" s="14">
        <f>IF(OR(NOT(ISNUMBER(Ввод!$B$5)),NOT(ISNUMBER(Ввод!$B$6))),"",IF(Ввод!$B$5+3173&gt;Ввод!$B$6,"",Ввод!$B$5+3173))</f>
        <v/>
      </c>
      <c r="B3175">
        <f>IF(A3175="","",IFERROR(INDEX(Ввод!$B$12:$B$71,MATCH(A3175,Ввод!$D$12:$D$71,1)),""))</f>
        <v/>
      </c>
      <c r="C3175">
        <f>IF(A3175="","",DATE(YEAR(A3175),12,31)-DATE(YEAR(A3175),1,1)+1)</f>
        <v/>
      </c>
      <c r="D3175">
        <f>IF(A3175="","",Ввод!$B$4-SUMIF(Оплаты!$A$6:$A$505,"&lt;"&amp;A3175,Оплаты!$B$6:$B$505))</f>
        <v/>
      </c>
      <c r="E3175">
        <f>IF(A3175="","",IF(SUMPRODUCT((Ввод!$F$12:$F$31&lt;&gt;"")*(Ввод!$F$12:$F$31&lt;=A3175)*(Ввод!$G$12:$G$31&gt;=A3175))&gt;0,1,0))</f>
        <v/>
      </c>
      <c r="F3175">
        <f>IF(OR(A3175="",B3175=""),"",IF(E3175=1,0,D3175*B3175/100/C3175))</f>
        <v/>
      </c>
      <c r="G3175">
        <f>IF(A3175="","",IF(OR(B3175&lt;&gt;B3174,C3175&lt;&gt;C3174,D3175&lt;&gt;D3174,E3175&lt;&gt;E3174),G3174+1,G3174))</f>
        <v/>
      </c>
    </row>
    <row r="3176">
      <c r="A3176" s="14">
        <f>IF(OR(NOT(ISNUMBER(Ввод!$B$5)),NOT(ISNUMBER(Ввод!$B$6))),"",IF(Ввод!$B$5+3174&gt;Ввод!$B$6,"",Ввод!$B$5+3174))</f>
        <v/>
      </c>
      <c r="B3176">
        <f>IF(A3176="","",IFERROR(INDEX(Ввод!$B$12:$B$71,MATCH(A3176,Ввод!$D$12:$D$71,1)),""))</f>
        <v/>
      </c>
      <c r="C3176">
        <f>IF(A3176="","",DATE(YEAR(A3176),12,31)-DATE(YEAR(A3176),1,1)+1)</f>
        <v/>
      </c>
      <c r="D3176">
        <f>IF(A3176="","",Ввод!$B$4-SUMIF(Оплаты!$A$6:$A$505,"&lt;"&amp;A3176,Оплаты!$B$6:$B$505))</f>
        <v/>
      </c>
      <c r="E3176">
        <f>IF(A3176="","",IF(SUMPRODUCT((Ввод!$F$12:$F$31&lt;&gt;"")*(Ввод!$F$12:$F$31&lt;=A3176)*(Ввод!$G$12:$G$31&gt;=A3176))&gt;0,1,0))</f>
        <v/>
      </c>
      <c r="F3176">
        <f>IF(OR(A3176="",B3176=""),"",IF(E3176=1,0,D3176*B3176/100/C3176))</f>
        <v/>
      </c>
      <c r="G3176">
        <f>IF(A3176="","",IF(OR(B3176&lt;&gt;B3175,C3176&lt;&gt;C3175,D3176&lt;&gt;D3175,E3176&lt;&gt;E3175),G3175+1,G3175))</f>
        <v/>
      </c>
    </row>
    <row r="3177">
      <c r="A3177" s="14">
        <f>IF(OR(NOT(ISNUMBER(Ввод!$B$5)),NOT(ISNUMBER(Ввод!$B$6))),"",IF(Ввод!$B$5+3175&gt;Ввод!$B$6,"",Ввод!$B$5+3175))</f>
        <v/>
      </c>
      <c r="B3177">
        <f>IF(A3177="","",IFERROR(INDEX(Ввод!$B$12:$B$71,MATCH(A3177,Ввод!$D$12:$D$71,1)),""))</f>
        <v/>
      </c>
      <c r="C3177">
        <f>IF(A3177="","",DATE(YEAR(A3177),12,31)-DATE(YEAR(A3177),1,1)+1)</f>
        <v/>
      </c>
      <c r="D3177">
        <f>IF(A3177="","",Ввод!$B$4-SUMIF(Оплаты!$A$6:$A$505,"&lt;"&amp;A3177,Оплаты!$B$6:$B$505))</f>
        <v/>
      </c>
      <c r="E3177">
        <f>IF(A3177="","",IF(SUMPRODUCT((Ввод!$F$12:$F$31&lt;&gt;"")*(Ввод!$F$12:$F$31&lt;=A3177)*(Ввод!$G$12:$G$31&gt;=A3177))&gt;0,1,0))</f>
        <v/>
      </c>
      <c r="F3177">
        <f>IF(OR(A3177="",B3177=""),"",IF(E3177=1,0,D3177*B3177/100/C3177))</f>
        <v/>
      </c>
      <c r="G3177">
        <f>IF(A3177="","",IF(OR(B3177&lt;&gt;B3176,C3177&lt;&gt;C3176,D3177&lt;&gt;D3176,E3177&lt;&gt;E3176),G3176+1,G3176))</f>
        <v/>
      </c>
    </row>
    <row r="3178">
      <c r="A3178" s="14">
        <f>IF(OR(NOT(ISNUMBER(Ввод!$B$5)),NOT(ISNUMBER(Ввод!$B$6))),"",IF(Ввод!$B$5+3176&gt;Ввод!$B$6,"",Ввод!$B$5+3176))</f>
        <v/>
      </c>
      <c r="B3178">
        <f>IF(A3178="","",IFERROR(INDEX(Ввод!$B$12:$B$71,MATCH(A3178,Ввод!$D$12:$D$71,1)),""))</f>
        <v/>
      </c>
      <c r="C3178">
        <f>IF(A3178="","",DATE(YEAR(A3178),12,31)-DATE(YEAR(A3178),1,1)+1)</f>
        <v/>
      </c>
      <c r="D3178">
        <f>IF(A3178="","",Ввод!$B$4-SUMIF(Оплаты!$A$6:$A$505,"&lt;"&amp;A3178,Оплаты!$B$6:$B$505))</f>
        <v/>
      </c>
      <c r="E3178">
        <f>IF(A3178="","",IF(SUMPRODUCT((Ввод!$F$12:$F$31&lt;&gt;"")*(Ввод!$F$12:$F$31&lt;=A3178)*(Ввод!$G$12:$G$31&gt;=A3178))&gt;0,1,0))</f>
        <v/>
      </c>
      <c r="F3178">
        <f>IF(OR(A3178="",B3178=""),"",IF(E3178=1,0,D3178*B3178/100/C3178))</f>
        <v/>
      </c>
      <c r="G3178">
        <f>IF(A3178="","",IF(OR(B3178&lt;&gt;B3177,C3178&lt;&gt;C3177,D3178&lt;&gt;D3177,E3178&lt;&gt;E3177),G3177+1,G3177))</f>
        <v/>
      </c>
    </row>
    <row r="3179">
      <c r="A3179" s="14">
        <f>IF(OR(NOT(ISNUMBER(Ввод!$B$5)),NOT(ISNUMBER(Ввод!$B$6))),"",IF(Ввод!$B$5+3177&gt;Ввод!$B$6,"",Ввод!$B$5+3177))</f>
        <v/>
      </c>
      <c r="B3179">
        <f>IF(A3179="","",IFERROR(INDEX(Ввод!$B$12:$B$71,MATCH(A3179,Ввод!$D$12:$D$71,1)),""))</f>
        <v/>
      </c>
      <c r="C3179">
        <f>IF(A3179="","",DATE(YEAR(A3179),12,31)-DATE(YEAR(A3179),1,1)+1)</f>
        <v/>
      </c>
      <c r="D3179">
        <f>IF(A3179="","",Ввод!$B$4-SUMIF(Оплаты!$A$6:$A$505,"&lt;"&amp;A3179,Оплаты!$B$6:$B$505))</f>
        <v/>
      </c>
      <c r="E3179">
        <f>IF(A3179="","",IF(SUMPRODUCT((Ввод!$F$12:$F$31&lt;&gt;"")*(Ввод!$F$12:$F$31&lt;=A3179)*(Ввод!$G$12:$G$31&gt;=A3179))&gt;0,1,0))</f>
        <v/>
      </c>
      <c r="F3179">
        <f>IF(OR(A3179="",B3179=""),"",IF(E3179=1,0,D3179*B3179/100/C3179))</f>
        <v/>
      </c>
      <c r="G3179">
        <f>IF(A3179="","",IF(OR(B3179&lt;&gt;B3178,C3179&lt;&gt;C3178,D3179&lt;&gt;D3178,E3179&lt;&gt;E3178),G3178+1,G3178))</f>
        <v/>
      </c>
    </row>
    <row r="3180">
      <c r="A3180" s="14">
        <f>IF(OR(NOT(ISNUMBER(Ввод!$B$5)),NOT(ISNUMBER(Ввод!$B$6))),"",IF(Ввод!$B$5+3178&gt;Ввод!$B$6,"",Ввод!$B$5+3178))</f>
        <v/>
      </c>
      <c r="B3180">
        <f>IF(A3180="","",IFERROR(INDEX(Ввод!$B$12:$B$71,MATCH(A3180,Ввод!$D$12:$D$71,1)),""))</f>
        <v/>
      </c>
      <c r="C3180">
        <f>IF(A3180="","",DATE(YEAR(A3180),12,31)-DATE(YEAR(A3180),1,1)+1)</f>
        <v/>
      </c>
      <c r="D3180">
        <f>IF(A3180="","",Ввод!$B$4-SUMIF(Оплаты!$A$6:$A$505,"&lt;"&amp;A3180,Оплаты!$B$6:$B$505))</f>
        <v/>
      </c>
      <c r="E3180">
        <f>IF(A3180="","",IF(SUMPRODUCT((Ввод!$F$12:$F$31&lt;&gt;"")*(Ввод!$F$12:$F$31&lt;=A3180)*(Ввод!$G$12:$G$31&gt;=A3180))&gt;0,1,0))</f>
        <v/>
      </c>
      <c r="F3180">
        <f>IF(OR(A3180="",B3180=""),"",IF(E3180=1,0,D3180*B3180/100/C3180))</f>
        <v/>
      </c>
      <c r="G3180">
        <f>IF(A3180="","",IF(OR(B3180&lt;&gt;B3179,C3180&lt;&gt;C3179,D3180&lt;&gt;D3179,E3180&lt;&gt;E3179),G3179+1,G3179))</f>
        <v/>
      </c>
    </row>
    <row r="3181">
      <c r="A3181" s="14">
        <f>IF(OR(NOT(ISNUMBER(Ввод!$B$5)),NOT(ISNUMBER(Ввод!$B$6))),"",IF(Ввод!$B$5+3179&gt;Ввод!$B$6,"",Ввод!$B$5+3179))</f>
        <v/>
      </c>
      <c r="B3181">
        <f>IF(A3181="","",IFERROR(INDEX(Ввод!$B$12:$B$71,MATCH(A3181,Ввод!$D$12:$D$71,1)),""))</f>
        <v/>
      </c>
      <c r="C3181">
        <f>IF(A3181="","",DATE(YEAR(A3181),12,31)-DATE(YEAR(A3181),1,1)+1)</f>
        <v/>
      </c>
      <c r="D3181">
        <f>IF(A3181="","",Ввод!$B$4-SUMIF(Оплаты!$A$6:$A$505,"&lt;"&amp;A3181,Оплаты!$B$6:$B$505))</f>
        <v/>
      </c>
      <c r="E3181">
        <f>IF(A3181="","",IF(SUMPRODUCT((Ввод!$F$12:$F$31&lt;&gt;"")*(Ввод!$F$12:$F$31&lt;=A3181)*(Ввод!$G$12:$G$31&gt;=A3181))&gt;0,1,0))</f>
        <v/>
      </c>
      <c r="F3181">
        <f>IF(OR(A3181="",B3181=""),"",IF(E3181=1,0,D3181*B3181/100/C3181))</f>
        <v/>
      </c>
      <c r="G3181">
        <f>IF(A3181="","",IF(OR(B3181&lt;&gt;B3180,C3181&lt;&gt;C3180,D3181&lt;&gt;D3180,E3181&lt;&gt;E3180),G3180+1,G3180))</f>
        <v/>
      </c>
    </row>
    <row r="3182">
      <c r="A3182" s="14">
        <f>IF(OR(NOT(ISNUMBER(Ввод!$B$5)),NOT(ISNUMBER(Ввод!$B$6))),"",IF(Ввод!$B$5+3180&gt;Ввод!$B$6,"",Ввод!$B$5+3180))</f>
        <v/>
      </c>
      <c r="B3182">
        <f>IF(A3182="","",IFERROR(INDEX(Ввод!$B$12:$B$71,MATCH(A3182,Ввод!$D$12:$D$71,1)),""))</f>
        <v/>
      </c>
      <c r="C3182">
        <f>IF(A3182="","",DATE(YEAR(A3182),12,31)-DATE(YEAR(A3182),1,1)+1)</f>
        <v/>
      </c>
      <c r="D3182">
        <f>IF(A3182="","",Ввод!$B$4-SUMIF(Оплаты!$A$6:$A$505,"&lt;"&amp;A3182,Оплаты!$B$6:$B$505))</f>
        <v/>
      </c>
      <c r="E3182">
        <f>IF(A3182="","",IF(SUMPRODUCT((Ввод!$F$12:$F$31&lt;&gt;"")*(Ввод!$F$12:$F$31&lt;=A3182)*(Ввод!$G$12:$G$31&gt;=A3182))&gt;0,1,0))</f>
        <v/>
      </c>
      <c r="F3182">
        <f>IF(OR(A3182="",B3182=""),"",IF(E3182=1,0,D3182*B3182/100/C3182))</f>
        <v/>
      </c>
      <c r="G3182">
        <f>IF(A3182="","",IF(OR(B3182&lt;&gt;B3181,C3182&lt;&gt;C3181,D3182&lt;&gt;D3181,E3182&lt;&gt;E3181),G3181+1,G3181))</f>
        <v/>
      </c>
    </row>
    <row r="3183">
      <c r="A3183" s="14">
        <f>IF(OR(NOT(ISNUMBER(Ввод!$B$5)),NOT(ISNUMBER(Ввод!$B$6))),"",IF(Ввод!$B$5+3181&gt;Ввод!$B$6,"",Ввод!$B$5+3181))</f>
        <v/>
      </c>
      <c r="B3183">
        <f>IF(A3183="","",IFERROR(INDEX(Ввод!$B$12:$B$71,MATCH(A3183,Ввод!$D$12:$D$71,1)),""))</f>
        <v/>
      </c>
      <c r="C3183">
        <f>IF(A3183="","",DATE(YEAR(A3183),12,31)-DATE(YEAR(A3183),1,1)+1)</f>
        <v/>
      </c>
      <c r="D3183">
        <f>IF(A3183="","",Ввод!$B$4-SUMIF(Оплаты!$A$6:$A$505,"&lt;"&amp;A3183,Оплаты!$B$6:$B$505))</f>
        <v/>
      </c>
      <c r="E3183">
        <f>IF(A3183="","",IF(SUMPRODUCT((Ввод!$F$12:$F$31&lt;&gt;"")*(Ввод!$F$12:$F$31&lt;=A3183)*(Ввод!$G$12:$G$31&gt;=A3183))&gt;0,1,0))</f>
        <v/>
      </c>
      <c r="F3183">
        <f>IF(OR(A3183="",B3183=""),"",IF(E3183=1,0,D3183*B3183/100/C3183))</f>
        <v/>
      </c>
      <c r="G3183">
        <f>IF(A3183="","",IF(OR(B3183&lt;&gt;B3182,C3183&lt;&gt;C3182,D3183&lt;&gt;D3182,E3183&lt;&gt;E3182),G3182+1,G3182))</f>
        <v/>
      </c>
    </row>
    <row r="3184">
      <c r="A3184" s="14">
        <f>IF(OR(NOT(ISNUMBER(Ввод!$B$5)),NOT(ISNUMBER(Ввод!$B$6))),"",IF(Ввод!$B$5+3182&gt;Ввод!$B$6,"",Ввод!$B$5+3182))</f>
        <v/>
      </c>
      <c r="B3184">
        <f>IF(A3184="","",IFERROR(INDEX(Ввод!$B$12:$B$71,MATCH(A3184,Ввод!$D$12:$D$71,1)),""))</f>
        <v/>
      </c>
      <c r="C3184">
        <f>IF(A3184="","",DATE(YEAR(A3184),12,31)-DATE(YEAR(A3184),1,1)+1)</f>
        <v/>
      </c>
      <c r="D3184">
        <f>IF(A3184="","",Ввод!$B$4-SUMIF(Оплаты!$A$6:$A$505,"&lt;"&amp;A3184,Оплаты!$B$6:$B$505))</f>
        <v/>
      </c>
      <c r="E3184">
        <f>IF(A3184="","",IF(SUMPRODUCT((Ввод!$F$12:$F$31&lt;&gt;"")*(Ввод!$F$12:$F$31&lt;=A3184)*(Ввод!$G$12:$G$31&gt;=A3184))&gt;0,1,0))</f>
        <v/>
      </c>
      <c r="F3184">
        <f>IF(OR(A3184="",B3184=""),"",IF(E3184=1,0,D3184*B3184/100/C3184))</f>
        <v/>
      </c>
      <c r="G3184">
        <f>IF(A3184="","",IF(OR(B3184&lt;&gt;B3183,C3184&lt;&gt;C3183,D3184&lt;&gt;D3183,E3184&lt;&gt;E3183),G3183+1,G3183))</f>
        <v/>
      </c>
    </row>
    <row r="3185">
      <c r="A3185" s="14">
        <f>IF(OR(NOT(ISNUMBER(Ввод!$B$5)),NOT(ISNUMBER(Ввод!$B$6))),"",IF(Ввод!$B$5+3183&gt;Ввод!$B$6,"",Ввод!$B$5+3183))</f>
        <v/>
      </c>
      <c r="B3185">
        <f>IF(A3185="","",IFERROR(INDEX(Ввод!$B$12:$B$71,MATCH(A3185,Ввод!$D$12:$D$71,1)),""))</f>
        <v/>
      </c>
      <c r="C3185">
        <f>IF(A3185="","",DATE(YEAR(A3185),12,31)-DATE(YEAR(A3185),1,1)+1)</f>
        <v/>
      </c>
      <c r="D3185">
        <f>IF(A3185="","",Ввод!$B$4-SUMIF(Оплаты!$A$6:$A$505,"&lt;"&amp;A3185,Оплаты!$B$6:$B$505))</f>
        <v/>
      </c>
      <c r="E3185">
        <f>IF(A3185="","",IF(SUMPRODUCT((Ввод!$F$12:$F$31&lt;&gt;"")*(Ввод!$F$12:$F$31&lt;=A3185)*(Ввод!$G$12:$G$31&gt;=A3185))&gt;0,1,0))</f>
        <v/>
      </c>
      <c r="F3185">
        <f>IF(OR(A3185="",B3185=""),"",IF(E3185=1,0,D3185*B3185/100/C3185))</f>
        <v/>
      </c>
      <c r="G3185">
        <f>IF(A3185="","",IF(OR(B3185&lt;&gt;B3184,C3185&lt;&gt;C3184,D3185&lt;&gt;D3184,E3185&lt;&gt;E3184),G3184+1,G3184))</f>
        <v/>
      </c>
    </row>
    <row r="3186">
      <c r="A3186" s="14">
        <f>IF(OR(NOT(ISNUMBER(Ввод!$B$5)),NOT(ISNUMBER(Ввод!$B$6))),"",IF(Ввод!$B$5+3184&gt;Ввод!$B$6,"",Ввод!$B$5+3184))</f>
        <v/>
      </c>
      <c r="B3186">
        <f>IF(A3186="","",IFERROR(INDEX(Ввод!$B$12:$B$71,MATCH(A3186,Ввод!$D$12:$D$71,1)),""))</f>
        <v/>
      </c>
      <c r="C3186">
        <f>IF(A3186="","",DATE(YEAR(A3186),12,31)-DATE(YEAR(A3186),1,1)+1)</f>
        <v/>
      </c>
      <c r="D3186">
        <f>IF(A3186="","",Ввод!$B$4-SUMIF(Оплаты!$A$6:$A$505,"&lt;"&amp;A3186,Оплаты!$B$6:$B$505))</f>
        <v/>
      </c>
      <c r="E3186">
        <f>IF(A3186="","",IF(SUMPRODUCT((Ввод!$F$12:$F$31&lt;&gt;"")*(Ввод!$F$12:$F$31&lt;=A3186)*(Ввод!$G$12:$G$31&gt;=A3186))&gt;0,1,0))</f>
        <v/>
      </c>
      <c r="F3186">
        <f>IF(OR(A3186="",B3186=""),"",IF(E3186=1,0,D3186*B3186/100/C3186))</f>
        <v/>
      </c>
      <c r="G3186">
        <f>IF(A3186="","",IF(OR(B3186&lt;&gt;B3185,C3186&lt;&gt;C3185,D3186&lt;&gt;D3185,E3186&lt;&gt;E3185),G3185+1,G3185))</f>
        <v/>
      </c>
    </row>
    <row r="3187">
      <c r="A3187" s="14">
        <f>IF(OR(NOT(ISNUMBER(Ввод!$B$5)),NOT(ISNUMBER(Ввод!$B$6))),"",IF(Ввод!$B$5+3185&gt;Ввод!$B$6,"",Ввод!$B$5+3185))</f>
        <v/>
      </c>
      <c r="B3187">
        <f>IF(A3187="","",IFERROR(INDEX(Ввод!$B$12:$B$71,MATCH(A3187,Ввод!$D$12:$D$71,1)),""))</f>
        <v/>
      </c>
      <c r="C3187">
        <f>IF(A3187="","",DATE(YEAR(A3187),12,31)-DATE(YEAR(A3187),1,1)+1)</f>
        <v/>
      </c>
      <c r="D3187">
        <f>IF(A3187="","",Ввод!$B$4-SUMIF(Оплаты!$A$6:$A$505,"&lt;"&amp;A3187,Оплаты!$B$6:$B$505))</f>
        <v/>
      </c>
      <c r="E3187">
        <f>IF(A3187="","",IF(SUMPRODUCT((Ввод!$F$12:$F$31&lt;&gt;"")*(Ввод!$F$12:$F$31&lt;=A3187)*(Ввод!$G$12:$G$31&gt;=A3187))&gt;0,1,0))</f>
        <v/>
      </c>
      <c r="F3187">
        <f>IF(OR(A3187="",B3187=""),"",IF(E3187=1,0,D3187*B3187/100/C3187))</f>
        <v/>
      </c>
      <c r="G3187">
        <f>IF(A3187="","",IF(OR(B3187&lt;&gt;B3186,C3187&lt;&gt;C3186,D3187&lt;&gt;D3186,E3187&lt;&gt;E3186),G3186+1,G3186))</f>
        <v/>
      </c>
    </row>
    <row r="3188">
      <c r="A3188" s="14">
        <f>IF(OR(NOT(ISNUMBER(Ввод!$B$5)),NOT(ISNUMBER(Ввод!$B$6))),"",IF(Ввод!$B$5+3186&gt;Ввод!$B$6,"",Ввод!$B$5+3186))</f>
        <v/>
      </c>
      <c r="B3188">
        <f>IF(A3188="","",IFERROR(INDEX(Ввод!$B$12:$B$71,MATCH(A3188,Ввод!$D$12:$D$71,1)),""))</f>
        <v/>
      </c>
      <c r="C3188">
        <f>IF(A3188="","",DATE(YEAR(A3188),12,31)-DATE(YEAR(A3188),1,1)+1)</f>
        <v/>
      </c>
      <c r="D3188">
        <f>IF(A3188="","",Ввод!$B$4-SUMIF(Оплаты!$A$6:$A$505,"&lt;"&amp;A3188,Оплаты!$B$6:$B$505))</f>
        <v/>
      </c>
      <c r="E3188">
        <f>IF(A3188="","",IF(SUMPRODUCT((Ввод!$F$12:$F$31&lt;&gt;"")*(Ввод!$F$12:$F$31&lt;=A3188)*(Ввод!$G$12:$G$31&gt;=A3188))&gt;0,1,0))</f>
        <v/>
      </c>
      <c r="F3188">
        <f>IF(OR(A3188="",B3188=""),"",IF(E3188=1,0,D3188*B3188/100/C3188))</f>
        <v/>
      </c>
      <c r="G3188">
        <f>IF(A3188="","",IF(OR(B3188&lt;&gt;B3187,C3188&lt;&gt;C3187,D3188&lt;&gt;D3187,E3188&lt;&gt;E3187),G3187+1,G3187))</f>
        <v/>
      </c>
    </row>
    <row r="3189">
      <c r="A3189" s="14">
        <f>IF(OR(NOT(ISNUMBER(Ввод!$B$5)),NOT(ISNUMBER(Ввод!$B$6))),"",IF(Ввод!$B$5+3187&gt;Ввод!$B$6,"",Ввод!$B$5+3187))</f>
        <v/>
      </c>
      <c r="B3189">
        <f>IF(A3189="","",IFERROR(INDEX(Ввод!$B$12:$B$71,MATCH(A3189,Ввод!$D$12:$D$71,1)),""))</f>
        <v/>
      </c>
      <c r="C3189">
        <f>IF(A3189="","",DATE(YEAR(A3189),12,31)-DATE(YEAR(A3189),1,1)+1)</f>
        <v/>
      </c>
      <c r="D3189">
        <f>IF(A3189="","",Ввод!$B$4-SUMIF(Оплаты!$A$6:$A$505,"&lt;"&amp;A3189,Оплаты!$B$6:$B$505))</f>
        <v/>
      </c>
      <c r="E3189">
        <f>IF(A3189="","",IF(SUMPRODUCT((Ввод!$F$12:$F$31&lt;&gt;"")*(Ввод!$F$12:$F$31&lt;=A3189)*(Ввод!$G$12:$G$31&gt;=A3189))&gt;0,1,0))</f>
        <v/>
      </c>
      <c r="F3189">
        <f>IF(OR(A3189="",B3189=""),"",IF(E3189=1,0,D3189*B3189/100/C3189))</f>
        <v/>
      </c>
      <c r="G3189">
        <f>IF(A3189="","",IF(OR(B3189&lt;&gt;B3188,C3189&lt;&gt;C3188,D3189&lt;&gt;D3188,E3189&lt;&gt;E3188),G3188+1,G3188))</f>
        <v/>
      </c>
    </row>
    <row r="3190">
      <c r="A3190" s="14">
        <f>IF(OR(NOT(ISNUMBER(Ввод!$B$5)),NOT(ISNUMBER(Ввод!$B$6))),"",IF(Ввод!$B$5+3188&gt;Ввод!$B$6,"",Ввод!$B$5+3188))</f>
        <v/>
      </c>
      <c r="B3190">
        <f>IF(A3190="","",IFERROR(INDEX(Ввод!$B$12:$B$71,MATCH(A3190,Ввод!$D$12:$D$71,1)),""))</f>
        <v/>
      </c>
      <c r="C3190">
        <f>IF(A3190="","",DATE(YEAR(A3190),12,31)-DATE(YEAR(A3190),1,1)+1)</f>
        <v/>
      </c>
      <c r="D3190">
        <f>IF(A3190="","",Ввод!$B$4-SUMIF(Оплаты!$A$6:$A$505,"&lt;"&amp;A3190,Оплаты!$B$6:$B$505))</f>
        <v/>
      </c>
      <c r="E3190">
        <f>IF(A3190="","",IF(SUMPRODUCT((Ввод!$F$12:$F$31&lt;&gt;"")*(Ввод!$F$12:$F$31&lt;=A3190)*(Ввод!$G$12:$G$31&gt;=A3190))&gt;0,1,0))</f>
        <v/>
      </c>
      <c r="F3190">
        <f>IF(OR(A3190="",B3190=""),"",IF(E3190=1,0,D3190*B3190/100/C3190))</f>
        <v/>
      </c>
      <c r="G3190">
        <f>IF(A3190="","",IF(OR(B3190&lt;&gt;B3189,C3190&lt;&gt;C3189,D3190&lt;&gt;D3189,E3190&lt;&gt;E3189),G3189+1,G3189))</f>
        <v/>
      </c>
    </row>
    <row r="3191">
      <c r="A3191" s="14">
        <f>IF(OR(NOT(ISNUMBER(Ввод!$B$5)),NOT(ISNUMBER(Ввод!$B$6))),"",IF(Ввод!$B$5+3189&gt;Ввод!$B$6,"",Ввод!$B$5+3189))</f>
        <v/>
      </c>
      <c r="B3191">
        <f>IF(A3191="","",IFERROR(INDEX(Ввод!$B$12:$B$71,MATCH(A3191,Ввод!$D$12:$D$71,1)),""))</f>
        <v/>
      </c>
      <c r="C3191">
        <f>IF(A3191="","",DATE(YEAR(A3191),12,31)-DATE(YEAR(A3191),1,1)+1)</f>
        <v/>
      </c>
      <c r="D3191">
        <f>IF(A3191="","",Ввод!$B$4-SUMIF(Оплаты!$A$6:$A$505,"&lt;"&amp;A3191,Оплаты!$B$6:$B$505))</f>
        <v/>
      </c>
      <c r="E3191">
        <f>IF(A3191="","",IF(SUMPRODUCT((Ввод!$F$12:$F$31&lt;&gt;"")*(Ввод!$F$12:$F$31&lt;=A3191)*(Ввод!$G$12:$G$31&gt;=A3191))&gt;0,1,0))</f>
        <v/>
      </c>
      <c r="F3191">
        <f>IF(OR(A3191="",B3191=""),"",IF(E3191=1,0,D3191*B3191/100/C3191))</f>
        <v/>
      </c>
      <c r="G3191">
        <f>IF(A3191="","",IF(OR(B3191&lt;&gt;B3190,C3191&lt;&gt;C3190,D3191&lt;&gt;D3190,E3191&lt;&gt;E3190),G3190+1,G3190))</f>
        <v/>
      </c>
    </row>
    <row r="3192">
      <c r="A3192" s="14">
        <f>IF(OR(NOT(ISNUMBER(Ввод!$B$5)),NOT(ISNUMBER(Ввод!$B$6))),"",IF(Ввод!$B$5+3190&gt;Ввод!$B$6,"",Ввод!$B$5+3190))</f>
        <v/>
      </c>
      <c r="B3192">
        <f>IF(A3192="","",IFERROR(INDEX(Ввод!$B$12:$B$71,MATCH(A3192,Ввод!$D$12:$D$71,1)),""))</f>
        <v/>
      </c>
      <c r="C3192">
        <f>IF(A3192="","",DATE(YEAR(A3192),12,31)-DATE(YEAR(A3192),1,1)+1)</f>
        <v/>
      </c>
      <c r="D3192">
        <f>IF(A3192="","",Ввод!$B$4-SUMIF(Оплаты!$A$6:$A$505,"&lt;"&amp;A3192,Оплаты!$B$6:$B$505))</f>
        <v/>
      </c>
      <c r="E3192">
        <f>IF(A3192="","",IF(SUMPRODUCT((Ввод!$F$12:$F$31&lt;&gt;"")*(Ввод!$F$12:$F$31&lt;=A3192)*(Ввод!$G$12:$G$31&gt;=A3192))&gt;0,1,0))</f>
        <v/>
      </c>
      <c r="F3192">
        <f>IF(OR(A3192="",B3192=""),"",IF(E3192=1,0,D3192*B3192/100/C3192))</f>
        <v/>
      </c>
      <c r="G3192">
        <f>IF(A3192="","",IF(OR(B3192&lt;&gt;B3191,C3192&lt;&gt;C3191,D3192&lt;&gt;D3191,E3192&lt;&gt;E3191),G3191+1,G3191))</f>
        <v/>
      </c>
    </row>
    <row r="3193">
      <c r="A3193" s="14">
        <f>IF(OR(NOT(ISNUMBER(Ввод!$B$5)),NOT(ISNUMBER(Ввод!$B$6))),"",IF(Ввод!$B$5+3191&gt;Ввод!$B$6,"",Ввод!$B$5+3191))</f>
        <v/>
      </c>
      <c r="B3193">
        <f>IF(A3193="","",IFERROR(INDEX(Ввод!$B$12:$B$71,MATCH(A3193,Ввод!$D$12:$D$71,1)),""))</f>
        <v/>
      </c>
      <c r="C3193">
        <f>IF(A3193="","",DATE(YEAR(A3193),12,31)-DATE(YEAR(A3193),1,1)+1)</f>
        <v/>
      </c>
      <c r="D3193">
        <f>IF(A3193="","",Ввод!$B$4-SUMIF(Оплаты!$A$6:$A$505,"&lt;"&amp;A3193,Оплаты!$B$6:$B$505))</f>
        <v/>
      </c>
      <c r="E3193">
        <f>IF(A3193="","",IF(SUMPRODUCT((Ввод!$F$12:$F$31&lt;&gt;"")*(Ввод!$F$12:$F$31&lt;=A3193)*(Ввод!$G$12:$G$31&gt;=A3193))&gt;0,1,0))</f>
        <v/>
      </c>
      <c r="F3193">
        <f>IF(OR(A3193="",B3193=""),"",IF(E3193=1,0,D3193*B3193/100/C3193))</f>
        <v/>
      </c>
      <c r="G3193">
        <f>IF(A3193="","",IF(OR(B3193&lt;&gt;B3192,C3193&lt;&gt;C3192,D3193&lt;&gt;D3192,E3193&lt;&gt;E3192),G3192+1,G3192))</f>
        <v/>
      </c>
    </row>
    <row r="3194">
      <c r="A3194" s="14">
        <f>IF(OR(NOT(ISNUMBER(Ввод!$B$5)),NOT(ISNUMBER(Ввод!$B$6))),"",IF(Ввод!$B$5+3192&gt;Ввод!$B$6,"",Ввод!$B$5+3192))</f>
        <v/>
      </c>
      <c r="B3194">
        <f>IF(A3194="","",IFERROR(INDEX(Ввод!$B$12:$B$71,MATCH(A3194,Ввод!$D$12:$D$71,1)),""))</f>
        <v/>
      </c>
      <c r="C3194">
        <f>IF(A3194="","",DATE(YEAR(A3194),12,31)-DATE(YEAR(A3194),1,1)+1)</f>
        <v/>
      </c>
      <c r="D3194">
        <f>IF(A3194="","",Ввод!$B$4-SUMIF(Оплаты!$A$6:$A$505,"&lt;"&amp;A3194,Оплаты!$B$6:$B$505))</f>
        <v/>
      </c>
      <c r="E3194">
        <f>IF(A3194="","",IF(SUMPRODUCT((Ввод!$F$12:$F$31&lt;&gt;"")*(Ввод!$F$12:$F$31&lt;=A3194)*(Ввод!$G$12:$G$31&gt;=A3194))&gt;0,1,0))</f>
        <v/>
      </c>
      <c r="F3194">
        <f>IF(OR(A3194="",B3194=""),"",IF(E3194=1,0,D3194*B3194/100/C3194))</f>
        <v/>
      </c>
      <c r="G3194">
        <f>IF(A3194="","",IF(OR(B3194&lt;&gt;B3193,C3194&lt;&gt;C3193,D3194&lt;&gt;D3193,E3194&lt;&gt;E3193),G3193+1,G3193))</f>
        <v/>
      </c>
    </row>
    <row r="3195">
      <c r="A3195" s="14">
        <f>IF(OR(NOT(ISNUMBER(Ввод!$B$5)),NOT(ISNUMBER(Ввод!$B$6))),"",IF(Ввод!$B$5+3193&gt;Ввод!$B$6,"",Ввод!$B$5+3193))</f>
        <v/>
      </c>
      <c r="B3195">
        <f>IF(A3195="","",IFERROR(INDEX(Ввод!$B$12:$B$71,MATCH(A3195,Ввод!$D$12:$D$71,1)),""))</f>
        <v/>
      </c>
      <c r="C3195">
        <f>IF(A3195="","",DATE(YEAR(A3195),12,31)-DATE(YEAR(A3195),1,1)+1)</f>
        <v/>
      </c>
      <c r="D3195">
        <f>IF(A3195="","",Ввод!$B$4-SUMIF(Оплаты!$A$6:$A$505,"&lt;"&amp;A3195,Оплаты!$B$6:$B$505))</f>
        <v/>
      </c>
      <c r="E3195">
        <f>IF(A3195="","",IF(SUMPRODUCT((Ввод!$F$12:$F$31&lt;&gt;"")*(Ввод!$F$12:$F$31&lt;=A3195)*(Ввод!$G$12:$G$31&gt;=A3195))&gt;0,1,0))</f>
        <v/>
      </c>
      <c r="F3195">
        <f>IF(OR(A3195="",B3195=""),"",IF(E3195=1,0,D3195*B3195/100/C3195))</f>
        <v/>
      </c>
      <c r="G3195">
        <f>IF(A3195="","",IF(OR(B3195&lt;&gt;B3194,C3195&lt;&gt;C3194,D3195&lt;&gt;D3194,E3195&lt;&gt;E3194),G3194+1,G3194))</f>
        <v/>
      </c>
    </row>
    <row r="3196">
      <c r="A3196" s="14">
        <f>IF(OR(NOT(ISNUMBER(Ввод!$B$5)),NOT(ISNUMBER(Ввод!$B$6))),"",IF(Ввод!$B$5+3194&gt;Ввод!$B$6,"",Ввод!$B$5+3194))</f>
        <v/>
      </c>
      <c r="B3196">
        <f>IF(A3196="","",IFERROR(INDEX(Ввод!$B$12:$B$71,MATCH(A3196,Ввод!$D$12:$D$71,1)),""))</f>
        <v/>
      </c>
      <c r="C3196">
        <f>IF(A3196="","",DATE(YEAR(A3196),12,31)-DATE(YEAR(A3196),1,1)+1)</f>
        <v/>
      </c>
      <c r="D3196">
        <f>IF(A3196="","",Ввод!$B$4-SUMIF(Оплаты!$A$6:$A$505,"&lt;"&amp;A3196,Оплаты!$B$6:$B$505))</f>
        <v/>
      </c>
      <c r="E3196">
        <f>IF(A3196="","",IF(SUMPRODUCT((Ввод!$F$12:$F$31&lt;&gt;"")*(Ввод!$F$12:$F$31&lt;=A3196)*(Ввод!$G$12:$G$31&gt;=A3196))&gt;0,1,0))</f>
        <v/>
      </c>
      <c r="F3196">
        <f>IF(OR(A3196="",B3196=""),"",IF(E3196=1,0,D3196*B3196/100/C3196))</f>
        <v/>
      </c>
      <c r="G3196">
        <f>IF(A3196="","",IF(OR(B3196&lt;&gt;B3195,C3196&lt;&gt;C3195,D3196&lt;&gt;D3195,E3196&lt;&gt;E3195),G3195+1,G3195))</f>
        <v/>
      </c>
    </row>
    <row r="3197">
      <c r="A3197" s="14">
        <f>IF(OR(NOT(ISNUMBER(Ввод!$B$5)),NOT(ISNUMBER(Ввод!$B$6))),"",IF(Ввод!$B$5+3195&gt;Ввод!$B$6,"",Ввод!$B$5+3195))</f>
        <v/>
      </c>
      <c r="B3197">
        <f>IF(A3197="","",IFERROR(INDEX(Ввод!$B$12:$B$71,MATCH(A3197,Ввод!$D$12:$D$71,1)),""))</f>
        <v/>
      </c>
      <c r="C3197">
        <f>IF(A3197="","",DATE(YEAR(A3197),12,31)-DATE(YEAR(A3197),1,1)+1)</f>
        <v/>
      </c>
      <c r="D3197">
        <f>IF(A3197="","",Ввод!$B$4-SUMIF(Оплаты!$A$6:$A$505,"&lt;"&amp;A3197,Оплаты!$B$6:$B$505))</f>
        <v/>
      </c>
      <c r="E3197">
        <f>IF(A3197="","",IF(SUMPRODUCT((Ввод!$F$12:$F$31&lt;&gt;"")*(Ввод!$F$12:$F$31&lt;=A3197)*(Ввод!$G$12:$G$31&gt;=A3197))&gt;0,1,0))</f>
        <v/>
      </c>
      <c r="F3197">
        <f>IF(OR(A3197="",B3197=""),"",IF(E3197=1,0,D3197*B3197/100/C3197))</f>
        <v/>
      </c>
      <c r="G3197">
        <f>IF(A3197="","",IF(OR(B3197&lt;&gt;B3196,C3197&lt;&gt;C3196,D3197&lt;&gt;D3196,E3197&lt;&gt;E3196),G3196+1,G3196))</f>
        <v/>
      </c>
    </row>
    <row r="3198">
      <c r="A3198" s="14">
        <f>IF(OR(NOT(ISNUMBER(Ввод!$B$5)),NOT(ISNUMBER(Ввод!$B$6))),"",IF(Ввод!$B$5+3196&gt;Ввод!$B$6,"",Ввод!$B$5+3196))</f>
        <v/>
      </c>
      <c r="B3198">
        <f>IF(A3198="","",IFERROR(INDEX(Ввод!$B$12:$B$71,MATCH(A3198,Ввод!$D$12:$D$71,1)),""))</f>
        <v/>
      </c>
      <c r="C3198">
        <f>IF(A3198="","",DATE(YEAR(A3198),12,31)-DATE(YEAR(A3198),1,1)+1)</f>
        <v/>
      </c>
      <c r="D3198">
        <f>IF(A3198="","",Ввод!$B$4-SUMIF(Оплаты!$A$6:$A$505,"&lt;"&amp;A3198,Оплаты!$B$6:$B$505))</f>
        <v/>
      </c>
      <c r="E3198">
        <f>IF(A3198="","",IF(SUMPRODUCT((Ввод!$F$12:$F$31&lt;&gt;"")*(Ввод!$F$12:$F$31&lt;=A3198)*(Ввод!$G$12:$G$31&gt;=A3198))&gt;0,1,0))</f>
        <v/>
      </c>
      <c r="F3198">
        <f>IF(OR(A3198="",B3198=""),"",IF(E3198=1,0,D3198*B3198/100/C3198))</f>
        <v/>
      </c>
      <c r="G3198">
        <f>IF(A3198="","",IF(OR(B3198&lt;&gt;B3197,C3198&lt;&gt;C3197,D3198&lt;&gt;D3197,E3198&lt;&gt;E3197),G3197+1,G3197))</f>
        <v/>
      </c>
    </row>
    <row r="3199">
      <c r="A3199" s="14">
        <f>IF(OR(NOT(ISNUMBER(Ввод!$B$5)),NOT(ISNUMBER(Ввод!$B$6))),"",IF(Ввод!$B$5+3197&gt;Ввод!$B$6,"",Ввод!$B$5+3197))</f>
        <v/>
      </c>
      <c r="B3199">
        <f>IF(A3199="","",IFERROR(INDEX(Ввод!$B$12:$B$71,MATCH(A3199,Ввод!$D$12:$D$71,1)),""))</f>
        <v/>
      </c>
      <c r="C3199">
        <f>IF(A3199="","",DATE(YEAR(A3199),12,31)-DATE(YEAR(A3199),1,1)+1)</f>
        <v/>
      </c>
      <c r="D3199">
        <f>IF(A3199="","",Ввод!$B$4-SUMIF(Оплаты!$A$6:$A$505,"&lt;"&amp;A3199,Оплаты!$B$6:$B$505))</f>
        <v/>
      </c>
      <c r="E3199">
        <f>IF(A3199="","",IF(SUMPRODUCT((Ввод!$F$12:$F$31&lt;&gt;"")*(Ввод!$F$12:$F$31&lt;=A3199)*(Ввод!$G$12:$G$31&gt;=A3199))&gt;0,1,0))</f>
        <v/>
      </c>
      <c r="F3199">
        <f>IF(OR(A3199="",B3199=""),"",IF(E3199=1,0,D3199*B3199/100/C3199))</f>
        <v/>
      </c>
      <c r="G3199">
        <f>IF(A3199="","",IF(OR(B3199&lt;&gt;B3198,C3199&lt;&gt;C3198,D3199&lt;&gt;D3198,E3199&lt;&gt;E3198),G3198+1,G3198))</f>
        <v/>
      </c>
    </row>
    <row r="3200">
      <c r="A3200" s="14">
        <f>IF(OR(NOT(ISNUMBER(Ввод!$B$5)),NOT(ISNUMBER(Ввод!$B$6))),"",IF(Ввод!$B$5+3198&gt;Ввод!$B$6,"",Ввод!$B$5+3198))</f>
        <v/>
      </c>
      <c r="B3200">
        <f>IF(A3200="","",IFERROR(INDEX(Ввод!$B$12:$B$71,MATCH(A3200,Ввод!$D$12:$D$71,1)),""))</f>
        <v/>
      </c>
      <c r="C3200">
        <f>IF(A3200="","",DATE(YEAR(A3200),12,31)-DATE(YEAR(A3200),1,1)+1)</f>
        <v/>
      </c>
      <c r="D3200">
        <f>IF(A3200="","",Ввод!$B$4-SUMIF(Оплаты!$A$6:$A$505,"&lt;"&amp;A3200,Оплаты!$B$6:$B$505))</f>
        <v/>
      </c>
      <c r="E3200">
        <f>IF(A3200="","",IF(SUMPRODUCT((Ввод!$F$12:$F$31&lt;&gt;"")*(Ввод!$F$12:$F$31&lt;=A3200)*(Ввод!$G$12:$G$31&gt;=A3200))&gt;0,1,0))</f>
        <v/>
      </c>
      <c r="F3200">
        <f>IF(OR(A3200="",B3200=""),"",IF(E3200=1,0,D3200*B3200/100/C3200))</f>
        <v/>
      </c>
      <c r="G3200">
        <f>IF(A3200="","",IF(OR(B3200&lt;&gt;B3199,C3200&lt;&gt;C3199,D3200&lt;&gt;D3199,E3200&lt;&gt;E3199),G3199+1,G3199))</f>
        <v/>
      </c>
    </row>
    <row r="3201">
      <c r="A3201" s="14">
        <f>IF(OR(NOT(ISNUMBER(Ввод!$B$5)),NOT(ISNUMBER(Ввод!$B$6))),"",IF(Ввод!$B$5+3199&gt;Ввод!$B$6,"",Ввод!$B$5+3199))</f>
        <v/>
      </c>
      <c r="B3201">
        <f>IF(A3201="","",IFERROR(INDEX(Ввод!$B$12:$B$71,MATCH(A3201,Ввод!$D$12:$D$71,1)),""))</f>
        <v/>
      </c>
      <c r="C3201">
        <f>IF(A3201="","",DATE(YEAR(A3201),12,31)-DATE(YEAR(A3201),1,1)+1)</f>
        <v/>
      </c>
      <c r="D3201">
        <f>IF(A3201="","",Ввод!$B$4-SUMIF(Оплаты!$A$6:$A$505,"&lt;"&amp;A3201,Оплаты!$B$6:$B$505))</f>
        <v/>
      </c>
      <c r="E3201">
        <f>IF(A3201="","",IF(SUMPRODUCT((Ввод!$F$12:$F$31&lt;&gt;"")*(Ввод!$F$12:$F$31&lt;=A3201)*(Ввод!$G$12:$G$31&gt;=A3201))&gt;0,1,0))</f>
        <v/>
      </c>
      <c r="F3201">
        <f>IF(OR(A3201="",B3201=""),"",IF(E3201=1,0,D3201*B3201/100/C3201))</f>
        <v/>
      </c>
      <c r="G3201">
        <f>IF(A3201="","",IF(OR(B3201&lt;&gt;B3200,C3201&lt;&gt;C3200,D3201&lt;&gt;D3200,E3201&lt;&gt;E3200),G3200+1,G3200))</f>
        <v/>
      </c>
    </row>
    <row r="3202">
      <c r="A3202" s="14">
        <f>IF(OR(NOT(ISNUMBER(Ввод!$B$5)),NOT(ISNUMBER(Ввод!$B$6))),"",IF(Ввод!$B$5+3200&gt;Ввод!$B$6,"",Ввод!$B$5+3200))</f>
        <v/>
      </c>
      <c r="B3202">
        <f>IF(A3202="","",IFERROR(INDEX(Ввод!$B$12:$B$71,MATCH(A3202,Ввод!$D$12:$D$71,1)),""))</f>
        <v/>
      </c>
      <c r="C3202">
        <f>IF(A3202="","",DATE(YEAR(A3202),12,31)-DATE(YEAR(A3202),1,1)+1)</f>
        <v/>
      </c>
      <c r="D3202">
        <f>IF(A3202="","",Ввод!$B$4-SUMIF(Оплаты!$A$6:$A$505,"&lt;"&amp;A3202,Оплаты!$B$6:$B$505))</f>
        <v/>
      </c>
      <c r="E3202">
        <f>IF(A3202="","",IF(SUMPRODUCT((Ввод!$F$12:$F$31&lt;&gt;"")*(Ввод!$F$12:$F$31&lt;=A3202)*(Ввод!$G$12:$G$31&gt;=A3202))&gt;0,1,0))</f>
        <v/>
      </c>
      <c r="F3202">
        <f>IF(OR(A3202="",B3202=""),"",IF(E3202=1,0,D3202*B3202/100/C3202))</f>
        <v/>
      </c>
      <c r="G3202">
        <f>IF(A3202="","",IF(OR(B3202&lt;&gt;B3201,C3202&lt;&gt;C3201,D3202&lt;&gt;D3201,E3202&lt;&gt;E3201),G3201+1,G3201))</f>
        <v/>
      </c>
    </row>
    <row r="3203">
      <c r="A3203" s="14">
        <f>IF(OR(NOT(ISNUMBER(Ввод!$B$5)),NOT(ISNUMBER(Ввод!$B$6))),"",IF(Ввод!$B$5+3201&gt;Ввод!$B$6,"",Ввод!$B$5+3201))</f>
        <v/>
      </c>
      <c r="B3203">
        <f>IF(A3203="","",IFERROR(INDEX(Ввод!$B$12:$B$71,MATCH(A3203,Ввод!$D$12:$D$71,1)),""))</f>
        <v/>
      </c>
      <c r="C3203">
        <f>IF(A3203="","",DATE(YEAR(A3203),12,31)-DATE(YEAR(A3203),1,1)+1)</f>
        <v/>
      </c>
      <c r="D3203">
        <f>IF(A3203="","",Ввод!$B$4-SUMIF(Оплаты!$A$6:$A$505,"&lt;"&amp;A3203,Оплаты!$B$6:$B$505))</f>
        <v/>
      </c>
      <c r="E3203">
        <f>IF(A3203="","",IF(SUMPRODUCT((Ввод!$F$12:$F$31&lt;&gt;"")*(Ввод!$F$12:$F$31&lt;=A3203)*(Ввод!$G$12:$G$31&gt;=A3203))&gt;0,1,0))</f>
        <v/>
      </c>
      <c r="F3203">
        <f>IF(OR(A3203="",B3203=""),"",IF(E3203=1,0,D3203*B3203/100/C3203))</f>
        <v/>
      </c>
      <c r="G3203">
        <f>IF(A3203="","",IF(OR(B3203&lt;&gt;B3202,C3203&lt;&gt;C3202,D3203&lt;&gt;D3202,E3203&lt;&gt;E3202),G3202+1,G3202))</f>
        <v/>
      </c>
    </row>
    <row r="3204">
      <c r="A3204" s="14">
        <f>IF(OR(NOT(ISNUMBER(Ввод!$B$5)),NOT(ISNUMBER(Ввод!$B$6))),"",IF(Ввод!$B$5+3202&gt;Ввод!$B$6,"",Ввод!$B$5+3202))</f>
        <v/>
      </c>
      <c r="B3204">
        <f>IF(A3204="","",IFERROR(INDEX(Ввод!$B$12:$B$71,MATCH(A3204,Ввод!$D$12:$D$71,1)),""))</f>
        <v/>
      </c>
      <c r="C3204">
        <f>IF(A3204="","",DATE(YEAR(A3204),12,31)-DATE(YEAR(A3204),1,1)+1)</f>
        <v/>
      </c>
      <c r="D3204">
        <f>IF(A3204="","",Ввод!$B$4-SUMIF(Оплаты!$A$6:$A$505,"&lt;"&amp;A3204,Оплаты!$B$6:$B$505))</f>
        <v/>
      </c>
      <c r="E3204">
        <f>IF(A3204="","",IF(SUMPRODUCT((Ввод!$F$12:$F$31&lt;&gt;"")*(Ввод!$F$12:$F$31&lt;=A3204)*(Ввод!$G$12:$G$31&gt;=A3204))&gt;0,1,0))</f>
        <v/>
      </c>
      <c r="F3204">
        <f>IF(OR(A3204="",B3204=""),"",IF(E3204=1,0,D3204*B3204/100/C3204))</f>
        <v/>
      </c>
      <c r="G3204">
        <f>IF(A3204="","",IF(OR(B3204&lt;&gt;B3203,C3204&lt;&gt;C3203,D3204&lt;&gt;D3203,E3204&lt;&gt;E3203),G3203+1,G3203))</f>
        <v/>
      </c>
    </row>
    <row r="3205">
      <c r="A3205" s="14">
        <f>IF(OR(NOT(ISNUMBER(Ввод!$B$5)),NOT(ISNUMBER(Ввод!$B$6))),"",IF(Ввод!$B$5+3203&gt;Ввод!$B$6,"",Ввод!$B$5+3203))</f>
        <v/>
      </c>
      <c r="B3205">
        <f>IF(A3205="","",IFERROR(INDEX(Ввод!$B$12:$B$71,MATCH(A3205,Ввод!$D$12:$D$71,1)),""))</f>
        <v/>
      </c>
      <c r="C3205">
        <f>IF(A3205="","",DATE(YEAR(A3205),12,31)-DATE(YEAR(A3205),1,1)+1)</f>
        <v/>
      </c>
      <c r="D3205">
        <f>IF(A3205="","",Ввод!$B$4-SUMIF(Оплаты!$A$6:$A$505,"&lt;"&amp;A3205,Оплаты!$B$6:$B$505))</f>
        <v/>
      </c>
      <c r="E3205">
        <f>IF(A3205="","",IF(SUMPRODUCT((Ввод!$F$12:$F$31&lt;&gt;"")*(Ввод!$F$12:$F$31&lt;=A3205)*(Ввод!$G$12:$G$31&gt;=A3205))&gt;0,1,0))</f>
        <v/>
      </c>
      <c r="F3205">
        <f>IF(OR(A3205="",B3205=""),"",IF(E3205=1,0,D3205*B3205/100/C3205))</f>
        <v/>
      </c>
      <c r="G3205">
        <f>IF(A3205="","",IF(OR(B3205&lt;&gt;B3204,C3205&lt;&gt;C3204,D3205&lt;&gt;D3204,E3205&lt;&gt;E3204),G3204+1,G3204))</f>
        <v/>
      </c>
    </row>
    <row r="3206">
      <c r="A3206" s="14">
        <f>IF(OR(NOT(ISNUMBER(Ввод!$B$5)),NOT(ISNUMBER(Ввод!$B$6))),"",IF(Ввод!$B$5+3204&gt;Ввод!$B$6,"",Ввод!$B$5+3204))</f>
        <v/>
      </c>
      <c r="B3206">
        <f>IF(A3206="","",IFERROR(INDEX(Ввод!$B$12:$B$71,MATCH(A3206,Ввод!$D$12:$D$71,1)),""))</f>
        <v/>
      </c>
      <c r="C3206">
        <f>IF(A3206="","",DATE(YEAR(A3206),12,31)-DATE(YEAR(A3206),1,1)+1)</f>
        <v/>
      </c>
      <c r="D3206">
        <f>IF(A3206="","",Ввод!$B$4-SUMIF(Оплаты!$A$6:$A$505,"&lt;"&amp;A3206,Оплаты!$B$6:$B$505))</f>
        <v/>
      </c>
      <c r="E3206">
        <f>IF(A3206="","",IF(SUMPRODUCT((Ввод!$F$12:$F$31&lt;&gt;"")*(Ввод!$F$12:$F$31&lt;=A3206)*(Ввод!$G$12:$G$31&gt;=A3206))&gt;0,1,0))</f>
        <v/>
      </c>
      <c r="F3206">
        <f>IF(OR(A3206="",B3206=""),"",IF(E3206=1,0,D3206*B3206/100/C3206))</f>
        <v/>
      </c>
      <c r="G3206">
        <f>IF(A3206="","",IF(OR(B3206&lt;&gt;B3205,C3206&lt;&gt;C3205,D3206&lt;&gt;D3205,E3206&lt;&gt;E3205),G3205+1,G3205))</f>
        <v/>
      </c>
    </row>
    <row r="3207">
      <c r="A3207" s="14">
        <f>IF(OR(NOT(ISNUMBER(Ввод!$B$5)),NOT(ISNUMBER(Ввод!$B$6))),"",IF(Ввод!$B$5+3205&gt;Ввод!$B$6,"",Ввод!$B$5+3205))</f>
        <v/>
      </c>
      <c r="B3207">
        <f>IF(A3207="","",IFERROR(INDEX(Ввод!$B$12:$B$71,MATCH(A3207,Ввод!$D$12:$D$71,1)),""))</f>
        <v/>
      </c>
      <c r="C3207">
        <f>IF(A3207="","",DATE(YEAR(A3207),12,31)-DATE(YEAR(A3207),1,1)+1)</f>
        <v/>
      </c>
      <c r="D3207">
        <f>IF(A3207="","",Ввод!$B$4-SUMIF(Оплаты!$A$6:$A$505,"&lt;"&amp;A3207,Оплаты!$B$6:$B$505))</f>
        <v/>
      </c>
      <c r="E3207">
        <f>IF(A3207="","",IF(SUMPRODUCT((Ввод!$F$12:$F$31&lt;&gt;"")*(Ввод!$F$12:$F$31&lt;=A3207)*(Ввод!$G$12:$G$31&gt;=A3207))&gt;0,1,0))</f>
        <v/>
      </c>
      <c r="F3207">
        <f>IF(OR(A3207="",B3207=""),"",IF(E3207=1,0,D3207*B3207/100/C3207))</f>
        <v/>
      </c>
      <c r="G3207">
        <f>IF(A3207="","",IF(OR(B3207&lt;&gt;B3206,C3207&lt;&gt;C3206,D3207&lt;&gt;D3206,E3207&lt;&gt;E3206),G3206+1,G3206))</f>
        <v/>
      </c>
    </row>
    <row r="3208">
      <c r="A3208" s="14">
        <f>IF(OR(NOT(ISNUMBER(Ввод!$B$5)),NOT(ISNUMBER(Ввод!$B$6))),"",IF(Ввод!$B$5+3206&gt;Ввод!$B$6,"",Ввод!$B$5+3206))</f>
        <v/>
      </c>
      <c r="B3208">
        <f>IF(A3208="","",IFERROR(INDEX(Ввод!$B$12:$B$71,MATCH(A3208,Ввод!$D$12:$D$71,1)),""))</f>
        <v/>
      </c>
      <c r="C3208">
        <f>IF(A3208="","",DATE(YEAR(A3208),12,31)-DATE(YEAR(A3208),1,1)+1)</f>
        <v/>
      </c>
      <c r="D3208">
        <f>IF(A3208="","",Ввод!$B$4-SUMIF(Оплаты!$A$6:$A$505,"&lt;"&amp;A3208,Оплаты!$B$6:$B$505))</f>
        <v/>
      </c>
      <c r="E3208">
        <f>IF(A3208="","",IF(SUMPRODUCT((Ввод!$F$12:$F$31&lt;&gt;"")*(Ввод!$F$12:$F$31&lt;=A3208)*(Ввод!$G$12:$G$31&gt;=A3208))&gt;0,1,0))</f>
        <v/>
      </c>
      <c r="F3208">
        <f>IF(OR(A3208="",B3208=""),"",IF(E3208=1,0,D3208*B3208/100/C3208))</f>
        <v/>
      </c>
      <c r="G3208">
        <f>IF(A3208="","",IF(OR(B3208&lt;&gt;B3207,C3208&lt;&gt;C3207,D3208&lt;&gt;D3207,E3208&lt;&gt;E3207),G3207+1,G3207))</f>
        <v/>
      </c>
    </row>
    <row r="3209">
      <c r="A3209" s="14">
        <f>IF(OR(NOT(ISNUMBER(Ввод!$B$5)),NOT(ISNUMBER(Ввод!$B$6))),"",IF(Ввод!$B$5+3207&gt;Ввод!$B$6,"",Ввод!$B$5+3207))</f>
        <v/>
      </c>
      <c r="B3209">
        <f>IF(A3209="","",IFERROR(INDEX(Ввод!$B$12:$B$71,MATCH(A3209,Ввод!$D$12:$D$71,1)),""))</f>
        <v/>
      </c>
      <c r="C3209">
        <f>IF(A3209="","",DATE(YEAR(A3209),12,31)-DATE(YEAR(A3209),1,1)+1)</f>
        <v/>
      </c>
      <c r="D3209">
        <f>IF(A3209="","",Ввод!$B$4-SUMIF(Оплаты!$A$6:$A$505,"&lt;"&amp;A3209,Оплаты!$B$6:$B$505))</f>
        <v/>
      </c>
      <c r="E3209">
        <f>IF(A3209="","",IF(SUMPRODUCT((Ввод!$F$12:$F$31&lt;&gt;"")*(Ввод!$F$12:$F$31&lt;=A3209)*(Ввод!$G$12:$G$31&gt;=A3209))&gt;0,1,0))</f>
        <v/>
      </c>
      <c r="F3209">
        <f>IF(OR(A3209="",B3209=""),"",IF(E3209=1,0,D3209*B3209/100/C3209))</f>
        <v/>
      </c>
      <c r="G3209">
        <f>IF(A3209="","",IF(OR(B3209&lt;&gt;B3208,C3209&lt;&gt;C3208,D3209&lt;&gt;D3208,E3209&lt;&gt;E3208),G3208+1,G3208))</f>
        <v/>
      </c>
    </row>
    <row r="3210">
      <c r="A3210" s="14">
        <f>IF(OR(NOT(ISNUMBER(Ввод!$B$5)),NOT(ISNUMBER(Ввод!$B$6))),"",IF(Ввод!$B$5+3208&gt;Ввод!$B$6,"",Ввод!$B$5+3208))</f>
        <v/>
      </c>
      <c r="B3210">
        <f>IF(A3210="","",IFERROR(INDEX(Ввод!$B$12:$B$71,MATCH(A3210,Ввод!$D$12:$D$71,1)),""))</f>
        <v/>
      </c>
      <c r="C3210">
        <f>IF(A3210="","",DATE(YEAR(A3210),12,31)-DATE(YEAR(A3210),1,1)+1)</f>
        <v/>
      </c>
      <c r="D3210">
        <f>IF(A3210="","",Ввод!$B$4-SUMIF(Оплаты!$A$6:$A$505,"&lt;"&amp;A3210,Оплаты!$B$6:$B$505))</f>
        <v/>
      </c>
      <c r="E3210">
        <f>IF(A3210="","",IF(SUMPRODUCT((Ввод!$F$12:$F$31&lt;&gt;"")*(Ввод!$F$12:$F$31&lt;=A3210)*(Ввод!$G$12:$G$31&gt;=A3210))&gt;0,1,0))</f>
        <v/>
      </c>
      <c r="F3210">
        <f>IF(OR(A3210="",B3210=""),"",IF(E3210=1,0,D3210*B3210/100/C3210))</f>
        <v/>
      </c>
      <c r="G3210">
        <f>IF(A3210="","",IF(OR(B3210&lt;&gt;B3209,C3210&lt;&gt;C3209,D3210&lt;&gt;D3209,E3210&lt;&gt;E3209),G3209+1,G3209))</f>
        <v/>
      </c>
    </row>
    <row r="3211">
      <c r="A3211" s="14">
        <f>IF(OR(NOT(ISNUMBER(Ввод!$B$5)),NOT(ISNUMBER(Ввод!$B$6))),"",IF(Ввод!$B$5+3209&gt;Ввод!$B$6,"",Ввод!$B$5+3209))</f>
        <v/>
      </c>
      <c r="B3211">
        <f>IF(A3211="","",IFERROR(INDEX(Ввод!$B$12:$B$71,MATCH(A3211,Ввод!$D$12:$D$71,1)),""))</f>
        <v/>
      </c>
      <c r="C3211">
        <f>IF(A3211="","",DATE(YEAR(A3211),12,31)-DATE(YEAR(A3211),1,1)+1)</f>
        <v/>
      </c>
      <c r="D3211">
        <f>IF(A3211="","",Ввод!$B$4-SUMIF(Оплаты!$A$6:$A$505,"&lt;"&amp;A3211,Оплаты!$B$6:$B$505))</f>
        <v/>
      </c>
      <c r="E3211">
        <f>IF(A3211="","",IF(SUMPRODUCT((Ввод!$F$12:$F$31&lt;&gt;"")*(Ввод!$F$12:$F$31&lt;=A3211)*(Ввод!$G$12:$G$31&gt;=A3211))&gt;0,1,0))</f>
        <v/>
      </c>
      <c r="F3211">
        <f>IF(OR(A3211="",B3211=""),"",IF(E3211=1,0,D3211*B3211/100/C3211))</f>
        <v/>
      </c>
      <c r="G3211">
        <f>IF(A3211="","",IF(OR(B3211&lt;&gt;B3210,C3211&lt;&gt;C3210,D3211&lt;&gt;D3210,E3211&lt;&gt;E3210),G3210+1,G3210))</f>
        <v/>
      </c>
    </row>
    <row r="3212">
      <c r="A3212" s="14">
        <f>IF(OR(NOT(ISNUMBER(Ввод!$B$5)),NOT(ISNUMBER(Ввод!$B$6))),"",IF(Ввод!$B$5+3210&gt;Ввод!$B$6,"",Ввод!$B$5+3210))</f>
        <v/>
      </c>
      <c r="B3212">
        <f>IF(A3212="","",IFERROR(INDEX(Ввод!$B$12:$B$71,MATCH(A3212,Ввод!$D$12:$D$71,1)),""))</f>
        <v/>
      </c>
      <c r="C3212">
        <f>IF(A3212="","",DATE(YEAR(A3212),12,31)-DATE(YEAR(A3212),1,1)+1)</f>
        <v/>
      </c>
      <c r="D3212">
        <f>IF(A3212="","",Ввод!$B$4-SUMIF(Оплаты!$A$6:$A$505,"&lt;"&amp;A3212,Оплаты!$B$6:$B$505))</f>
        <v/>
      </c>
      <c r="E3212">
        <f>IF(A3212="","",IF(SUMPRODUCT((Ввод!$F$12:$F$31&lt;&gt;"")*(Ввод!$F$12:$F$31&lt;=A3212)*(Ввод!$G$12:$G$31&gt;=A3212))&gt;0,1,0))</f>
        <v/>
      </c>
      <c r="F3212">
        <f>IF(OR(A3212="",B3212=""),"",IF(E3212=1,0,D3212*B3212/100/C3212))</f>
        <v/>
      </c>
      <c r="G3212">
        <f>IF(A3212="","",IF(OR(B3212&lt;&gt;B3211,C3212&lt;&gt;C3211,D3212&lt;&gt;D3211,E3212&lt;&gt;E3211),G3211+1,G3211))</f>
        <v/>
      </c>
    </row>
    <row r="3213">
      <c r="A3213" s="14">
        <f>IF(OR(NOT(ISNUMBER(Ввод!$B$5)),NOT(ISNUMBER(Ввод!$B$6))),"",IF(Ввод!$B$5+3211&gt;Ввод!$B$6,"",Ввод!$B$5+3211))</f>
        <v/>
      </c>
      <c r="B3213">
        <f>IF(A3213="","",IFERROR(INDEX(Ввод!$B$12:$B$71,MATCH(A3213,Ввод!$D$12:$D$71,1)),""))</f>
        <v/>
      </c>
      <c r="C3213">
        <f>IF(A3213="","",DATE(YEAR(A3213),12,31)-DATE(YEAR(A3213),1,1)+1)</f>
        <v/>
      </c>
      <c r="D3213">
        <f>IF(A3213="","",Ввод!$B$4-SUMIF(Оплаты!$A$6:$A$505,"&lt;"&amp;A3213,Оплаты!$B$6:$B$505))</f>
        <v/>
      </c>
      <c r="E3213">
        <f>IF(A3213="","",IF(SUMPRODUCT((Ввод!$F$12:$F$31&lt;&gt;"")*(Ввод!$F$12:$F$31&lt;=A3213)*(Ввод!$G$12:$G$31&gt;=A3213))&gt;0,1,0))</f>
        <v/>
      </c>
      <c r="F3213">
        <f>IF(OR(A3213="",B3213=""),"",IF(E3213=1,0,D3213*B3213/100/C3213))</f>
        <v/>
      </c>
      <c r="G3213">
        <f>IF(A3213="","",IF(OR(B3213&lt;&gt;B3212,C3213&lt;&gt;C3212,D3213&lt;&gt;D3212,E3213&lt;&gt;E3212),G3212+1,G3212))</f>
        <v/>
      </c>
    </row>
    <row r="3214">
      <c r="A3214" s="14">
        <f>IF(OR(NOT(ISNUMBER(Ввод!$B$5)),NOT(ISNUMBER(Ввод!$B$6))),"",IF(Ввод!$B$5+3212&gt;Ввод!$B$6,"",Ввод!$B$5+3212))</f>
        <v/>
      </c>
      <c r="B3214">
        <f>IF(A3214="","",IFERROR(INDEX(Ввод!$B$12:$B$71,MATCH(A3214,Ввод!$D$12:$D$71,1)),""))</f>
        <v/>
      </c>
      <c r="C3214">
        <f>IF(A3214="","",DATE(YEAR(A3214),12,31)-DATE(YEAR(A3214),1,1)+1)</f>
        <v/>
      </c>
      <c r="D3214">
        <f>IF(A3214="","",Ввод!$B$4-SUMIF(Оплаты!$A$6:$A$505,"&lt;"&amp;A3214,Оплаты!$B$6:$B$505))</f>
        <v/>
      </c>
      <c r="E3214">
        <f>IF(A3214="","",IF(SUMPRODUCT((Ввод!$F$12:$F$31&lt;&gt;"")*(Ввод!$F$12:$F$31&lt;=A3214)*(Ввод!$G$12:$G$31&gt;=A3214))&gt;0,1,0))</f>
        <v/>
      </c>
      <c r="F3214">
        <f>IF(OR(A3214="",B3214=""),"",IF(E3214=1,0,D3214*B3214/100/C3214))</f>
        <v/>
      </c>
      <c r="G3214">
        <f>IF(A3214="","",IF(OR(B3214&lt;&gt;B3213,C3214&lt;&gt;C3213,D3214&lt;&gt;D3213,E3214&lt;&gt;E3213),G3213+1,G3213))</f>
        <v/>
      </c>
    </row>
    <row r="3215">
      <c r="A3215" s="14">
        <f>IF(OR(NOT(ISNUMBER(Ввод!$B$5)),NOT(ISNUMBER(Ввод!$B$6))),"",IF(Ввод!$B$5+3213&gt;Ввод!$B$6,"",Ввод!$B$5+3213))</f>
        <v/>
      </c>
      <c r="B3215">
        <f>IF(A3215="","",IFERROR(INDEX(Ввод!$B$12:$B$71,MATCH(A3215,Ввод!$D$12:$D$71,1)),""))</f>
        <v/>
      </c>
      <c r="C3215">
        <f>IF(A3215="","",DATE(YEAR(A3215),12,31)-DATE(YEAR(A3215),1,1)+1)</f>
        <v/>
      </c>
      <c r="D3215">
        <f>IF(A3215="","",Ввод!$B$4-SUMIF(Оплаты!$A$6:$A$505,"&lt;"&amp;A3215,Оплаты!$B$6:$B$505))</f>
        <v/>
      </c>
      <c r="E3215">
        <f>IF(A3215="","",IF(SUMPRODUCT((Ввод!$F$12:$F$31&lt;&gt;"")*(Ввод!$F$12:$F$31&lt;=A3215)*(Ввод!$G$12:$G$31&gt;=A3215))&gt;0,1,0))</f>
        <v/>
      </c>
      <c r="F3215">
        <f>IF(OR(A3215="",B3215=""),"",IF(E3215=1,0,D3215*B3215/100/C3215))</f>
        <v/>
      </c>
      <c r="G3215">
        <f>IF(A3215="","",IF(OR(B3215&lt;&gt;B3214,C3215&lt;&gt;C3214,D3215&lt;&gt;D3214,E3215&lt;&gt;E3214),G3214+1,G3214))</f>
        <v/>
      </c>
    </row>
    <row r="3216">
      <c r="A3216" s="14">
        <f>IF(OR(NOT(ISNUMBER(Ввод!$B$5)),NOT(ISNUMBER(Ввод!$B$6))),"",IF(Ввод!$B$5+3214&gt;Ввод!$B$6,"",Ввод!$B$5+3214))</f>
        <v/>
      </c>
      <c r="B3216">
        <f>IF(A3216="","",IFERROR(INDEX(Ввод!$B$12:$B$71,MATCH(A3216,Ввод!$D$12:$D$71,1)),""))</f>
        <v/>
      </c>
      <c r="C3216">
        <f>IF(A3216="","",DATE(YEAR(A3216),12,31)-DATE(YEAR(A3216),1,1)+1)</f>
        <v/>
      </c>
      <c r="D3216">
        <f>IF(A3216="","",Ввод!$B$4-SUMIF(Оплаты!$A$6:$A$505,"&lt;"&amp;A3216,Оплаты!$B$6:$B$505))</f>
        <v/>
      </c>
      <c r="E3216">
        <f>IF(A3216="","",IF(SUMPRODUCT((Ввод!$F$12:$F$31&lt;&gt;"")*(Ввод!$F$12:$F$31&lt;=A3216)*(Ввод!$G$12:$G$31&gt;=A3216))&gt;0,1,0))</f>
        <v/>
      </c>
      <c r="F3216">
        <f>IF(OR(A3216="",B3216=""),"",IF(E3216=1,0,D3216*B3216/100/C3216))</f>
        <v/>
      </c>
      <c r="G3216">
        <f>IF(A3216="","",IF(OR(B3216&lt;&gt;B3215,C3216&lt;&gt;C3215,D3216&lt;&gt;D3215,E3216&lt;&gt;E3215),G3215+1,G3215))</f>
        <v/>
      </c>
    </row>
    <row r="3217">
      <c r="A3217" s="14">
        <f>IF(OR(NOT(ISNUMBER(Ввод!$B$5)),NOT(ISNUMBER(Ввод!$B$6))),"",IF(Ввод!$B$5+3215&gt;Ввод!$B$6,"",Ввод!$B$5+3215))</f>
        <v/>
      </c>
      <c r="B3217">
        <f>IF(A3217="","",IFERROR(INDEX(Ввод!$B$12:$B$71,MATCH(A3217,Ввод!$D$12:$D$71,1)),""))</f>
        <v/>
      </c>
      <c r="C3217">
        <f>IF(A3217="","",DATE(YEAR(A3217),12,31)-DATE(YEAR(A3217),1,1)+1)</f>
        <v/>
      </c>
      <c r="D3217">
        <f>IF(A3217="","",Ввод!$B$4-SUMIF(Оплаты!$A$6:$A$505,"&lt;"&amp;A3217,Оплаты!$B$6:$B$505))</f>
        <v/>
      </c>
      <c r="E3217">
        <f>IF(A3217="","",IF(SUMPRODUCT((Ввод!$F$12:$F$31&lt;&gt;"")*(Ввод!$F$12:$F$31&lt;=A3217)*(Ввод!$G$12:$G$31&gt;=A3217))&gt;0,1,0))</f>
        <v/>
      </c>
      <c r="F3217">
        <f>IF(OR(A3217="",B3217=""),"",IF(E3217=1,0,D3217*B3217/100/C3217))</f>
        <v/>
      </c>
      <c r="G3217">
        <f>IF(A3217="","",IF(OR(B3217&lt;&gt;B3216,C3217&lt;&gt;C3216,D3217&lt;&gt;D3216,E3217&lt;&gt;E3216),G3216+1,G3216))</f>
        <v/>
      </c>
    </row>
    <row r="3218">
      <c r="A3218" s="14">
        <f>IF(OR(NOT(ISNUMBER(Ввод!$B$5)),NOT(ISNUMBER(Ввод!$B$6))),"",IF(Ввод!$B$5+3216&gt;Ввод!$B$6,"",Ввод!$B$5+3216))</f>
        <v/>
      </c>
      <c r="B3218">
        <f>IF(A3218="","",IFERROR(INDEX(Ввод!$B$12:$B$71,MATCH(A3218,Ввод!$D$12:$D$71,1)),""))</f>
        <v/>
      </c>
      <c r="C3218">
        <f>IF(A3218="","",DATE(YEAR(A3218),12,31)-DATE(YEAR(A3218),1,1)+1)</f>
        <v/>
      </c>
      <c r="D3218">
        <f>IF(A3218="","",Ввод!$B$4-SUMIF(Оплаты!$A$6:$A$505,"&lt;"&amp;A3218,Оплаты!$B$6:$B$505))</f>
        <v/>
      </c>
      <c r="E3218">
        <f>IF(A3218="","",IF(SUMPRODUCT((Ввод!$F$12:$F$31&lt;&gt;"")*(Ввод!$F$12:$F$31&lt;=A3218)*(Ввод!$G$12:$G$31&gt;=A3218))&gt;0,1,0))</f>
        <v/>
      </c>
      <c r="F3218">
        <f>IF(OR(A3218="",B3218=""),"",IF(E3218=1,0,D3218*B3218/100/C3218))</f>
        <v/>
      </c>
      <c r="G3218">
        <f>IF(A3218="","",IF(OR(B3218&lt;&gt;B3217,C3218&lt;&gt;C3217,D3218&lt;&gt;D3217,E3218&lt;&gt;E3217),G3217+1,G3217))</f>
        <v/>
      </c>
    </row>
    <row r="3219">
      <c r="A3219" s="14">
        <f>IF(OR(NOT(ISNUMBER(Ввод!$B$5)),NOT(ISNUMBER(Ввод!$B$6))),"",IF(Ввод!$B$5+3217&gt;Ввод!$B$6,"",Ввод!$B$5+3217))</f>
        <v/>
      </c>
      <c r="B3219">
        <f>IF(A3219="","",IFERROR(INDEX(Ввод!$B$12:$B$71,MATCH(A3219,Ввод!$D$12:$D$71,1)),""))</f>
        <v/>
      </c>
      <c r="C3219">
        <f>IF(A3219="","",DATE(YEAR(A3219),12,31)-DATE(YEAR(A3219),1,1)+1)</f>
        <v/>
      </c>
      <c r="D3219">
        <f>IF(A3219="","",Ввод!$B$4-SUMIF(Оплаты!$A$6:$A$505,"&lt;"&amp;A3219,Оплаты!$B$6:$B$505))</f>
        <v/>
      </c>
      <c r="E3219">
        <f>IF(A3219="","",IF(SUMPRODUCT((Ввод!$F$12:$F$31&lt;&gt;"")*(Ввод!$F$12:$F$31&lt;=A3219)*(Ввод!$G$12:$G$31&gt;=A3219))&gt;0,1,0))</f>
        <v/>
      </c>
      <c r="F3219">
        <f>IF(OR(A3219="",B3219=""),"",IF(E3219=1,0,D3219*B3219/100/C3219))</f>
        <v/>
      </c>
      <c r="G3219">
        <f>IF(A3219="","",IF(OR(B3219&lt;&gt;B3218,C3219&lt;&gt;C3218,D3219&lt;&gt;D3218,E3219&lt;&gt;E3218),G3218+1,G3218))</f>
        <v/>
      </c>
    </row>
    <row r="3220">
      <c r="A3220" s="14">
        <f>IF(OR(NOT(ISNUMBER(Ввод!$B$5)),NOT(ISNUMBER(Ввод!$B$6))),"",IF(Ввод!$B$5+3218&gt;Ввод!$B$6,"",Ввод!$B$5+3218))</f>
        <v/>
      </c>
      <c r="B3220">
        <f>IF(A3220="","",IFERROR(INDEX(Ввод!$B$12:$B$71,MATCH(A3220,Ввод!$D$12:$D$71,1)),""))</f>
        <v/>
      </c>
      <c r="C3220">
        <f>IF(A3220="","",DATE(YEAR(A3220),12,31)-DATE(YEAR(A3220),1,1)+1)</f>
        <v/>
      </c>
      <c r="D3220">
        <f>IF(A3220="","",Ввод!$B$4-SUMIF(Оплаты!$A$6:$A$505,"&lt;"&amp;A3220,Оплаты!$B$6:$B$505))</f>
        <v/>
      </c>
      <c r="E3220">
        <f>IF(A3220="","",IF(SUMPRODUCT((Ввод!$F$12:$F$31&lt;&gt;"")*(Ввод!$F$12:$F$31&lt;=A3220)*(Ввод!$G$12:$G$31&gt;=A3220))&gt;0,1,0))</f>
        <v/>
      </c>
      <c r="F3220">
        <f>IF(OR(A3220="",B3220=""),"",IF(E3220=1,0,D3220*B3220/100/C3220))</f>
        <v/>
      </c>
      <c r="G3220">
        <f>IF(A3220="","",IF(OR(B3220&lt;&gt;B3219,C3220&lt;&gt;C3219,D3220&lt;&gt;D3219,E3220&lt;&gt;E3219),G3219+1,G3219))</f>
        <v/>
      </c>
    </row>
    <row r="3221">
      <c r="A3221" s="14">
        <f>IF(OR(NOT(ISNUMBER(Ввод!$B$5)),NOT(ISNUMBER(Ввод!$B$6))),"",IF(Ввод!$B$5+3219&gt;Ввод!$B$6,"",Ввод!$B$5+3219))</f>
        <v/>
      </c>
      <c r="B3221">
        <f>IF(A3221="","",IFERROR(INDEX(Ввод!$B$12:$B$71,MATCH(A3221,Ввод!$D$12:$D$71,1)),""))</f>
        <v/>
      </c>
      <c r="C3221">
        <f>IF(A3221="","",DATE(YEAR(A3221),12,31)-DATE(YEAR(A3221),1,1)+1)</f>
        <v/>
      </c>
      <c r="D3221">
        <f>IF(A3221="","",Ввод!$B$4-SUMIF(Оплаты!$A$6:$A$505,"&lt;"&amp;A3221,Оплаты!$B$6:$B$505))</f>
        <v/>
      </c>
      <c r="E3221">
        <f>IF(A3221="","",IF(SUMPRODUCT((Ввод!$F$12:$F$31&lt;&gt;"")*(Ввод!$F$12:$F$31&lt;=A3221)*(Ввод!$G$12:$G$31&gt;=A3221))&gt;0,1,0))</f>
        <v/>
      </c>
      <c r="F3221">
        <f>IF(OR(A3221="",B3221=""),"",IF(E3221=1,0,D3221*B3221/100/C3221))</f>
        <v/>
      </c>
      <c r="G3221">
        <f>IF(A3221="","",IF(OR(B3221&lt;&gt;B3220,C3221&lt;&gt;C3220,D3221&lt;&gt;D3220,E3221&lt;&gt;E3220),G3220+1,G3220))</f>
        <v/>
      </c>
    </row>
    <row r="3222">
      <c r="A3222" s="14">
        <f>IF(OR(NOT(ISNUMBER(Ввод!$B$5)),NOT(ISNUMBER(Ввод!$B$6))),"",IF(Ввод!$B$5+3220&gt;Ввод!$B$6,"",Ввод!$B$5+3220))</f>
        <v/>
      </c>
      <c r="B3222">
        <f>IF(A3222="","",IFERROR(INDEX(Ввод!$B$12:$B$71,MATCH(A3222,Ввод!$D$12:$D$71,1)),""))</f>
        <v/>
      </c>
      <c r="C3222">
        <f>IF(A3222="","",DATE(YEAR(A3222),12,31)-DATE(YEAR(A3222),1,1)+1)</f>
        <v/>
      </c>
      <c r="D3222">
        <f>IF(A3222="","",Ввод!$B$4-SUMIF(Оплаты!$A$6:$A$505,"&lt;"&amp;A3222,Оплаты!$B$6:$B$505))</f>
        <v/>
      </c>
      <c r="E3222">
        <f>IF(A3222="","",IF(SUMPRODUCT((Ввод!$F$12:$F$31&lt;&gt;"")*(Ввод!$F$12:$F$31&lt;=A3222)*(Ввод!$G$12:$G$31&gt;=A3222))&gt;0,1,0))</f>
        <v/>
      </c>
      <c r="F3222">
        <f>IF(OR(A3222="",B3222=""),"",IF(E3222=1,0,D3222*B3222/100/C3222))</f>
        <v/>
      </c>
      <c r="G3222">
        <f>IF(A3222="","",IF(OR(B3222&lt;&gt;B3221,C3222&lt;&gt;C3221,D3222&lt;&gt;D3221,E3222&lt;&gt;E3221),G3221+1,G3221))</f>
        <v/>
      </c>
    </row>
    <row r="3223">
      <c r="A3223" s="14">
        <f>IF(OR(NOT(ISNUMBER(Ввод!$B$5)),NOT(ISNUMBER(Ввод!$B$6))),"",IF(Ввод!$B$5+3221&gt;Ввод!$B$6,"",Ввод!$B$5+3221))</f>
        <v/>
      </c>
      <c r="B3223">
        <f>IF(A3223="","",IFERROR(INDEX(Ввод!$B$12:$B$71,MATCH(A3223,Ввод!$D$12:$D$71,1)),""))</f>
        <v/>
      </c>
      <c r="C3223">
        <f>IF(A3223="","",DATE(YEAR(A3223),12,31)-DATE(YEAR(A3223),1,1)+1)</f>
        <v/>
      </c>
      <c r="D3223">
        <f>IF(A3223="","",Ввод!$B$4-SUMIF(Оплаты!$A$6:$A$505,"&lt;"&amp;A3223,Оплаты!$B$6:$B$505))</f>
        <v/>
      </c>
      <c r="E3223">
        <f>IF(A3223="","",IF(SUMPRODUCT((Ввод!$F$12:$F$31&lt;&gt;"")*(Ввод!$F$12:$F$31&lt;=A3223)*(Ввод!$G$12:$G$31&gt;=A3223))&gt;0,1,0))</f>
        <v/>
      </c>
      <c r="F3223">
        <f>IF(OR(A3223="",B3223=""),"",IF(E3223=1,0,D3223*B3223/100/C3223))</f>
        <v/>
      </c>
      <c r="G3223">
        <f>IF(A3223="","",IF(OR(B3223&lt;&gt;B3222,C3223&lt;&gt;C3222,D3223&lt;&gt;D3222,E3223&lt;&gt;E3222),G3222+1,G3222))</f>
        <v/>
      </c>
    </row>
    <row r="3224">
      <c r="A3224" s="14">
        <f>IF(OR(NOT(ISNUMBER(Ввод!$B$5)),NOT(ISNUMBER(Ввод!$B$6))),"",IF(Ввод!$B$5+3222&gt;Ввод!$B$6,"",Ввод!$B$5+3222))</f>
        <v/>
      </c>
      <c r="B3224">
        <f>IF(A3224="","",IFERROR(INDEX(Ввод!$B$12:$B$71,MATCH(A3224,Ввод!$D$12:$D$71,1)),""))</f>
        <v/>
      </c>
      <c r="C3224">
        <f>IF(A3224="","",DATE(YEAR(A3224),12,31)-DATE(YEAR(A3224),1,1)+1)</f>
        <v/>
      </c>
      <c r="D3224">
        <f>IF(A3224="","",Ввод!$B$4-SUMIF(Оплаты!$A$6:$A$505,"&lt;"&amp;A3224,Оплаты!$B$6:$B$505))</f>
        <v/>
      </c>
      <c r="E3224">
        <f>IF(A3224="","",IF(SUMPRODUCT((Ввод!$F$12:$F$31&lt;&gt;"")*(Ввод!$F$12:$F$31&lt;=A3224)*(Ввод!$G$12:$G$31&gt;=A3224))&gt;0,1,0))</f>
        <v/>
      </c>
      <c r="F3224">
        <f>IF(OR(A3224="",B3224=""),"",IF(E3224=1,0,D3224*B3224/100/C3224))</f>
        <v/>
      </c>
      <c r="G3224">
        <f>IF(A3224="","",IF(OR(B3224&lt;&gt;B3223,C3224&lt;&gt;C3223,D3224&lt;&gt;D3223,E3224&lt;&gt;E3223),G3223+1,G3223))</f>
        <v/>
      </c>
    </row>
    <row r="3225">
      <c r="A3225" s="14">
        <f>IF(OR(NOT(ISNUMBER(Ввод!$B$5)),NOT(ISNUMBER(Ввод!$B$6))),"",IF(Ввод!$B$5+3223&gt;Ввод!$B$6,"",Ввод!$B$5+3223))</f>
        <v/>
      </c>
      <c r="B3225">
        <f>IF(A3225="","",IFERROR(INDEX(Ввод!$B$12:$B$71,MATCH(A3225,Ввод!$D$12:$D$71,1)),""))</f>
        <v/>
      </c>
      <c r="C3225">
        <f>IF(A3225="","",DATE(YEAR(A3225),12,31)-DATE(YEAR(A3225),1,1)+1)</f>
        <v/>
      </c>
      <c r="D3225">
        <f>IF(A3225="","",Ввод!$B$4-SUMIF(Оплаты!$A$6:$A$505,"&lt;"&amp;A3225,Оплаты!$B$6:$B$505))</f>
        <v/>
      </c>
      <c r="E3225">
        <f>IF(A3225="","",IF(SUMPRODUCT((Ввод!$F$12:$F$31&lt;&gt;"")*(Ввод!$F$12:$F$31&lt;=A3225)*(Ввод!$G$12:$G$31&gt;=A3225))&gt;0,1,0))</f>
        <v/>
      </c>
      <c r="F3225">
        <f>IF(OR(A3225="",B3225=""),"",IF(E3225=1,0,D3225*B3225/100/C3225))</f>
        <v/>
      </c>
      <c r="G3225">
        <f>IF(A3225="","",IF(OR(B3225&lt;&gt;B3224,C3225&lt;&gt;C3224,D3225&lt;&gt;D3224,E3225&lt;&gt;E3224),G3224+1,G3224))</f>
        <v/>
      </c>
    </row>
    <row r="3226">
      <c r="A3226" s="14">
        <f>IF(OR(NOT(ISNUMBER(Ввод!$B$5)),NOT(ISNUMBER(Ввод!$B$6))),"",IF(Ввод!$B$5+3224&gt;Ввод!$B$6,"",Ввод!$B$5+3224))</f>
        <v/>
      </c>
      <c r="B3226">
        <f>IF(A3226="","",IFERROR(INDEX(Ввод!$B$12:$B$71,MATCH(A3226,Ввод!$D$12:$D$71,1)),""))</f>
        <v/>
      </c>
      <c r="C3226">
        <f>IF(A3226="","",DATE(YEAR(A3226),12,31)-DATE(YEAR(A3226),1,1)+1)</f>
        <v/>
      </c>
      <c r="D3226">
        <f>IF(A3226="","",Ввод!$B$4-SUMIF(Оплаты!$A$6:$A$505,"&lt;"&amp;A3226,Оплаты!$B$6:$B$505))</f>
        <v/>
      </c>
      <c r="E3226">
        <f>IF(A3226="","",IF(SUMPRODUCT((Ввод!$F$12:$F$31&lt;&gt;"")*(Ввод!$F$12:$F$31&lt;=A3226)*(Ввод!$G$12:$G$31&gt;=A3226))&gt;0,1,0))</f>
        <v/>
      </c>
      <c r="F3226">
        <f>IF(OR(A3226="",B3226=""),"",IF(E3226=1,0,D3226*B3226/100/C3226))</f>
        <v/>
      </c>
      <c r="G3226">
        <f>IF(A3226="","",IF(OR(B3226&lt;&gt;B3225,C3226&lt;&gt;C3225,D3226&lt;&gt;D3225,E3226&lt;&gt;E3225),G3225+1,G3225))</f>
        <v/>
      </c>
    </row>
    <row r="3227">
      <c r="A3227" s="14">
        <f>IF(OR(NOT(ISNUMBER(Ввод!$B$5)),NOT(ISNUMBER(Ввод!$B$6))),"",IF(Ввод!$B$5+3225&gt;Ввод!$B$6,"",Ввод!$B$5+3225))</f>
        <v/>
      </c>
      <c r="B3227">
        <f>IF(A3227="","",IFERROR(INDEX(Ввод!$B$12:$B$71,MATCH(A3227,Ввод!$D$12:$D$71,1)),""))</f>
        <v/>
      </c>
      <c r="C3227">
        <f>IF(A3227="","",DATE(YEAR(A3227),12,31)-DATE(YEAR(A3227),1,1)+1)</f>
        <v/>
      </c>
      <c r="D3227">
        <f>IF(A3227="","",Ввод!$B$4-SUMIF(Оплаты!$A$6:$A$505,"&lt;"&amp;A3227,Оплаты!$B$6:$B$505))</f>
        <v/>
      </c>
      <c r="E3227">
        <f>IF(A3227="","",IF(SUMPRODUCT((Ввод!$F$12:$F$31&lt;&gt;"")*(Ввод!$F$12:$F$31&lt;=A3227)*(Ввод!$G$12:$G$31&gt;=A3227))&gt;0,1,0))</f>
        <v/>
      </c>
      <c r="F3227">
        <f>IF(OR(A3227="",B3227=""),"",IF(E3227=1,0,D3227*B3227/100/C3227))</f>
        <v/>
      </c>
      <c r="G3227">
        <f>IF(A3227="","",IF(OR(B3227&lt;&gt;B3226,C3227&lt;&gt;C3226,D3227&lt;&gt;D3226,E3227&lt;&gt;E3226),G3226+1,G3226))</f>
        <v/>
      </c>
    </row>
    <row r="3228">
      <c r="A3228" s="14">
        <f>IF(OR(NOT(ISNUMBER(Ввод!$B$5)),NOT(ISNUMBER(Ввод!$B$6))),"",IF(Ввод!$B$5+3226&gt;Ввод!$B$6,"",Ввод!$B$5+3226))</f>
        <v/>
      </c>
      <c r="B3228">
        <f>IF(A3228="","",IFERROR(INDEX(Ввод!$B$12:$B$71,MATCH(A3228,Ввод!$D$12:$D$71,1)),""))</f>
        <v/>
      </c>
      <c r="C3228">
        <f>IF(A3228="","",DATE(YEAR(A3228),12,31)-DATE(YEAR(A3228),1,1)+1)</f>
        <v/>
      </c>
      <c r="D3228">
        <f>IF(A3228="","",Ввод!$B$4-SUMIF(Оплаты!$A$6:$A$505,"&lt;"&amp;A3228,Оплаты!$B$6:$B$505))</f>
        <v/>
      </c>
      <c r="E3228">
        <f>IF(A3228="","",IF(SUMPRODUCT((Ввод!$F$12:$F$31&lt;&gt;"")*(Ввод!$F$12:$F$31&lt;=A3228)*(Ввод!$G$12:$G$31&gt;=A3228))&gt;0,1,0))</f>
        <v/>
      </c>
      <c r="F3228">
        <f>IF(OR(A3228="",B3228=""),"",IF(E3228=1,0,D3228*B3228/100/C3228))</f>
        <v/>
      </c>
      <c r="G3228">
        <f>IF(A3228="","",IF(OR(B3228&lt;&gt;B3227,C3228&lt;&gt;C3227,D3228&lt;&gt;D3227,E3228&lt;&gt;E3227),G3227+1,G3227))</f>
        <v/>
      </c>
    </row>
    <row r="3229">
      <c r="A3229" s="14">
        <f>IF(OR(NOT(ISNUMBER(Ввод!$B$5)),NOT(ISNUMBER(Ввод!$B$6))),"",IF(Ввод!$B$5+3227&gt;Ввод!$B$6,"",Ввод!$B$5+3227))</f>
        <v/>
      </c>
      <c r="B3229">
        <f>IF(A3229="","",IFERROR(INDEX(Ввод!$B$12:$B$71,MATCH(A3229,Ввод!$D$12:$D$71,1)),""))</f>
        <v/>
      </c>
      <c r="C3229">
        <f>IF(A3229="","",DATE(YEAR(A3229),12,31)-DATE(YEAR(A3229),1,1)+1)</f>
        <v/>
      </c>
      <c r="D3229">
        <f>IF(A3229="","",Ввод!$B$4-SUMIF(Оплаты!$A$6:$A$505,"&lt;"&amp;A3229,Оплаты!$B$6:$B$505))</f>
        <v/>
      </c>
      <c r="E3229">
        <f>IF(A3229="","",IF(SUMPRODUCT((Ввод!$F$12:$F$31&lt;&gt;"")*(Ввод!$F$12:$F$31&lt;=A3229)*(Ввод!$G$12:$G$31&gt;=A3229))&gt;0,1,0))</f>
        <v/>
      </c>
      <c r="F3229">
        <f>IF(OR(A3229="",B3229=""),"",IF(E3229=1,0,D3229*B3229/100/C3229))</f>
        <v/>
      </c>
      <c r="G3229">
        <f>IF(A3229="","",IF(OR(B3229&lt;&gt;B3228,C3229&lt;&gt;C3228,D3229&lt;&gt;D3228,E3229&lt;&gt;E3228),G3228+1,G3228))</f>
        <v/>
      </c>
    </row>
    <row r="3230">
      <c r="A3230" s="14">
        <f>IF(OR(NOT(ISNUMBER(Ввод!$B$5)),NOT(ISNUMBER(Ввод!$B$6))),"",IF(Ввод!$B$5+3228&gt;Ввод!$B$6,"",Ввод!$B$5+3228))</f>
        <v/>
      </c>
      <c r="B3230">
        <f>IF(A3230="","",IFERROR(INDEX(Ввод!$B$12:$B$71,MATCH(A3230,Ввод!$D$12:$D$71,1)),""))</f>
        <v/>
      </c>
      <c r="C3230">
        <f>IF(A3230="","",DATE(YEAR(A3230),12,31)-DATE(YEAR(A3230),1,1)+1)</f>
        <v/>
      </c>
      <c r="D3230">
        <f>IF(A3230="","",Ввод!$B$4-SUMIF(Оплаты!$A$6:$A$505,"&lt;"&amp;A3230,Оплаты!$B$6:$B$505))</f>
        <v/>
      </c>
      <c r="E3230">
        <f>IF(A3230="","",IF(SUMPRODUCT((Ввод!$F$12:$F$31&lt;&gt;"")*(Ввод!$F$12:$F$31&lt;=A3230)*(Ввод!$G$12:$G$31&gt;=A3230))&gt;0,1,0))</f>
        <v/>
      </c>
      <c r="F3230">
        <f>IF(OR(A3230="",B3230=""),"",IF(E3230=1,0,D3230*B3230/100/C3230))</f>
        <v/>
      </c>
      <c r="G3230">
        <f>IF(A3230="","",IF(OR(B3230&lt;&gt;B3229,C3230&lt;&gt;C3229,D3230&lt;&gt;D3229,E3230&lt;&gt;E3229),G3229+1,G3229))</f>
        <v/>
      </c>
    </row>
    <row r="3231">
      <c r="A3231" s="14">
        <f>IF(OR(NOT(ISNUMBER(Ввод!$B$5)),NOT(ISNUMBER(Ввод!$B$6))),"",IF(Ввод!$B$5+3229&gt;Ввод!$B$6,"",Ввод!$B$5+3229))</f>
        <v/>
      </c>
      <c r="B3231">
        <f>IF(A3231="","",IFERROR(INDEX(Ввод!$B$12:$B$71,MATCH(A3231,Ввод!$D$12:$D$71,1)),""))</f>
        <v/>
      </c>
      <c r="C3231">
        <f>IF(A3231="","",DATE(YEAR(A3231),12,31)-DATE(YEAR(A3231),1,1)+1)</f>
        <v/>
      </c>
      <c r="D3231">
        <f>IF(A3231="","",Ввод!$B$4-SUMIF(Оплаты!$A$6:$A$505,"&lt;"&amp;A3231,Оплаты!$B$6:$B$505))</f>
        <v/>
      </c>
      <c r="E3231">
        <f>IF(A3231="","",IF(SUMPRODUCT((Ввод!$F$12:$F$31&lt;&gt;"")*(Ввод!$F$12:$F$31&lt;=A3231)*(Ввод!$G$12:$G$31&gt;=A3231))&gt;0,1,0))</f>
        <v/>
      </c>
      <c r="F3231">
        <f>IF(OR(A3231="",B3231=""),"",IF(E3231=1,0,D3231*B3231/100/C3231))</f>
        <v/>
      </c>
      <c r="G3231">
        <f>IF(A3231="","",IF(OR(B3231&lt;&gt;B3230,C3231&lt;&gt;C3230,D3231&lt;&gt;D3230,E3231&lt;&gt;E3230),G3230+1,G3230))</f>
        <v/>
      </c>
    </row>
    <row r="3232">
      <c r="A3232" s="14">
        <f>IF(OR(NOT(ISNUMBER(Ввод!$B$5)),NOT(ISNUMBER(Ввод!$B$6))),"",IF(Ввод!$B$5+3230&gt;Ввод!$B$6,"",Ввод!$B$5+3230))</f>
        <v/>
      </c>
      <c r="B3232">
        <f>IF(A3232="","",IFERROR(INDEX(Ввод!$B$12:$B$71,MATCH(A3232,Ввод!$D$12:$D$71,1)),""))</f>
        <v/>
      </c>
      <c r="C3232">
        <f>IF(A3232="","",DATE(YEAR(A3232),12,31)-DATE(YEAR(A3232),1,1)+1)</f>
        <v/>
      </c>
      <c r="D3232">
        <f>IF(A3232="","",Ввод!$B$4-SUMIF(Оплаты!$A$6:$A$505,"&lt;"&amp;A3232,Оплаты!$B$6:$B$505))</f>
        <v/>
      </c>
      <c r="E3232">
        <f>IF(A3232="","",IF(SUMPRODUCT((Ввод!$F$12:$F$31&lt;&gt;"")*(Ввод!$F$12:$F$31&lt;=A3232)*(Ввод!$G$12:$G$31&gt;=A3232))&gt;0,1,0))</f>
        <v/>
      </c>
      <c r="F3232">
        <f>IF(OR(A3232="",B3232=""),"",IF(E3232=1,0,D3232*B3232/100/C3232))</f>
        <v/>
      </c>
      <c r="G3232">
        <f>IF(A3232="","",IF(OR(B3232&lt;&gt;B3231,C3232&lt;&gt;C3231,D3232&lt;&gt;D3231,E3232&lt;&gt;E3231),G3231+1,G3231))</f>
        <v/>
      </c>
    </row>
    <row r="3233">
      <c r="A3233" s="14">
        <f>IF(OR(NOT(ISNUMBER(Ввод!$B$5)),NOT(ISNUMBER(Ввод!$B$6))),"",IF(Ввод!$B$5+3231&gt;Ввод!$B$6,"",Ввод!$B$5+3231))</f>
        <v/>
      </c>
      <c r="B3233">
        <f>IF(A3233="","",IFERROR(INDEX(Ввод!$B$12:$B$71,MATCH(A3233,Ввод!$D$12:$D$71,1)),""))</f>
        <v/>
      </c>
      <c r="C3233">
        <f>IF(A3233="","",DATE(YEAR(A3233),12,31)-DATE(YEAR(A3233),1,1)+1)</f>
        <v/>
      </c>
      <c r="D3233">
        <f>IF(A3233="","",Ввод!$B$4-SUMIF(Оплаты!$A$6:$A$505,"&lt;"&amp;A3233,Оплаты!$B$6:$B$505))</f>
        <v/>
      </c>
      <c r="E3233">
        <f>IF(A3233="","",IF(SUMPRODUCT((Ввод!$F$12:$F$31&lt;&gt;"")*(Ввод!$F$12:$F$31&lt;=A3233)*(Ввод!$G$12:$G$31&gt;=A3233))&gt;0,1,0))</f>
        <v/>
      </c>
      <c r="F3233">
        <f>IF(OR(A3233="",B3233=""),"",IF(E3233=1,0,D3233*B3233/100/C3233))</f>
        <v/>
      </c>
      <c r="G3233">
        <f>IF(A3233="","",IF(OR(B3233&lt;&gt;B3232,C3233&lt;&gt;C3232,D3233&lt;&gt;D3232,E3233&lt;&gt;E3232),G3232+1,G3232))</f>
        <v/>
      </c>
    </row>
    <row r="3234">
      <c r="A3234" s="14">
        <f>IF(OR(NOT(ISNUMBER(Ввод!$B$5)),NOT(ISNUMBER(Ввод!$B$6))),"",IF(Ввод!$B$5+3232&gt;Ввод!$B$6,"",Ввод!$B$5+3232))</f>
        <v/>
      </c>
      <c r="B3234">
        <f>IF(A3234="","",IFERROR(INDEX(Ввод!$B$12:$B$71,MATCH(A3234,Ввод!$D$12:$D$71,1)),""))</f>
        <v/>
      </c>
      <c r="C3234">
        <f>IF(A3234="","",DATE(YEAR(A3234),12,31)-DATE(YEAR(A3234),1,1)+1)</f>
        <v/>
      </c>
      <c r="D3234">
        <f>IF(A3234="","",Ввод!$B$4-SUMIF(Оплаты!$A$6:$A$505,"&lt;"&amp;A3234,Оплаты!$B$6:$B$505))</f>
        <v/>
      </c>
      <c r="E3234">
        <f>IF(A3234="","",IF(SUMPRODUCT((Ввод!$F$12:$F$31&lt;&gt;"")*(Ввод!$F$12:$F$31&lt;=A3234)*(Ввод!$G$12:$G$31&gt;=A3234))&gt;0,1,0))</f>
        <v/>
      </c>
      <c r="F3234">
        <f>IF(OR(A3234="",B3234=""),"",IF(E3234=1,0,D3234*B3234/100/C3234))</f>
        <v/>
      </c>
      <c r="G3234">
        <f>IF(A3234="","",IF(OR(B3234&lt;&gt;B3233,C3234&lt;&gt;C3233,D3234&lt;&gt;D3233,E3234&lt;&gt;E3233),G3233+1,G3233))</f>
        <v/>
      </c>
    </row>
    <row r="3235">
      <c r="A3235" s="14">
        <f>IF(OR(NOT(ISNUMBER(Ввод!$B$5)),NOT(ISNUMBER(Ввод!$B$6))),"",IF(Ввод!$B$5+3233&gt;Ввод!$B$6,"",Ввод!$B$5+3233))</f>
        <v/>
      </c>
      <c r="B3235">
        <f>IF(A3235="","",IFERROR(INDEX(Ввод!$B$12:$B$71,MATCH(A3235,Ввод!$D$12:$D$71,1)),""))</f>
        <v/>
      </c>
      <c r="C3235">
        <f>IF(A3235="","",DATE(YEAR(A3235),12,31)-DATE(YEAR(A3235),1,1)+1)</f>
        <v/>
      </c>
      <c r="D3235">
        <f>IF(A3235="","",Ввод!$B$4-SUMIF(Оплаты!$A$6:$A$505,"&lt;"&amp;A3235,Оплаты!$B$6:$B$505))</f>
        <v/>
      </c>
      <c r="E3235">
        <f>IF(A3235="","",IF(SUMPRODUCT((Ввод!$F$12:$F$31&lt;&gt;"")*(Ввод!$F$12:$F$31&lt;=A3235)*(Ввод!$G$12:$G$31&gt;=A3235))&gt;0,1,0))</f>
        <v/>
      </c>
      <c r="F3235">
        <f>IF(OR(A3235="",B3235=""),"",IF(E3235=1,0,D3235*B3235/100/C3235))</f>
        <v/>
      </c>
      <c r="G3235">
        <f>IF(A3235="","",IF(OR(B3235&lt;&gt;B3234,C3235&lt;&gt;C3234,D3235&lt;&gt;D3234,E3235&lt;&gt;E3234),G3234+1,G3234))</f>
        <v/>
      </c>
    </row>
    <row r="3236">
      <c r="A3236" s="14">
        <f>IF(OR(NOT(ISNUMBER(Ввод!$B$5)),NOT(ISNUMBER(Ввод!$B$6))),"",IF(Ввод!$B$5+3234&gt;Ввод!$B$6,"",Ввод!$B$5+3234))</f>
        <v/>
      </c>
      <c r="B3236">
        <f>IF(A3236="","",IFERROR(INDEX(Ввод!$B$12:$B$71,MATCH(A3236,Ввод!$D$12:$D$71,1)),""))</f>
        <v/>
      </c>
      <c r="C3236">
        <f>IF(A3236="","",DATE(YEAR(A3236),12,31)-DATE(YEAR(A3236),1,1)+1)</f>
        <v/>
      </c>
      <c r="D3236">
        <f>IF(A3236="","",Ввод!$B$4-SUMIF(Оплаты!$A$6:$A$505,"&lt;"&amp;A3236,Оплаты!$B$6:$B$505))</f>
        <v/>
      </c>
      <c r="E3236">
        <f>IF(A3236="","",IF(SUMPRODUCT((Ввод!$F$12:$F$31&lt;&gt;"")*(Ввод!$F$12:$F$31&lt;=A3236)*(Ввод!$G$12:$G$31&gt;=A3236))&gt;0,1,0))</f>
        <v/>
      </c>
      <c r="F3236">
        <f>IF(OR(A3236="",B3236=""),"",IF(E3236=1,0,D3236*B3236/100/C3236))</f>
        <v/>
      </c>
      <c r="G3236">
        <f>IF(A3236="","",IF(OR(B3236&lt;&gt;B3235,C3236&lt;&gt;C3235,D3236&lt;&gt;D3235,E3236&lt;&gt;E3235),G3235+1,G3235))</f>
        <v/>
      </c>
    </row>
    <row r="3237">
      <c r="A3237" s="14">
        <f>IF(OR(NOT(ISNUMBER(Ввод!$B$5)),NOT(ISNUMBER(Ввод!$B$6))),"",IF(Ввод!$B$5+3235&gt;Ввод!$B$6,"",Ввод!$B$5+3235))</f>
        <v/>
      </c>
      <c r="B3237">
        <f>IF(A3237="","",IFERROR(INDEX(Ввод!$B$12:$B$71,MATCH(A3237,Ввод!$D$12:$D$71,1)),""))</f>
        <v/>
      </c>
      <c r="C3237">
        <f>IF(A3237="","",DATE(YEAR(A3237),12,31)-DATE(YEAR(A3237),1,1)+1)</f>
        <v/>
      </c>
      <c r="D3237">
        <f>IF(A3237="","",Ввод!$B$4-SUMIF(Оплаты!$A$6:$A$505,"&lt;"&amp;A3237,Оплаты!$B$6:$B$505))</f>
        <v/>
      </c>
      <c r="E3237">
        <f>IF(A3237="","",IF(SUMPRODUCT((Ввод!$F$12:$F$31&lt;&gt;"")*(Ввод!$F$12:$F$31&lt;=A3237)*(Ввод!$G$12:$G$31&gt;=A3237))&gt;0,1,0))</f>
        <v/>
      </c>
      <c r="F3237">
        <f>IF(OR(A3237="",B3237=""),"",IF(E3237=1,0,D3237*B3237/100/C3237))</f>
        <v/>
      </c>
      <c r="G3237">
        <f>IF(A3237="","",IF(OR(B3237&lt;&gt;B3236,C3237&lt;&gt;C3236,D3237&lt;&gt;D3236,E3237&lt;&gt;E3236),G3236+1,G3236))</f>
        <v/>
      </c>
    </row>
    <row r="3238">
      <c r="A3238" s="14">
        <f>IF(OR(NOT(ISNUMBER(Ввод!$B$5)),NOT(ISNUMBER(Ввод!$B$6))),"",IF(Ввод!$B$5+3236&gt;Ввод!$B$6,"",Ввод!$B$5+3236))</f>
        <v/>
      </c>
      <c r="B3238">
        <f>IF(A3238="","",IFERROR(INDEX(Ввод!$B$12:$B$71,MATCH(A3238,Ввод!$D$12:$D$71,1)),""))</f>
        <v/>
      </c>
      <c r="C3238">
        <f>IF(A3238="","",DATE(YEAR(A3238),12,31)-DATE(YEAR(A3238),1,1)+1)</f>
        <v/>
      </c>
      <c r="D3238">
        <f>IF(A3238="","",Ввод!$B$4-SUMIF(Оплаты!$A$6:$A$505,"&lt;"&amp;A3238,Оплаты!$B$6:$B$505))</f>
        <v/>
      </c>
      <c r="E3238">
        <f>IF(A3238="","",IF(SUMPRODUCT((Ввод!$F$12:$F$31&lt;&gt;"")*(Ввод!$F$12:$F$31&lt;=A3238)*(Ввод!$G$12:$G$31&gt;=A3238))&gt;0,1,0))</f>
        <v/>
      </c>
      <c r="F3238">
        <f>IF(OR(A3238="",B3238=""),"",IF(E3238=1,0,D3238*B3238/100/C3238))</f>
        <v/>
      </c>
      <c r="G3238">
        <f>IF(A3238="","",IF(OR(B3238&lt;&gt;B3237,C3238&lt;&gt;C3237,D3238&lt;&gt;D3237,E3238&lt;&gt;E3237),G3237+1,G3237))</f>
        <v/>
      </c>
    </row>
    <row r="3239">
      <c r="A3239" s="14">
        <f>IF(OR(NOT(ISNUMBER(Ввод!$B$5)),NOT(ISNUMBER(Ввод!$B$6))),"",IF(Ввод!$B$5+3237&gt;Ввод!$B$6,"",Ввод!$B$5+3237))</f>
        <v/>
      </c>
      <c r="B3239">
        <f>IF(A3239="","",IFERROR(INDEX(Ввод!$B$12:$B$71,MATCH(A3239,Ввод!$D$12:$D$71,1)),""))</f>
        <v/>
      </c>
      <c r="C3239">
        <f>IF(A3239="","",DATE(YEAR(A3239),12,31)-DATE(YEAR(A3239),1,1)+1)</f>
        <v/>
      </c>
      <c r="D3239">
        <f>IF(A3239="","",Ввод!$B$4-SUMIF(Оплаты!$A$6:$A$505,"&lt;"&amp;A3239,Оплаты!$B$6:$B$505))</f>
        <v/>
      </c>
      <c r="E3239">
        <f>IF(A3239="","",IF(SUMPRODUCT((Ввод!$F$12:$F$31&lt;&gt;"")*(Ввод!$F$12:$F$31&lt;=A3239)*(Ввод!$G$12:$G$31&gt;=A3239))&gt;0,1,0))</f>
        <v/>
      </c>
      <c r="F3239">
        <f>IF(OR(A3239="",B3239=""),"",IF(E3239=1,0,D3239*B3239/100/C3239))</f>
        <v/>
      </c>
      <c r="G3239">
        <f>IF(A3239="","",IF(OR(B3239&lt;&gt;B3238,C3239&lt;&gt;C3238,D3239&lt;&gt;D3238,E3239&lt;&gt;E3238),G3238+1,G3238))</f>
        <v/>
      </c>
    </row>
    <row r="3240">
      <c r="A3240" s="14">
        <f>IF(OR(NOT(ISNUMBER(Ввод!$B$5)),NOT(ISNUMBER(Ввод!$B$6))),"",IF(Ввод!$B$5+3238&gt;Ввод!$B$6,"",Ввод!$B$5+3238))</f>
        <v/>
      </c>
      <c r="B3240">
        <f>IF(A3240="","",IFERROR(INDEX(Ввод!$B$12:$B$71,MATCH(A3240,Ввод!$D$12:$D$71,1)),""))</f>
        <v/>
      </c>
      <c r="C3240">
        <f>IF(A3240="","",DATE(YEAR(A3240),12,31)-DATE(YEAR(A3240),1,1)+1)</f>
        <v/>
      </c>
      <c r="D3240">
        <f>IF(A3240="","",Ввод!$B$4-SUMIF(Оплаты!$A$6:$A$505,"&lt;"&amp;A3240,Оплаты!$B$6:$B$505))</f>
        <v/>
      </c>
      <c r="E3240">
        <f>IF(A3240="","",IF(SUMPRODUCT((Ввод!$F$12:$F$31&lt;&gt;"")*(Ввод!$F$12:$F$31&lt;=A3240)*(Ввод!$G$12:$G$31&gt;=A3240))&gt;0,1,0))</f>
        <v/>
      </c>
      <c r="F3240">
        <f>IF(OR(A3240="",B3240=""),"",IF(E3240=1,0,D3240*B3240/100/C3240))</f>
        <v/>
      </c>
      <c r="G3240">
        <f>IF(A3240="","",IF(OR(B3240&lt;&gt;B3239,C3240&lt;&gt;C3239,D3240&lt;&gt;D3239,E3240&lt;&gt;E3239),G3239+1,G3239))</f>
        <v/>
      </c>
    </row>
    <row r="3241">
      <c r="A3241" s="14">
        <f>IF(OR(NOT(ISNUMBER(Ввод!$B$5)),NOT(ISNUMBER(Ввод!$B$6))),"",IF(Ввод!$B$5+3239&gt;Ввод!$B$6,"",Ввод!$B$5+3239))</f>
        <v/>
      </c>
      <c r="B3241">
        <f>IF(A3241="","",IFERROR(INDEX(Ввод!$B$12:$B$71,MATCH(A3241,Ввод!$D$12:$D$71,1)),""))</f>
        <v/>
      </c>
      <c r="C3241">
        <f>IF(A3241="","",DATE(YEAR(A3241),12,31)-DATE(YEAR(A3241),1,1)+1)</f>
        <v/>
      </c>
      <c r="D3241">
        <f>IF(A3241="","",Ввод!$B$4-SUMIF(Оплаты!$A$6:$A$505,"&lt;"&amp;A3241,Оплаты!$B$6:$B$505))</f>
        <v/>
      </c>
      <c r="E3241">
        <f>IF(A3241="","",IF(SUMPRODUCT((Ввод!$F$12:$F$31&lt;&gt;"")*(Ввод!$F$12:$F$31&lt;=A3241)*(Ввод!$G$12:$G$31&gt;=A3241))&gt;0,1,0))</f>
        <v/>
      </c>
      <c r="F3241">
        <f>IF(OR(A3241="",B3241=""),"",IF(E3241=1,0,D3241*B3241/100/C3241))</f>
        <v/>
      </c>
      <c r="G3241">
        <f>IF(A3241="","",IF(OR(B3241&lt;&gt;B3240,C3241&lt;&gt;C3240,D3241&lt;&gt;D3240,E3241&lt;&gt;E3240),G3240+1,G3240))</f>
        <v/>
      </c>
    </row>
    <row r="3242">
      <c r="A3242" s="14">
        <f>IF(OR(NOT(ISNUMBER(Ввод!$B$5)),NOT(ISNUMBER(Ввод!$B$6))),"",IF(Ввод!$B$5+3240&gt;Ввод!$B$6,"",Ввод!$B$5+3240))</f>
        <v/>
      </c>
      <c r="B3242">
        <f>IF(A3242="","",IFERROR(INDEX(Ввод!$B$12:$B$71,MATCH(A3242,Ввод!$D$12:$D$71,1)),""))</f>
        <v/>
      </c>
      <c r="C3242">
        <f>IF(A3242="","",DATE(YEAR(A3242),12,31)-DATE(YEAR(A3242),1,1)+1)</f>
        <v/>
      </c>
      <c r="D3242">
        <f>IF(A3242="","",Ввод!$B$4-SUMIF(Оплаты!$A$6:$A$505,"&lt;"&amp;A3242,Оплаты!$B$6:$B$505))</f>
        <v/>
      </c>
      <c r="E3242">
        <f>IF(A3242="","",IF(SUMPRODUCT((Ввод!$F$12:$F$31&lt;&gt;"")*(Ввод!$F$12:$F$31&lt;=A3242)*(Ввод!$G$12:$G$31&gt;=A3242))&gt;0,1,0))</f>
        <v/>
      </c>
      <c r="F3242">
        <f>IF(OR(A3242="",B3242=""),"",IF(E3242=1,0,D3242*B3242/100/C3242))</f>
        <v/>
      </c>
      <c r="G3242">
        <f>IF(A3242="","",IF(OR(B3242&lt;&gt;B3241,C3242&lt;&gt;C3241,D3242&lt;&gt;D3241,E3242&lt;&gt;E3241),G3241+1,G3241))</f>
        <v/>
      </c>
    </row>
    <row r="3243">
      <c r="A3243" s="14">
        <f>IF(OR(NOT(ISNUMBER(Ввод!$B$5)),NOT(ISNUMBER(Ввод!$B$6))),"",IF(Ввод!$B$5+3241&gt;Ввод!$B$6,"",Ввод!$B$5+3241))</f>
        <v/>
      </c>
      <c r="B3243">
        <f>IF(A3243="","",IFERROR(INDEX(Ввод!$B$12:$B$71,MATCH(A3243,Ввод!$D$12:$D$71,1)),""))</f>
        <v/>
      </c>
      <c r="C3243">
        <f>IF(A3243="","",DATE(YEAR(A3243),12,31)-DATE(YEAR(A3243),1,1)+1)</f>
        <v/>
      </c>
      <c r="D3243">
        <f>IF(A3243="","",Ввод!$B$4-SUMIF(Оплаты!$A$6:$A$505,"&lt;"&amp;A3243,Оплаты!$B$6:$B$505))</f>
        <v/>
      </c>
      <c r="E3243">
        <f>IF(A3243="","",IF(SUMPRODUCT((Ввод!$F$12:$F$31&lt;&gt;"")*(Ввод!$F$12:$F$31&lt;=A3243)*(Ввод!$G$12:$G$31&gt;=A3243))&gt;0,1,0))</f>
        <v/>
      </c>
      <c r="F3243">
        <f>IF(OR(A3243="",B3243=""),"",IF(E3243=1,0,D3243*B3243/100/C3243))</f>
        <v/>
      </c>
      <c r="G3243">
        <f>IF(A3243="","",IF(OR(B3243&lt;&gt;B3242,C3243&lt;&gt;C3242,D3243&lt;&gt;D3242,E3243&lt;&gt;E3242),G3242+1,G3242))</f>
        <v/>
      </c>
    </row>
    <row r="3244">
      <c r="A3244" s="14">
        <f>IF(OR(NOT(ISNUMBER(Ввод!$B$5)),NOT(ISNUMBER(Ввод!$B$6))),"",IF(Ввод!$B$5+3242&gt;Ввод!$B$6,"",Ввод!$B$5+3242))</f>
        <v/>
      </c>
      <c r="B3244">
        <f>IF(A3244="","",IFERROR(INDEX(Ввод!$B$12:$B$71,MATCH(A3244,Ввод!$D$12:$D$71,1)),""))</f>
        <v/>
      </c>
      <c r="C3244">
        <f>IF(A3244="","",DATE(YEAR(A3244),12,31)-DATE(YEAR(A3244),1,1)+1)</f>
        <v/>
      </c>
      <c r="D3244">
        <f>IF(A3244="","",Ввод!$B$4-SUMIF(Оплаты!$A$6:$A$505,"&lt;"&amp;A3244,Оплаты!$B$6:$B$505))</f>
        <v/>
      </c>
      <c r="E3244">
        <f>IF(A3244="","",IF(SUMPRODUCT((Ввод!$F$12:$F$31&lt;&gt;"")*(Ввод!$F$12:$F$31&lt;=A3244)*(Ввод!$G$12:$G$31&gt;=A3244))&gt;0,1,0))</f>
        <v/>
      </c>
      <c r="F3244">
        <f>IF(OR(A3244="",B3244=""),"",IF(E3244=1,0,D3244*B3244/100/C3244))</f>
        <v/>
      </c>
      <c r="G3244">
        <f>IF(A3244="","",IF(OR(B3244&lt;&gt;B3243,C3244&lt;&gt;C3243,D3244&lt;&gt;D3243,E3244&lt;&gt;E3243),G3243+1,G3243))</f>
        <v/>
      </c>
    </row>
    <row r="3245">
      <c r="A3245" s="14">
        <f>IF(OR(NOT(ISNUMBER(Ввод!$B$5)),NOT(ISNUMBER(Ввод!$B$6))),"",IF(Ввод!$B$5+3243&gt;Ввод!$B$6,"",Ввод!$B$5+3243))</f>
        <v/>
      </c>
      <c r="B3245">
        <f>IF(A3245="","",IFERROR(INDEX(Ввод!$B$12:$B$71,MATCH(A3245,Ввод!$D$12:$D$71,1)),""))</f>
        <v/>
      </c>
      <c r="C3245">
        <f>IF(A3245="","",DATE(YEAR(A3245),12,31)-DATE(YEAR(A3245),1,1)+1)</f>
        <v/>
      </c>
      <c r="D3245">
        <f>IF(A3245="","",Ввод!$B$4-SUMIF(Оплаты!$A$6:$A$505,"&lt;"&amp;A3245,Оплаты!$B$6:$B$505))</f>
        <v/>
      </c>
      <c r="E3245">
        <f>IF(A3245="","",IF(SUMPRODUCT((Ввод!$F$12:$F$31&lt;&gt;"")*(Ввод!$F$12:$F$31&lt;=A3245)*(Ввод!$G$12:$G$31&gt;=A3245))&gt;0,1,0))</f>
        <v/>
      </c>
      <c r="F3245">
        <f>IF(OR(A3245="",B3245=""),"",IF(E3245=1,0,D3245*B3245/100/C3245))</f>
        <v/>
      </c>
      <c r="G3245">
        <f>IF(A3245="","",IF(OR(B3245&lt;&gt;B3244,C3245&lt;&gt;C3244,D3245&lt;&gt;D3244,E3245&lt;&gt;E3244),G3244+1,G3244))</f>
        <v/>
      </c>
    </row>
    <row r="3246">
      <c r="A3246" s="14">
        <f>IF(OR(NOT(ISNUMBER(Ввод!$B$5)),NOT(ISNUMBER(Ввод!$B$6))),"",IF(Ввод!$B$5+3244&gt;Ввод!$B$6,"",Ввод!$B$5+3244))</f>
        <v/>
      </c>
      <c r="B3246">
        <f>IF(A3246="","",IFERROR(INDEX(Ввод!$B$12:$B$71,MATCH(A3246,Ввод!$D$12:$D$71,1)),""))</f>
        <v/>
      </c>
      <c r="C3246">
        <f>IF(A3246="","",DATE(YEAR(A3246),12,31)-DATE(YEAR(A3246),1,1)+1)</f>
        <v/>
      </c>
      <c r="D3246">
        <f>IF(A3246="","",Ввод!$B$4-SUMIF(Оплаты!$A$6:$A$505,"&lt;"&amp;A3246,Оплаты!$B$6:$B$505))</f>
        <v/>
      </c>
      <c r="E3246">
        <f>IF(A3246="","",IF(SUMPRODUCT((Ввод!$F$12:$F$31&lt;&gt;"")*(Ввод!$F$12:$F$31&lt;=A3246)*(Ввод!$G$12:$G$31&gt;=A3246))&gt;0,1,0))</f>
        <v/>
      </c>
      <c r="F3246">
        <f>IF(OR(A3246="",B3246=""),"",IF(E3246=1,0,D3246*B3246/100/C3246))</f>
        <v/>
      </c>
      <c r="G3246">
        <f>IF(A3246="","",IF(OR(B3246&lt;&gt;B3245,C3246&lt;&gt;C3245,D3246&lt;&gt;D3245,E3246&lt;&gt;E3245),G3245+1,G3245))</f>
        <v/>
      </c>
    </row>
    <row r="3247">
      <c r="A3247" s="14">
        <f>IF(OR(NOT(ISNUMBER(Ввод!$B$5)),NOT(ISNUMBER(Ввод!$B$6))),"",IF(Ввод!$B$5+3245&gt;Ввод!$B$6,"",Ввод!$B$5+3245))</f>
        <v/>
      </c>
      <c r="B3247">
        <f>IF(A3247="","",IFERROR(INDEX(Ввод!$B$12:$B$71,MATCH(A3247,Ввод!$D$12:$D$71,1)),""))</f>
        <v/>
      </c>
      <c r="C3247">
        <f>IF(A3247="","",DATE(YEAR(A3247),12,31)-DATE(YEAR(A3247),1,1)+1)</f>
        <v/>
      </c>
      <c r="D3247">
        <f>IF(A3247="","",Ввод!$B$4-SUMIF(Оплаты!$A$6:$A$505,"&lt;"&amp;A3247,Оплаты!$B$6:$B$505))</f>
        <v/>
      </c>
      <c r="E3247">
        <f>IF(A3247="","",IF(SUMPRODUCT((Ввод!$F$12:$F$31&lt;&gt;"")*(Ввод!$F$12:$F$31&lt;=A3247)*(Ввод!$G$12:$G$31&gt;=A3247))&gt;0,1,0))</f>
        <v/>
      </c>
      <c r="F3247">
        <f>IF(OR(A3247="",B3247=""),"",IF(E3247=1,0,D3247*B3247/100/C3247))</f>
        <v/>
      </c>
      <c r="G3247">
        <f>IF(A3247="","",IF(OR(B3247&lt;&gt;B3246,C3247&lt;&gt;C3246,D3247&lt;&gt;D3246,E3247&lt;&gt;E3246),G3246+1,G3246))</f>
        <v/>
      </c>
    </row>
    <row r="3248">
      <c r="A3248" s="14">
        <f>IF(OR(NOT(ISNUMBER(Ввод!$B$5)),NOT(ISNUMBER(Ввод!$B$6))),"",IF(Ввод!$B$5+3246&gt;Ввод!$B$6,"",Ввод!$B$5+3246))</f>
        <v/>
      </c>
      <c r="B3248">
        <f>IF(A3248="","",IFERROR(INDEX(Ввод!$B$12:$B$71,MATCH(A3248,Ввод!$D$12:$D$71,1)),""))</f>
        <v/>
      </c>
      <c r="C3248">
        <f>IF(A3248="","",DATE(YEAR(A3248),12,31)-DATE(YEAR(A3248),1,1)+1)</f>
        <v/>
      </c>
      <c r="D3248">
        <f>IF(A3248="","",Ввод!$B$4-SUMIF(Оплаты!$A$6:$A$505,"&lt;"&amp;A3248,Оплаты!$B$6:$B$505))</f>
        <v/>
      </c>
      <c r="E3248">
        <f>IF(A3248="","",IF(SUMPRODUCT((Ввод!$F$12:$F$31&lt;&gt;"")*(Ввод!$F$12:$F$31&lt;=A3248)*(Ввод!$G$12:$G$31&gt;=A3248))&gt;0,1,0))</f>
        <v/>
      </c>
      <c r="F3248">
        <f>IF(OR(A3248="",B3248=""),"",IF(E3248=1,0,D3248*B3248/100/C3248))</f>
        <v/>
      </c>
      <c r="G3248">
        <f>IF(A3248="","",IF(OR(B3248&lt;&gt;B3247,C3248&lt;&gt;C3247,D3248&lt;&gt;D3247,E3248&lt;&gt;E3247),G3247+1,G3247))</f>
        <v/>
      </c>
    </row>
    <row r="3249">
      <c r="A3249" s="14">
        <f>IF(OR(NOT(ISNUMBER(Ввод!$B$5)),NOT(ISNUMBER(Ввод!$B$6))),"",IF(Ввод!$B$5+3247&gt;Ввод!$B$6,"",Ввод!$B$5+3247))</f>
        <v/>
      </c>
      <c r="B3249">
        <f>IF(A3249="","",IFERROR(INDEX(Ввод!$B$12:$B$71,MATCH(A3249,Ввод!$D$12:$D$71,1)),""))</f>
        <v/>
      </c>
      <c r="C3249">
        <f>IF(A3249="","",DATE(YEAR(A3249),12,31)-DATE(YEAR(A3249),1,1)+1)</f>
        <v/>
      </c>
      <c r="D3249">
        <f>IF(A3249="","",Ввод!$B$4-SUMIF(Оплаты!$A$6:$A$505,"&lt;"&amp;A3249,Оплаты!$B$6:$B$505))</f>
        <v/>
      </c>
      <c r="E3249">
        <f>IF(A3249="","",IF(SUMPRODUCT((Ввод!$F$12:$F$31&lt;&gt;"")*(Ввод!$F$12:$F$31&lt;=A3249)*(Ввод!$G$12:$G$31&gt;=A3249))&gt;0,1,0))</f>
        <v/>
      </c>
      <c r="F3249">
        <f>IF(OR(A3249="",B3249=""),"",IF(E3249=1,0,D3249*B3249/100/C3249))</f>
        <v/>
      </c>
      <c r="G3249">
        <f>IF(A3249="","",IF(OR(B3249&lt;&gt;B3248,C3249&lt;&gt;C3248,D3249&lt;&gt;D3248,E3249&lt;&gt;E3248),G3248+1,G3248))</f>
        <v/>
      </c>
    </row>
    <row r="3250">
      <c r="A3250" s="14">
        <f>IF(OR(NOT(ISNUMBER(Ввод!$B$5)),NOT(ISNUMBER(Ввод!$B$6))),"",IF(Ввод!$B$5+3248&gt;Ввод!$B$6,"",Ввод!$B$5+3248))</f>
        <v/>
      </c>
      <c r="B3250">
        <f>IF(A3250="","",IFERROR(INDEX(Ввод!$B$12:$B$71,MATCH(A3250,Ввод!$D$12:$D$71,1)),""))</f>
        <v/>
      </c>
      <c r="C3250">
        <f>IF(A3250="","",DATE(YEAR(A3250),12,31)-DATE(YEAR(A3250),1,1)+1)</f>
        <v/>
      </c>
      <c r="D3250">
        <f>IF(A3250="","",Ввод!$B$4-SUMIF(Оплаты!$A$6:$A$505,"&lt;"&amp;A3250,Оплаты!$B$6:$B$505))</f>
        <v/>
      </c>
      <c r="E3250">
        <f>IF(A3250="","",IF(SUMPRODUCT((Ввод!$F$12:$F$31&lt;&gt;"")*(Ввод!$F$12:$F$31&lt;=A3250)*(Ввод!$G$12:$G$31&gt;=A3250))&gt;0,1,0))</f>
        <v/>
      </c>
      <c r="F3250">
        <f>IF(OR(A3250="",B3250=""),"",IF(E3250=1,0,D3250*B3250/100/C3250))</f>
        <v/>
      </c>
      <c r="G3250">
        <f>IF(A3250="","",IF(OR(B3250&lt;&gt;B3249,C3250&lt;&gt;C3249,D3250&lt;&gt;D3249,E3250&lt;&gt;E3249),G3249+1,G3249))</f>
        <v/>
      </c>
    </row>
    <row r="3251">
      <c r="A3251" s="14">
        <f>IF(OR(NOT(ISNUMBER(Ввод!$B$5)),NOT(ISNUMBER(Ввод!$B$6))),"",IF(Ввод!$B$5+3249&gt;Ввод!$B$6,"",Ввод!$B$5+3249))</f>
        <v/>
      </c>
      <c r="B3251">
        <f>IF(A3251="","",IFERROR(INDEX(Ввод!$B$12:$B$71,MATCH(A3251,Ввод!$D$12:$D$71,1)),""))</f>
        <v/>
      </c>
      <c r="C3251">
        <f>IF(A3251="","",DATE(YEAR(A3251),12,31)-DATE(YEAR(A3251),1,1)+1)</f>
        <v/>
      </c>
      <c r="D3251">
        <f>IF(A3251="","",Ввод!$B$4-SUMIF(Оплаты!$A$6:$A$505,"&lt;"&amp;A3251,Оплаты!$B$6:$B$505))</f>
        <v/>
      </c>
      <c r="E3251">
        <f>IF(A3251="","",IF(SUMPRODUCT((Ввод!$F$12:$F$31&lt;&gt;"")*(Ввод!$F$12:$F$31&lt;=A3251)*(Ввод!$G$12:$G$31&gt;=A3251))&gt;0,1,0))</f>
        <v/>
      </c>
      <c r="F3251">
        <f>IF(OR(A3251="",B3251=""),"",IF(E3251=1,0,D3251*B3251/100/C3251))</f>
        <v/>
      </c>
      <c r="G3251">
        <f>IF(A3251="","",IF(OR(B3251&lt;&gt;B3250,C3251&lt;&gt;C3250,D3251&lt;&gt;D3250,E3251&lt;&gt;E3250),G3250+1,G3250))</f>
        <v/>
      </c>
    </row>
    <row r="3252">
      <c r="A3252" s="14">
        <f>IF(OR(NOT(ISNUMBER(Ввод!$B$5)),NOT(ISNUMBER(Ввод!$B$6))),"",IF(Ввод!$B$5+3250&gt;Ввод!$B$6,"",Ввод!$B$5+3250))</f>
        <v/>
      </c>
      <c r="B3252">
        <f>IF(A3252="","",IFERROR(INDEX(Ввод!$B$12:$B$71,MATCH(A3252,Ввод!$D$12:$D$71,1)),""))</f>
        <v/>
      </c>
      <c r="C3252">
        <f>IF(A3252="","",DATE(YEAR(A3252),12,31)-DATE(YEAR(A3252),1,1)+1)</f>
        <v/>
      </c>
      <c r="D3252">
        <f>IF(A3252="","",Ввод!$B$4-SUMIF(Оплаты!$A$6:$A$505,"&lt;"&amp;A3252,Оплаты!$B$6:$B$505))</f>
        <v/>
      </c>
      <c r="E3252">
        <f>IF(A3252="","",IF(SUMPRODUCT((Ввод!$F$12:$F$31&lt;&gt;"")*(Ввод!$F$12:$F$31&lt;=A3252)*(Ввод!$G$12:$G$31&gt;=A3252))&gt;0,1,0))</f>
        <v/>
      </c>
      <c r="F3252">
        <f>IF(OR(A3252="",B3252=""),"",IF(E3252=1,0,D3252*B3252/100/C3252))</f>
        <v/>
      </c>
      <c r="G3252">
        <f>IF(A3252="","",IF(OR(B3252&lt;&gt;B3251,C3252&lt;&gt;C3251,D3252&lt;&gt;D3251,E3252&lt;&gt;E3251),G3251+1,G3251))</f>
        <v/>
      </c>
    </row>
    <row r="3253">
      <c r="A3253" s="14">
        <f>IF(OR(NOT(ISNUMBER(Ввод!$B$5)),NOT(ISNUMBER(Ввод!$B$6))),"",IF(Ввод!$B$5+3251&gt;Ввод!$B$6,"",Ввод!$B$5+3251))</f>
        <v/>
      </c>
      <c r="B3253">
        <f>IF(A3253="","",IFERROR(INDEX(Ввод!$B$12:$B$71,MATCH(A3253,Ввод!$D$12:$D$71,1)),""))</f>
        <v/>
      </c>
      <c r="C3253">
        <f>IF(A3253="","",DATE(YEAR(A3253),12,31)-DATE(YEAR(A3253),1,1)+1)</f>
        <v/>
      </c>
      <c r="D3253">
        <f>IF(A3253="","",Ввод!$B$4-SUMIF(Оплаты!$A$6:$A$505,"&lt;"&amp;A3253,Оплаты!$B$6:$B$505))</f>
        <v/>
      </c>
      <c r="E3253">
        <f>IF(A3253="","",IF(SUMPRODUCT((Ввод!$F$12:$F$31&lt;&gt;"")*(Ввод!$F$12:$F$31&lt;=A3253)*(Ввод!$G$12:$G$31&gt;=A3253))&gt;0,1,0))</f>
        <v/>
      </c>
      <c r="F3253">
        <f>IF(OR(A3253="",B3253=""),"",IF(E3253=1,0,D3253*B3253/100/C3253))</f>
        <v/>
      </c>
      <c r="G3253">
        <f>IF(A3253="","",IF(OR(B3253&lt;&gt;B3252,C3253&lt;&gt;C3252,D3253&lt;&gt;D3252,E3253&lt;&gt;E3252),G3252+1,G3252))</f>
        <v/>
      </c>
    </row>
    <row r="3254">
      <c r="A3254" s="14">
        <f>IF(OR(NOT(ISNUMBER(Ввод!$B$5)),NOT(ISNUMBER(Ввод!$B$6))),"",IF(Ввод!$B$5+3252&gt;Ввод!$B$6,"",Ввод!$B$5+3252))</f>
        <v/>
      </c>
      <c r="B3254">
        <f>IF(A3254="","",IFERROR(INDEX(Ввод!$B$12:$B$71,MATCH(A3254,Ввод!$D$12:$D$71,1)),""))</f>
        <v/>
      </c>
      <c r="C3254">
        <f>IF(A3254="","",DATE(YEAR(A3254),12,31)-DATE(YEAR(A3254),1,1)+1)</f>
        <v/>
      </c>
      <c r="D3254">
        <f>IF(A3254="","",Ввод!$B$4-SUMIF(Оплаты!$A$6:$A$505,"&lt;"&amp;A3254,Оплаты!$B$6:$B$505))</f>
        <v/>
      </c>
      <c r="E3254">
        <f>IF(A3254="","",IF(SUMPRODUCT((Ввод!$F$12:$F$31&lt;&gt;"")*(Ввод!$F$12:$F$31&lt;=A3254)*(Ввод!$G$12:$G$31&gt;=A3254))&gt;0,1,0))</f>
        <v/>
      </c>
      <c r="F3254">
        <f>IF(OR(A3254="",B3254=""),"",IF(E3254=1,0,D3254*B3254/100/C3254))</f>
        <v/>
      </c>
      <c r="G3254">
        <f>IF(A3254="","",IF(OR(B3254&lt;&gt;B3253,C3254&lt;&gt;C3253,D3254&lt;&gt;D3253,E3254&lt;&gt;E3253),G3253+1,G3253))</f>
        <v/>
      </c>
    </row>
    <row r="3255">
      <c r="A3255" s="14">
        <f>IF(OR(NOT(ISNUMBER(Ввод!$B$5)),NOT(ISNUMBER(Ввод!$B$6))),"",IF(Ввод!$B$5+3253&gt;Ввод!$B$6,"",Ввод!$B$5+3253))</f>
        <v/>
      </c>
      <c r="B3255">
        <f>IF(A3255="","",IFERROR(INDEX(Ввод!$B$12:$B$71,MATCH(A3255,Ввод!$D$12:$D$71,1)),""))</f>
        <v/>
      </c>
      <c r="C3255">
        <f>IF(A3255="","",DATE(YEAR(A3255),12,31)-DATE(YEAR(A3255),1,1)+1)</f>
        <v/>
      </c>
      <c r="D3255">
        <f>IF(A3255="","",Ввод!$B$4-SUMIF(Оплаты!$A$6:$A$505,"&lt;"&amp;A3255,Оплаты!$B$6:$B$505))</f>
        <v/>
      </c>
      <c r="E3255">
        <f>IF(A3255="","",IF(SUMPRODUCT((Ввод!$F$12:$F$31&lt;&gt;"")*(Ввод!$F$12:$F$31&lt;=A3255)*(Ввод!$G$12:$G$31&gt;=A3255))&gt;0,1,0))</f>
        <v/>
      </c>
      <c r="F3255">
        <f>IF(OR(A3255="",B3255=""),"",IF(E3255=1,0,D3255*B3255/100/C3255))</f>
        <v/>
      </c>
      <c r="G3255">
        <f>IF(A3255="","",IF(OR(B3255&lt;&gt;B3254,C3255&lt;&gt;C3254,D3255&lt;&gt;D3254,E3255&lt;&gt;E3254),G3254+1,G3254))</f>
        <v/>
      </c>
    </row>
    <row r="3256">
      <c r="A3256" s="14">
        <f>IF(OR(NOT(ISNUMBER(Ввод!$B$5)),NOT(ISNUMBER(Ввод!$B$6))),"",IF(Ввод!$B$5+3254&gt;Ввод!$B$6,"",Ввод!$B$5+3254))</f>
        <v/>
      </c>
      <c r="B3256">
        <f>IF(A3256="","",IFERROR(INDEX(Ввод!$B$12:$B$71,MATCH(A3256,Ввод!$D$12:$D$71,1)),""))</f>
        <v/>
      </c>
      <c r="C3256">
        <f>IF(A3256="","",DATE(YEAR(A3256),12,31)-DATE(YEAR(A3256),1,1)+1)</f>
        <v/>
      </c>
      <c r="D3256">
        <f>IF(A3256="","",Ввод!$B$4-SUMIF(Оплаты!$A$6:$A$505,"&lt;"&amp;A3256,Оплаты!$B$6:$B$505))</f>
        <v/>
      </c>
      <c r="E3256">
        <f>IF(A3256="","",IF(SUMPRODUCT((Ввод!$F$12:$F$31&lt;&gt;"")*(Ввод!$F$12:$F$31&lt;=A3256)*(Ввод!$G$12:$G$31&gt;=A3256))&gt;0,1,0))</f>
        <v/>
      </c>
      <c r="F3256">
        <f>IF(OR(A3256="",B3256=""),"",IF(E3256=1,0,D3256*B3256/100/C3256))</f>
        <v/>
      </c>
      <c r="G3256">
        <f>IF(A3256="","",IF(OR(B3256&lt;&gt;B3255,C3256&lt;&gt;C3255,D3256&lt;&gt;D3255,E3256&lt;&gt;E3255),G3255+1,G3255))</f>
        <v/>
      </c>
    </row>
    <row r="3257">
      <c r="A3257" s="14">
        <f>IF(OR(NOT(ISNUMBER(Ввод!$B$5)),NOT(ISNUMBER(Ввод!$B$6))),"",IF(Ввод!$B$5+3255&gt;Ввод!$B$6,"",Ввод!$B$5+3255))</f>
        <v/>
      </c>
      <c r="B3257">
        <f>IF(A3257="","",IFERROR(INDEX(Ввод!$B$12:$B$71,MATCH(A3257,Ввод!$D$12:$D$71,1)),""))</f>
        <v/>
      </c>
      <c r="C3257">
        <f>IF(A3257="","",DATE(YEAR(A3257),12,31)-DATE(YEAR(A3257),1,1)+1)</f>
        <v/>
      </c>
      <c r="D3257">
        <f>IF(A3257="","",Ввод!$B$4-SUMIF(Оплаты!$A$6:$A$505,"&lt;"&amp;A3257,Оплаты!$B$6:$B$505))</f>
        <v/>
      </c>
      <c r="E3257">
        <f>IF(A3257="","",IF(SUMPRODUCT((Ввод!$F$12:$F$31&lt;&gt;"")*(Ввод!$F$12:$F$31&lt;=A3257)*(Ввод!$G$12:$G$31&gt;=A3257))&gt;0,1,0))</f>
        <v/>
      </c>
      <c r="F3257">
        <f>IF(OR(A3257="",B3257=""),"",IF(E3257=1,0,D3257*B3257/100/C3257))</f>
        <v/>
      </c>
      <c r="G3257">
        <f>IF(A3257="","",IF(OR(B3257&lt;&gt;B3256,C3257&lt;&gt;C3256,D3257&lt;&gt;D3256,E3257&lt;&gt;E3256),G3256+1,G3256))</f>
        <v/>
      </c>
    </row>
    <row r="3258">
      <c r="A3258" s="14">
        <f>IF(OR(NOT(ISNUMBER(Ввод!$B$5)),NOT(ISNUMBER(Ввод!$B$6))),"",IF(Ввод!$B$5+3256&gt;Ввод!$B$6,"",Ввод!$B$5+3256))</f>
        <v/>
      </c>
      <c r="B3258">
        <f>IF(A3258="","",IFERROR(INDEX(Ввод!$B$12:$B$71,MATCH(A3258,Ввод!$D$12:$D$71,1)),""))</f>
        <v/>
      </c>
      <c r="C3258">
        <f>IF(A3258="","",DATE(YEAR(A3258),12,31)-DATE(YEAR(A3258),1,1)+1)</f>
        <v/>
      </c>
      <c r="D3258">
        <f>IF(A3258="","",Ввод!$B$4-SUMIF(Оплаты!$A$6:$A$505,"&lt;"&amp;A3258,Оплаты!$B$6:$B$505))</f>
        <v/>
      </c>
      <c r="E3258">
        <f>IF(A3258="","",IF(SUMPRODUCT((Ввод!$F$12:$F$31&lt;&gt;"")*(Ввод!$F$12:$F$31&lt;=A3258)*(Ввод!$G$12:$G$31&gt;=A3258))&gt;0,1,0))</f>
        <v/>
      </c>
      <c r="F3258">
        <f>IF(OR(A3258="",B3258=""),"",IF(E3258=1,0,D3258*B3258/100/C3258))</f>
        <v/>
      </c>
      <c r="G3258">
        <f>IF(A3258="","",IF(OR(B3258&lt;&gt;B3257,C3258&lt;&gt;C3257,D3258&lt;&gt;D3257,E3258&lt;&gt;E3257),G3257+1,G3257))</f>
        <v/>
      </c>
    </row>
    <row r="3259">
      <c r="A3259" s="14">
        <f>IF(OR(NOT(ISNUMBER(Ввод!$B$5)),NOT(ISNUMBER(Ввод!$B$6))),"",IF(Ввод!$B$5+3257&gt;Ввод!$B$6,"",Ввод!$B$5+3257))</f>
        <v/>
      </c>
      <c r="B3259">
        <f>IF(A3259="","",IFERROR(INDEX(Ввод!$B$12:$B$71,MATCH(A3259,Ввод!$D$12:$D$71,1)),""))</f>
        <v/>
      </c>
      <c r="C3259">
        <f>IF(A3259="","",DATE(YEAR(A3259),12,31)-DATE(YEAR(A3259),1,1)+1)</f>
        <v/>
      </c>
      <c r="D3259">
        <f>IF(A3259="","",Ввод!$B$4-SUMIF(Оплаты!$A$6:$A$505,"&lt;"&amp;A3259,Оплаты!$B$6:$B$505))</f>
        <v/>
      </c>
      <c r="E3259">
        <f>IF(A3259="","",IF(SUMPRODUCT((Ввод!$F$12:$F$31&lt;&gt;"")*(Ввод!$F$12:$F$31&lt;=A3259)*(Ввод!$G$12:$G$31&gt;=A3259))&gt;0,1,0))</f>
        <v/>
      </c>
      <c r="F3259">
        <f>IF(OR(A3259="",B3259=""),"",IF(E3259=1,0,D3259*B3259/100/C3259))</f>
        <v/>
      </c>
      <c r="G3259">
        <f>IF(A3259="","",IF(OR(B3259&lt;&gt;B3258,C3259&lt;&gt;C3258,D3259&lt;&gt;D3258,E3259&lt;&gt;E3258),G3258+1,G3258))</f>
        <v/>
      </c>
    </row>
    <row r="3260">
      <c r="A3260" s="14">
        <f>IF(OR(NOT(ISNUMBER(Ввод!$B$5)),NOT(ISNUMBER(Ввод!$B$6))),"",IF(Ввод!$B$5+3258&gt;Ввод!$B$6,"",Ввод!$B$5+3258))</f>
        <v/>
      </c>
      <c r="B3260">
        <f>IF(A3260="","",IFERROR(INDEX(Ввод!$B$12:$B$71,MATCH(A3260,Ввод!$D$12:$D$71,1)),""))</f>
        <v/>
      </c>
      <c r="C3260">
        <f>IF(A3260="","",DATE(YEAR(A3260),12,31)-DATE(YEAR(A3260),1,1)+1)</f>
        <v/>
      </c>
      <c r="D3260">
        <f>IF(A3260="","",Ввод!$B$4-SUMIF(Оплаты!$A$6:$A$505,"&lt;"&amp;A3260,Оплаты!$B$6:$B$505))</f>
        <v/>
      </c>
      <c r="E3260">
        <f>IF(A3260="","",IF(SUMPRODUCT((Ввод!$F$12:$F$31&lt;&gt;"")*(Ввод!$F$12:$F$31&lt;=A3260)*(Ввод!$G$12:$G$31&gt;=A3260))&gt;0,1,0))</f>
        <v/>
      </c>
      <c r="F3260">
        <f>IF(OR(A3260="",B3260=""),"",IF(E3260=1,0,D3260*B3260/100/C3260))</f>
        <v/>
      </c>
      <c r="G3260">
        <f>IF(A3260="","",IF(OR(B3260&lt;&gt;B3259,C3260&lt;&gt;C3259,D3260&lt;&gt;D3259,E3260&lt;&gt;E3259),G3259+1,G3259))</f>
        <v/>
      </c>
    </row>
    <row r="3261">
      <c r="A3261" s="14">
        <f>IF(OR(NOT(ISNUMBER(Ввод!$B$5)),NOT(ISNUMBER(Ввод!$B$6))),"",IF(Ввод!$B$5+3259&gt;Ввод!$B$6,"",Ввод!$B$5+3259))</f>
        <v/>
      </c>
      <c r="B3261">
        <f>IF(A3261="","",IFERROR(INDEX(Ввод!$B$12:$B$71,MATCH(A3261,Ввод!$D$12:$D$71,1)),""))</f>
        <v/>
      </c>
      <c r="C3261">
        <f>IF(A3261="","",DATE(YEAR(A3261),12,31)-DATE(YEAR(A3261),1,1)+1)</f>
        <v/>
      </c>
      <c r="D3261">
        <f>IF(A3261="","",Ввод!$B$4-SUMIF(Оплаты!$A$6:$A$505,"&lt;"&amp;A3261,Оплаты!$B$6:$B$505))</f>
        <v/>
      </c>
      <c r="E3261">
        <f>IF(A3261="","",IF(SUMPRODUCT((Ввод!$F$12:$F$31&lt;&gt;"")*(Ввод!$F$12:$F$31&lt;=A3261)*(Ввод!$G$12:$G$31&gt;=A3261))&gt;0,1,0))</f>
        <v/>
      </c>
      <c r="F3261">
        <f>IF(OR(A3261="",B3261=""),"",IF(E3261=1,0,D3261*B3261/100/C3261))</f>
        <v/>
      </c>
      <c r="G3261">
        <f>IF(A3261="","",IF(OR(B3261&lt;&gt;B3260,C3261&lt;&gt;C3260,D3261&lt;&gt;D3260,E3261&lt;&gt;E3260),G3260+1,G3260))</f>
        <v/>
      </c>
    </row>
    <row r="3262">
      <c r="A3262" s="14">
        <f>IF(OR(NOT(ISNUMBER(Ввод!$B$5)),NOT(ISNUMBER(Ввод!$B$6))),"",IF(Ввод!$B$5+3260&gt;Ввод!$B$6,"",Ввод!$B$5+3260))</f>
        <v/>
      </c>
      <c r="B3262">
        <f>IF(A3262="","",IFERROR(INDEX(Ввод!$B$12:$B$71,MATCH(A3262,Ввод!$D$12:$D$71,1)),""))</f>
        <v/>
      </c>
      <c r="C3262">
        <f>IF(A3262="","",DATE(YEAR(A3262),12,31)-DATE(YEAR(A3262),1,1)+1)</f>
        <v/>
      </c>
      <c r="D3262">
        <f>IF(A3262="","",Ввод!$B$4-SUMIF(Оплаты!$A$6:$A$505,"&lt;"&amp;A3262,Оплаты!$B$6:$B$505))</f>
        <v/>
      </c>
      <c r="E3262">
        <f>IF(A3262="","",IF(SUMPRODUCT((Ввод!$F$12:$F$31&lt;&gt;"")*(Ввод!$F$12:$F$31&lt;=A3262)*(Ввод!$G$12:$G$31&gt;=A3262))&gt;0,1,0))</f>
        <v/>
      </c>
      <c r="F3262">
        <f>IF(OR(A3262="",B3262=""),"",IF(E3262=1,0,D3262*B3262/100/C3262))</f>
        <v/>
      </c>
      <c r="G3262">
        <f>IF(A3262="","",IF(OR(B3262&lt;&gt;B3261,C3262&lt;&gt;C3261,D3262&lt;&gt;D3261,E3262&lt;&gt;E3261),G3261+1,G3261))</f>
        <v/>
      </c>
    </row>
    <row r="3263">
      <c r="A3263" s="14">
        <f>IF(OR(NOT(ISNUMBER(Ввод!$B$5)),NOT(ISNUMBER(Ввод!$B$6))),"",IF(Ввод!$B$5+3261&gt;Ввод!$B$6,"",Ввод!$B$5+3261))</f>
        <v/>
      </c>
      <c r="B3263">
        <f>IF(A3263="","",IFERROR(INDEX(Ввод!$B$12:$B$71,MATCH(A3263,Ввод!$D$12:$D$71,1)),""))</f>
        <v/>
      </c>
      <c r="C3263">
        <f>IF(A3263="","",DATE(YEAR(A3263),12,31)-DATE(YEAR(A3263),1,1)+1)</f>
        <v/>
      </c>
      <c r="D3263">
        <f>IF(A3263="","",Ввод!$B$4-SUMIF(Оплаты!$A$6:$A$505,"&lt;"&amp;A3263,Оплаты!$B$6:$B$505))</f>
        <v/>
      </c>
      <c r="E3263">
        <f>IF(A3263="","",IF(SUMPRODUCT((Ввод!$F$12:$F$31&lt;&gt;"")*(Ввод!$F$12:$F$31&lt;=A3263)*(Ввод!$G$12:$G$31&gt;=A3263))&gt;0,1,0))</f>
        <v/>
      </c>
      <c r="F3263">
        <f>IF(OR(A3263="",B3263=""),"",IF(E3263=1,0,D3263*B3263/100/C3263))</f>
        <v/>
      </c>
      <c r="G3263">
        <f>IF(A3263="","",IF(OR(B3263&lt;&gt;B3262,C3263&lt;&gt;C3262,D3263&lt;&gt;D3262,E3263&lt;&gt;E3262),G3262+1,G3262))</f>
        <v/>
      </c>
    </row>
    <row r="3264">
      <c r="A3264" s="14">
        <f>IF(OR(NOT(ISNUMBER(Ввод!$B$5)),NOT(ISNUMBER(Ввод!$B$6))),"",IF(Ввод!$B$5+3262&gt;Ввод!$B$6,"",Ввод!$B$5+3262))</f>
        <v/>
      </c>
      <c r="B3264">
        <f>IF(A3264="","",IFERROR(INDEX(Ввод!$B$12:$B$71,MATCH(A3264,Ввод!$D$12:$D$71,1)),""))</f>
        <v/>
      </c>
      <c r="C3264">
        <f>IF(A3264="","",DATE(YEAR(A3264),12,31)-DATE(YEAR(A3264),1,1)+1)</f>
        <v/>
      </c>
      <c r="D3264">
        <f>IF(A3264="","",Ввод!$B$4-SUMIF(Оплаты!$A$6:$A$505,"&lt;"&amp;A3264,Оплаты!$B$6:$B$505))</f>
        <v/>
      </c>
      <c r="E3264">
        <f>IF(A3264="","",IF(SUMPRODUCT((Ввод!$F$12:$F$31&lt;&gt;"")*(Ввод!$F$12:$F$31&lt;=A3264)*(Ввод!$G$12:$G$31&gt;=A3264))&gt;0,1,0))</f>
        <v/>
      </c>
      <c r="F3264">
        <f>IF(OR(A3264="",B3264=""),"",IF(E3264=1,0,D3264*B3264/100/C3264))</f>
        <v/>
      </c>
      <c r="G3264">
        <f>IF(A3264="","",IF(OR(B3264&lt;&gt;B3263,C3264&lt;&gt;C3263,D3264&lt;&gt;D3263,E3264&lt;&gt;E3263),G3263+1,G3263))</f>
        <v/>
      </c>
    </row>
    <row r="3265">
      <c r="A3265" s="14">
        <f>IF(OR(NOT(ISNUMBER(Ввод!$B$5)),NOT(ISNUMBER(Ввод!$B$6))),"",IF(Ввод!$B$5+3263&gt;Ввод!$B$6,"",Ввод!$B$5+3263))</f>
        <v/>
      </c>
      <c r="B3265">
        <f>IF(A3265="","",IFERROR(INDEX(Ввод!$B$12:$B$71,MATCH(A3265,Ввод!$D$12:$D$71,1)),""))</f>
        <v/>
      </c>
      <c r="C3265">
        <f>IF(A3265="","",DATE(YEAR(A3265),12,31)-DATE(YEAR(A3265),1,1)+1)</f>
        <v/>
      </c>
      <c r="D3265">
        <f>IF(A3265="","",Ввод!$B$4-SUMIF(Оплаты!$A$6:$A$505,"&lt;"&amp;A3265,Оплаты!$B$6:$B$505))</f>
        <v/>
      </c>
      <c r="E3265">
        <f>IF(A3265="","",IF(SUMPRODUCT((Ввод!$F$12:$F$31&lt;&gt;"")*(Ввод!$F$12:$F$31&lt;=A3265)*(Ввод!$G$12:$G$31&gt;=A3265))&gt;0,1,0))</f>
        <v/>
      </c>
      <c r="F3265">
        <f>IF(OR(A3265="",B3265=""),"",IF(E3265=1,0,D3265*B3265/100/C3265))</f>
        <v/>
      </c>
      <c r="G3265">
        <f>IF(A3265="","",IF(OR(B3265&lt;&gt;B3264,C3265&lt;&gt;C3264,D3265&lt;&gt;D3264,E3265&lt;&gt;E3264),G3264+1,G3264))</f>
        <v/>
      </c>
    </row>
    <row r="3266">
      <c r="A3266" s="14">
        <f>IF(OR(NOT(ISNUMBER(Ввод!$B$5)),NOT(ISNUMBER(Ввод!$B$6))),"",IF(Ввод!$B$5+3264&gt;Ввод!$B$6,"",Ввод!$B$5+3264))</f>
        <v/>
      </c>
      <c r="B3266">
        <f>IF(A3266="","",IFERROR(INDEX(Ввод!$B$12:$B$71,MATCH(A3266,Ввод!$D$12:$D$71,1)),""))</f>
        <v/>
      </c>
      <c r="C3266">
        <f>IF(A3266="","",DATE(YEAR(A3266),12,31)-DATE(YEAR(A3266),1,1)+1)</f>
        <v/>
      </c>
      <c r="D3266">
        <f>IF(A3266="","",Ввод!$B$4-SUMIF(Оплаты!$A$6:$A$505,"&lt;"&amp;A3266,Оплаты!$B$6:$B$505))</f>
        <v/>
      </c>
      <c r="E3266">
        <f>IF(A3266="","",IF(SUMPRODUCT((Ввод!$F$12:$F$31&lt;&gt;"")*(Ввод!$F$12:$F$31&lt;=A3266)*(Ввод!$G$12:$G$31&gt;=A3266))&gt;0,1,0))</f>
        <v/>
      </c>
      <c r="F3266">
        <f>IF(OR(A3266="",B3266=""),"",IF(E3266=1,0,D3266*B3266/100/C3266))</f>
        <v/>
      </c>
      <c r="G3266">
        <f>IF(A3266="","",IF(OR(B3266&lt;&gt;B3265,C3266&lt;&gt;C3265,D3266&lt;&gt;D3265,E3266&lt;&gt;E3265),G3265+1,G3265))</f>
        <v/>
      </c>
    </row>
    <row r="3267">
      <c r="A3267" s="14">
        <f>IF(OR(NOT(ISNUMBER(Ввод!$B$5)),NOT(ISNUMBER(Ввод!$B$6))),"",IF(Ввод!$B$5+3265&gt;Ввод!$B$6,"",Ввод!$B$5+3265))</f>
        <v/>
      </c>
      <c r="B3267">
        <f>IF(A3267="","",IFERROR(INDEX(Ввод!$B$12:$B$71,MATCH(A3267,Ввод!$D$12:$D$71,1)),""))</f>
        <v/>
      </c>
      <c r="C3267">
        <f>IF(A3267="","",DATE(YEAR(A3267),12,31)-DATE(YEAR(A3267),1,1)+1)</f>
        <v/>
      </c>
      <c r="D3267">
        <f>IF(A3267="","",Ввод!$B$4-SUMIF(Оплаты!$A$6:$A$505,"&lt;"&amp;A3267,Оплаты!$B$6:$B$505))</f>
        <v/>
      </c>
      <c r="E3267">
        <f>IF(A3267="","",IF(SUMPRODUCT((Ввод!$F$12:$F$31&lt;&gt;"")*(Ввод!$F$12:$F$31&lt;=A3267)*(Ввод!$G$12:$G$31&gt;=A3267))&gt;0,1,0))</f>
        <v/>
      </c>
      <c r="F3267">
        <f>IF(OR(A3267="",B3267=""),"",IF(E3267=1,0,D3267*B3267/100/C3267))</f>
        <v/>
      </c>
      <c r="G3267">
        <f>IF(A3267="","",IF(OR(B3267&lt;&gt;B3266,C3267&lt;&gt;C3266,D3267&lt;&gt;D3266,E3267&lt;&gt;E3266),G3266+1,G3266))</f>
        <v/>
      </c>
    </row>
    <row r="3268">
      <c r="A3268" s="14">
        <f>IF(OR(NOT(ISNUMBER(Ввод!$B$5)),NOT(ISNUMBER(Ввод!$B$6))),"",IF(Ввод!$B$5+3266&gt;Ввод!$B$6,"",Ввод!$B$5+3266))</f>
        <v/>
      </c>
      <c r="B3268">
        <f>IF(A3268="","",IFERROR(INDEX(Ввод!$B$12:$B$71,MATCH(A3268,Ввод!$D$12:$D$71,1)),""))</f>
        <v/>
      </c>
      <c r="C3268">
        <f>IF(A3268="","",DATE(YEAR(A3268),12,31)-DATE(YEAR(A3268),1,1)+1)</f>
        <v/>
      </c>
      <c r="D3268">
        <f>IF(A3268="","",Ввод!$B$4-SUMIF(Оплаты!$A$6:$A$505,"&lt;"&amp;A3268,Оплаты!$B$6:$B$505))</f>
        <v/>
      </c>
      <c r="E3268">
        <f>IF(A3268="","",IF(SUMPRODUCT((Ввод!$F$12:$F$31&lt;&gt;"")*(Ввод!$F$12:$F$31&lt;=A3268)*(Ввод!$G$12:$G$31&gt;=A3268))&gt;0,1,0))</f>
        <v/>
      </c>
      <c r="F3268">
        <f>IF(OR(A3268="",B3268=""),"",IF(E3268=1,0,D3268*B3268/100/C3268))</f>
        <v/>
      </c>
      <c r="G3268">
        <f>IF(A3268="","",IF(OR(B3268&lt;&gt;B3267,C3268&lt;&gt;C3267,D3268&lt;&gt;D3267,E3268&lt;&gt;E3267),G3267+1,G3267))</f>
        <v/>
      </c>
    </row>
    <row r="3269">
      <c r="A3269" s="14">
        <f>IF(OR(NOT(ISNUMBER(Ввод!$B$5)),NOT(ISNUMBER(Ввод!$B$6))),"",IF(Ввод!$B$5+3267&gt;Ввод!$B$6,"",Ввод!$B$5+3267))</f>
        <v/>
      </c>
      <c r="B3269">
        <f>IF(A3269="","",IFERROR(INDEX(Ввод!$B$12:$B$71,MATCH(A3269,Ввод!$D$12:$D$71,1)),""))</f>
        <v/>
      </c>
      <c r="C3269">
        <f>IF(A3269="","",DATE(YEAR(A3269),12,31)-DATE(YEAR(A3269),1,1)+1)</f>
        <v/>
      </c>
      <c r="D3269">
        <f>IF(A3269="","",Ввод!$B$4-SUMIF(Оплаты!$A$6:$A$505,"&lt;"&amp;A3269,Оплаты!$B$6:$B$505))</f>
        <v/>
      </c>
      <c r="E3269">
        <f>IF(A3269="","",IF(SUMPRODUCT((Ввод!$F$12:$F$31&lt;&gt;"")*(Ввод!$F$12:$F$31&lt;=A3269)*(Ввод!$G$12:$G$31&gt;=A3269))&gt;0,1,0))</f>
        <v/>
      </c>
      <c r="F3269">
        <f>IF(OR(A3269="",B3269=""),"",IF(E3269=1,0,D3269*B3269/100/C3269))</f>
        <v/>
      </c>
      <c r="G3269">
        <f>IF(A3269="","",IF(OR(B3269&lt;&gt;B3268,C3269&lt;&gt;C3268,D3269&lt;&gt;D3268,E3269&lt;&gt;E3268),G3268+1,G3268))</f>
        <v/>
      </c>
    </row>
    <row r="3270">
      <c r="A3270" s="14">
        <f>IF(OR(NOT(ISNUMBER(Ввод!$B$5)),NOT(ISNUMBER(Ввод!$B$6))),"",IF(Ввод!$B$5+3268&gt;Ввод!$B$6,"",Ввод!$B$5+3268))</f>
        <v/>
      </c>
      <c r="B3270">
        <f>IF(A3270="","",IFERROR(INDEX(Ввод!$B$12:$B$71,MATCH(A3270,Ввод!$D$12:$D$71,1)),""))</f>
        <v/>
      </c>
      <c r="C3270">
        <f>IF(A3270="","",DATE(YEAR(A3270),12,31)-DATE(YEAR(A3270),1,1)+1)</f>
        <v/>
      </c>
      <c r="D3270">
        <f>IF(A3270="","",Ввод!$B$4-SUMIF(Оплаты!$A$6:$A$505,"&lt;"&amp;A3270,Оплаты!$B$6:$B$505))</f>
        <v/>
      </c>
      <c r="E3270">
        <f>IF(A3270="","",IF(SUMPRODUCT((Ввод!$F$12:$F$31&lt;&gt;"")*(Ввод!$F$12:$F$31&lt;=A3270)*(Ввод!$G$12:$G$31&gt;=A3270))&gt;0,1,0))</f>
        <v/>
      </c>
      <c r="F3270">
        <f>IF(OR(A3270="",B3270=""),"",IF(E3270=1,0,D3270*B3270/100/C3270))</f>
        <v/>
      </c>
      <c r="G3270">
        <f>IF(A3270="","",IF(OR(B3270&lt;&gt;B3269,C3270&lt;&gt;C3269,D3270&lt;&gt;D3269,E3270&lt;&gt;E3269),G3269+1,G3269))</f>
        <v/>
      </c>
    </row>
    <row r="3271">
      <c r="A3271" s="14">
        <f>IF(OR(NOT(ISNUMBER(Ввод!$B$5)),NOT(ISNUMBER(Ввод!$B$6))),"",IF(Ввод!$B$5+3269&gt;Ввод!$B$6,"",Ввод!$B$5+3269))</f>
        <v/>
      </c>
      <c r="B3271">
        <f>IF(A3271="","",IFERROR(INDEX(Ввод!$B$12:$B$71,MATCH(A3271,Ввод!$D$12:$D$71,1)),""))</f>
        <v/>
      </c>
      <c r="C3271">
        <f>IF(A3271="","",DATE(YEAR(A3271),12,31)-DATE(YEAR(A3271),1,1)+1)</f>
        <v/>
      </c>
      <c r="D3271">
        <f>IF(A3271="","",Ввод!$B$4-SUMIF(Оплаты!$A$6:$A$505,"&lt;"&amp;A3271,Оплаты!$B$6:$B$505))</f>
        <v/>
      </c>
      <c r="E3271">
        <f>IF(A3271="","",IF(SUMPRODUCT((Ввод!$F$12:$F$31&lt;&gt;"")*(Ввод!$F$12:$F$31&lt;=A3271)*(Ввод!$G$12:$G$31&gt;=A3271))&gt;0,1,0))</f>
        <v/>
      </c>
      <c r="F3271">
        <f>IF(OR(A3271="",B3271=""),"",IF(E3271=1,0,D3271*B3271/100/C3271))</f>
        <v/>
      </c>
      <c r="G3271">
        <f>IF(A3271="","",IF(OR(B3271&lt;&gt;B3270,C3271&lt;&gt;C3270,D3271&lt;&gt;D3270,E3271&lt;&gt;E3270),G3270+1,G3270))</f>
        <v/>
      </c>
    </row>
    <row r="3272">
      <c r="A3272" s="14">
        <f>IF(OR(NOT(ISNUMBER(Ввод!$B$5)),NOT(ISNUMBER(Ввод!$B$6))),"",IF(Ввод!$B$5+3270&gt;Ввод!$B$6,"",Ввод!$B$5+3270))</f>
        <v/>
      </c>
      <c r="B3272">
        <f>IF(A3272="","",IFERROR(INDEX(Ввод!$B$12:$B$71,MATCH(A3272,Ввод!$D$12:$D$71,1)),""))</f>
        <v/>
      </c>
      <c r="C3272">
        <f>IF(A3272="","",DATE(YEAR(A3272),12,31)-DATE(YEAR(A3272),1,1)+1)</f>
        <v/>
      </c>
      <c r="D3272">
        <f>IF(A3272="","",Ввод!$B$4-SUMIF(Оплаты!$A$6:$A$505,"&lt;"&amp;A3272,Оплаты!$B$6:$B$505))</f>
        <v/>
      </c>
      <c r="E3272">
        <f>IF(A3272="","",IF(SUMPRODUCT((Ввод!$F$12:$F$31&lt;&gt;"")*(Ввод!$F$12:$F$31&lt;=A3272)*(Ввод!$G$12:$G$31&gt;=A3272))&gt;0,1,0))</f>
        <v/>
      </c>
      <c r="F3272">
        <f>IF(OR(A3272="",B3272=""),"",IF(E3272=1,0,D3272*B3272/100/C3272))</f>
        <v/>
      </c>
      <c r="G3272">
        <f>IF(A3272="","",IF(OR(B3272&lt;&gt;B3271,C3272&lt;&gt;C3271,D3272&lt;&gt;D3271,E3272&lt;&gt;E3271),G3271+1,G3271))</f>
        <v/>
      </c>
    </row>
    <row r="3273">
      <c r="A3273" s="14">
        <f>IF(OR(NOT(ISNUMBER(Ввод!$B$5)),NOT(ISNUMBER(Ввод!$B$6))),"",IF(Ввод!$B$5+3271&gt;Ввод!$B$6,"",Ввод!$B$5+3271))</f>
        <v/>
      </c>
      <c r="B3273">
        <f>IF(A3273="","",IFERROR(INDEX(Ввод!$B$12:$B$71,MATCH(A3273,Ввод!$D$12:$D$71,1)),""))</f>
        <v/>
      </c>
      <c r="C3273">
        <f>IF(A3273="","",DATE(YEAR(A3273),12,31)-DATE(YEAR(A3273),1,1)+1)</f>
        <v/>
      </c>
      <c r="D3273">
        <f>IF(A3273="","",Ввод!$B$4-SUMIF(Оплаты!$A$6:$A$505,"&lt;"&amp;A3273,Оплаты!$B$6:$B$505))</f>
        <v/>
      </c>
      <c r="E3273">
        <f>IF(A3273="","",IF(SUMPRODUCT((Ввод!$F$12:$F$31&lt;&gt;"")*(Ввод!$F$12:$F$31&lt;=A3273)*(Ввод!$G$12:$G$31&gt;=A3273))&gt;0,1,0))</f>
        <v/>
      </c>
      <c r="F3273">
        <f>IF(OR(A3273="",B3273=""),"",IF(E3273=1,0,D3273*B3273/100/C3273))</f>
        <v/>
      </c>
      <c r="G3273">
        <f>IF(A3273="","",IF(OR(B3273&lt;&gt;B3272,C3273&lt;&gt;C3272,D3273&lt;&gt;D3272,E3273&lt;&gt;E3272),G3272+1,G3272))</f>
        <v/>
      </c>
    </row>
    <row r="3274">
      <c r="A3274" s="14">
        <f>IF(OR(NOT(ISNUMBER(Ввод!$B$5)),NOT(ISNUMBER(Ввод!$B$6))),"",IF(Ввод!$B$5+3272&gt;Ввод!$B$6,"",Ввод!$B$5+3272))</f>
        <v/>
      </c>
      <c r="B3274">
        <f>IF(A3274="","",IFERROR(INDEX(Ввод!$B$12:$B$71,MATCH(A3274,Ввод!$D$12:$D$71,1)),""))</f>
        <v/>
      </c>
      <c r="C3274">
        <f>IF(A3274="","",DATE(YEAR(A3274),12,31)-DATE(YEAR(A3274),1,1)+1)</f>
        <v/>
      </c>
      <c r="D3274">
        <f>IF(A3274="","",Ввод!$B$4-SUMIF(Оплаты!$A$6:$A$505,"&lt;"&amp;A3274,Оплаты!$B$6:$B$505))</f>
        <v/>
      </c>
      <c r="E3274">
        <f>IF(A3274="","",IF(SUMPRODUCT((Ввод!$F$12:$F$31&lt;&gt;"")*(Ввод!$F$12:$F$31&lt;=A3274)*(Ввод!$G$12:$G$31&gt;=A3274))&gt;0,1,0))</f>
        <v/>
      </c>
      <c r="F3274">
        <f>IF(OR(A3274="",B3274=""),"",IF(E3274=1,0,D3274*B3274/100/C3274))</f>
        <v/>
      </c>
      <c r="G3274">
        <f>IF(A3274="","",IF(OR(B3274&lt;&gt;B3273,C3274&lt;&gt;C3273,D3274&lt;&gt;D3273,E3274&lt;&gt;E3273),G3273+1,G3273))</f>
        <v/>
      </c>
    </row>
    <row r="3275">
      <c r="A3275" s="14">
        <f>IF(OR(NOT(ISNUMBER(Ввод!$B$5)),NOT(ISNUMBER(Ввод!$B$6))),"",IF(Ввод!$B$5+3273&gt;Ввод!$B$6,"",Ввод!$B$5+3273))</f>
        <v/>
      </c>
      <c r="B3275">
        <f>IF(A3275="","",IFERROR(INDEX(Ввод!$B$12:$B$71,MATCH(A3275,Ввод!$D$12:$D$71,1)),""))</f>
        <v/>
      </c>
      <c r="C3275">
        <f>IF(A3275="","",DATE(YEAR(A3275),12,31)-DATE(YEAR(A3275),1,1)+1)</f>
        <v/>
      </c>
      <c r="D3275">
        <f>IF(A3275="","",Ввод!$B$4-SUMIF(Оплаты!$A$6:$A$505,"&lt;"&amp;A3275,Оплаты!$B$6:$B$505))</f>
        <v/>
      </c>
      <c r="E3275">
        <f>IF(A3275="","",IF(SUMPRODUCT((Ввод!$F$12:$F$31&lt;&gt;"")*(Ввод!$F$12:$F$31&lt;=A3275)*(Ввод!$G$12:$G$31&gt;=A3275))&gt;0,1,0))</f>
        <v/>
      </c>
      <c r="F3275">
        <f>IF(OR(A3275="",B3275=""),"",IF(E3275=1,0,D3275*B3275/100/C3275))</f>
        <v/>
      </c>
      <c r="G3275">
        <f>IF(A3275="","",IF(OR(B3275&lt;&gt;B3274,C3275&lt;&gt;C3274,D3275&lt;&gt;D3274,E3275&lt;&gt;E3274),G3274+1,G3274))</f>
        <v/>
      </c>
    </row>
    <row r="3276">
      <c r="A3276" s="14">
        <f>IF(OR(NOT(ISNUMBER(Ввод!$B$5)),NOT(ISNUMBER(Ввод!$B$6))),"",IF(Ввод!$B$5+3274&gt;Ввод!$B$6,"",Ввод!$B$5+3274))</f>
        <v/>
      </c>
      <c r="B3276">
        <f>IF(A3276="","",IFERROR(INDEX(Ввод!$B$12:$B$71,MATCH(A3276,Ввод!$D$12:$D$71,1)),""))</f>
        <v/>
      </c>
      <c r="C3276">
        <f>IF(A3276="","",DATE(YEAR(A3276),12,31)-DATE(YEAR(A3276),1,1)+1)</f>
        <v/>
      </c>
      <c r="D3276">
        <f>IF(A3276="","",Ввод!$B$4-SUMIF(Оплаты!$A$6:$A$505,"&lt;"&amp;A3276,Оплаты!$B$6:$B$505))</f>
        <v/>
      </c>
      <c r="E3276">
        <f>IF(A3276="","",IF(SUMPRODUCT((Ввод!$F$12:$F$31&lt;&gt;"")*(Ввод!$F$12:$F$31&lt;=A3276)*(Ввод!$G$12:$G$31&gt;=A3276))&gt;0,1,0))</f>
        <v/>
      </c>
      <c r="F3276">
        <f>IF(OR(A3276="",B3276=""),"",IF(E3276=1,0,D3276*B3276/100/C3276))</f>
        <v/>
      </c>
      <c r="G3276">
        <f>IF(A3276="","",IF(OR(B3276&lt;&gt;B3275,C3276&lt;&gt;C3275,D3276&lt;&gt;D3275,E3276&lt;&gt;E3275),G3275+1,G3275))</f>
        <v/>
      </c>
    </row>
    <row r="3277">
      <c r="A3277" s="14">
        <f>IF(OR(NOT(ISNUMBER(Ввод!$B$5)),NOT(ISNUMBER(Ввод!$B$6))),"",IF(Ввод!$B$5+3275&gt;Ввод!$B$6,"",Ввод!$B$5+3275))</f>
        <v/>
      </c>
      <c r="B3277">
        <f>IF(A3277="","",IFERROR(INDEX(Ввод!$B$12:$B$71,MATCH(A3277,Ввод!$D$12:$D$71,1)),""))</f>
        <v/>
      </c>
      <c r="C3277">
        <f>IF(A3277="","",DATE(YEAR(A3277),12,31)-DATE(YEAR(A3277),1,1)+1)</f>
        <v/>
      </c>
      <c r="D3277">
        <f>IF(A3277="","",Ввод!$B$4-SUMIF(Оплаты!$A$6:$A$505,"&lt;"&amp;A3277,Оплаты!$B$6:$B$505))</f>
        <v/>
      </c>
      <c r="E3277">
        <f>IF(A3277="","",IF(SUMPRODUCT((Ввод!$F$12:$F$31&lt;&gt;"")*(Ввод!$F$12:$F$31&lt;=A3277)*(Ввод!$G$12:$G$31&gt;=A3277))&gt;0,1,0))</f>
        <v/>
      </c>
      <c r="F3277">
        <f>IF(OR(A3277="",B3277=""),"",IF(E3277=1,0,D3277*B3277/100/C3277))</f>
        <v/>
      </c>
      <c r="G3277">
        <f>IF(A3277="","",IF(OR(B3277&lt;&gt;B3276,C3277&lt;&gt;C3276,D3277&lt;&gt;D3276,E3277&lt;&gt;E3276),G3276+1,G3276))</f>
        <v/>
      </c>
    </row>
    <row r="3278">
      <c r="A3278" s="14">
        <f>IF(OR(NOT(ISNUMBER(Ввод!$B$5)),NOT(ISNUMBER(Ввод!$B$6))),"",IF(Ввод!$B$5+3276&gt;Ввод!$B$6,"",Ввод!$B$5+3276))</f>
        <v/>
      </c>
      <c r="B3278">
        <f>IF(A3278="","",IFERROR(INDEX(Ввод!$B$12:$B$71,MATCH(A3278,Ввод!$D$12:$D$71,1)),""))</f>
        <v/>
      </c>
      <c r="C3278">
        <f>IF(A3278="","",DATE(YEAR(A3278),12,31)-DATE(YEAR(A3278),1,1)+1)</f>
        <v/>
      </c>
      <c r="D3278">
        <f>IF(A3278="","",Ввод!$B$4-SUMIF(Оплаты!$A$6:$A$505,"&lt;"&amp;A3278,Оплаты!$B$6:$B$505))</f>
        <v/>
      </c>
      <c r="E3278">
        <f>IF(A3278="","",IF(SUMPRODUCT((Ввод!$F$12:$F$31&lt;&gt;"")*(Ввод!$F$12:$F$31&lt;=A3278)*(Ввод!$G$12:$G$31&gt;=A3278))&gt;0,1,0))</f>
        <v/>
      </c>
      <c r="F3278">
        <f>IF(OR(A3278="",B3278=""),"",IF(E3278=1,0,D3278*B3278/100/C3278))</f>
        <v/>
      </c>
      <c r="G3278">
        <f>IF(A3278="","",IF(OR(B3278&lt;&gt;B3277,C3278&lt;&gt;C3277,D3278&lt;&gt;D3277,E3278&lt;&gt;E3277),G3277+1,G3277))</f>
        <v/>
      </c>
    </row>
    <row r="3279">
      <c r="A3279" s="14">
        <f>IF(OR(NOT(ISNUMBER(Ввод!$B$5)),NOT(ISNUMBER(Ввод!$B$6))),"",IF(Ввод!$B$5+3277&gt;Ввод!$B$6,"",Ввод!$B$5+3277))</f>
        <v/>
      </c>
      <c r="B3279">
        <f>IF(A3279="","",IFERROR(INDEX(Ввод!$B$12:$B$71,MATCH(A3279,Ввод!$D$12:$D$71,1)),""))</f>
        <v/>
      </c>
      <c r="C3279">
        <f>IF(A3279="","",DATE(YEAR(A3279),12,31)-DATE(YEAR(A3279),1,1)+1)</f>
        <v/>
      </c>
      <c r="D3279">
        <f>IF(A3279="","",Ввод!$B$4-SUMIF(Оплаты!$A$6:$A$505,"&lt;"&amp;A3279,Оплаты!$B$6:$B$505))</f>
        <v/>
      </c>
      <c r="E3279">
        <f>IF(A3279="","",IF(SUMPRODUCT((Ввод!$F$12:$F$31&lt;&gt;"")*(Ввод!$F$12:$F$31&lt;=A3279)*(Ввод!$G$12:$G$31&gt;=A3279))&gt;0,1,0))</f>
        <v/>
      </c>
      <c r="F3279">
        <f>IF(OR(A3279="",B3279=""),"",IF(E3279=1,0,D3279*B3279/100/C3279))</f>
        <v/>
      </c>
      <c r="G3279">
        <f>IF(A3279="","",IF(OR(B3279&lt;&gt;B3278,C3279&lt;&gt;C3278,D3279&lt;&gt;D3278,E3279&lt;&gt;E3278),G3278+1,G3278))</f>
        <v/>
      </c>
    </row>
    <row r="3280">
      <c r="A3280" s="14">
        <f>IF(OR(NOT(ISNUMBER(Ввод!$B$5)),NOT(ISNUMBER(Ввод!$B$6))),"",IF(Ввод!$B$5+3278&gt;Ввод!$B$6,"",Ввод!$B$5+3278))</f>
        <v/>
      </c>
      <c r="B3280">
        <f>IF(A3280="","",IFERROR(INDEX(Ввод!$B$12:$B$71,MATCH(A3280,Ввод!$D$12:$D$71,1)),""))</f>
        <v/>
      </c>
      <c r="C3280">
        <f>IF(A3280="","",DATE(YEAR(A3280),12,31)-DATE(YEAR(A3280),1,1)+1)</f>
        <v/>
      </c>
      <c r="D3280">
        <f>IF(A3280="","",Ввод!$B$4-SUMIF(Оплаты!$A$6:$A$505,"&lt;"&amp;A3280,Оплаты!$B$6:$B$505))</f>
        <v/>
      </c>
      <c r="E3280">
        <f>IF(A3280="","",IF(SUMPRODUCT((Ввод!$F$12:$F$31&lt;&gt;"")*(Ввод!$F$12:$F$31&lt;=A3280)*(Ввод!$G$12:$G$31&gt;=A3280))&gt;0,1,0))</f>
        <v/>
      </c>
      <c r="F3280">
        <f>IF(OR(A3280="",B3280=""),"",IF(E3280=1,0,D3280*B3280/100/C3280))</f>
        <v/>
      </c>
      <c r="G3280">
        <f>IF(A3280="","",IF(OR(B3280&lt;&gt;B3279,C3280&lt;&gt;C3279,D3280&lt;&gt;D3279,E3280&lt;&gt;E3279),G3279+1,G3279))</f>
        <v/>
      </c>
    </row>
    <row r="3281">
      <c r="A3281" s="14">
        <f>IF(OR(NOT(ISNUMBER(Ввод!$B$5)),NOT(ISNUMBER(Ввод!$B$6))),"",IF(Ввод!$B$5+3279&gt;Ввод!$B$6,"",Ввод!$B$5+3279))</f>
        <v/>
      </c>
      <c r="B3281">
        <f>IF(A3281="","",IFERROR(INDEX(Ввод!$B$12:$B$71,MATCH(A3281,Ввод!$D$12:$D$71,1)),""))</f>
        <v/>
      </c>
      <c r="C3281">
        <f>IF(A3281="","",DATE(YEAR(A3281),12,31)-DATE(YEAR(A3281),1,1)+1)</f>
        <v/>
      </c>
      <c r="D3281">
        <f>IF(A3281="","",Ввод!$B$4-SUMIF(Оплаты!$A$6:$A$505,"&lt;"&amp;A3281,Оплаты!$B$6:$B$505))</f>
        <v/>
      </c>
      <c r="E3281">
        <f>IF(A3281="","",IF(SUMPRODUCT((Ввод!$F$12:$F$31&lt;&gt;"")*(Ввод!$F$12:$F$31&lt;=A3281)*(Ввод!$G$12:$G$31&gt;=A3281))&gt;0,1,0))</f>
        <v/>
      </c>
      <c r="F3281">
        <f>IF(OR(A3281="",B3281=""),"",IF(E3281=1,0,D3281*B3281/100/C3281))</f>
        <v/>
      </c>
      <c r="G3281">
        <f>IF(A3281="","",IF(OR(B3281&lt;&gt;B3280,C3281&lt;&gt;C3280,D3281&lt;&gt;D3280,E3281&lt;&gt;E3280),G3280+1,G3280))</f>
        <v/>
      </c>
    </row>
    <row r="3282">
      <c r="A3282" s="14">
        <f>IF(OR(NOT(ISNUMBER(Ввод!$B$5)),NOT(ISNUMBER(Ввод!$B$6))),"",IF(Ввод!$B$5+3280&gt;Ввод!$B$6,"",Ввод!$B$5+3280))</f>
        <v/>
      </c>
      <c r="B3282">
        <f>IF(A3282="","",IFERROR(INDEX(Ввод!$B$12:$B$71,MATCH(A3282,Ввод!$D$12:$D$71,1)),""))</f>
        <v/>
      </c>
      <c r="C3282">
        <f>IF(A3282="","",DATE(YEAR(A3282),12,31)-DATE(YEAR(A3282),1,1)+1)</f>
        <v/>
      </c>
      <c r="D3282">
        <f>IF(A3282="","",Ввод!$B$4-SUMIF(Оплаты!$A$6:$A$505,"&lt;"&amp;A3282,Оплаты!$B$6:$B$505))</f>
        <v/>
      </c>
      <c r="E3282">
        <f>IF(A3282="","",IF(SUMPRODUCT((Ввод!$F$12:$F$31&lt;&gt;"")*(Ввод!$F$12:$F$31&lt;=A3282)*(Ввод!$G$12:$G$31&gt;=A3282))&gt;0,1,0))</f>
        <v/>
      </c>
      <c r="F3282">
        <f>IF(OR(A3282="",B3282=""),"",IF(E3282=1,0,D3282*B3282/100/C3282))</f>
        <v/>
      </c>
      <c r="G3282">
        <f>IF(A3282="","",IF(OR(B3282&lt;&gt;B3281,C3282&lt;&gt;C3281,D3282&lt;&gt;D3281,E3282&lt;&gt;E3281),G3281+1,G3281))</f>
        <v/>
      </c>
    </row>
    <row r="3283">
      <c r="A3283" s="14">
        <f>IF(OR(NOT(ISNUMBER(Ввод!$B$5)),NOT(ISNUMBER(Ввод!$B$6))),"",IF(Ввод!$B$5+3281&gt;Ввод!$B$6,"",Ввод!$B$5+3281))</f>
        <v/>
      </c>
      <c r="B3283">
        <f>IF(A3283="","",IFERROR(INDEX(Ввод!$B$12:$B$71,MATCH(A3283,Ввод!$D$12:$D$71,1)),""))</f>
        <v/>
      </c>
      <c r="C3283">
        <f>IF(A3283="","",DATE(YEAR(A3283),12,31)-DATE(YEAR(A3283),1,1)+1)</f>
        <v/>
      </c>
      <c r="D3283">
        <f>IF(A3283="","",Ввод!$B$4-SUMIF(Оплаты!$A$6:$A$505,"&lt;"&amp;A3283,Оплаты!$B$6:$B$505))</f>
        <v/>
      </c>
      <c r="E3283">
        <f>IF(A3283="","",IF(SUMPRODUCT((Ввод!$F$12:$F$31&lt;&gt;"")*(Ввод!$F$12:$F$31&lt;=A3283)*(Ввод!$G$12:$G$31&gt;=A3283))&gt;0,1,0))</f>
        <v/>
      </c>
      <c r="F3283">
        <f>IF(OR(A3283="",B3283=""),"",IF(E3283=1,0,D3283*B3283/100/C3283))</f>
        <v/>
      </c>
      <c r="G3283">
        <f>IF(A3283="","",IF(OR(B3283&lt;&gt;B3282,C3283&lt;&gt;C3282,D3283&lt;&gt;D3282,E3283&lt;&gt;E3282),G3282+1,G3282))</f>
        <v/>
      </c>
    </row>
    <row r="3284">
      <c r="A3284" s="14">
        <f>IF(OR(NOT(ISNUMBER(Ввод!$B$5)),NOT(ISNUMBER(Ввод!$B$6))),"",IF(Ввод!$B$5+3282&gt;Ввод!$B$6,"",Ввод!$B$5+3282))</f>
        <v/>
      </c>
      <c r="B3284">
        <f>IF(A3284="","",IFERROR(INDEX(Ввод!$B$12:$B$71,MATCH(A3284,Ввод!$D$12:$D$71,1)),""))</f>
        <v/>
      </c>
      <c r="C3284">
        <f>IF(A3284="","",DATE(YEAR(A3284),12,31)-DATE(YEAR(A3284),1,1)+1)</f>
        <v/>
      </c>
      <c r="D3284">
        <f>IF(A3284="","",Ввод!$B$4-SUMIF(Оплаты!$A$6:$A$505,"&lt;"&amp;A3284,Оплаты!$B$6:$B$505))</f>
        <v/>
      </c>
      <c r="E3284">
        <f>IF(A3284="","",IF(SUMPRODUCT((Ввод!$F$12:$F$31&lt;&gt;"")*(Ввод!$F$12:$F$31&lt;=A3284)*(Ввод!$G$12:$G$31&gt;=A3284))&gt;0,1,0))</f>
        <v/>
      </c>
      <c r="F3284">
        <f>IF(OR(A3284="",B3284=""),"",IF(E3284=1,0,D3284*B3284/100/C3284))</f>
        <v/>
      </c>
      <c r="G3284">
        <f>IF(A3284="","",IF(OR(B3284&lt;&gt;B3283,C3284&lt;&gt;C3283,D3284&lt;&gt;D3283,E3284&lt;&gt;E3283),G3283+1,G3283))</f>
        <v/>
      </c>
    </row>
    <row r="3285">
      <c r="A3285" s="14">
        <f>IF(OR(NOT(ISNUMBER(Ввод!$B$5)),NOT(ISNUMBER(Ввод!$B$6))),"",IF(Ввод!$B$5+3283&gt;Ввод!$B$6,"",Ввод!$B$5+3283))</f>
        <v/>
      </c>
      <c r="B3285">
        <f>IF(A3285="","",IFERROR(INDEX(Ввод!$B$12:$B$71,MATCH(A3285,Ввод!$D$12:$D$71,1)),""))</f>
        <v/>
      </c>
      <c r="C3285">
        <f>IF(A3285="","",DATE(YEAR(A3285),12,31)-DATE(YEAR(A3285),1,1)+1)</f>
        <v/>
      </c>
      <c r="D3285">
        <f>IF(A3285="","",Ввод!$B$4-SUMIF(Оплаты!$A$6:$A$505,"&lt;"&amp;A3285,Оплаты!$B$6:$B$505))</f>
        <v/>
      </c>
      <c r="E3285">
        <f>IF(A3285="","",IF(SUMPRODUCT((Ввод!$F$12:$F$31&lt;&gt;"")*(Ввод!$F$12:$F$31&lt;=A3285)*(Ввод!$G$12:$G$31&gt;=A3285))&gt;0,1,0))</f>
        <v/>
      </c>
      <c r="F3285">
        <f>IF(OR(A3285="",B3285=""),"",IF(E3285=1,0,D3285*B3285/100/C3285))</f>
        <v/>
      </c>
      <c r="G3285">
        <f>IF(A3285="","",IF(OR(B3285&lt;&gt;B3284,C3285&lt;&gt;C3284,D3285&lt;&gt;D3284,E3285&lt;&gt;E3284),G3284+1,G3284))</f>
        <v/>
      </c>
    </row>
    <row r="3286">
      <c r="A3286" s="14">
        <f>IF(OR(NOT(ISNUMBER(Ввод!$B$5)),NOT(ISNUMBER(Ввод!$B$6))),"",IF(Ввод!$B$5+3284&gt;Ввод!$B$6,"",Ввод!$B$5+3284))</f>
        <v/>
      </c>
      <c r="B3286">
        <f>IF(A3286="","",IFERROR(INDEX(Ввод!$B$12:$B$71,MATCH(A3286,Ввод!$D$12:$D$71,1)),""))</f>
        <v/>
      </c>
      <c r="C3286">
        <f>IF(A3286="","",DATE(YEAR(A3286),12,31)-DATE(YEAR(A3286),1,1)+1)</f>
        <v/>
      </c>
      <c r="D3286">
        <f>IF(A3286="","",Ввод!$B$4-SUMIF(Оплаты!$A$6:$A$505,"&lt;"&amp;A3286,Оплаты!$B$6:$B$505))</f>
        <v/>
      </c>
      <c r="E3286">
        <f>IF(A3286="","",IF(SUMPRODUCT((Ввод!$F$12:$F$31&lt;&gt;"")*(Ввод!$F$12:$F$31&lt;=A3286)*(Ввод!$G$12:$G$31&gt;=A3286))&gt;0,1,0))</f>
        <v/>
      </c>
      <c r="F3286">
        <f>IF(OR(A3286="",B3286=""),"",IF(E3286=1,0,D3286*B3286/100/C3286))</f>
        <v/>
      </c>
      <c r="G3286">
        <f>IF(A3286="","",IF(OR(B3286&lt;&gt;B3285,C3286&lt;&gt;C3285,D3286&lt;&gt;D3285,E3286&lt;&gt;E3285),G3285+1,G3285))</f>
        <v/>
      </c>
    </row>
    <row r="3287">
      <c r="A3287" s="14">
        <f>IF(OR(NOT(ISNUMBER(Ввод!$B$5)),NOT(ISNUMBER(Ввод!$B$6))),"",IF(Ввод!$B$5+3285&gt;Ввод!$B$6,"",Ввод!$B$5+3285))</f>
        <v/>
      </c>
      <c r="B3287">
        <f>IF(A3287="","",IFERROR(INDEX(Ввод!$B$12:$B$71,MATCH(A3287,Ввод!$D$12:$D$71,1)),""))</f>
        <v/>
      </c>
      <c r="C3287">
        <f>IF(A3287="","",DATE(YEAR(A3287),12,31)-DATE(YEAR(A3287),1,1)+1)</f>
        <v/>
      </c>
      <c r="D3287">
        <f>IF(A3287="","",Ввод!$B$4-SUMIF(Оплаты!$A$6:$A$505,"&lt;"&amp;A3287,Оплаты!$B$6:$B$505))</f>
        <v/>
      </c>
      <c r="E3287">
        <f>IF(A3287="","",IF(SUMPRODUCT((Ввод!$F$12:$F$31&lt;&gt;"")*(Ввод!$F$12:$F$31&lt;=A3287)*(Ввод!$G$12:$G$31&gt;=A3287))&gt;0,1,0))</f>
        <v/>
      </c>
      <c r="F3287">
        <f>IF(OR(A3287="",B3287=""),"",IF(E3287=1,0,D3287*B3287/100/C3287))</f>
        <v/>
      </c>
      <c r="G3287">
        <f>IF(A3287="","",IF(OR(B3287&lt;&gt;B3286,C3287&lt;&gt;C3286,D3287&lt;&gt;D3286,E3287&lt;&gt;E3286),G3286+1,G3286))</f>
        <v/>
      </c>
    </row>
    <row r="3288">
      <c r="A3288" s="14">
        <f>IF(OR(NOT(ISNUMBER(Ввод!$B$5)),NOT(ISNUMBER(Ввод!$B$6))),"",IF(Ввод!$B$5+3286&gt;Ввод!$B$6,"",Ввод!$B$5+3286))</f>
        <v/>
      </c>
      <c r="B3288">
        <f>IF(A3288="","",IFERROR(INDEX(Ввод!$B$12:$B$71,MATCH(A3288,Ввод!$D$12:$D$71,1)),""))</f>
        <v/>
      </c>
      <c r="C3288">
        <f>IF(A3288="","",DATE(YEAR(A3288),12,31)-DATE(YEAR(A3288),1,1)+1)</f>
        <v/>
      </c>
      <c r="D3288">
        <f>IF(A3288="","",Ввод!$B$4-SUMIF(Оплаты!$A$6:$A$505,"&lt;"&amp;A3288,Оплаты!$B$6:$B$505))</f>
        <v/>
      </c>
      <c r="E3288">
        <f>IF(A3288="","",IF(SUMPRODUCT((Ввод!$F$12:$F$31&lt;&gt;"")*(Ввод!$F$12:$F$31&lt;=A3288)*(Ввод!$G$12:$G$31&gt;=A3288))&gt;0,1,0))</f>
        <v/>
      </c>
      <c r="F3288">
        <f>IF(OR(A3288="",B3288=""),"",IF(E3288=1,0,D3288*B3288/100/C3288))</f>
        <v/>
      </c>
      <c r="G3288">
        <f>IF(A3288="","",IF(OR(B3288&lt;&gt;B3287,C3288&lt;&gt;C3287,D3288&lt;&gt;D3287,E3288&lt;&gt;E3287),G3287+1,G3287))</f>
        <v/>
      </c>
    </row>
    <row r="3289">
      <c r="A3289" s="14">
        <f>IF(OR(NOT(ISNUMBER(Ввод!$B$5)),NOT(ISNUMBER(Ввод!$B$6))),"",IF(Ввод!$B$5+3287&gt;Ввод!$B$6,"",Ввод!$B$5+3287))</f>
        <v/>
      </c>
      <c r="B3289">
        <f>IF(A3289="","",IFERROR(INDEX(Ввод!$B$12:$B$71,MATCH(A3289,Ввод!$D$12:$D$71,1)),""))</f>
        <v/>
      </c>
      <c r="C3289">
        <f>IF(A3289="","",DATE(YEAR(A3289),12,31)-DATE(YEAR(A3289),1,1)+1)</f>
        <v/>
      </c>
      <c r="D3289">
        <f>IF(A3289="","",Ввод!$B$4-SUMIF(Оплаты!$A$6:$A$505,"&lt;"&amp;A3289,Оплаты!$B$6:$B$505))</f>
        <v/>
      </c>
      <c r="E3289">
        <f>IF(A3289="","",IF(SUMPRODUCT((Ввод!$F$12:$F$31&lt;&gt;"")*(Ввод!$F$12:$F$31&lt;=A3289)*(Ввод!$G$12:$G$31&gt;=A3289))&gt;0,1,0))</f>
        <v/>
      </c>
      <c r="F3289">
        <f>IF(OR(A3289="",B3289=""),"",IF(E3289=1,0,D3289*B3289/100/C3289))</f>
        <v/>
      </c>
      <c r="G3289">
        <f>IF(A3289="","",IF(OR(B3289&lt;&gt;B3288,C3289&lt;&gt;C3288,D3289&lt;&gt;D3288,E3289&lt;&gt;E3288),G3288+1,G3288))</f>
        <v/>
      </c>
    </row>
    <row r="3290">
      <c r="A3290" s="14">
        <f>IF(OR(NOT(ISNUMBER(Ввод!$B$5)),NOT(ISNUMBER(Ввод!$B$6))),"",IF(Ввод!$B$5+3288&gt;Ввод!$B$6,"",Ввод!$B$5+3288))</f>
        <v/>
      </c>
      <c r="B3290">
        <f>IF(A3290="","",IFERROR(INDEX(Ввод!$B$12:$B$71,MATCH(A3290,Ввод!$D$12:$D$71,1)),""))</f>
        <v/>
      </c>
      <c r="C3290">
        <f>IF(A3290="","",DATE(YEAR(A3290),12,31)-DATE(YEAR(A3290),1,1)+1)</f>
        <v/>
      </c>
      <c r="D3290">
        <f>IF(A3290="","",Ввод!$B$4-SUMIF(Оплаты!$A$6:$A$505,"&lt;"&amp;A3290,Оплаты!$B$6:$B$505))</f>
        <v/>
      </c>
      <c r="E3290">
        <f>IF(A3290="","",IF(SUMPRODUCT((Ввод!$F$12:$F$31&lt;&gt;"")*(Ввод!$F$12:$F$31&lt;=A3290)*(Ввод!$G$12:$G$31&gt;=A3290))&gt;0,1,0))</f>
        <v/>
      </c>
      <c r="F3290">
        <f>IF(OR(A3290="",B3290=""),"",IF(E3290=1,0,D3290*B3290/100/C3290))</f>
        <v/>
      </c>
      <c r="G3290">
        <f>IF(A3290="","",IF(OR(B3290&lt;&gt;B3289,C3290&lt;&gt;C3289,D3290&lt;&gt;D3289,E3290&lt;&gt;E3289),G3289+1,G3289))</f>
        <v/>
      </c>
    </row>
    <row r="3291">
      <c r="A3291" s="14">
        <f>IF(OR(NOT(ISNUMBER(Ввод!$B$5)),NOT(ISNUMBER(Ввод!$B$6))),"",IF(Ввод!$B$5+3289&gt;Ввод!$B$6,"",Ввод!$B$5+3289))</f>
        <v/>
      </c>
      <c r="B3291">
        <f>IF(A3291="","",IFERROR(INDEX(Ввод!$B$12:$B$71,MATCH(A3291,Ввод!$D$12:$D$71,1)),""))</f>
        <v/>
      </c>
      <c r="C3291">
        <f>IF(A3291="","",DATE(YEAR(A3291),12,31)-DATE(YEAR(A3291),1,1)+1)</f>
        <v/>
      </c>
      <c r="D3291">
        <f>IF(A3291="","",Ввод!$B$4-SUMIF(Оплаты!$A$6:$A$505,"&lt;"&amp;A3291,Оплаты!$B$6:$B$505))</f>
        <v/>
      </c>
      <c r="E3291">
        <f>IF(A3291="","",IF(SUMPRODUCT((Ввод!$F$12:$F$31&lt;&gt;"")*(Ввод!$F$12:$F$31&lt;=A3291)*(Ввод!$G$12:$G$31&gt;=A3291))&gt;0,1,0))</f>
        <v/>
      </c>
      <c r="F3291">
        <f>IF(OR(A3291="",B3291=""),"",IF(E3291=1,0,D3291*B3291/100/C3291))</f>
        <v/>
      </c>
      <c r="G3291">
        <f>IF(A3291="","",IF(OR(B3291&lt;&gt;B3290,C3291&lt;&gt;C3290,D3291&lt;&gt;D3290,E3291&lt;&gt;E3290),G3290+1,G3290))</f>
        <v/>
      </c>
    </row>
    <row r="3292">
      <c r="A3292" s="14">
        <f>IF(OR(NOT(ISNUMBER(Ввод!$B$5)),NOT(ISNUMBER(Ввод!$B$6))),"",IF(Ввод!$B$5+3290&gt;Ввод!$B$6,"",Ввод!$B$5+3290))</f>
        <v/>
      </c>
      <c r="B3292">
        <f>IF(A3292="","",IFERROR(INDEX(Ввод!$B$12:$B$71,MATCH(A3292,Ввод!$D$12:$D$71,1)),""))</f>
        <v/>
      </c>
      <c r="C3292">
        <f>IF(A3292="","",DATE(YEAR(A3292),12,31)-DATE(YEAR(A3292),1,1)+1)</f>
        <v/>
      </c>
      <c r="D3292">
        <f>IF(A3292="","",Ввод!$B$4-SUMIF(Оплаты!$A$6:$A$505,"&lt;"&amp;A3292,Оплаты!$B$6:$B$505))</f>
        <v/>
      </c>
      <c r="E3292">
        <f>IF(A3292="","",IF(SUMPRODUCT((Ввод!$F$12:$F$31&lt;&gt;"")*(Ввод!$F$12:$F$31&lt;=A3292)*(Ввод!$G$12:$G$31&gt;=A3292))&gt;0,1,0))</f>
        <v/>
      </c>
      <c r="F3292">
        <f>IF(OR(A3292="",B3292=""),"",IF(E3292=1,0,D3292*B3292/100/C3292))</f>
        <v/>
      </c>
      <c r="G3292">
        <f>IF(A3292="","",IF(OR(B3292&lt;&gt;B3291,C3292&lt;&gt;C3291,D3292&lt;&gt;D3291,E3292&lt;&gt;E3291),G3291+1,G3291))</f>
        <v/>
      </c>
    </row>
    <row r="3293">
      <c r="A3293" s="14">
        <f>IF(OR(NOT(ISNUMBER(Ввод!$B$5)),NOT(ISNUMBER(Ввод!$B$6))),"",IF(Ввод!$B$5+3291&gt;Ввод!$B$6,"",Ввод!$B$5+3291))</f>
        <v/>
      </c>
      <c r="B3293">
        <f>IF(A3293="","",IFERROR(INDEX(Ввод!$B$12:$B$71,MATCH(A3293,Ввод!$D$12:$D$71,1)),""))</f>
        <v/>
      </c>
      <c r="C3293">
        <f>IF(A3293="","",DATE(YEAR(A3293),12,31)-DATE(YEAR(A3293),1,1)+1)</f>
        <v/>
      </c>
      <c r="D3293">
        <f>IF(A3293="","",Ввод!$B$4-SUMIF(Оплаты!$A$6:$A$505,"&lt;"&amp;A3293,Оплаты!$B$6:$B$505))</f>
        <v/>
      </c>
      <c r="E3293">
        <f>IF(A3293="","",IF(SUMPRODUCT((Ввод!$F$12:$F$31&lt;&gt;"")*(Ввод!$F$12:$F$31&lt;=A3293)*(Ввод!$G$12:$G$31&gt;=A3293))&gt;0,1,0))</f>
        <v/>
      </c>
      <c r="F3293">
        <f>IF(OR(A3293="",B3293=""),"",IF(E3293=1,0,D3293*B3293/100/C3293))</f>
        <v/>
      </c>
      <c r="G3293">
        <f>IF(A3293="","",IF(OR(B3293&lt;&gt;B3292,C3293&lt;&gt;C3292,D3293&lt;&gt;D3292,E3293&lt;&gt;E3292),G3292+1,G3292))</f>
        <v/>
      </c>
    </row>
    <row r="3294">
      <c r="A3294" s="14">
        <f>IF(OR(NOT(ISNUMBER(Ввод!$B$5)),NOT(ISNUMBER(Ввод!$B$6))),"",IF(Ввод!$B$5+3292&gt;Ввод!$B$6,"",Ввод!$B$5+3292))</f>
        <v/>
      </c>
      <c r="B3294">
        <f>IF(A3294="","",IFERROR(INDEX(Ввод!$B$12:$B$71,MATCH(A3294,Ввод!$D$12:$D$71,1)),""))</f>
        <v/>
      </c>
      <c r="C3294">
        <f>IF(A3294="","",DATE(YEAR(A3294),12,31)-DATE(YEAR(A3294),1,1)+1)</f>
        <v/>
      </c>
      <c r="D3294">
        <f>IF(A3294="","",Ввод!$B$4-SUMIF(Оплаты!$A$6:$A$505,"&lt;"&amp;A3294,Оплаты!$B$6:$B$505))</f>
        <v/>
      </c>
      <c r="E3294">
        <f>IF(A3294="","",IF(SUMPRODUCT((Ввод!$F$12:$F$31&lt;&gt;"")*(Ввод!$F$12:$F$31&lt;=A3294)*(Ввод!$G$12:$G$31&gt;=A3294))&gt;0,1,0))</f>
        <v/>
      </c>
      <c r="F3294">
        <f>IF(OR(A3294="",B3294=""),"",IF(E3294=1,0,D3294*B3294/100/C3294))</f>
        <v/>
      </c>
      <c r="G3294">
        <f>IF(A3294="","",IF(OR(B3294&lt;&gt;B3293,C3294&lt;&gt;C3293,D3294&lt;&gt;D3293,E3294&lt;&gt;E3293),G3293+1,G3293))</f>
        <v/>
      </c>
    </row>
    <row r="3295">
      <c r="A3295" s="14">
        <f>IF(OR(NOT(ISNUMBER(Ввод!$B$5)),NOT(ISNUMBER(Ввод!$B$6))),"",IF(Ввод!$B$5+3293&gt;Ввод!$B$6,"",Ввод!$B$5+3293))</f>
        <v/>
      </c>
      <c r="B3295">
        <f>IF(A3295="","",IFERROR(INDEX(Ввод!$B$12:$B$71,MATCH(A3295,Ввод!$D$12:$D$71,1)),""))</f>
        <v/>
      </c>
      <c r="C3295">
        <f>IF(A3295="","",DATE(YEAR(A3295),12,31)-DATE(YEAR(A3295),1,1)+1)</f>
        <v/>
      </c>
      <c r="D3295">
        <f>IF(A3295="","",Ввод!$B$4-SUMIF(Оплаты!$A$6:$A$505,"&lt;"&amp;A3295,Оплаты!$B$6:$B$505))</f>
        <v/>
      </c>
      <c r="E3295">
        <f>IF(A3295="","",IF(SUMPRODUCT((Ввод!$F$12:$F$31&lt;&gt;"")*(Ввод!$F$12:$F$31&lt;=A3295)*(Ввод!$G$12:$G$31&gt;=A3295))&gt;0,1,0))</f>
        <v/>
      </c>
      <c r="F3295">
        <f>IF(OR(A3295="",B3295=""),"",IF(E3295=1,0,D3295*B3295/100/C3295))</f>
        <v/>
      </c>
      <c r="G3295">
        <f>IF(A3295="","",IF(OR(B3295&lt;&gt;B3294,C3295&lt;&gt;C3294,D3295&lt;&gt;D3294,E3295&lt;&gt;E3294),G3294+1,G3294))</f>
        <v/>
      </c>
    </row>
    <row r="3296">
      <c r="A3296" s="14">
        <f>IF(OR(NOT(ISNUMBER(Ввод!$B$5)),NOT(ISNUMBER(Ввод!$B$6))),"",IF(Ввод!$B$5+3294&gt;Ввод!$B$6,"",Ввод!$B$5+3294))</f>
        <v/>
      </c>
      <c r="B3296">
        <f>IF(A3296="","",IFERROR(INDEX(Ввод!$B$12:$B$71,MATCH(A3296,Ввод!$D$12:$D$71,1)),""))</f>
        <v/>
      </c>
      <c r="C3296">
        <f>IF(A3296="","",DATE(YEAR(A3296),12,31)-DATE(YEAR(A3296),1,1)+1)</f>
        <v/>
      </c>
      <c r="D3296">
        <f>IF(A3296="","",Ввод!$B$4-SUMIF(Оплаты!$A$6:$A$505,"&lt;"&amp;A3296,Оплаты!$B$6:$B$505))</f>
        <v/>
      </c>
      <c r="E3296">
        <f>IF(A3296="","",IF(SUMPRODUCT((Ввод!$F$12:$F$31&lt;&gt;"")*(Ввод!$F$12:$F$31&lt;=A3296)*(Ввод!$G$12:$G$31&gt;=A3296))&gt;0,1,0))</f>
        <v/>
      </c>
      <c r="F3296">
        <f>IF(OR(A3296="",B3296=""),"",IF(E3296=1,0,D3296*B3296/100/C3296))</f>
        <v/>
      </c>
      <c r="G3296">
        <f>IF(A3296="","",IF(OR(B3296&lt;&gt;B3295,C3296&lt;&gt;C3295,D3296&lt;&gt;D3295,E3296&lt;&gt;E3295),G3295+1,G3295))</f>
        <v/>
      </c>
    </row>
    <row r="3297">
      <c r="A3297" s="14">
        <f>IF(OR(NOT(ISNUMBER(Ввод!$B$5)),NOT(ISNUMBER(Ввод!$B$6))),"",IF(Ввод!$B$5+3295&gt;Ввод!$B$6,"",Ввод!$B$5+3295))</f>
        <v/>
      </c>
      <c r="B3297">
        <f>IF(A3297="","",IFERROR(INDEX(Ввод!$B$12:$B$71,MATCH(A3297,Ввод!$D$12:$D$71,1)),""))</f>
        <v/>
      </c>
      <c r="C3297">
        <f>IF(A3297="","",DATE(YEAR(A3297),12,31)-DATE(YEAR(A3297),1,1)+1)</f>
        <v/>
      </c>
      <c r="D3297">
        <f>IF(A3297="","",Ввод!$B$4-SUMIF(Оплаты!$A$6:$A$505,"&lt;"&amp;A3297,Оплаты!$B$6:$B$505))</f>
        <v/>
      </c>
      <c r="E3297">
        <f>IF(A3297="","",IF(SUMPRODUCT((Ввод!$F$12:$F$31&lt;&gt;"")*(Ввод!$F$12:$F$31&lt;=A3297)*(Ввод!$G$12:$G$31&gt;=A3297))&gt;0,1,0))</f>
        <v/>
      </c>
      <c r="F3297">
        <f>IF(OR(A3297="",B3297=""),"",IF(E3297=1,0,D3297*B3297/100/C3297))</f>
        <v/>
      </c>
      <c r="G3297">
        <f>IF(A3297="","",IF(OR(B3297&lt;&gt;B3296,C3297&lt;&gt;C3296,D3297&lt;&gt;D3296,E3297&lt;&gt;E3296),G3296+1,G3296))</f>
        <v/>
      </c>
    </row>
    <row r="3298">
      <c r="A3298" s="14">
        <f>IF(OR(NOT(ISNUMBER(Ввод!$B$5)),NOT(ISNUMBER(Ввод!$B$6))),"",IF(Ввод!$B$5+3296&gt;Ввод!$B$6,"",Ввод!$B$5+3296))</f>
        <v/>
      </c>
      <c r="B3298">
        <f>IF(A3298="","",IFERROR(INDEX(Ввод!$B$12:$B$71,MATCH(A3298,Ввод!$D$12:$D$71,1)),""))</f>
        <v/>
      </c>
      <c r="C3298">
        <f>IF(A3298="","",DATE(YEAR(A3298),12,31)-DATE(YEAR(A3298),1,1)+1)</f>
        <v/>
      </c>
      <c r="D3298">
        <f>IF(A3298="","",Ввод!$B$4-SUMIF(Оплаты!$A$6:$A$505,"&lt;"&amp;A3298,Оплаты!$B$6:$B$505))</f>
        <v/>
      </c>
      <c r="E3298">
        <f>IF(A3298="","",IF(SUMPRODUCT((Ввод!$F$12:$F$31&lt;&gt;"")*(Ввод!$F$12:$F$31&lt;=A3298)*(Ввод!$G$12:$G$31&gt;=A3298))&gt;0,1,0))</f>
        <v/>
      </c>
      <c r="F3298">
        <f>IF(OR(A3298="",B3298=""),"",IF(E3298=1,0,D3298*B3298/100/C3298))</f>
        <v/>
      </c>
      <c r="G3298">
        <f>IF(A3298="","",IF(OR(B3298&lt;&gt;B3297,C3298&lt;&gt;C3297,D3298&lt;&gt;D3297,E3298&lt;&gt;E3297),G3297+1,G3297))</f>
        <v/>
      </c>
    </row>
    <row r="3299">
      <c r="A3299" s="14">
        <f>IF(OR(NOT(ISNUMBER(Ввод!$B$5)),NOT(ISNUMBER(Ввод!$B$6))),"",IF(Ввод!$B$5+3297&gt;Ввод!$B$6,"",Ввод!$B$5+3297))</f>
        <v/>
      </c>
      <c r="B3299">
        <f>IF(A3299="","",IFERROR(INDEX(Ввод!$B$12:$B$71,MATCH(A3299,Ввод!$D$12:$D$71,1)),""))</f>
        <v/>
      </c>
      <c r="C3299">
        <f>IF(A3299="","",DATE(YEAR(A3299),12,31)-DATE(YEAR(A3299),1,1)+1)</f>
        <v/>
      </c>
      <c r="D3299">
        <f>IF(A3299="","",Ввод!$B$4-SUMIF(Оплаты!$A$6:$A$505,"&lt;"&amp;A3299,Оплаты!$B$6:$B$505))</f>
        <v/>
      </c>
      <c r="E3299">
        <f>IF(A3299="","",IF(SUMPRODUCT((Ввод!$F$12:$F$31&lt;&gt;"")*(Ввод!$F$12:$F$31&lt;=A3299)*(Ввод!$G$12:$G$31&gt;=A3299))&gt;0,1,0))</f>
        <v/>
      </c>
      <c r="F3299">
        <f>IF(OR(A3299="",B3299=""),"",IF(E3299=1,0,D3299*B3299/100/C3299))</f>
        <v/>
      </c>
      <c r="G3299">
        <f>IF(A3299="","",IF(OR(B3299&lt;&gt;B3298,C3299&lt;&gt;C3298,D3299&lt;&gt;D3298,E3299&lt;&gt;E3298),G3298+1,G3298))</f>
        <v/>
      </c>
    </row>
    <row r="3300">
      <c r="A3300" s="14">
        <f>IF(OR(NOT(ISNUMBER(Ввод!$B$5)),NOT(ISNUMBER(Ввод!$B$6))),"",IF(Ввод!$B$5+3298&gt;Ввод!$B$6,"",Ввод!$B$5+3298))</f>
        <v/>
      </c>
      <c r="B3300">
        <f>IF(A3300="","",IFERROR(INDEX(Ввод!$B$12:$B$71,MATCH(A3300,Ввод!$D$12:$D$71,1)),""))</f>
        <v/>
      </c>
      <c r="C3300">
        <f>IF(A3300="","",DATE(YEAR(A3300),12,31)-DATE(YEAR(A3300),1,1)+1)</f>
        <v/>
      </c>
      <c r="D3300">
        <f>IF(A3300="","",Ввод!$B$4-SUMIF(Оплаты!$A$6:$A$505,"&lt;"&amp;A3300,Оплаты!$B$6:$B$505))</f>
        <v/>
      </c>
      <c r="E3300">
        <f>IF(A3300="","",IF(SUMPRODUCT((Ввод!$F$12:$F$31&lt;&gt;"")*(Ввод!$F$12:$F$31&lt;=A3300)*(Ввод!$G$12:$G$31&gt;=A3300))&gt;0,1,0))</f>
        <v/>
      </c>
      <c r="F3300">
        <f>IF(OR(A3300="",B3300=""),"",IF(E3300=1,0,D3300*B3300/100/C3300))</f>
        <v/>
      </c>
      <c r="G3300">
        <f>IF(A3300="","",IF(OR(B3300&lt;&gt;B3299,C3300&lt;&gt;C3299,D3300&lt;&gt;D3299,E3300&lt;&gt;E3299),G3299+1,G3299))</f>
        <v/>
      </c>
    </row>
    <row r="3301">
      <c r="A3301" s="14">
        <f>IF(OR(NOT(ISNUMBER(Ввод!$B$5)),NOT(ISNUMBER(Ввод!$B$6))),"",IF(Ввод!$B$5+3299&gt;Ввод!$B$6,"",Ввод!$B$5+3299))</f>
        <v/>
      </c>
      <c r="B3301">
        <f>IF(A3301="","",IFERROR(INDEX(Ввод!$B$12:$B$71,MATCH(A3301,Ввод!$D$12:$D$71,1)),""))</f>
        <v/>
      </c>
      <c r="C3301">
        <f>IF(A3301="","",DATE(YEAR(A3301),12,31)-DATE(YEAR(A3301),1,1)+1)</f>
        <v/>
      </c>
      <c r="D3301">
        <f>IF(A3301="","",Ввод!$B$4-SUMIF(Оплаты!$A$6:$A$505,"&lt;"&amp;A3301,Оплаты!$B$6:$B$505))</f>
        <v/>
      </c>
      <c r="E3301">
        <f>IF(A3301="","",IF(SUMPRODUCT((Ввод!$F$12:$F$31&lt;&gt;"")*(Ввод!$F$12:$F$31&lt;=A3301)*(Ввод!$G$12:$G$31&gt;=A3301))&gt;0,1,0))</f>
        <v/>
      </c>
      <c r="F3301">
        <f>IF(OR(A3301="",B3301=""),"",IF(E3301=1,0,D3301*B3301/100/C3301))</f>
        <v/>
      </c>
      <c r="G3301">
        <f>IF(A3301="","",IF(OR(B3301&lt;&gt;B3300,C3301&lt;&gt;C3300,D3301&lt;&gt;D3300,E3301&lt;&gt;E3300),G3300+1,G3300))</f>
        <v/>
      </c>
    </row>
    <row r="3302">
      <c r="A3302" s="14">
        <f>IF(OR(NOT(ISNUMBER(Ввод!$B$5)),NOT(ISNUMBER(Ввод!$B$6))),"",IF(Ввод!$B$5+3300&gt;Ввод!$B$6,"",Ввод!$B$5+3300))</f>
        <v/>
      </c>
      <c r="B3302">
        <f>IF(A3302="","",IFERROR(INDEX(Ввод!$B$12:$B$71,MATCH(A3302,Ввод!$D$12:$D$71,1)),""))</f>
        <v/>
      </c>
      <c r="C3302">
        <f>IF(A3302="","",DATE(YEAR(A3302),12,31)-DATE(YEAR(A3302),1,1)+1)</f>
        <v/>
      </c>
      <c r="D3302">
        <f>IF(A3302="","",Ввод!$B$4-SUMIF(Оплаты!$A$6:$A$505,"&lt;"&amp;A3302,Оплаты!$B$6:$B$505))</f>
        <v/>
      </c>
      <c r="E3302">
        <f>IF(A3302="","",IF(SUMPRODUCT((Ввод!$F$12:$F$31&lt;&gt;"")*(Ввод!$F$12:$F$31&lt;=A3302)*(Ввод!$G$12:$G$31&gt;=A3302))&gt;0,1,0))</f>
        <v/>
      </c>
      <c r="F3302">
        <f>IF(OR(A3302="",B3302=""),"",IF(E3302=1,0,D3302*B3302/100/C3302))</f>
        <v/>
      </c>
      <c r="G3302">
        <f>IF(A3302="","",IF(OR(B3302&lt;&gt;B3301,C3302&lt;&gt;C3301,D3302&lt;&gt;D3301,E3302&lt;&gt;E3301),G3301+1,G3301))</f>
        <v/>
      </c>
    </row>
    <row r="3303">
      <c r="A3303" s="14">
        <f>IF(OR(NOT(ISNUMBER(Ввод!$B$5)),NOT(ISNUMBER(Ввод!$B$6))),"",IF(Ввод!$B$5+3301&gt;Ввод!$B$6,"",Ввод!$B$5+3301))</f>
        <v/>
      </c>
      <c r="B3303">
        <f>IF(A3303="","",IFERROR(INDEX(Ввод!$B$12:$B$71,MATCH(A3303,Ввод!$D$12:$D$71,1)),""))</f>
        <v/>
      </c>
      <c r="C3303">
        <f>IF(A3303="","",DATE(YEAR(A3303),12,31)-DATE(YEAR(A3303),1,1)+1)</f>
        <v/>
      </c>
      <c r="D3303">
        <f>IF(A3303="","",Ввод!$B$4-SUMIF(Оплаты!$A$6:$A$505,"&lt;"&amp;A3303,Оплаты!$B$6:$B$505))</f>
        <v/>
      </c>
      <c r="E3303">
        <f>IF(A3303="","",IF(SUMPRODUCT((Ввод!$F$12:$F$31&lt;&gt;"")*(Ввод!$F$12:$F$31&lt;=A3303)*(Ввод!$G$12:$G$31&gt;=A3303))&gt;0,1,0))</f>
        <v/>
      </c>
      <c r="F3303">
        <f>IF(OR(A3303="",B3303=""),"",IF(E3303=1,0,D3303*B3303/100/C3303))</f>
        <v/>
      </c>
      <c r="G3303">
        <f>IF(A3303="","",IF(OR(B3303&lt;&gt;B3302,C3303&lt;&gt;C3302,D3303&lt;&gt;D3302,E3303&lt;&gt;E3302),G3302+1,G3302))</f>
        <v/>
      </c>
    </row>
    <row r="3304">
      <c r="A3304" s="14">
        <f>IF(OR(NOT(ISNUMBER(Ввод!$B$5)),NOT(ISNUMBER(Ввод!$B$6))),"",IF(Ввод!$B$5+3302&gt;Ввод!$B$6,"",Ввод!$B$5+3302))</f>
        <v/>
      </c>
      <c r="B3304">
        <f>IF(A3304="","",IFERROR(INDEX(Ввод!$B$12:$B$71,MATCH(A3304,Ввод!$D$12:$D$71,1)),""))</f>
        <v/>
      </c>
      <c r="C3304">
        <f>IF(A3304="","",DATE(YEAR(A3304),12,31)-DATE(YEAR(A3304),1,1)+1)</f>
        <v/>
      </c>
      <c r="D3304">
        <f>IF(A3304="","",Ввод!$B$4-SUMIF(Оплаты!$A$6:$A$505,"&lt;"&amp;A3304,Оплаты!$B$6:$B$505))</f>
        <v/>
      </c>
      <c r="E3304">
        <f>IF(A3304="","",IF(SUMPRODUCT((Ввод!$F$12:$F$31&lt;&gt;"")*(Ввод!$F$12:$F$31&lt;=A3304)*(Ввод!$G$12:$G$31&gt;=A3304))&gt;0,1,0))</f>
        <v/>
      </c>
      <c r="F3304">
        <f>IF(OR(A3304="",B3304=""),"",IF(E3304=1,0,D3304*B3304/100/C3304))</f>
        <v/>
      </c>
      <c r="G3304">
        <f>IF(A3304="","",IF(OR(B3304&lt;&gt;B3303,C3304&lt;&gt;C3303,D3304&lt;&gt;D3303,E3304&lt;&gt;E3303),G3303+1,G3303))</f>
        <v/>
      </c>
    </row>
    <row r="3305">
      <c r="A3305" s="14">
        <f>IF(OR(NOT(ISNUMBER(Ввод!$B$5)),NOT(ISNUMBER(Ввод!$B$6))),"",IF(Ввод!$B$5+3303&gt;Ввод!$B$6,"",Ввод!$B$5+3303))</f>
        <v/>
      </c>
      <c r="B3305">
        <f>IF(A3305="","",IFERROR(INDEX(Ввод!$B$12:$B$71,MATCH(A3305,Ввод!$D$12:$D$71,1)),""))</f>
        <v/>
      </c>
      <c r="C3305">
        <f>IF(A3305="","",DATE(YEAR(A3305),12,31)-DATE(YEAR(A3305),1,1)+1)</f>
        <v/>
      </c>
      <c r="D3305">
        <f>IF(A3305="","",Ввод!$B$4-SUMIF(Оплаты!$A$6:$A$505,"&lt;"&amp;A3305,Оплаты!$B$6:$B$505))</f>
        <v/>
      </c>
      <c r="E3305">
        <f>IF(A3305="","",IF(SUMPRODUCT((Ввод!$F$12:$F$31&lt;&gt;"")*(Ввод!$F$12:$F$31&lt;=A3305)*(Ввод!$G$12:$G$31&gt;=A3305))&gt;0,1,0))</f>
        <v/>
      </c>
      <c r="F3305">
        <f>IF(OR(A3305="",B3305=""),"",IF(E3305=1,0,D3305*B3305/100/C3305))</f>
        <v/>
      </c>
      <c r="G3305">
        <f>IF(A3305="","",IF(OR(B3305&lt;&gt;B3304,C3305&lt;&gt;C3304,D3305&lt;&gt;D3304,E3305&lt;&gt;E3304),G3304+1,G3304))</f>
        <v/>
      </c>
    </row>
    <row r="3306">
      <c r="A3306" s="14">
        <f>IF(OR(NOT(ISNUMBER(Ввод!$B$5)),NOT(ISNUMBER(Ввод!$B$6))),"",IF(Ввод!$B$5+3304&gt;Ввод!$B$6,"",Ввод!$B$5+3304))</f>
        <v/>
      </c>
      <c r="B3306">
        <f>IF(A3306="","",IFERROR(INDEX(Ввод!$B$12:$B$71,MATCH(A3306,Ввод!$D$12:$D$71,1)),""))</f>
        <v/>
      </c>
      <c r="C3306">
        <f>IF(A3306="","",DATE(YEAR(A3306),12,31)-DATE(YEAR(A3306),1,1)+1)</f>
        <v/>
      </c>
      <c r="D3306">
        <f>IF(A3306="","",Ввод!$B$4-SUMIF(Оплаты!$A$6:$A$505,"&lt;"&amp;A3306,Оплаты!$B$6:$B$505))</f>
        <v/>
      </c>
      <c r="E3306">
        <f>IF(A3306="","",IF(SUMPRODUCT((Ввод!$F$12:$F$31&lt;&gt;"")*(Ввод!$F$12:$F$31&lt;=A3306)*(Ввод!$G$12:$G$31&gt;=A3306))&gt;0,1,0))</f>
        <v/>
      </c>
      <c r="F3306">
        <f>IF(OR(A3306="",B3306=""),"",IF(E3306=1,0,D3306*B3306/100/C3306))</f>
        <v/>
      </c>
      <c r="G3306">
        <f>IF(A3306="","",IF(OR(B3306&lt;&gt;B3305,C3306&lt;&gt;C3305,D3306&lt;&gt;D3305,E3306&lt;&gt;E3305),G3305+1,G3305))</f>
        <v/>
      </c>
    </row>
    <row r="3307">
      <c r="A3307" s="14">
        <f>IF(OR(NOT(ISNUMBER(Ввод!$B$5)),NOT(ISNUMBER(Ввод!$B$6))),"",IF(Ввод!$B$5+3305&gt;Ввод!$B$6,"",Ввод!$B$5+3305))</f>
        <v/>
      </c>
      <c r="B3307">
        <f>IF(A3307="","",IFERROR(INDEX(Ввод!$B$12:$B$71,MATCH(A3307,Ввод!$D$12:$D$71,1)),""))</f>
        <v/>
      </c>
      <c r="C3307">
        <f>IF(A3307="","",DATE(YEAR(A3307),12,31)-DATE(YEAR(A3307),1,1)+1)</f>
        <v/>
      </c>
      <c r="D3307">
        <f>IF(A3307="","",Ввод!$B$4-SUMIF(Оплаты!$A$6:$A$505,"&lt;"&amp;A3307,Оплаты!$B$6:$B$505))</f>
        <v/>
      </c>
      <c r="E3307">
        <f>IF(A3307="","",IF(SUMPRODUCT((Ввод!$F$12:$F$31&lt;&gt;"")*(Ввод!$F$12:$F$31&lt;=A3307)*(Ввод!$G$12:$G$31&gt;=A3307))&gt;0,1,0))</f>
        <v/>
      </c>
      <c r="F3307">
        <f>IF(OR(A3307="",B3307=""),"",IF(E3307=1,0,D3307*B3307/100/C3307))</f>
        <v/>
      </c>
      <c r="G3307">
        <f>IF(A3307="","",IF(OR(B3307&lt;&gt;B3306,C3307&lt;&gt;C3306,D3307&lt;&gt;D3306,E3307&lt;&gt;E3306),G3306+1,G3306))</f>
        <v/>
      </c>
    </row>
    <row r="3308">
      <c r="A3308" s="14">
        <f>IF(OR(NOT(ISNUMBER(Ввод!$B$5)),NOT(ISNUMBER(Ввод!$B$6))),"",IF(Ввод!$B$5+3306&gt;Ввод!$B$6,"",Ввод!$B$5+3306))</f>
        <v/>
      </c>
      <c r="B3308">
        <f>IF(A3308="","",IFERROR(INDEX(Ввод!$B$12:$B$71,MATCH(A3308,Ввод!$D$12:$D$71,1)),""))</f>
        <v/>
      </c>
      <c r="C3308">
        <f>IF(A3308="","",DATE(YEAR(A3308),12,31)-DATE(YEAR(A3308),1,1)+1)</f>
        <v/>
      </c>
      <c r="D3308">
        <f>IF(A3308="","",Ввод!$B$4-SUMIF(Оплаты!$A$6:$A$505,"&lt;"&amp;A3308,Оплаты!$B$6:$B$505))</f>
        <v/>
      </c>
      <c r="E3308">
        <f>IF(A3308="","",IF(SUMPRODUCT((Ввод!$F$12:$F$31&lt;&gt;"")*(Ввод!$F$12:$F$31&lt;=A3308)*(Ввод!$G$12:$G$31&gt;=A3308))&gt;0,1,0))</f>
        <v/>
      </c>
      <c r="F3308">
        <f>IF(OR(A3308="",B3308=""),"",IF(E3308=1,0,D3308*B3308/100/C3308))</f>
        <v/>
      </c>
      <c r="G3308">
        <f>IF(A3308="","",IF(OR(B3308&lt;&gt;B3307,C3308&lt;&gt;C3307,D3308&lt;&gt;D3307,E3308&lt;&gt;E3307),G3307+1,G3307))</f>
        <v/>
      </c>
    </row>
    <row r="3309">
      <c r="A3309" s="14">
        <f>IF(OR(NOT(ISNUMBER(Ввод!$B$5)),NOT(ISNUMBER(Ввод!$B$6))),"",IF(Ввод!$B$5+3307&gt;Ввод!$B$6,"",Ввод!$B$5+3307))</f>
        <v/>
      </c>
      <c r="B3309">
        <f>IF(A3309="","",IFERROR(INDEX(Ввод!$B$12:$B$71,MATCH(A3309,Ввод!$D$12:$D$71,1)),""))</f>
        <v/>
      </c>
      <c r="C3309">
        <f>IF(A3309="","",DATE(YEAR(A3309),12,31)-DATE(YEAR(A3309),1,1)+1)</f>
        <v/>
      </c>
      <c r="D3309">
        <f>IF(A3309="","",Ввод!$B$4-SUMIF(Оплаты!$A$6:$A$505,"&lt;"&amp;A3309,Оплаты!$B$6:$B$505))</f>
        <v/>
      </c>
      <c r="E3309">
        <f>IF(A3309="","",IF(SUMPRODUCT((Ввод!$F$12:$F$31&lt;&gt;"")*(Ввод!$F$12:$F$31&lt;=A3309)*(Ввод!$G$12:$G$31&gt;=A3309))&gt;0,1,0))</f>
        <v/>
      </c>
      <c r="F3309">
        <f>IF(OR(A3309="",B3309=""),"",IF(E3309=1,0,D3309*B3309/100/C3309))</f>
        <v/>
      </c>
      <c r="G3309">
        <f>IF(A3309="","",IF(OR(B3309&lt;&gt;B3308,C3309&lt;&gt;C3308,D3309&lt;&gt;D3308,E3309&lt;&gt;E3308),G3308+1,G3308))</f>
        <v/>
      </c>
    </row>
    <row r="3310">
      <c r="A3310" s="14">
        <f>IF(OR(NOT(ISNUMBER(Ввод!$B$5)),NOT(ISNUMBER(Ввод!$B$6))),"",IF(Ввод!$B$5+3308&gt;Ввод!$B$6,"",Ввод!$B$5+3308))</f>
        <v/>
      </c>
      <c r="B3310">
        <f>IF(A3310="","",IFERROR(INDEX(Ввод!$B$12:$B$71,MATCH(A3310,Ввод!$D$12:$D$71,1)),""))</f>
        <v/>
      </c>
      <c r="C3310">
        <f>IF(A3310="","",DATE(YEAR(A3310),12,31)-DATE(YEAR(A3310),1,1)+1)</f>
        <v/>
      </c>
      <c r="D3310">
        <f>IF(A3310="","",Ввод!$B$4-SUMIF(Оплаты!$A$6:$A$505,"&lt;"&amp;A3310,Оплаты!$B$6:$B$505))</f>
        <v/>
      </c>
      <c r="E3310">
        <f>IF(A3310="","",IF(SUMPRODUCT((Ввод!$F$12:$F$31&lt;&gt;"")*(Ввод!$F$12:$F$31&lt;=A3310)*(Ввод!$G$12:$G$31&gt;=A3310))&gt;0,1,0))</f>
        <v/>
      </c>
      <c r="F3310">
        <f>IF(OR(A3310="",B3310=""),"",IF(E3310=1,0,D3310*B3310/100/C3310))</f>
        <v/>
      </c>
      <c r="G3310">
        <f>IF(A3310="","",IF(OR(B3310&lt;&gt;B3309,C3310&lt;&gt;C3309,D3310&lt;&gt;D3309,E3310&lt;&gt;E3309),G3309+1,G3309))</f>
        <v/>
      </c>
    </row>
    <row r="3311">
      <c r="A3311" s="14">
        <f>IF(OR(NOT(ISNUMBER(Ввод!$B$5)),NOT(ISNUMBER(Ввод!$B$6))),"",IF(Ввод!$B$5+3309&gt;Ввод!$B$6,"",Ввод!$B$5+3309))</f>
        <v/>
      </c>
      <c r="B3311">
        <f>IF(A3311="","",IFERROR(INDEX(Ввод!$B$12:$B$71,MATCH(A3311,Ввод!$D$12:$D$71,1)),""))</f>
        <v/>
      </c>
      <c r="C3311">
        <f>IF(A3311="","",DATE(YEAR(A3311),12,31)-DATE(YEAR(A3311),1,1)+1)</f>
        <v/>
      </c>
      <c r="D3311">
        <f>IF(A3311="","",Ввод!$B$4-SUMIF(Оплаты!$A$6:$A$505,"&lt;"&amp;A3311,Оплаты!$B$6:$B$505))</f>
        <v/>
      </c>
      <c r="E3311">
        <f>IF(A3311="","",IF(SUMPRODUCT((Ввод!$F$12:$F$31&lt;&gt;"")*(Ввод!$F$12:$F$31&lt;=A3311)*(Ввод!$G$12:$G$31&gt;=A3311))&gt;0,1,0))</f>
        <v/>
      </c>
      <c r="F3311">
        <f>IF(OR(A3311="",B3311=""),"",IF(E3311=1,0,D3311*B3311/100/C3311))</f>
        <v/>
      </c>
      <c r="G3311">
        <f>IF(A3311="","",IF(OR(B3311&lt;&gt;B3310,C3311&lt;&gt;C3310,D3311&lt;&gt;D3310,E3311&lt;&gt;E3310),G3310+1,G3310))</f>
        <v/>
      </c>
    </row>
    <row r="3312">
      <c r="A3312" s="14">
        <f>IF(OR(NOT(ISNUMBER(Ввод!$B$5)),NOT(ISNUMBER(Ввод!$B$6))),"",IF(Ввод!$B$5+3310&gt;Ввод!$B$6,"",Ввод!$B$5+3310))</f>
        <v/>
      </c>
      <c r="B3312">
        <f>IF(A3312="","",IFERROR(INDEX(Ввод!$B$12:$B$71,MATCH(A3312,Ввод!$D$12:$D$71,1)),""))</f>
        <v/>
      </c>
      <c r="C3312">
        <f>IF(A3312="","",DATE(YEAR(A3312),12,31)-DATE(YEAR(A3312),1,1)+1)</f>
        <v/>
      </c>
      <c r="D3312">
        <f>IF(A3312="","",Ввод!$B$4-SUMIF(Оплаты!$A$6:$A$505,"&lt;"&amp;A3312,Оплаты!$B$6:$B$505))</f>
        <v/>
      </c>
      <c r="E3312">
        <f>IF(A3312="","",IF(SUMPRODUCT((Ввод!$F$12:$F$31&lt;&gt;"")*(Ввод!$F$12:$F$31&lt;=A3312)*(Ввод!$G$12:$G$31&gt;=A3312))&gt;0,1,0))</f>
        <v/>
      </c>
      <c r="F3312">
        <f>IF(OR(A3312="",B3312=""),"",IF(E3312=1,0,D3312*B3312/100/C3312))</f>
        <v/>
      </c>
      <c r="G3312">
        <f>IF(A3312="","",IF(OR(B3312&lt;&gt;B3311,C3312&lt;&gt;C3311,D3312&lt;&gt;D3311,E3312&lt;&gt;E3311),G3311+1,G3311))</f>
        <v/>
      </c>
    </row>
    <row r="3313">
      <c r="A3313" s="14">
        <f>IF(OR(NOT(ISNUMBER(Ввод!$B$5)),NOT(ISNUMBER(Ввод!$B$6))),"",IF(Ввод!$B$5+3311&gt;Ввод!$B$6,"",Ввод!$B$5+3311))</f>
        <v/>
      </c>
      <c r="B3313">
        <f>IF(A3313="","",IFERROR(INDEX(Ввод!$B$12:$B$71,MATCH(A3313,Ввод!$D$12:$D$71,1)),""))</f>
        <v/>
      </c>
      <c r="C3313">
        <f>IF(A3313="","",DATE(YEAR(A3313),12,31)-DATE(YEAR(A3313),1,1)+1)</f>
        <v/>
      </c>
      <c r="D3313">
        <f>IF(A3313="","",Ввод!$B$4-SUMIF(Оплаты!$A$6:$A$505,"&lt;"&amp;A3313,Оплаты!$B$6:$B$505))</f>
        <v/>
      </c>
      <c r="E3313">
        <f>IF(A3313="","",IF(SUMPRODUCT((Ввод!$F$12:$F$31&lt;&gt;"")*(Ввод!$F$12:$F$31&lt;=A3313)*(Ввод!$G$12:$G$31&gt;=A3313))&gt;0,1,0))</f>
        <v/>
      </c>
      <c r="F3313">
        <f>IF(OR(A3313="",B3313=""),"",IF(E3313=1,0,D3313*B3313/100/C3313))</f>
        <v/>
      </c>
      <c r="G3313">
        <f>IF(A3313="","",IF(OR(B3313&lt;&gt;B3312,C3313&lt;&gt;C3312,D3313&lt;&gt;D3312,E3313&lt;&gt;E3312),G3312+1,G3312))</f>
        <v/>
      </c>
    </row>
    <row r="3314">
      <c r="A3314" s="14">
        <f>IF(OR(NOT(ISNUMBER(Ввод!$B$5)),NOT(ISNUMBER(Ввод!$B$6))),"",IF(Ввод!$B$5+3312&gt;Ввод!$B$6,"",Ввод!$B$5+3312))</f>
        <v/>
      </c>
      <c r="B3314">
        <f>IF(A3314="","",IFERROR(INDEX(Ввод!$B$12:$B$71,MATCH(A3314,Ввод!$D$12:$D$71,1)),""))</f>
        <v/>
      </c>
      <c r="C3314">
        <f>IF(A3314="","",DATE(YEAR(A3314),12,31)-DATE(YEAR(A3314),1,1)+1)</f>
        <v/>
      </c>
      <c r="D3314">
        <f>IF(A3314="","",Ввод!$B$4-SUMIF(Оплаты!$A$6:$A$505,"&lt;"&amp;A3314,Оплаты!$B$6:$B$505))</f>
        <v/>
      </c>
      <c r="E3314">
        <f>IF(A3314="","",IF(SUMPRODUCT((Ввод!$F$12:$F$31&lt;&gt;"")*(Ввод!$F$12:$F$31&lt;=A3314)*(Ввод!$G$12:$G$31&gt;=A3314))&gt;0,1,0))</f>
        <v/>
      </c>
      <c r="F3314">
        <f>IF(OR(A3314="",B3314=""),"",IF(E3314=1,0,D3314*B3314/100/C3314))</f>
        <v/>
      </c>
      <c r="G3314">
        <f>IF(A3314="","",IF(OR(B3314&lt;&gt;B3313,C3314&lt;&gt;C3313,D3314&lt;&gt;D3313,E3314&lt;&gt;E3313),G3313+1,G3313))</f>
        <v/>
      </c>
    </row>
    <row r="3315">
      <c r="A3315" s="14">
        <f>IF(OR(NOT(ISNUMBER(Ввод!$B$5)),NOT(ISNUMBER(Ввод!$B$6))),"",IF(Ввод!$B$5+3313&gt;Ввод!$B$6,"",Ввод!$B$5+3313))</f>
        <v/>
      </c>
      <c r="B3315">
        <f>IF(A3315="","",IFERROR(INDEX(Ввод!$B$12:$B$71,MATCH(A3315,Ввод!$D$12:$D$71,1)),""))</f>
        <v/>
      </c>
      <c r="C3315">
        <f>IF(A3315="","",DATE(YEAR(A3315),12,31)-DATE(YEAR(A3315),1,1)+1)</f>
        <v/>
      </c>
      <c r="D3315">
        <f>IF(A3315="","",Ввод!$B$4-SUMIF(Оплаты!$A$6:$A$505,"&lt;"&amp;A3315,Оплаты!$B$6:$B$505))</f>
        <v/>
      </c>
      <c r="E3315">
        <f>IF(A3315="","",IF(SUMPRODUCT((Ввод!$F$12:$F$31&lt;&gt;"")*(Ввод!$F$12:$F$31&lt;=A3315)*(Ввод!$G$12:$G$31&gt;=A3315))&gt;0,1,0))</f>
        <v/>
      </c>
      <c r="F3315">
        <f>IF(OR(A3315="",B3315=""),"",IF(E3315=1,0,D3315*B3315/100/C3315))</f>
        <v/>
      </c>
      <c r="G3315">
        <f>IF(A3315="","",IF(OR(B3315&lt;&gt;B3314,C3315&lt;&gt;C3314,D3315&lt;&gt;D3314,E3315&lt;&gt;E3314),G3314+1,G3314))</f>
        <v/>
      </c>
    </row>
    <row r="3316">
      <c r="A3316" s="14">
        <f>IF(OR(NOT(ISNUMBER(Ввод!$B$5)),NOT(ISNUMBER(Ввод!$B$6))),"",IF(Ввод!$B$5+3314&gt;Ввод!$B$6,"",Ввод!$B$5+3314))</f>
        <v/>
      </c>
      <c r="B3316">
        <f>IF(A3316="","",IFERROR(INDEX(Ввод!$B$12:$B$71,MATCH(A3316,Ввод!$D$12:$D$71,1)),""))</f>
        <v/>
      </c>
      <c r="C3316">
        <f>IF(A3316="","",DATE(YEAR(A3316),12,31)-DATE(YEAR(A3316),1,1)+1)</f>
        <v/>
      </c>
      <c r="D3316">
        <f>IF(A3316="","",Ввод!$B$4-SUMIF(Оплаты!$A$6:$A$505,"&lt;"&amp;A3316,Оплаты!$B$6:$B$505))</f>
        <v/>
      </c>
      <c r="E3316">
        <f>IF(A3316="","",IF(SUMPRODUCT((Ввод!$F$12:$F$31&lt;&gt;"")*(Ввод!$F$12:$F$31&lt;=A3316)*(Ввод!$G$12:$G$31&gt;=A3316))&gt;0,1,0))</f>
        <v/>
      </c>
      <c r="F3316">
        <f>IF(OR(A3316="",B3316=""),"",IF(E3316=1,0,D3316*B3316/100/C3316))</f>
        <v/>
      </c>
      <c r="G3316">
        <f>IF(A3316="","",IF(OR(B3316&lt;&gt;B3315,C3316&lt;&gt;C3315,D3316&lt;&gt;D3315,E3316&lt;&gt;E3315),G3315+1,G3315))</f>
        <v/>
      </c>
    </row>
    <row r="3317">
      <c r="A3317" s="14">
        <f>IF(OR(NOT(ISNUMBER(Ввод!$B$5)),NOT(ISNUMBER(Ввод!$B$6))),"",IF(Ввод!$B$5+3315&gt;Ввод!$B$6,"",Ввод!$B$5+3315))</f>
        <v/>
      </c>
      <c r="B3317">
        <f>IF(A3317="","",IFERROR(INDEX(Ввод!$B$12:$B$71,MATCH(A3317,Ввод!$D$12:$D$71,1)),""))</f>
        <v/>
      </c>
      <c r="C3317">
        <f>IF(A3317="","",DATE(YEAR(A3317),12,31)-DATE(YEAR(A3317),1,1)+1)</f>
        <v/>
      </c>
      <c r="D3317">
        <f>IF(A3317="","",Ввод!$B$4-SUMIF(Оплаты!$A$6:$A$505,"&lt;"&amp;A3317,Оплаты!$B$6:$B$505))</f>
        <v/>
      </c>
      <c r="E3317">
        <f>IF(A3317="","",IF(SUMPRODUCT((Ввод!$F$12:$F$31&lt;&gt;"")*(Ввод!$F$12:$F$31&lt;=A3317)*(Ввод!$G$12:$G$31&gt;=A3317))&gt;0,1,0))</f>
        <v/>
      </c>
      <c r="F3317">
        <f>IF(OR(A3317="",B3317=""),"",IF(E3317=1,0,D3317*B3317/100/C3317))</f>
        <v/>
      </c>
      <c r="G3317">
        <f>IF(A3317="","",IF(OR(B3317&lt;&gt;B3316,C3317&lt;&gt;C3316,D3317&lt;&gt;D3316,E3317&lt;&gt;E3316),G3316+1,G3316))</f>
        <v/>
      </c>
    </row>
    <row r="3318">
      <c r="A3318" s="14">
        <f>IF(OR(NOT(ISNUMBER(Ввод!$B$5)),NOT(ISNUMBER(Ввод!$B$6))),"",IF(Ввод!$B$5+3316&gt;Ввод!$B$6,"",Ввод!$B$5+3316))</f>
        <v/>
      </c>
      <c r="B3318">
        <f>IF(A3318="","",IFERROR(INDEX(Ввод!$B$12:$B$71,MATCH(A3318,Ввод!$D$12:$D$71,1)),""))</f>
        <v/>
      </c>
      <c r="C3318">
        <f>IF(A3318="","",DATE(YEAR(A3318),12,31)-DATE(YEAR(A3318),1,1)+1)</f>
        <v/>
      </c>
      <c r="D3318">
        <f>IF(A3318="","",Ввод!$B$4-SUMIF(Оплаты!$A$6:$A$505,"&lt;"&amp;A3318,Оплаты!$B$6:$B$505))</f>
        <v/>
      </c>
      <c r="E3318">
        <f>IF(A3318="","",IF(SUMPRODUCT((Ввод!$F$12:$F$31&lt;&gt;"")*(Ввод!$F$12:$F$31&lt;=A3318)*(Ввод!$G$12:$G$31&gt;=A3318))&gt;0,1,0))</f>
        <v/>
      </c>
      <c r="F3318">
        <f>IF(OR(A3318="",B3318=""),"",IF(E3318=1,0,D3318*B3318/100/C3318))</f>
        <v/>
      </c>
      <c r="G3318">
        <f>IF(A3318="","",IF(OR(B3318&lt;&gt;B3317,C3318&lt;&gt;C3317,D3318&lt;&gt;D3317,E3318&lt;&gt;E3317),G3317+1,G3317))</f>
        <v/>
      </c>
    </row>
    <row r="3319">
      <c r="A3319" s="14">
        <f>IF(OR(NOT(ISNUMBER(Ввод!$B$5)),NOT(ISNUMBER(Ввод!$B$6))),"",IF(Ввод!$B$5+3317&gt;Ввод!$B$6,"",Ввод!$B$5+3317))</f>
        <v/>
      </c>
      <c r="B3319">
        <f>IF(A3319="","",IFERROR(INDEX(Ввод!$B$12:$B$71,MATCH(A3319,Ввод!$D$12:$D$71,1)),""))</f>
        <v/>
      </c>
      <c r="C3319">
        <f>IF(A3319="","",DATE(YEAR(A3319),12,31)-DATE(YEAR(A3319),1,1)+1)</f>
        <v/>
      </c>
      <c r="D3319">
        <f>IF(A3319="","",Ввод!$B$4-SUMIF(Оплаты!$A$6:$A$505,"&lt;"&amp;A3319,Оплаты!$B$6:$B$505))</f>
        <v/>
      </c>
      <c r="E3319">
        <f>IF(A3319="","",IF(SUMPRODUCT((Ввод!$F$12:$F$31&lt;&gt;"")*(Ввод!$F$12:$F$31&lt;=A3319)*(Ввод!$G$12:$G$31&gt;=A3319))&gt;0,1,0))</f>
        <v/>
      </c>
      <c r="F3319">
        <f>IF(OR(A3319="",B3319=""),"",IF(E3319=1,0,D3319*B3319/100/C3319))</f>
        <v/>
      </c>
      <c r="G3319">
        <f>IF(A3319="","",IF(OR(B3319&lt;&gt;B3318,C3319&lt;&gt;C3318,D3319&lt;&gt;D3318,E3319&lt;&gt;E3318),G3318+1,G3318))</f>
        <v/>
      </c>
    </row>
    <row r="3320">
      <c r="A3320" s="14">
        <f>IF(OR(NOT(ISNUMBER(Ввод!$B$5)),NOT(ISNUMBER(Ввод!$B$6))),"",IF(Ввод!$B$5+3318&gt;Ввод!$B$6,"",Ввод!$B$5+3318))</f>
        <v/>
      </c>
      <c r="B3320">
        <f>IF(A3320="","",IFERROR(INDEX(Ввод!$B$12:$B$71,MATCH(A3320,Ввод!$D$12:$D$71,1)),""))</f>
        <v/>
      </c>
      <c r="C3320">
        <f>IF(A3320="","",DATE(YEAR(A3320),12,31)-DATE(YEAR(A3320),1,1)+1)</f>
        <v/>
      </c>
      <c r="D3320">
        <f>IF(A3320="","",Ввод!$B$4-SUMIF(Оплаты!$A$6:$A$505,"&lt;"&amp;A3320,Оплаты!$B$6:$B$505))</f>
        <v/>
      </c>
      <c r="E3320">
        <f>IF(A3320="","",IF(SUMPRODUCT((Ввод!$F$12:$F$31&lt;&gt;"")*(Ввод!$F$12:$F$31&lt;=A3320)*(Ввод!$G$12:$G$31&gt;=A3320))&gt;0,1,0))</f>
        <v/>
      </c>
      <c r="F3320">
        <f>IF(OR(A3320="",B3320=""),"",IF(E3320=1,0,D3320*B3320/100/C3320))</f>
        <v/>
      </c>
      <c r="G3320">
        <f>IF(A3320="","",IF(OR(B3320&lt;&gt;B3319,C3320&lt;&gt;C3319,D3320&lt;&gt;D3319,E3320&lt;&gt;E3319),G3319+1,G3319))</f>
        <v/>
      </c>
    </row>
    <row r="3321">
      <c r="A3321" s="14">
        <f>IF(OR(NOT(ISNUMBER(Ввод!$B$5)),NOT(ISNUMBER(Ввод!$B$6))),"",IF(Ввод!$B$5+3319&gt;Ввод!$B$6,"",Ввод!$B$5+3319))</f>
        <v/>
      </c>
      <c r="B3321">
        <f>IF(A3321="","",IFERROR(INDEX(Ввод!$B$12:$B$71,MATCH(A3321,Ввод!$D$12:$D$71,1)),""))</f>
        <v/>
      </c>
      <c r="C3321">
        <f>IF(A3321="","",DATE(YEAR(A3321),12,31)-DATE(YEAR(A3321),1,1)+1)</f>
        <v/>
      </c>
      <c r="D3321">
        <f>IF(A3321="","",Ввод!$B$4-SUMIF(Оплаты!$A$6:$A$505,"&lt;"&amp;A3321,Оплаты!$B$6:$B$505))</f>
        <v/>
      </c>
      <c r="E3321">
        <f>IF(A3321="","",IF(SUMPRODUCT((Ввод!$F$12:$F$31&lt;&gt;"")*(Ввод!$F$12:$F$31&lt;=A3321)*(Ввод!$G$12:$G$31&gt;=A3321))&gt;0,1,0))</f>
        <v/>
      </c>
      <c r="F3321">
        <f>IF(OR(A3321="",B3321=""),"",IF(E3321=1,0,D3321*B3321/100/C3321))</f>
        <v/>
      </c>
      <c r="G3321">
        <f>IF(A3321="","",IF(OR(B3321&lt;&gt;B3320,C3321&lt;&gt;C3320,D3321&lt;&gt;D3320,E3321&lt;&gt;E3320),G3320+1,G3320))</f>
        <v/>
      </c>
    </row>
    <row r="3322">
      <c r="A3322" s="14">
        <f>IF(OR(NOT(ISNUMBER(Ввод!$B$5)),NOT(ISNUMBER(Ввод!$B$6))),"",IF(Ввод!$B$5+3320&gt;Ввод!$B$6,"",Ввод!$B$5+3320))</f>
        <v/>
      </c>
      <c r="B3322">
        <f>IF(A3322="","",IFERROR(INDEX(Ввод!$B$12:$B$71,MATCH(A3322,Ввод!$D$12:$D$71,1)),""))</f>
        <v/>
      </c>
      <c r="C3322">
        <f>IF(A3322="","",DATE(YEAR(A3322),12,31)-DATE(YEAR(A3322),1,1)+1)</f>
        <v/>
      </c>
      <c r="D3322">
        <f>IF(A3322="","",Ввод!$B$4-SUMIF(Оплаты!$A$6:$A$505,"&lt;"&amp;A3322,Оплаты!$B$6:$B$505))</f>
        <v/>
      </c>
      <c r="E3322">
        <f>IF(A3322="","",IF(SUMPRODUCT((Ввод!$F$12:$F$31&lt;&gt;"")*(Ввод!$F$12:$F$31&lt;=A3322)*(Ввод!$G$12:$G$31&gt;=A3322))&gt;0,1,0))</f>
        <v/>
      </c>
      <c r="F3322">
        <f>IF(OR(A3322="",B3322=""),"",IF(E3322=1,0,D3322*B3322/100/C3322))</f>
        <v/>
      </c>
      <c r="G3322">
        <f>IF(A3322="","",IF(OR(B3322&lt;&gt;B3321,C3322&lt;&gt;C3321,D3322&lt;&gt;D3321,E3322&lt;&gt;E3321),G3321+1,G3321))</f>
        <v/>
      </c>
    </row>
    <row r="3323">
      <c r="A3323" s="14">
        <f>IF(OR(NOT(ISNUMBER(Ввод!$B$5)),NOT(ISNUMBER(Ввод!$B$6))),"",IF(Ввод!$B$5+3321&gt;Ввод!$B$6,"",Ввод!$B$5+3321))</f>
        <v/>
      </c>
      <c r="B3323">
        <f>IF(A3323="","",IFERROR(INDEX(Ввод!$B$12:$B$71,MATCH(A3323,Ввод!$D$12:$D$71,1)),""))</f>
        <v/>
      </c>
      <c r="C3323">
        <f>IF(A3323="","",DATE(YEAR(A3323),12,31)-DATE(YEAR(A3323),1,1)+1)</f>
        <v/>
      </c>
      <c r="D3323">
        <f>IF(A3323="","",Ввод!$B$4-SUMIF(Оплаты!$A$6:$A$505,"&lt;"&amp;A3323,Оплаты!$B$6:$B$505))</f>
        <v/>
      </c>
      <c r="E3323">
        <f>IF(A3323="","",IF(SUMPRODUCT((Ввод!$F$12:$F$31&lt;&gt;"")*(Ввод!$F$12:$F$31&lt;=A3323)*(Ввод!$G$12:$G$31&gt;=A3323))&gt;0,1,0))</f>
        <v/>
      </c>
      <c r="F3323">
        <f>IF(OR(A3323="",B3323=""),"",IF(E3323=1,0,D3323*B3323/100/C3323))</f>
        <v/>
      </c>
      <c r="G3323">
        <f>IF(A3323="","",IF(OR(B3323&lt;&gt;B3322,C3323&lt;&gt;C3322,D3323&lt;&gt;D3322,E3323&lt;&gt;E3322),G3322+1,G3322))</f>
        <v/>
      </c>
    </row>
    <row r="3324">
      <c r="A3324" s="14">
        <f>IF(OR(NOT(ISNUMBER(Ввод!$B$5)),NOT(ISNUMBER(Ввод!$B$6))),"",IF(Ввод!$B$5+3322&gt;Ввод!$B$6,"",Ввод!$B$5+3322))</f>
        <v/>
      </c>
      <c r="B3324">
        <f>IF(A3324="","",IFERROR(INDEX(Ввод!$B$12:$B$71,MATCH(A3324,Ввод!$D$12:$D$71,1)),""))</f>
        <v/>
      </c>
      <c r="C3324">
        <f>IF(A3324="","",DATE(YEAR(A3324),12,31)-DATE(YEAR(A3324),1,1)+1)</f>
        <v/>
      </c>
      <c r="D3324">
        <f>IF(A3324="","",Ввод!$B$4-SUMIF(Оплаты!$A$6:$A$505,"&lt;"&amp;A3324,Оплаты!$B$6:$B$505))</f>
        <v/>
      </c>
      <c r="E3324">
        <f>IF(A3324="","",IF(SUMPRODUCT((Ввод!$F$12:$F$31&lt;&gt;"")*(Ввод!$F$12:$F$31&lt;=A3324)*(Ввод!$G$12:$G$31&gt;=A3324))&gt;0,1,0))</f>
        <v/>
      </c>
      <c r="F3324">
        <f>IF(OR(A3324="",B3324=""),"",IF(E3324=1,0,D3324*B3324/100/C3324))</f>
        <v/>
      </c>
      <c r="G3324">
        <f>IF(A3324="","",IF(OR(B3324&lt;&gt;B3323,C3324&lt;&gt;C3323,D3324&lt;&gt;D3323,E3324&lt;&gt;E3323),G3323+1,G3323))</f>
        <v/>
      </c>
    </row>
    <row r="3325">
      <c r="A3325" s="14">
        <f>IF(OR(NOT(ISNUMBER(Ввод!$B$5)),NOT(ISNUMBER(Ввод!$B$6))),"",IF(Ввод!$B$5+3323&gt;Ввод!$B$6,"",Ввод!$B$5+3323))</f>
        <v/>
      </c>
      <c r="B3325">
        <f>IF(A3325="","",IFERROR(INDEX(Ввод!$B$12:$B$71,MATCH(A3325,Ввод!$D$12:$D$71,1)),""))</f>
        <v/>
      </c>
      <c r="C3325">
        <f>IF(A3325="","",DATE(YEAR(A3325),12,31)-DATE(YEAR(A3325),1,1)+1)</f>
        <v/>
      </c>
      <c r="D3325">
        <f>IF(A3325="","",Ввод!$B$4-SUMIF(Оплаты!$A$6:$A$505,"&lt;"&amp;A3325,Оплаты!$B$6:$B$505))</f>
        <v/>
      </c>
      <c r="E3325">
        <f>IF(A3325="","",IF(SUMPRODUCT((Ввод!$F$12:$F$31&lt;&gt;"")*(Ввод!$F$12:$F$31&lt;=A3325)*(Ввод!$G$12:$G$31&gt;=A3325))&gt;0,1,0))</f>
        <v/>
      </c>
      <c r="F3325">
        <f>IF(OR(A3325="",B3325=""),"",IF(E3325=1,0,D3325*B3325/100/C3325))</f>
        <v/>
      </c>
      <c r="G3325">
        <f>IF(A3325="","",IF(OR(B3325&lt;&gt;B3324,C3325&lt;&gt;C3324,D3325&lt;&gt;D3324,E3325&lt;&gt;E3324),G3324+1,G3324))</f>
        <v/>
      </c>
    </row>
    <row r="3326">
      <c r="A3326" s="14">
        <f>IF(OR(NOT(ISNUMBER(Ввод!$B$5)),NOT(ISNUMBER(Ввод!$B$6))),"",IF(Ввод!$B$5+3324&gt;Ввод!$B$6,"",Ввод!$B$5+3324))</f>
        <v/>
      </c>
      <c r="B3326">
        <f>IF(A3326="","",IFERROR(INDEX(Ввод!$B$12:$B$71,MATCH(A3326,Ввод!$D$12:$D$71,1)),""))</f>
        <v/>
      </c>
      <c r="C3326">
        <f>IF(A3326="","",DATE(YEAR(A3326),12,31)-DATE(YEAR(A3326),1,1)+1)</f>
        <v/>
      </c>
      <c r="D3326">
        <f>IF(A3326="","",Ввод!$B$4-SUMIF(Оплаты!$A$6:$A$505,"&lt;"&amp;A3326,Оплаты!$B$6:$B$505))</f>
        <v/>
      </c>
      <c r="E3326">
        <f>IF(A3326="","",IF(SUMPRODUCT((Ввод!$F$12:$F$31&lt;&gt;"")*(Ввод!$F$12:$F$31&lt;=A3326)*(Ввод!$G$12:$G$31&gt;=A3326))&gt;0,1,0))</f>
        <v/>
      </c>
      <c r="F3326">
        <f>IF(OR(A3326="",B3326=""),"",IF(E3326=1,0,D3326*B3326/100/C3326))</f>
        <v/>
      </c>
      <c r="G3326">
        <f>IF(A3326="","",IF(OR(B3326&lt;&gt;B3325,C3326&lt;&gt;C3325,D3326&lt;&gt;D3325,E3326&lt;&gt;E3325),G3325+1,G3325))</f>
        <v/>
      </c>
    </row>
    <row r="3327">
      <c r="A3327" s="14">
        <f>IF(OR(NOT(ISNUMBER(Ввод!$B$5)),NOT(ISNUMBER(Ввод!$B$6))),"",IF(Ввод!$B$5+3325&gt;Ввод!$B$6,"",Ввод!$B$5+3325))</f>
        <v/>
      </c>
      <c r="B3327">
        <f>IF(A3327="","",IFERROR(INDEX(Ввод!$B$12:$B$71,MATCH(A3327,Ввод!$D$12:$D$71,1)),""))</f>
        <v/>
      </c>
      <c r="C3327">
        <f>IF(A3327="","",DATE(YEAR(A3327),12,31)-DATE(YEAR(A3327),1,1)+1)</f>
        <v/>
      </c>
      <c r="D3327">
        <f>IF(A3327="","",Ввод!$B$4-SUMIF(Оплаты!$A$6:$A$505,"&lt;"&amp;A3327,Оплаты!$B$6:$B$505))</f>
        <v/>
      </c>
      <c r="E3327">
        <f>IF(A3327="","",IF(SUMPRODUCT((Ввод!$F$12:$F$31&lt;&gt;"")*(Ввод!$F$12:$F$31&lt;=A3327)*(Ввод!$G$12:$G$31&gt;=A3327))&gt;0,1,0))</f>
        <v/>
      </c>
      <c r="F3327">
        <f>IF(OR(A3327="",B3327=""),"",IF(E3327=1,0,D3327*B3327/100/C3327))</f>
        <v/>
      </c>
      <c r="G3327">
        <f>IF(A3327="","",IF(OR(B3327&lt;&gt;B3326,C3327&lt;&gt;C3326,D3327&lt;&gt;D3326,E3327&lt;&gt;E3326),G3326+1,G3326))</f>
        <v/>
      </c>
    </row>
    <row r="3328">
      <c r="A3328" s="14">
        <f>IF(OR(NOT(ISNUMBER(Ввод!$B$5)),NOT(ISNUMBER(Ввод!$B$6))),"",IF(Ввод!$B$5+3326&gt;Ввод!$B$6,"",Ввод!$B$5+3326))</f>
        <v/>
      </c>
      <c r="B3328">
        <f>IF(A3328="","",IFERROR(INDEX(Ввод!$B$12:$B$71,MATCH(A3328,Ввод!$D$12:$D$71,1)),""))</f>
        <v/>
      </c>
      <c r="C3328">
        <f>IF(A3328="","",DATE(YEAR(A3328),12,31)-DATE(YEAR(A3328),1,1)+1)</f>
        <v/>
      </c>
      <c r="D3328">
        <f>IF(A3328="","",Ввод!$B$4-SUMIF(Оплаты!$A$6:$A$505,"&lt;"&amp;A3328,Оплаты!$B$6:$B$505))</f>
        <v/>
      </c>
      <c r="E3328">
        <f>IF(A3328="","",IF(SUMPRODUCT((Ввод!$F$12:$F$31&lt;&gt;"")*(Ввод!$F$12:$F$31&lt;=A3328)*(Ввод!$G$12:$G$31&gt;=A3328))&gt;0,1,0))</f>
        <v/>
      </c>
      <c r="F3328">
        <f>IF(OR(A3328="",B3328=""),"",IF(E3328=1,0,D3328*B3328/100/C3328))</f>
        <v/>
      </c>
      <c r="G3328">
        <f>IF(A3328="","",IF(OR(B3328&lt;&gt;B3327,C3328&lt;&gt;C3327,D3328&lt;&gt;D3327,E3328&lt;&gt;E3327),G3327+1,G3327))</f>
        <v/>
      </c>
    </row>
    <row r="3329">
      <c r="A3329" s="14">
        <f>IF(OR(NOT(ISNUMBER(Ввод!$B$5)),NOT(ISNUMBER(Ввод!$B$6))),"",IF(Ввод!$B$5+3327&gt;Ввод!$B$6,"",Ввод!$B$5+3327))</f>
        <v/>
      </c>
      <c r="B3329">
        <f>IF(A3329="","",IFERROR(INDEX(Ввод!$B$12:$B$71,MATCH(A3329,Ввод!$D$12:$D$71,1)),""))</f>
        <v/>
      </c>
      <c r="C3329">
        <f>IF(A3329="","",DATE(YEAR(A3329),12,31)-DATE(YEAR(A3329),1,1)+1)</f>
        <v/>
      </c>
      <c r="D3329">
        <f>IF(A3329="","",Ввод!$B$4-SUMIF(Оплаты!$A$6:$A$505,"&lt;"&amp;A3329,Оплаты!$B$6:$B$505))</f>
        <v/>
      </c>
      <c r="E3329">
        <f>IF(A3329="","",IF(SUMPRODUCT((Ввод!$F$12:$F$31&lt;&gt;"")*(Ввод!$F$12:$F$31&lt;=A3329)*(Ввод!$G$12:$G$31&gt;=A3329))&gt;0,1,0))</f>
        <v/>
      </c>
      <c r="F3329">
        <f>IF(OR(A3329="",B3329=""),"",IF(E3329=1,0,D3329*B3329/100/C3329))</f>
        <v/>
      </c>
      <c r="G3329">
        <f>IF(A3329="","",IF(OR(B3329&lt;&gt;B3328,C3329&lt;&gt;C3328,D3329&lt;&gt;D3328,E3329&lt;&gt;E3328),G3328+1,G3328))</f>
        <v/>
      </c>
    </row>
    <row r="3330">
      <c r="A3330" s="14">
        <f>IF(OR(NOT(ISNUMBER(Ввод!$B$5)),NOT(ISNUMBER(Ввод!$B$6))),"",IF(Ввод!$B$5+3328&gt;Ввод!$B$6,"",Ввод!$B$5+3328))</f>
        <v/>
      </c>
      <c r="B3330">
        <f>IF(A3330="","",IFERROR(INDEX(Ввод!$B$12:$B$71,MATCH(A3330,Ввод!$D$12:$D$71,1)),""))</f>
        <v/>
      </c>
      <c r="C3330">
        <f>IF(A3330="","",DATE(YEAR(A3330),12,31)-DATE(YEAR(A3330),1,1)+1)</f>
        <v/>
      </c>
      <c r="D3330">
        <f>IF(A3330="","",Ввод!$B$4-SUMIF(Оплаты!$A$6:$A$505,"&lt;"&amp;A3330,Оплаты!$B$6:$B$505))</f>
        <v/>
      </c>
      <c r="E3330">
        <f>IF(A3330="","",IF(SUMPRODUCT((Ввод!$F$12:$F$31&lt;&gt;"")*(Ввод!$F$12:$F$31&lt;=A3330)*(Ввод!$G$12:$G$31&gt;=A3330))&gt;0,1,0))</f>
        <v/>
      </c>
      <c r="F3330">
        <f>IF(OR(A3330="",B3330=""),"",IF(E3330=1,0,D3330*B3330/100/C3330))</f>
        <v/>
      </c>
      <c r="G3330">
        <f>IF(A3330="","",IF(OR(B3330&lt;&gt;B3329,C3330&lt;&gt;C3329,D3330&lt;&gt;D3329,E3330&lt;&gt;E3329),G3329+1,G3329))</f>
        <v/>
      </c>
    </row>
    <row r="3331">
      <c r="A3331" s="14">
        <f>IF(OR(NOT(ISNUMBER(Ввод!$B$5)),NOT(ISNUMBER(Ввод!$B$6))),"",IF(Ввод!$B$5+3329&gt;Ввод!$B$6,"",Ввод!$B$5+3329))</f>
        <v/>
      </c>
      <c r="B3331">
        <f>IF(A3331="","",IFERROR(INDEX(Ввод!$B$12:$B$71,MATCH(A3331,Ввод!$D$12:$D$71,1)),""))</f>
        <v/>
      </c>
      <c r="C3331">
        <f>IF(A3331="","",DATE(YEAR(A3331),12,31)-DATE(YEAR(A3331),1,1)+1)</f>
        <v/>
      </c>
      <c r="D3331">
        <f>IF(A3331="","",Ввод!$B$4-SUMIF(Оплаты!$A$6:$A$505,"&lt;"&amp;A3331,Оплаты!$B$6:$B$505))</f>
        <v/>
      </c>
      <c r="E3331">
        <f>IF(A3331="","",IF(SUMPRODUCT((Ввод!$F$12:$F$31&lt;&gt;"")*(Ввод!$F$12:$F$31&lt;=A3331)*(Ввод!$G$12:$G$31&gt;=A3331))&gt;0,1,0))</f>
        <v/>
      </c>
      <c r="F3331">
        <f>IF(OR(A3331="",B3331=""),"",IF(E3331=1,0,D3331*B3331/100/C3331))</f>
        <v/>
      </c>
      <c r="G3331">
        <f>IF(A3331="","",IF(OR(B3331&lt;&gt;B3330,C3331&lt;&gt;C3330,D3331&lt;&gt;D3330,E3331&lt;&gt;E3330),G3330+1,G3330))</f>
        <v/>
      </c>
    </row>
    <row r="3332">
      <c r="A3332" s="14">
        <f>IF(OR(NOT(ISNUMBER(Ввод!$B$5)),NOT(ISNUMBER(Ввод!$B$6))),"",IF(Ввод!$B$5+3330&gt;Ввод!$B$6,"",Ввод!$B$5+3330))</f>
        <v/>
      </c>
      <c r="B3332">
        <f>IF(A3332="","",IFERROR(INDEX(Ввод!$B$12:$B$71,MATCH(A3332,Ввод!$D$12:$D$71,1)),""))</f>
        <v/>
      </c>
      <c r="C3332">
        <f>IF(A3332="","",DATE(YEAR(A3332),12,31)-DATE(YEAR(A3332),1,1)+1)</f>
        <v/>
      </c>
      <c r="D3332">
        <f>IF(A3332="","",Ввод!$B$4-SUMIF(Оплаты!$A$6:$A$505,"&lt;"&amp;A3332,Оплаты!$B$6:$B$505))</f>
        <v/>
      </c>
      <c r="E3332">
        <f>IF(A3332="","",IF(SUMPRODUCT((Ввод!$F$12:$F$31&lt;&gt;"")*(Ввод!$F$12:$F$31&lt;=A3332)*(Ввод!$G$12:$G$31&gt;=A3332))&gt;0,1,0))</f>
        <v/>
      </c>
      <c r="F3332">
        <f>IF(OR(A3332="",B3332=""),"",IF(E3332=1,0,D3332*B3332/100/C3332))</f>
        <v/>
      </c>
      <c r="G3332">
        <f>IF(A3332="","",IF(OR(B3332&lt;&gt;B3331,C3332&lt;&gt;C3331,D3332&lt;&gt;D3331,E3332&lt;&gt;E3331),G3331+1,G3331))</f>
        <v/>
      </c>
    </row>
    <row r="3333">
      <c r="A3333" s="14">
        <f>IF(OR(NOT(ISNUMBER(Ввод!$B$5)),NOT(ISNUMBER(Ввод!$B$6))),"",IF(Ввод!$B$5+3331&gt;Ввод!$B$6,"",Ввод!$B$5+3331))</f>
        <v/>
      </c>
      <c r="B3333">
        <f>IF(A3333="","",IFERROR(INDEX(Ввод!$B$12:$B$71,MATCH(A3333,Ввод!$D$12:$D$71,1)),""))</f>
        <v/>
      </c>
      <c r="C3333">
        <f>IF(A3333="","",DATE(YEAR(A3333),12,31)-DATE(YEAR(A3333),1,1)+1)</f>
        <v/>
      </c>
      <c r="D3333">
        <f>IF(A3333="","",Ввод!$B$4-SUMIF(Оплаты!$A$6:$A$505,"&lt;"&amp;A3333,Оплаты!$B$6:$B$505))</f>
        <v/>
      </c>
      <c r="E3333">
        <f>IF(A3333="","",IF(SUMPRODUCT((Ввод!$F$12:$F$31&lt;&gt;"")*(Ввод!$F$12:$F$31&lt;=A3333)*(Ввод!$G$12:$G$31&gt;=A3333))&gt;0,1,0))</f>
        <v/>
      </c>
      <c r="F3333">
        <f>IF(OR(A3333="",B3333=""),"",IF(E3333=1,0,D3333*B3333/100/C3333))</f>
        <v/>
      </c>
      <c r="G3333">
        <f>IF(A3333="","",IF(OR(B3333&lt;&gt;B3332,C3333&lt;&gt;C3332,D3333&lt;&gt;D3332,E3333&lt;&gt;E3332),G3332+1,G3332))</f>
        <v/>
      </c>
    </row>
    <row r="3334">
      <c r="A3334" s="14">
        <f>IF(OR(NOT(ISNUMBER(Ввод!$B$5)),NOT(ISNUMBER(Ввод!$B$6))),"",IF(Ввод!$B$5+3332&gt;Ввод!$B$6,"",Ввод!$B$5+3332))</f>
        <v/>
      </c>
      <c r="B3334">
        <f>IF(A3334="","",IFERROR(INDEX(Ввод!$B$12:$B$71,MATCH(A3334,Ввод!$D$12:$D$71,1)),""))</f>
        <v/>
      </c>
      <c r="C3334">
        <f>IF(A3334="","",DATE(YEAR(A3334),12,31)-DATE(YEAR(A3334),1,1)+1)</f>
        <v/>
      </c>
      <c r="D3334">
        <f>IF(A3334="","",Ввод!$B$4-SUMIF(Оплаты!$A$6:$A$505,"&lt;"&amp;A3334,Оплаты!$B$6:$B$505))</f>
        <v/>
      </c>
      <c r="E3334">
        <f>IF(A3334="","",IF(SUMPRODUCT((Ввод!$F$12:$F$31&lt;&gt;"")*(Ввод!$F$12:$F$31&lt;=A3334)*(Ввод!$G$12:$G$31&gt;=A3334))&gt;0,1,0))</f>
        <v/>
      </c>
      <c r="F3334">
        <f>IF(OR(A3334="",B3334=""),"",IF(E3334=1,0,D3334*B3334/100/C3334))</f>
        <v/>
      </c>
      <c r="G3334">
        <f>IF(A3334="","",IF(OR(B3334&lt;&gt;B3333,C3334&lt;&gt;C3333,D3334&lt;&gt;D3333,E3334&lt;&gt;E3333),G3333+1,G3333))</f>
        <v/>
      </c>
    </row>
    <row r="3335">
      <c r="A3335" s="14">
        <f>IF(OR(NOT(ISNUMBER(Ввод!$B$5)),NOT(ISNUMBER(Ввод!$B$6))),"",IF(Ввод!$B$5+3333&gt;Ввод!$B$6,"",Ввод!$B$5+3333))</f>
        <v/>
      </c>
      <c r="B3335">
        <f>IF(A3335="","",IFERROR(INDEX(Ввод!$B$12:$B$71,MATCH(A3335,Ввод!$D$12:$D$71,1)),""))</f>
        <v/>
      </c>
      <c r="C3335">
        <f>IF(A3335="","",DATE(YEAR(A3335),12,31)-DATE(YEAR(A3335),1,1)+1)</f>
        <v/>
      </c>
      <c r="D3335">
        <f>IF(A3335="","",Ввод!$B$4-SUMIF(Оплаты!$A$6:$A$505,"&lt;"&amp;A3335,Оплаты!$B$6:$B$505))</f>
        <v/>
      </c>
      <c r="E3335">
        <f>IF(A3335="","",IF(SUMPRODUCT((Ввод!$F$12:$F$31&lt;&gt;"")*(Ввод!$F$12:$F$31&lt;=A3335)*(Ввод!$G$12:$G$31&gt;=A3335))&gt;0,1,0))</f>
        <v/>
      </c>
      <c r="F3335">
        <f>IF(OR(A3335="",B3335=""),"",IF(E3335=1,0,D3335*B3335/100/C3335))</f>
        <v/>
      </c>
      <c r="G3335">
        <f>IF(A3335="","",IF(OR(B3335&lt;&gt;B3334,C3335&lt;&gt;C3334,D3335&lt;&gt;D3334,E3335&lt;&gt;E3334),G3334+1,G3334))</f>
        <v/>
      </c>
    </row>
    <row r="3336">
      <c r="A3336" s="14">
        <f>IF(OR(NOT(ISNUMBER(Ввод!$B$5)),NOT(ISNUMBER(Ввод!$B$6))),"",IF(Ввод!$B$5+3334&gt;Ввод!$B$6,"",Ввод!$B$5+3334))</f>
        <v/>
      </c>
      <c r="B3336">
        <f>IF(A3336="","",IFERROR(INDEX(Ввод!$B$12:$B$71,MATCH(A3336,Ввод!$D$12:$D$71,1)),""))</f>
        <v/>
      </c>
      <c r="C3336">
        <f>IF(A3336="","",DATE(YEAR(A3336),12,31)-DATE(YEAR(A3336),1,1)+1)</f>
        <v/>
      </c>
      <c r="D3336">
        <f>IF(A3336="","",Ввод!$B$4-SUMIF(Оплаты!$A$6:$A$505,"&lt;"&amp;A3336,Оплаты!$B$6:$B$505))</f>
        <v/>
      </c>
      <c r="E3336">
        <f>IF(A3336="","",IF(SUMPRODUCT((Ввод!$F$12:$F$31&lt;&gt;"")*(Ввод!$F$12:$F$31&lt;=A3336)*(Ввод!$G$12:$G$31&gt;=A3336))&gt;0,1,0))</f>
        <v/>
      </c>
      <c r="F3336">
        <f>IF(OR(A3336="",B3336=""),"",IF(E3336=1,0,D3336*B3336/100/C3336))</f>
        <v/>
      </c>
      <c r="G3336">
        <f>IF(A3336="","",IF(OR(B3336&lt;&gt;B3335,C3336&lt;&gt;C3335,D3336&lt;&gt;D3335,E3336&lt;&gt;E3335),G3335+1,G3335))</f>
        <v/>
      </c>
    </row>
    <row r="3337">
      <c r="A3337" s="14">
        <f>IF(OR(NOT(ISNUMBER(Ввод!$B$5)),NOT(ISNUMBER(Ввод!$B$6))),"",IF(Ввод!$B$5+3335&gt;Ввод!$B$6,"",Ввод!$B$5+3335))</f>
        <v/>
      </c>
      <c r="B3337">
        <f>IF(A3337="","",IFERROR(INDEX(Ввод!$B$12:$B$71,MATCH(A3337,Ввод!$D$12:$D$71,1)),""))</f>
        <v/>
      </c>
      <c r="C3337">
        <f>IF(A3337="","",DATE(YEAR(A3337),12,31)-DATE(YEAR(A3337),1,1)+1)</f>
        <v/>
      </c>
      <c r="D3337">
        <f>IF(A3337="","",Ввод!$B$4-SUMIF(Оплаты!$A$6:$A$505,"&lt;"&amp;A3337,Оплаты!$B$6:$B$505))</f>
        <v/>
      </c>
      <c r="E3337">
        <f>IF(A3337="","",IF(SUMPRODUCT((Ввод!$F$12:$F$31&lt;&gt;"")*(Ввод!$F$12:$F$31&lt;=A3337)*(Ввод!$G$12:$G$31&gt;=A3337))&gt;0,1,0))</f>
        <v/>
      </c>
      <c r="F3337">
        <f>IF(OR(A3337="",B3337=""),"",IF(E3337=1,0,D3337*B3337/100/C3337))</f>
        <v/>
      </c>
      <c r="G3337">
        <f>IF(A3337="","",IF(OR(B3337&lt;&gt;B3336,C3337&lt;&gt;C3336,D3337&lt;&gt;D3336,E3337&lt;&gt;E3336),G3336+1,G3336))</f>
        <v/>
      </c>
    </row>
    <row r="3338">
      <c r="A3338" s="14">
        <f>IF(OR(NOT(ISNUMBER(Ввод!$B$5)),NOT(ISNUMBER(Ввод!$B$6))),"",IF(Ввод!$B$5+3336&gt;Ввод!$B$6,"",Ввод!$B$5+3336))</f>
        <v/>
      </c>
      <c r="B3338">
        <f>IF(A3338="","",IFERROR(INDEX(Ввод!$B$12:$B$71,MATCH(A3338,Ввод!$D$12:$D$71,1)),""))</f>
        <v/>
      </c>
      <c r="C3338">
        <f>IF(A3338="","",DATE(YEAR(A3338),12,31)-DATE(YEAR(A3338),1,1)+1)</f>
        <v/>
      </c>
      <c r="D3338">
        <f>IF(A3338="","",Ввод!$B$4-SUMIF(Оплаты!$A$6:$A$505,"&lt;"&amp;A3338,Оплаты!$B$6:$B$505))</f>
        <v/>
      </c>
      <c r="E3338">
        <f>IF(A3338="","",IF(SUMPRODUCT((Ввод!$F$12:$F$31&lt;&gt;"")*(Ввод!$F$12:$F$31&lt;=A3338)*(Ввод!$G$12:$G$31&gt;=A3338))&gt;0,1,0))</f>
        <v/>
      </c>
      <c r="F3338">
        <f>IF(OR(A3338="",B3338=""),"",IF(E3338=1,0,D3338*B3338/100/C3338))</f>
        <v/>
      </c>
      <c r="G3338">
        <f>IF(A3338="","",IF(OR(B3338&lt;&gt;B3337,C3338&lt;&gt;C3337,D3338&lt;&gt;D3337,E3338&lt;&gt;E3337),G3337+1,G3337))</f>
        <v/>
      </c>
    </row>
    <row r="3339">
      <c r="A3339" s="14">
        <f>IF(OR(NOT(ISNUMBER(Ввод!$B$5)),NOT(ISNUMBER(Ввод!$B$6))),"",IF(Ввод!$B$5+3337&gt;Ввод!$B$6,"",Ввод!$B$5+3337))</f>
        <v/>
      </c>
      <c r="B3339">
        <f>IF(A3339="","",IFERROR(INDEX(Ввод!$B$12:$B$71,MATCH(A3339,Ввод!$D$12:$D$71,1)),""))</f>
        <v/>
      </c>
      <c r="C3339">
        <f>IF(A3339="","",DATE(YEAR(A3339),12,31)-DATE(YEAR(A3339),1,1)+1)</f>
        <v/>
      </c>
      <c r="D3339">
        <f>IF(A3339="","",Ввод!$B$4-SUMIF(Оплаты!$A$6:$A$505,"&lt;"&amp;A3339,Оплаты!$B$6:$B$505))</f>
        <v/>
      </c>
      <c r="E3339">
        <f>IF(A3339="","",IF(SUMPRODUCT((Ввод!$F$12:$F$31&lt;&gt;"")*(Ввод!$F$12:$F$31&lt;=A3339)*(Ввод!$G$12:$G$31&gt;=A3339))&gt;0,1,0))</f>
        <v/>
      </c>
      <c r="F3339">
        <f>IF(OR(A3339="",B3339=""),"",IF(E3339=1,0,D3339*B3339/100/C3339))</f>
        <v/>
      </c>
      <c r="G3339">
        <f>IF(A3339="","",IF(OR(B3339&lt;&gt;B3338,C3339&lt;&gt;C3338,D3339&lt;&gt;D3338,E3339&lt;&gt;E3338),G3338+1,G3338))</f>
        <v/>
      </c>
    </row>
    <row r="3340">
      <c r="A3340" s="14">
        <f>IF(OR(NOT(ISNUMBER(Ввод!$B$5)),NOT(ISNUMBER(Ввод!$B$6))),"",IF(Ввод!$B$5+3338&gt;Ввод!$B$6,"",Ввод!$B$5+3338))</f>
        <v/>
      </c>
      <c r="B3340">
        <f>IF(A3340="","",IFERROR(INDEX(Ввод!$B$12:$B$71,MATCH(A3340,Ввод!$D$12:$D$71,1)),""))</f>
        <v/>
      </c>
      <c r="C3340">
        <f>IF(A3340="","",DATE(YEAR(A3340),12,31)-DATE(YEAR(A3340),1,1)+1)</f>
        <v/>
      </c>
      <c r="D3340">
        <f>IF(A3340="","",Ввод!$B$4-SUMIF(Оплаты!$A$6:$A$505,"&lt;"&amp;A3340,Оплаты!$B$6:$B$505))</f>
        <v/>
      </c>
      <c r="E3340">
        <f>IF(A3340="","",IF(SUMPRODUCT((Ввод!$F$12:$F$31&lt;&gt;"")*(Ввод!$F$12:$F$31&lt;=A3340)*(Ввод!$G$12:$G$31&gt;=A3340))&gt;0,1,0))</f>
        <v/>
      </c>
      <c r="F3340">
        <f>IF(OR(A3340="",B3340=""),"",IF(E3340=1,0,D3340*B3340/100/C3340))</f>
        <v/>
      </c>
      <c r="G3340">
        <f>IF(A3340="","",IF(OR(B3340&lt;&gt;B3339,C3340&lt;&gt;C3339,D3340&lt;&gt;D3339,E3340&lt;&gt;E3339),G3339+1,G3339))</f>
        <v/>
      </c>
    </row>
    <row r="3341">
      <c r="A3341" s="14">
        <f>IF(OR(NOT(ISNUMBER(Ввод!$B$5)),NOT(ISNUMBER(Ввод!$B$6))),"",IF(Ввод!$B$5+3339&gt;Ввод!$B$6,"",Ввод!$B$5+3339))</f>
        <v/>
      </c>
      <c r="B3341">
        <f>IF(A3341="","",IFERROR(INDEX(Ввод!$B$12:$B$71,MATCH(A3341,Ввод!$D$12:$D$71,1)),""))</f>
        <v/>
      </c>
      <c r="C3341">
        <f>IF(A3341="","",DATE(YEAR(A3341),12,31)-DATE(YEAR(A3341),1,1)+1)</f>
        <v/>
      </c>
      <c r="D3341">
        <f>IF(A3341="","",Ввод!$B$4-SUMIF(Оплаты!$A$6:$A$505,"&lt;"&amp;A3341,Оплаты!$B$6:$B$505))</f>
        <v/>
      </c>
      <c r="E3341">
        <f>IF(A3341="","",IF(SUMPRODUCT((Ввод!$F$12:$F$31&lt;&gt;"")*(Ввод!$F$12:$F$31&lt;=A3341)*(Ввод!$G$12:$G$31&gt;=A3341))&gt;0,1,0))</f>
        <v/>
      </c>
      <c r="F3341">
        <f>IF(OR(A3341="",B3341=""),"",IF(E3341=1,0,D3341*B3341/100/C3341))</f>
        <v/>
      </c>
      <c r="G3341">
        <f>IF(A3341="","",IF(OR(B3341&lt;&gt;B3340,C3341&lt;&gt;C3340,D3341&lt;&gt;D3340,E3341&lt;&gt;E3340),G3340+1,G3340))</f>
        <v/>
      </c>
    </row>
    <row r="3342">
      <c r="A3342" s="14">
        <f>IF(OR(NOT(ISNUMBER(Ввод!$B$5)),NOT(ISNUMBER(Ввод!$B$6))),"",IF(Ввод!$B$5+3340&gt;Ввод!$B$6,"",Ввод!$B$5+3340))</f>
        <v/>
      </c>
      <c r="B3342">
        <f>IF(A3342="","",IFERROR(INDEX(Ввод!$B$12:$B$71,MATCH(A3342,Ввод!$D$12:$D$71,1)),""))</f>
        <v/>
      </c>
      <c r="C3342">
        <f>IF(A3342="","",DATE(YEAR(A3342),12,31)-DATE(YEAR(A3342),1,1)+1)</f>
        <v/>
      </c>
      <c r="D3342">
        <f>IF(A3342="","",Ввод!$B$4-SUMIF(Оплаты!$A$6:$A$505,"&lt;"&amp;A3342,Оплаты!$B$6:$B$505))</f>
        <v/>
      </c>
      <c r="E3342">
        <f>IF(A3342="","",IF(SUMPRODUCT((Ввод!$F$12:$F$31&lt;&gt;"")*(Ввод!$F$12:$F$31&lt;=A3342)*(Ввод!$G$12:$G$31&gt;=A3342))&gt;0,1,0))</f>
        <v/>
      </c>
      <c r="F3342">
        <f>IF(OR(A3342="",B3342=""),"",IF(E3342=1,0,D3342*B3342/100/C3342))</f>
        <v/>
      </c>
      <c r="G3342">
        <f>IF(A3342="","",IF(OR(B3342&lt;&gt;B3341,C3342&lt;&gt;C3341,D3342&lt;&gt;D3341,E3342&lt;&gt;E3341),G3341+1,G3341))</f>
        <v/>
      </c>
    </row>
    <row r="3343">
      <c r="A3343" s="14">
        <f>IF(OR(NOT(ISNUMBER(Ввод!$B$5)),NOT(ISNUMBER(Ввод!$B$6))),"",IF(Ввод!$B$5+3341&gt;Ввод!$B$6,"",Ввод!$B$5+3341))</f>
        <v/>
      </c>
      <c r="B3343">
        <f>IF(A3343="","",IFERROR(INDEX(Ввод!$B$12:$B$71,MATCH(A3343,Ввод!$D$12:$D$71,1)),""))</f>
        <v/>
      </c>
      <c r="C3343">
        <f>IF(A3343="","",DATE(YEAR(A3343),12,31)-DATE(YEAR(A3343),1,1)+1)</f>
        <v/>
      </c>
      <c r="D3343">
        <f>IF(A3343="","",Ввод!$B$4-SUMIF(Оплаты!$A$6:$A$505,"&lt;"&amp;A3343,Оплаты!$B$6:$B$505))</f>
        <v/>
      </c>
      <c r="E3343">
        <f>IF(A3343="","",IF(SUMPRODUCT((Ввод!$F$12:$F$31&lt;&gt;"")*(Ввод!$F$12:$F$31&lt;=A3343)*(Ввод!$G$12:$G$31&gt;=A3343))&gt;0,1,0))</f>
        <v/>
      </c>
      <c r="F3343">
        <f>IF(OR(A3343="",B3343=""),"",IF(E3343=1,0,D3343*B3343/100/C3343))</f>
        <v/>
      </c>
      <c r="G3343">
        <f>IF(A3343="","",IF(OR(B3343&lt;&gt;B3342,C3343&lt;&gt;C3342,D3343&lt;&gt;D3342,E3343&lt;&gt;E3342),G3342+1,G3342))</f>
        <v/>
      </c>
    </row>
    <row r="3344">
      <c r="A3344" s="14">
        <f>IF(OR(NOT(ISNUMBER(Ввод!$B$5)),NOT(ISNUMBER(Ввод!$B$6))),"",IF(Ввод!$B$5+3342&gt;Ввод!$B$6,"",Ввод!$B$5+3342))</f>
        <v/>
      </c>
      <c r="B3344">
        <f>IF(A3344="","",IFERROR(INDEX(Ввод!$B$12:$B$71,MATCH(A3344,Ввод!$D$12:$D$71,1)),""))</f>
        <v/>
      </c>
      <c r="C3344">
        <f>IF(A3344="","",DATE(YEAR(A3344),12,31)-DATE(YEAR(A3344),1,1)+1)</f>
        <v/>
      </c>
      <c r="D3344">
        <f>IF(A3344="","",Ввод!$B$4-SUMIF(Оплаты!$A$6:$A$505,"&lt;"&amp;A3344,Оплаты!$B$6:$B$505))</f>
        <v/>
      </c>
      <c r="E3344">
        <f>IF(A3344="","",IF(SUMPRODUCT((Ввод!$F$12:$F$31&lt;&gt;"")*(Ввод!$F$12:$F$31&lt;=A3344)*(Ввод!$G$12:$G$31&gt;=A3344))&gt;0,1,0))</f>
        <v/>
      </c>
      <c r="F3344">
        <f>IF(OR(A3344="",B3344=""),"",IF(E3344=1,0,D3344*B3344/100/C3344))</f>
        <v/>
      </c>
      <c r="G3344">
        <f>IF(A3344="","",IF(OR(B3344&lt;&gt;B3343,C3344&lt;&gt;C3343,D3344&lt;&gt;D3343,E3344&lt;&gt;E3343),G3343+1,G3343))</f>
        <v/>
      </c>
    </row>
    <row r="3345">
      <c r="A3345" s="14">
        <f>IF(OR(NOT(ISNUMBER(Ввод!$B$5)),NOT(ISNUMBER(Ввод!$B$6))),"",IF(Ввод!$B$5+3343&gt;Ввод!$B$6,"",Ввод!$B$5+3343))</f>
        <v/>
      </c>
      <c r="B3345">
        <f>IF(A3345="","",IFERROR(INDEX(Ввод!$B$12:$B$71,MATCH(A3345,Ввод!$D$12:$D$71,1)),""))</f>
        <v/>
      </c>
      <c r="C3345">
        <f>IF(A3345="","",DATE(YEAR(A3345),12,31)-DATE(YEAR(A3345),1,1)+1)</f>
        <v/>
      </c>
      <c r="D3345">
        <f>IF(A3345="","",Ввод!$B$4-SUMIF(Оплаты!$A$6:$A$505,"&lt;"&amp;A3345,Оплаты!$B$6:$B$505))</f>
        <v/>
      </c>
      <c r="E3345">
        <f>IF(A3345="","",IF(SUMPRODUCT((Ввод!$F$12:$F$31&lt;&gt;"")*(Ввод!$F$12:$F$31&lt;=A3345)*(Ввод!$G$12:$G$31&gt;=A3345))&gt;0,1,0))</f>
        <v/>
      </c>
      <c r="F3345">
        <f>IF(OR(A3345="",B3345=""),"",IF(E3345=1,0,D3345*B3345/100/C3345))</f>
        <v/>
      </c>
      <c r="G3345">
        <f>IF(A3345="","",IF(OR(B3345&lt;&gt;B3344,C3345&lt;&gt;C3344,D3345&lt;&gt;D3344,E3345&lt;&gt;E3344),G3344+1,G3344))</f>
        <v/>
      </c>
    </row>
    <row r="3346">
      <c r="A3346" s="14">
        <f>IF(OR(NOT(ISNUMBER(Ввод!$B$5)),NOT(ISNUMBER(Ввод!$B$6))),"",IF(Ввод!$B$5+3344&gt;Ввод!$B$6,"",Ввод!$B$5+3344))</f>
        <v/>
      </c>
      <c r="B3346">
        <f>IF(A3346="","",IFERROR(INDEX(Ввод!$B$12:$B$71,MATCH(A3346,Ввод!$D$12:$D$71,1)),""))</f>
        <v/>
      </c>
      <c r="C3346">
        <f>IF(A3346="","",DATE(YEAR(A3346),12,31)-DATE(YEAR(A3346),1,1)+1)</f>
        <v/>
      </c>
      <c r="D3346">
        <f>IF(A3346="","",Ввод!$B$4-SUMIF(Оплаты!$A$6:$A$505,"&lt;"&amp;A3346,Оплаты!$B$6:$B$505))</f>
        <v/>
      </c>
      <c r="E3346">
        <f>IF(A3346="","",IF(SUMPRODUCT((Ввод!$F$12:$F$31&lt;&gt;"")*(Ввод!$F$12:$F$31&lt;=A3346)*(Ввод!$G$12:$G$31&gt;=A3346))&gt;0,1,0))</f>
        <v/>
      </c>
      <c r="F3346">
        <f>IF(OR(A3346="",B3346=""),"",IF(E3346=1,0,D3346*B3346/100/C3346))</f>
        <v/>
      </c>
      <c r="G3346">
        <f>IF(A3346="","",IF(OR(B3346&lt;&gt;B3345,C3346&lt;&gt;C3345,D3346&lt;&gt;D3345,E3346&lt;&gt;E3345),G3345+1,G3345))</f>
        <v/>
      </c>
    </row>
    <row r="3347">
      <c r="A3347" s="14">
        <f>IF(OR(NOT(ISNUMBER(Ввод!$B$5)),NOT(ISNUMBER(Ввод!$B$6))),"",IF(Ввод!$B$5+3345&gt;Ввод!$B$6,"",Ввод!$B$5+3345))</f>
        <v/>
      </c>
      <c r="B3347">
        <f>IF(A3347="","",IFERROR(INDEX(Ввод!$B$12:$B$71,MATCH(A3347,Ввод!$D$12:$D$71,1)),""))</f>
        <v/>
      </c>
      <c r="C3347">
        <f>IF(A3347="","",DATE(YEAR(A3347),12,31)-DATE(YEAR(A3347),1,1)+1)</f>
        <v/>
      </c>
      <c r="D3347">
        <f>IF(A3347="","",Ввод!$B$4-SUMIF(Оплаты!$A$6:$A$505,"&lt;"&amp;A3347,Оплаты!$B$6:$B$505))</f>
        <v/>
      </c>
      <c r="E3347">
        <f>IF(A3347="","",IF(SUMPRODUCT((Ввод!$F$12:$F$31&lt;&gt;"")*(Ввод!$F$12:$F$31&lt;=A3347)*(Ввод!$G$12:$G$31&gt;=A3347))&gt;0,1,0))</f>
        <v/>
      </c>
      <c r="F3347">
        <f>IF(OR(A3347="",B3347=""),"",IF(E3347=1,0,D3347*B3347/100/C3347))</f>
        <v/>
      </c>
      <c r="G3347">
        <f>IF(A3347="","",IF(OR(B3347&lt;&gt;B3346,C3347&lt;&gt;C3346,D3347&lt;&gt;D3346,E3347&lt;&gt;E3346),G3346+1,G3346))</f>
        <v/>
      </c>
    </row>
    <row r="3348">
      <c r="A3348" s="14">
        <f>IF(OR(NOT(ISNUMBER(Ввод!$B$5)),NOT(ISNUMBER(Ввод!$B$6))),"",IF(Ввод!$B$5+3346&gt;Ввод!$B$6,"",Ввод!$B$5+3346))</f>
        <v/>
      </c>
      <c r="B3348">
        <f>IF(A3348="","",IFERROR(INDEX(Ввод!$B$12:$B$71,MATCH(A3348,Ввод!$D$12:$D$71,1)),""))</f>
        <v/>
      </c>
      <c r="C3348">
        <f>IF(A3348="","",DATE(YEAR(A3348),12,31)-DATE(YEAR(A3348),1,1)+1)</f>
        <v/>
      </c>
      <c r="D3348">
        <f>IF(A3348="","",Ввод!$B$4-SUMIF(Оплаты!$A$6:$A$505,"&lt;"&amp;A3348,Оплаты!$B$6:$B$505))</f>
        <v/>
      </c>
      <c r="E3348">
        <f>IF(A3348="","",IF(SUMPRODUCT((Ввод!$F$12:$F$31&lt;&gt;"")*(Ввод!$F$12:$F$31&lt;=A3348)*(Ввод!$G$12:$G$31&gt;=A3348))&gt;0,1,0))</f>
        <v/>
      </c>
      <c r="F3348">
        <f>IF(OR(A3348="",B3348=""),"",IF(E3348=1,0,D3348*B3348/100/C3348))</f>
        <v/>
      </c>
      <c r="G3348">
        <f>IF(A3348="","",IF(OR(B3348&lt;&gt;B3347,C3348&lt;&gt;C3347,D3348&lt;&gt;D3347,E3348&lt;&gt;E3347),G3347+1,G3347))</f>
        <v/>
      </c>
    </row>
    <row r="3349">
      <c r="A3349" s="14">
        <f>IF(OR(NOT(ISNUMBER(Ввод!$B$5)),NOT(ISNUMBER(Ввод!$B$6))),"",IF(Ввод!$B$5+3347&gt;Ввод!$B$6,"",Ввод!$B$5+3347))</f>
        <v/>
      </c>
      <c r="B3349">
        <f>IF(A3349="","",IFERROR(INDEX(Ввод!$B$12:$B$71,MATCH(A3349,Ввод!$D$12:$D$71,1)),""))</f>
        <v/>
      </c>
      <c r="C3349">
        <f>IF(A3349="","",DATE(YEAR(A3349),12,31)-DATE(YEAR(A3349),1,1)+1)</f>
        <v/>
      </c>
      <c r="D3349">
        <f>IF(A3349="","",Ввод!$B$4-SUMIF(Оплаты!$A$6:$A$505,"&lt;"&amp;A3349,Оплаты!$B$6:$B$505))</f>
        <v/>
      </c>
      <c r="E3349">
        <f>IF(A3349="","",IF(SUMPRODUCT((Ввод!$F$12:$F$31&lt;&gt;"")*(Ввод!$F$12:$F$31&lt;=A3349)*(Ввод!$G$12:$G$31&gt;=A3349))&gt;0,1,0))</f>
        <v/>
      </c>
      <c r="F3349">
        <f>IF(OR(A3349="",B3349=""),"",IF(E3349=1,0,D3349*B3349/100/C3349))</f>
        <v/>
      </c>
      <c r="G3349">
        <f>IF(A3349="","",IF(OR(B3349&lt;&gt;B3348,C3349&lt;&gt;C3348,D3349&lt;&gt;D3348,E3349&lt;&gt;E3348),G3348+1,G3348))</f>
        <v/>
      </c>
    </row>
    <row r="3350">
      <c r="A3350" s="14">
        <f>IF(OR(NOT(ISNUMBER(Ввод!$B$5)),NOT(ISNUMBER(Ввод!$B$6))),"",IF(Ввод!$B$5+3348&gt;Ввод!$B$6,"",Ввод!$B$5+3348))</f>
        <v/>
      </c>
      <c r="B3350">
        <f>IF(A3350="","",IFERROR(INDEX(Ввод!$B$12:$B$71,MATCH(A3350,Ввод!$D$12:$D$71,1)),""))</f>
        <v/>
      </c>
      <c r="C3350">
        <f>IF(A3350="","",DATE(YEAR(A3350),12,31)-DATE(YEAR(A3350),1,1)+1)</f>
        <v/>
      </c>
      <c r="D3350">
        <f>IF(A3350="","",Ввод!$B$4-SUMIF(Оплаты!$A$6:$A$505,"&lt;"&amp;A3350,Оплаты!$B$6:$B$505))</f>
        <v/>
      </c>
      <c r="E3350">
        <f>IF(A3350="","",IF(SUMPRODUCT((Ввод!$F$12:$F$31&lt;&gt;"")*(Ввод!$F$12:$F$31&lt;=A3350)*(Ввод!$G$12:$G$31&gt;=A3350))&gt;0,1,0))</f>
        <v/>
      </c>
      <c r="F3350">
        <f>IF(OR(A3350="",B3350=""),"",IF(E3350=1,0,D3350*B3350/100/C3350))</f>
        <v/>
      </c>
      <c r="G3350">
        <f>IF(A3350="","",IF(OR(B3350&lt;&gt;B3349,C3350&lt;&gt;C3349,D3350&lt;&gt;D3349,E3350&lt;&gt;E3349),G3349+1,G3349))</f>
        <v/>
      </c>
    </row>
    <row r="3351">
      <c r="A3351" s="14">
        <f>IF(OR(NOT(ISNUMBER(Ввод!$B$5)),NOT(ISNUMBER(Ввод!$B$6))),"",IF(Ввод!$B$5+3349&gt;Ввод!$B$6,"",Ввод!$B$5+3349))</f>
        <v/>
      </c>
      <c r="B3351">
        <f>IF(A3351="","",IFERROR(INDEX(Ввод!$B$12:$B$71,MATCH(A3351,Ввод!$D$12:$D$71,1)),""))</f>
        <v/>
      </c>
      <c r="C3351">
        <f>IF(A3351="","",DATE(YEAR(A3351),12,31)-DATE(YEAR(A3351),1,1)+1)</f>
        <v/>
      </c>
      <c r="D3351">
        <f>IF(A3351="","",Ввод!$B$4-SUMIF(Оплаты!$A$6:$A$505,"&lt;"&amp;A3351,Оплаты!$B$6:$B$505))</f>
        <v/>
      </c>
      <c r="E3351">
        <f>IF(A3351="","",IF(SUMPRODUCT((Ввод!$F$12:$F$31&lt;&gt;"")*(Ввод!$F$12:$F$31&lt;=A3351)*(Ввод!$G$12:$G$31&gt;=A3351))&gt;0,1,0))</f>
        <v/>
      </c>
      <c r="F3351">
        <f>IF(OR(A3351="",B3351=""),"",IF(E3351=1,0,D3351*B3351/100/C3351))</f>
        <v/>
      </c>
      <c r="G3351">
        <f>IF(A3351="","",IF(OR(B3351&lt;&gt;B3350,C3351&lt;&gt;C3350,D3351&lt;&gt;D3350,E3351&lt;&gt;E3350),G3350+1,G3350))</f>
        <v/>
      </c>
    </row>
    <row r="3352">
      <c r="A3352" s="14">
        <f>IF(OR(NOT(ISNUMBER(Ввод!$B$5)),NOT(ISNUMBER(Ввод!$B$6))),"",IF(Ввод!$B$5+3350&gt;Ввод!$B$6,"",Ввод!$B$5+3350))</f>
        <v/>
      </c>
      <c r="B3352">
        <f>IF(A3352="","",IFERROR(INDEX(Ввод!$B$12:$B$71,MATCH(A3352,Ввод!$D$12:$D$71,1)),""))</f>
        <v/>
      </c>
      <c r="C3352">
        <f>IF(A3352="","",DATE(YEAR(A3352),12,31)-DATE(YEAR(A3352),1,1)+1)</f>
        <v/>
      </c>
      <c r="D3352">
        <f>IF(A3352="","",Ввод!$B$4-SUMIF(Оплаты!$A$6:$A$505,"&lt;"&amp;A3352,Оплаты!$B$6:$B$505))</f>
        <v/>
      </c>
      <c r="E3352">
        <f>IF(A3352="","",IF(SUMPRODUCT((Ввод!$F$12:$F$31&lt;&gt;"")*(Ввод!$F$12:$F$31&lt;=A3352)*(Ввод!$G$12:$G$31&gt;=A3352))&gt;0,1,0))</f>
        <v/>
      </c>
      <c r="F3352">
        <f>IF(OR(A3352="",B3352=""),"",IF(E3352=1,0,D3352*B3352/100/C3352))</f>
        <v/>
      </c>
      <c r="G3352">
        <f>IF(A3352="","",IF(OR(B3352&lt;&gt;B3351,C3352&lt;&gt;C3351,D3352&lt;&gt;D3351,E3352&lt;&gt;E3351),G3351+1,G3351))</f>
        <v/>
      </c>
    </row>
    <row r="3353">
      <c r="A3353" s="14">
        <f>IF(OR(NOT(ISNUMBER(Ввод!$B$5)),NOT(ISNUMBER(Ввод!$B$6))),"",IF(Ввод!$B$5+3351&gt;Ввод!$B$6,"",Ввод!$B$5+3351))</f>
        <v/>
      </c>
      <c r="B3353">
        <f>IF(A3353="","",IFERROR(INDEX(Ввод!$B$12:$B$71,MATCH(A3353,Ввод!$D$12:$D$71,1)),""))</f>
        <v/>
      </c>
      <c r="C3353">
        <f>IF(A3353="","",DATE(YEAR(A3353),12,31)-DATE(YEAR(A3353),1,1)+1)</f>
        <v/>
      </c>
      <c r="D3353">
        <f>IF(A3353="","",Ввод!$B$4-SUMIF(Оплаты!$A$6:$A$505,"&lt;"&amp;A3353,Оплаты!$B$6:$B$505))</f>
        <v/>
      </c>
      <c r="E3353">
        <f>IF(A3353="","",IF(SUMPRODUCT((Ввод!$F$12:$F$31&lt;&gt;"")*(Ввод!$F$12:$F$31&lt;=A3353)*(Ввод!$G$12:$G$31&gt;=A3353))&gt;0,1,0))</f>
        <v/>
      </c>
      <c r="F3353">
        <f>IF(OR(A3353="",B3353=""),"",IF(E3353=1,0,D3353*B3353/100/C3353))</f>
        <v/>
      </c>
      <c r="G3353">
        <f>IF(A3353="","",IF(OR(B3353&lt;&gt;B3352,C3353&lt;&gt;C3352,D3353&lt;&gt;D3352,E3353&lt;&gt;E3352),G3352+1,G3352))</f>
        <v/>
      </c>
    </row>
    <row r="3354">
      <c r="A3354" s="14">
        <f>IF(OR(NOT(ISNUMBER(Ввод!$B$5)),NOT(ISNUMBER(Ввод!$B$6))),"",IF(Ввод!$B$5+3352&gt;Ввод!$B$6,"",Ввод!$B$5+3352))</f>
        <v/>
      </c>
      <c r="B3354">
        <f>IF(A3354="","",IFERROR(INDEX(Ввод!$B$12:$B$71,MATCH(A3354,Ввод!$D$12:$D$71,1)),""))</f>
        <v/>
      </c>
      <c r="C3354">
        <f>IF(A3354="","",DATE(YEAR(A3354),12,31)-DATE(YEAR(A3354),1,1)+1)</f>
        <v/>
      </c>
      <c r="D3354">
        <f>IF(A3354="","",Ввод!$B$4-SUMIF(Оплаты!$A$6:$A$505,"&lt;"&amp;A3354,Оплаты!$B$6:$B$505))</f>
        <v/>
      </c>
      <c r="E3354">
        <f>IF(A3354="","",IF(SUMPRODUCT((Ввод!$F$12:$F$31&lt;&gt;"")*(Ввод!$F$12:$F$31&lt;=A3354)*(Ввод!$G$12:$G$31&gt;=A3354))&gt;0,1,0))</f>
        <v/>
      </c>
      <c r="F3354">
        <f>IF(OR(A3354="",B3354=""),"",IF(E3354=1,0,D3354*B3354/100/C3354))</f>
        <v/>
      </c>
      <c r="G3354">
        <f>IF(A3354="","",IF(OR(B3354&lt;&gt;B3353,C3354&lt;&gt;C3353,D3354&lt;&gt;D3353,E3354&lt;&gt;E3353),G3353+1,G3353))</f>
        <v/>
      </c>
    </row>
    <row r="3355">
      <c r="A3355" s="14">
        <f>IF(OR(NOT(ISNUMBER(Ввод!$B$5)),NOT(ISNUMBER(Ввод!$B$6))),"",IF(Ввод!$B$5+3353&gt;Ввод!$B$6,"",Ввод!$B$5+3353))</f>
        <v/>
      </c>
      <c r="B3355">
        <f>IF(A3355="","",IFERROR(INDEX(Ввод!$B$12:$B$71,MATCH(A3355,Ввод!$D$12:$D$71,1)),""))</f>
        <v/>
      </c>
      <c r="C3355">
        <f>IF(A3355="","",DATE(YEAR(A3355),12,31)-DATE(YEAR(A3355),1,1)+1)</f>
        <v/>
      </c>
      <c r="D3355">
        <f>IF(A3355="","",Ввод!$B$4-SUMIF(Оплаты!$A$6:$A$505,"&lt;"&amp;A3355,Оплаты!$B$6:$B$505))</f>
        <v/>
      </c>
      <c r="E3355">
        <f>IF(A3355="","",IF(SUMPRODUCT((Ввод!$F$12:$F$31&lt;&gt;"")*(Ввод!$F$12:$F$31&lt;=A3355)*(Ввод!$G$12:$G$31&gt;=A3355))&gt;0,1,0))</f>
        <v/>
      </c>
      <c r="F3355">
        <f>IF(OR(A3355="",B3355=""),"",IF(E3355=1,0,D3355*B3355/100/C3355))</f>
        <v/>
      </c>
      <c r="G3355">
        <f>IF(A3355="","",IF(OR(B3355&lt;&gt;B3354,C3355&lt;&gt;C3354,D3355&lt;&gt;D3354,E3355&lt;&gt;E3354),G3354+1,G3354))</f>
        <v/>
      </c>
    </row>
    <row r="3356">
      <c r="A3356" s="14">
        <f>IF(OR(NOT(ISNUMBER(Ввод!$B$5)),NOT(ISNUMBER(Ввод!$B$6))),"",IF(Ввод!$B$5+3354&gt;Ввод!$B$6,"",Ввод!$B$5+3354))</f>
        <v/>
      </c>
      <c r="B3356">
        <f>IF(A3356="","",IFERROR(INDEX(Ввод!$B$12:$B$71,MATCH(A3356,Ввод!$D$12:$D$71,1)),""))</f>
        <v/>
      </c>
      <c r="C3356">
        <f>IF(A3356="","",DATE(YEAR(A3356),12,31)-DATE(YEAR(A3356),1,1)+1)</f>
        <v/>
      </c>
      <c r="D3356">
        <f>IF(A3356="","",Ввод!$B$4-SUMIF(Оплаты!$A$6:$A$505,"&lt;"&amp;A3356,Оплаты!$B$6:$B$505))</f>
        <v/>
      </c>
      <c r="E3356">
        <f>IF(A3356="","",IF(SUMPRODUCT((Ввод!$F$12:$F$31&lt;&gt;"")*(Ввод!$F$12:$F$31&lt;=A3356)*(Ввод!$G$12:$G$31&gt;=A3356))&gt;0,1,0))</f>
        <v/>
      </c>
      <c r="F3356">
        <f>IF(OR(A3356="",B3356=""),"",IF(E3356=1,0,D3356*B3356/100/C3356))</f>
        <v/>
      </c>
      <c r="G3356">
        <f>IF(A3356="","",IF(OR(B3356&lt;&gt;B3355,C3356&lt;&gt;C3355,D3356&lt;&gt;D3355,E3356&lt;&gt;E3355),G3355+1,G3355))</f>
        <v/>
      </c>
    </row>
    <row r="3357">
      <c r="A3357" s="14">
        <f>IF(OR(NOT(ISNUMBER(Ввод!$B$5)),NOT(ISNUMBER(Ввод!$B$6))),"",IF(Ввод!$B$5+3355&gt;Ввод!$B$6,"",Ввод!$B$5+3355))</f>
        <v/>
      </c>
      <c r="B3357">
        <f>IF(A3357="","",IFERROR(INDEX(Ввод!$B$12:$B$71,MATCH(A3357,Ввод!$D$12:$D$71,1)),""))</f>
        <v/>
      </c>
      <c r="C3357">
        <f>IF(A3357="","",DATE(YEAR(A3357),12,31)-DATE(YEAR(A3357),1,1)+1)</f>
        <v/>
      </c>
      <c r="D3357">
        <f>IF(A3357="","",Ввод!$B$4-SUMIF(Оплаты!$A$6:$A$505,"&lt;"&amp;A3357,Оплаты!$B$6:$B$505))</f>
        <v/>
      </c>
      <c r="E3357">
        <f>IF(A3357="","",IF(SUMPRODUCT((Ввод!$F$12:$F$31&lt;&gt;"")*(Ввод!$F$12:$F$31&lt;=A3357)*(Ввод!$G$12:$G$31&gt;=A3357))&gt;0,1,0))</f>
        <v/>
      </c>
      <c r="F3357">
        <f>IF(OR(A3357="",B3357=""),"",IF(E3357=1,0,D3357*B3357/100/C3357))</f>
        <v/>
      </c>
      <c r="G3357">
        <f>IF(A3357="","",IF(OR(B3357&lt;&gt;B3356,C3357&lt;&gt;C3356,D3357&lt;&gt;D3356,E3357&lt;&gt;E3356),G3356+1,G3356))</f>
        <v/>
      </c>
    </row>
    <row r="3358">
      <c r="A3358" s="14">
        <f>IF(OR(NOT(ISNUMBER(Ввод!$B$5)),NOT(ISNUMBER(Ввод!$B$6))),"",IF(Ввод!$B$5+3356&gt;Ввод!$B$6,"",Ввод!$B$5+3356))</f>
        <v/>
      </c>
      <c r="B3358">
        <f>IF(A3358="","",IFERROR(INDEX(Ввод!$B$12:$B$71,MATCH(A3358,Ввод!$D$12:$D$71,1)),""))</f>
        <v/>
      </c>
      <c r="C3358">
        <f>IF(A3358="","",DATE(YEAR(A3358),12,31)-DATE(YEAR(A3358),1,1)+1)</f>
        <v/>
      </c>
      <c r="D3358">
        <f>IF(A3358="","",Ввод!$B$4-SUMIF(Оплаты!$A$6:$A$505,"&lt;"&amp;A3358,Оплаты!$B$6:$B$505))</f>
        <v/>
      </c>
      <c r="E3358">
        <f>IF(A3358="","",IF(SUMPRODUCT((Ввод!$F$12:$F$31&lt;&gt;"")*(Ввод!$F$12:$F$31&lt;=A3358)*(Ввод!$G$12:$G$31&gt;=A3358))&gt;0,1,0))</f>
        <v/>
      </c>
      <c r="F3358">
        <f>IF(OR(A3358="",B3358=""),"",IF(E3358=1,0,D3358*B3358/100/C3358))</f>
        <v/>
      </c>
      <c r="G3358">
        <f>IF(A3358="","",IF(OR(B3358&lt;&gt;B3357,C3358&lt;&gt;C3357,D3358&lt;&gt;D3357,E3358&lt;&gt;E3357),G3357+1,G3357))</f>
        <v/>
      </c>
    </row>
    <row r="3359">
      <c r="A3359" s="14">
        <f>IF(OR(NOT(ISNUMBER(Ввод!$B$5)),NOT(ISNUMBER(Ввод!$B$6))),"",IF(Ввод!$B$5+3357&gt;Ввод!$B$6,"",Ввод!$B$5+3357))</f>
        <v/>
      </c>
      <c r="B3359">
        <f>IF(A3359="","",IFERROR(INDEX(Ввод!$B$12:$B$71,MATCH(A3359,Ввод!$D$12:$D$71,1)),""))</f>
        <v/>
      </c>
      <c r="C3359">
        <f>IF(A3359="","",DATE(YEAR(A3359),12,31)-DATE(YEAR(A3359),1,1)+1)</f>
        <v/>
      </c>
      <c r="D3359">
        <f>IF(A3359="","",Ввод!$B$4-SUMIF(Оплаты!$A$6:$A$505,"&lt;"&amp;A3359,Оплаты!$B$6:$B$505))</f>
        <v/>
      </c>
      <c r="E3359">
        <f>IF(A3359="","",IF(SUMPRODUCT((Ввод!$F$12:$F$31&lt;&gt;"")*(Ввод!$F$12:$F$31&lt;=A3359)*(Ввод!$G$12:$G$31&gt;=A3359))&gt;0,1,0))</f>
        <v/>
      </c>
      <c r="F3359">
        <f>IF(OR(A3359="",B3359=""),"",IF(E3359=1,0,D3359*B3359/100/C3359))</f>
        <v/>
      </c>
      <c r="G3359">
        <f>IF(A3359="","",IF(OR(B3359&lt;&gt;B3358,C3359&lt;&gt;C3358,D3359&lt;&gt;D3358,E3359&lt;&gt;E3358),G3358+1,G3358))</f>
        <v/>
      </c>
    </row>
    <row r="3360">
      <c r="A3360" s="14">
        <f>IF(OR(NOT(ISNUMBER(Ввод!$B$5)),NOT(ISNUMBER(Ввод!$B$6))),"",IF(Ввод!$B$5+3358&gt;Ввод!$B$6,"",Ввод!$B$5+3358))</f>
        <v/>
      </c>
      <c r="B3360">
        <f>IF(A3360="","",IFERROR(INDEX(Ввод!$B$12:$B$71,MATCH(A3360,Ввод!$D$12:$D$71,1)),""))</f>
        <v/>
      </c>
      <c r="C3360">
        <f>IF(A3360="","",DATE(YEAR(A3360),12,31)-DATE(YEAR(A3360),1,1)+1)</f>
        <v/>
      </c>
      <c r="D3360">
        <f>IF(A3360="","",Ввод!$B$4-SUMIF(Оплаты!$A$6:$A$505,"&lt;"&amp;A3360,Оплаты!$B$6:$B$505))</f>
        <v/>
      </c>
      <c r="E3360">
        <f>IF(A3360="","",IF(SUMPRODUCT((Ввод!$F$12:$F$31&lt;&gt;"")*(Ввод!$F$12:$F$31&lt;=A3360)*(Ввод!$G$12:$G$31&gt;=A3360))&gt;0,1,0))</f>
        <v/>
      </c>
      <c r="F3360">
        <f>IF(OR(A3360="",B3360=""),"",IF(E3360=1,0,D3360*B3360/100/C3360))</f>
        <v/>
      </c>
      <c r="G3360">
        <f>IF(A3360="","",IF(OR(B3360&lt;&gt;B3359,C3360&lt;&gt;C3359,D3360&lt;&gt;D3359,E3360&lt;&gt;E3359),G3359+1,G3359))</f>
        <v/>
      </c>
    </row>
    <row r="3361">
      <c r="A3361" s="14">
        <f>IF(OR(NOT(ISNUMBER(Ввод!$B$5)),NOT(ISNUMBER(Ввод!$B$6))),"",IF(Ввод!$B$5+3359&gt;Ввод!$B$6,"",Ввод!$B$5+3359))</f>
        <v/>
      </c>
      <c r="B3361">
        <f>IF(A3361="","",IFERROR(INDEX(Ввод!$B$12:$B$71,MATCH(A3361,Ввод!$D$12:$D$71,1)),""))</f>
        <v/>
      </c>
      <c r="C3361">
        <f>IF(A3361="","",DATE(YEAR(A3361),12,31)-DATE(YEAR(A3361),1,1)+1)</f>
        <v/>
      </c>
      <c r="D3361">
        <f>IF(A3361="","",Ввод!$B$4-SUMIF(Оплаты!$A$6:$A$505,"&lt;"&amp;A3361,Оплаты!$B$6:$B$505))</f>
        <v/>
      </c>
      <c r="E3361">
        <f>IF(A3361="","",IF(SUMPRODUCT((Ввод!$F$12:$F$31&lt;&gt;"")*(Ввод!$F$12:$F$31&lt;=A3361)*(Ввод!$G$12:$G$31&gt;=A3361))&gt;0,1,0))</f>
        <v/>
      </c>
      <c r="F3361">
        <f>IF(OR(A3361="",B3361=""),"",IF(E3361=1,0,D3361*B3361/100/C3361))</f>
        <v/>
      </c>
      <c r="G3361">
        <f>IF(A3361="","",IF(OR(B3361&lt;&gt;B3360,C3361&lt;&gt;C3360,D3361&lt;&gt;D3360,E3361&lt;&gt;E3360),G3360+1,G3360))</f>
        <v/>
      </c>
    </row>
    <row r="3362">
      <c r="A3362" s="14">
        <f>IF(OR(NOT(ISNUMBER(Ввод!$B$5)),NOT(ISNUMBER(Ввод!$B$6))),"",IF(Ввод!$B$5+3360&gt;Ввод!$B$6,"",Ввод!$B$5+3360))</f>
        <v/>
      </c>
      <c r="B3362">
        <f>IF(A3362="","",IFERROR(INDEX(Ввод!$B$12:$B$71,MATCH(A3362,Ввод!$D$12:$D$71,1)),""))</f>
        <v/>
      </c>
      <c r="C3362">
        <f>IF(A3362="","",DATE(YEAR(A3362),12,31)-DATE(YEAR(A3362),1,1)+1)</f>
        <v/>
      </c>
      <c r="D3362">
        <f>IF(A3362="","",Ввод!$B$4-SUMIF(Оплаты!$A$6:$A$505,"&lt;"&amp;A3362,Оплаты!$B$6:$B$505))</f>
        <v/>
      </c>
      <c r="E3362">
        <f>IF(A3362="","",IF(SUMPRODUCT((Ввод!$F$12:$F$31&lt;&gt;"")*(Ввод!$F$12:$F$31&lt;=A3362)*(Ввод!$G$12:$G$31&gt;=A3362))&gt;0,1,0))</f>
        <v/>
      </c>
      <c r="F3362">
        <f>IF(OR(A3362="",B3362=""),"",IF(E3362=1,0,D3362*B3362/100/C3362))</f>
        <v/>
      </c>
      <c r="G3362">
        <f>IF(A3362="","",IF(OR(B3362&lt;&gt;B3361,C3362&lt;&gt;C3361,D3362&lt;&gt;D3361,E3362&lt;&gt;E3361),G3361+1,G3361))</f>
        <v/>
      </c>
    </row>
    <row r="3363">
      <c r="A3363" s="14">
        <f>IF(OR(NOT(ISNUMBER(Ввод!$B$5)),NOT(ISNUMBER(Ввод!$B$6))),"",IF(Ввод!$B$5+3361&gt;Ввод!$B$6,"",Ввод!$B$5+3361))</f>
        <v/>
      </c>
      <c r="B3363">
        <f>IF(A3363="","",IFERROR(INDEX(Ввод!$B$12:$B$71,MATCH(A3363,Ввод!$D$12:$D$71,1)),""))</f>
        <v/>
      </c>
      <c r="C3363">
        <f>IF(A3363="","",DATE(YEAR(A3363),12,31)-DATE(YEAR(A3363),1,1)+1)</f>
        <v/>
      </c>
      <c r="D3363">
        <f>IF(A3363="","",Ввод!$B$4-SUMIF(Оплаты!$A$6:$A$505,"&lt;"&amp;A3363,Оплаты!$B$6:$B$505))</f>
        <v/>
      </c>
      <c r="E3363">
        <f>IF(A3363="","",IF(SUMPRODUCT((Ввод!$F$12:$F$31&lt;&gt;"")*(Ввод!$F$12:$F$31&lt;=A3363)*(Ввод!$G$12:$G$31&gt;=A3363))&gt;0,1,0))</f>
        <v/>
      </c>
      <c r="F3363">
        <f>IF(OR(A3363="",B3363=""),"",IF(E3363=1,0,D3363*B3363/100/C3363))</f>
        <v/>
      </c>
      <c r="G3363">
        <f>IF(A3363="","",IF(OR(B3363&lt;&gt;B3362,C3363&lt;&gt;C3362,D3363&lt;&gt;D3362,E3363&lt;&gt;E3362),G3362+1,G3362))</f>
        <v/>
      </c>
    </row>
    <row r="3364">
      <c r="A3364" s="14">
        <f>IF(OR(NOT(ISNUMBER(Ввод!$B$5)),NOT(ISNUMBER(Ввод!$B$6))),"",IF(Ввод!$B$5+3362&gt;Ввод!$B$6,"",Ввод!$B$5+3362))</f>
        <v/>
      </c>
      <c r="B3364">
        <f>IF(A3364="","",IFERROR(INDEX(Ввод!$B$12:$B$71,MATCH(A3364,Ввод!$D$12:$D$71,1)),""))</f>
        <v/>
      </c>
      <c r="C3364">
        <f>IF(A3364="","",DATE(YEAR(A3364),12,31)-DATE(YEAR(A3364),1,1)+1)</f>
        <v/>
      </c>
      <c r="D3364">
        <f>IF(A3364="","",Ввод!$B$4-SUMIF(Оплаты!$A$6:$A$505,"&lt;"&amp;A3364,Оплаты!$B$6:$B$505))</f>
        <v/>
      </c>
      <c r="E3364">
        <f>IF(A3364="","",IF(SUMPRODUCT((Ввод!$F$12:$F$31&lt;&gt;"")*(Ввод!$F$12:$F$31&lt;=A3364)*(Ввод!$G$12:$G$31&gt;=A3364))&gt;0,1,0))</f>
        <v/>
      </c>
      <c r="F3364">
        <f>IF(OR(A3364="",B3364=""),"",IF(E3364=1,0,D3364*B3364/100/C3364))</f>
        <v/>
      </c>
      <c r="G3364">
        <f>IF(A3364="","",IF(OR(B3364&lt;&gt;B3363,C3364&lt;&gt;C3363,D3364&lt;&gt;D3363,E3364&lt;&gt;E3363),G3363+1,G3363))</f>
        <v/>
      </c>
    </row>
    <row r="3365">
      <c r="A3365" s="14">
        <f>IF(OR(NOT(ISNUMBER(Ввод!$B$5)),NOT(ISNUMBER(Ввод!$B$6))),"",IF(Ввод!$B$5+3363&gt;Ввод!$B$6,"",Ввод!$B$5+3363))</f>
        <v/>
      </c>
      <c r="B3365">
        <f>IF(A3365="","",IFERROR(INDEX(Ввод!$B$12:$B$71,MATCH(A3365,Ввод!$D$12:$D$71,1)),""))</f>
        <v/>
      </c>
      <c r="C3365">
        <f>IF(A3365="","",DATE(YEAR(A3365),12,31)-DATE(YEAR(A3365),1,1)+1)</f>
        <v/>
      </c>
      <c r="D3365">
        <f>IF(A3365="","",Ввод!$B$4-SUMIF(Оплаты!$A$6:$A$505,"&lt;"&amp;A3365,Оплаты!$B$6:$B$505))</f>
        <v/>
      </c>
      <c r="E3365">
        <f>IF(A3365="","",IF(SUMPRODUCT((Ввод!$F$12:$F$31&lt;&gt;"")*(Ввод!$F$12:$F$31&lt;=A3365)*(Ввод!$G$12:$G$31&gt;=A3365))&gt;0,1,0))</f>
        <v/>
      </c>
      <c r="F3365">
        <f>IF(OR(A3365="",B3365=""),"",IF(E3365=1,0,D3365*B3365/100/C3365))</f>
        <v/>
      </c>
      <c r="G3365">
        <f>IF(A3365="","",IF(OR(B3365&lt;&gt;B3364,C3365&lt;&gt;C3364,D3365&lt;&gt;D3364,E3365&lt;&gt;E3364),G3364+1,G3364))</f>
        <v/>
      </c>
    </row>
    <row r="3366">
      <c r="A3366" s="14">
        <f>IF(OR(NOT(ISNUMBER(Ввод!$B$5)),NOT(ISNUMBER(Ввод!$B$6))),"",IF(Ввод!$B$5+3364&gt;Ввод!$B$6,"",Ввод!$B$5+3364))</f>
        <v/>
      </c>
      <c r="B3366">
        <f>IF(A3366="","",IFERROR(INDEX(Ввод!$B$12:$B$71,MATCH(A3366,Ввод!$D$12:$D$71,1)),""))</f>
        <v/>
      </c>
      <c r="C3366">
        <f>IF(A3366="","",DATE(YEAR(A3366),12,31)-DATE(YEAR(A3366),1,1)+1)</f>
        <v/>
      </c>
      <c r="D3366">
        <f>IF(A3366="","",Ввод!$B$4-SUMIF(Оплаты!$A$6:$A$505,"&lt;"&amp;A3366,Оплаты!$B$6:$B$505))</f>
        <v/>
      </c>
      <c r="E3366">
        <f>IF(A3366="","",IF(SUMPRODUCT((Ввод!$F$12:$F$31&lt;&gt;"")*(Ввод!$F$12:$F$31&lt;=A3366)*(Ввод!$G$12:$G$31&gt;=A3366))&gt;0,1,0))</f>
        <v/>
      </c>
      <c r="F3366">
        <f>IF(OR(A3366="",B3366=""),"",IF(E3366=1,0,D3366*B3366/100/C3366))</f>
        <v/>
      </c>
      <c r="G3366">
        <f>IF(A3366="","",IF(OR(B3366&lt;&gt;B3365,C3366&lt;&gt;C3365,D3366&lt;&gt;D3365,E3366&lt;&gt;E3365),G3365+1,G3365))</f>
        <v/>
      </c>
    </row>
    <row r="3367">
      <c r="A3367" s="14">
        <f>IF(OR(NOT(ISNUMBER(Ввод!$B$5)),NOT(ISNUMBER(Ввод!$B$6))),"",IF(Ввод!$B$5+3365&gt;Ввод!$B$6,"",Ввод!$B$5+3365))</f>
        <v/>
      </c>
      <c r="B3367">
        <f>IF(A3367="","",IFERROR(INDEX(Ввод!$B$12:$B$71,MATCH(A3367,Ввод!$D$12:$D$71,1)),""))</f>
        <v/>
      </c>
      <c r="C3367">
        <f>IF(A3367="","",DATE(YEAR(A3367),12,31)-DATE(YEAR(A3367),1,1)+1)</f>
        <v/>
      </c>
      <c r="D3367">
        <f>IF(A3367="","",Ввод!$B$4-SUMIF(Оплаты!$A$6:$A$505,"&lt;"&amp;A3367,Оплаты!$B$6:$B$505))</f>
        <v/>
      </c>
      <c r="E3367">
        <f>IF(A3367="","",IF(SUMPRODUCT((Ввод!$F$12:$F$31&lt;&gt;"")*(Ввод!$F$12:$F$31&lt;=A3367)*(Ввод!$G$12:$G$31&gt;=A3367))&gt;0,1,0))</f>
        <v/>
      </c>
      <c r="F3367">
        <f>IF(OR(A3367="",B3367=""),"",IF(E3367=1,0,D3367*B3367/100/C3367))</f>
        <v/>
      </c>
      <c r="G3367">
        <f>IF(A3367="","",IF(OR(B3367&lt;&gt;B3366,C3367&lt;&gt;C3366,D3367&lt;&gt;D3366,E3367&lt;&gt;E3366),G3366+1,G3366))</f>
        <v/>
      </c>
    </row>
    <row r="3368">
      <c r="A3368" s="14">
        <f>IF(OR(NOT(ISNUMBER(Ввод!$B$5)),NOT(ISNUMBER(Ввод!$B$6))),"",IF(Ввод!$B$5+3366&gt;Ввод!$B$6,"",Ввод!$B$5+3366))</f>
        <v/>
      </c>
      <c r="B3368">
        <f>IF(A3368="","",IFERROR(INDEX(Ввод!$B$12:$B$71,MATCH(A3368,Ввод!$D$12:$D$71,1)),""))</f>
        <v/>
      </c>
      <c r="C3368">
        <f>IF(A3368="","",DATE(YEAR(A3368),12,31)-DATE(YEAR(A3368),1,1)+1)</f>
        <v/>
      </c>
      <c r="D3368">
        <f>IF(A3368="","",Ввод!$B$4-SUMIF(Оплаты!$A$6:$A$505,"&lt;"&amp;A3368,Оплаты!$B$6:$B$505))</f>
        <v/>
      </c>
      <c r="E3368">
        <f>IF(A3368="","",IF(SUMPRODUCT((Ввод!$F$12:$F$31&lt;&gt;"")*(Ввод!$F$12:$F$31&lt;=A3368)*(Ввод!$G$12:$G$31&gt;=A3368))&gt;0,1,0))</f>
        <v/>
      </c>
      <c r="F3368">
        <f>IF(OR(A3368="",B3368=""),"",IF(E3368=1,0,D3368*B3368/100/C3368))</f>
        <v/>
      </c>
      <c r="G3368">
        <f>IF(A3368="","",IF(OR(B3368&lt;&gt;B3367,C3368&lt;&gt;C3367,D3368&lt;&gt;D3367,E3368&lt;&gt;E3367),G3367+1,G3367))</f>
        <v/>
      </c>
    </row>
    <row r="3369">
      <c r="A3369" s="14">
        <f>IF(OR(NOT(ISNUMBER(Ввод!$B$5)),NOT(ISNUMBER(Ввод!$B$6))),"",IF(Ввод!$B$5+3367&gt;Ввод!$B$6,"",Ввод!$B$5+3367))</f>
        <v/>
      </c>
      <c r="B3369">
        <f>IF(A3369="","",IFERROR(INDEX(Ввод!$B$12:$B$71,MATCH(A3369,Ввод!$D$12:$D$71,1)),""))</f>
        <v/>
      </c>
      <c r="C3369">
        <f>IF(A3369="","",DATE(YEAR(A3369),12,31)-DATE(YEAR(A3369),1,1)+1)</f>
        <v/>
      </c>
      <c r="D3369">
        <f>IF(A3369="","",Ввод!$B$4-SUMIF(Оплаты!$A$6:$A$505,"&lt;"&amp;A3369,Оплаты!$B$6:$B$505))</f>
        <v/>
      </c>
      <c r="E3369">
        <f>IF(A3369="","",IF(SUMPRODUCT((Ввод!$F$12:$F$31&lt;&gt;"")*(Ввод!$F$12:$F$31&lt;=A3369)*(Ввод!$G$12:$G$31&gt;=A3369))&gt;0,1,0))</f>
        <v/>
      </c>
      <c r="F3369">
        <f>IF(OR(A3369="",B3369=""),"",IF(E3369=1,0,D3369*B3369/100/C3369))</f>
        <v/>
      </c>
      <c r="G3369">
        <f>IF(A3369="","",IF(OR(B3369&lt;&gt;B3368,C3369&lt;&gt;C3368,D3369&lt;&gt;D3368,E3369&lt;&gt;E3368),G3368+1,G3368))</f>
        <v/>
      </c>
    </row>
    <row r="3370">
      <c r="A3370" s="14">
        <f>IF(OR(NOT(ISNUMBER(Ввод!$B$5)),NOT(ISNUMBER(Ввод!$B$6))),"",IF(Ввод!$B$5+3368&gt;Ввод!$B$6,"",Ввод!$B$5+3368))</f>
        <v/>
      </c>
      <c r="B3370">
        <f>IF(A3370="","",IFERROR(INDEX(Ввод!$B$12:$B$71,MATCH(A3370,Ввод!$D$12:$D$71,1)),""))</f>
        <v/>
      </c>
      <c r="C3370">
        <f>IF(A3370="","",DATE(YEAR(A3370),12,31)-DATE(YEAR(A3370),1,1)+1)</f>
        <v/>
      </c>
      <c r="D3370">
        <f>IF(A3370="","",Ввод!$B$4-SUMIF(Оплаты!$A$6:$A$505,"&lt;"&amp;A3370,Оплаты!$B$6:$B$505))</f>
        <v/>
      </c>
      <c r="E3370">
        <f>IF(A3370="","",IF(SUMPRODUCT((Ввод!$F$12:$F$31&lt;&gt;"")*(Ввод!$F$12:$F$31&lt;=A3370)*(Ввод!$G$12:$G$31&gt;=A3370))&gt;0,1,0))</f>
        <v/>
      </c>
      <c r="F3370">
        <f>IF(OR(A3370="",B3370=""),"",IF(E3370=1,0,D3370*B3370/100/C3370))</f>
        <v/>
      </c>
      <c r="G3370">
        <f>IF(A3370="","",IF(OR(B3370&lt;&gt;B3369,C3370&lt;&gt;C3369,D3370&lt;&gt;D3369,E3370&lt;&gt;E3369),G3369+1,G3369))</f>
        <v/>
      </c>
    </row>
    <row r="3371">
      <c r="A3371" s="14">
        <f>IF(OR(NOT(ISNUMBER(Ввод!$B$5)),NOT(ISNUMBER(Ввод!$B$6))),"",IF(Ввод!$B$5+3369&gt;Ввод!$B$6,"",Ввод!$B$5+3369))</f>
        <v/>
      </c>
      <c r="B3371">
        <f>IF(A3371="","",IFERROR(INDEX(Ввод!$B$12:$B$71,MATCH(A3371,Ввод!$D$12:$D$71,1)),""))</f>
        <v/>
      </c>
      <c r="C3371">
        <f>IF(A3371="","",DATE(YEAR(A3371),12,31)-DATE(YEAR(A3371),1,1)+1)</f>
        <v/>
      </c>
      <c r="D3371">
        <f>IF(A3371="","",Ввод!$B$4-SUMIF(Оплаты!$A$6:$A$505,"&lt;"&amp;A3371,Оплаты!$B$6:$B$505))</f>
        <v/>
      </c>
      <c r="E3371">
        <f>IF(A3371="","",IF(SUMPRODUCT((Ввод!$F$12:$F$31&lt;&gt;"")*(Ввод!$F$12:$F$31&lt;=A3371)*(Ввод!$G$12:$G$31&gt;=A3371))&gt;0,1,0))</f>
        <v/>
      </c>
      <c r="F3371">
        <f>IF(OR(A3371="",B3371=""),"",IF(E3371=1,0,D3371*B3371/100/C3371))</f>
        <v/>
      </c>
      <c r="G3371">
        <f>IF(A3371="","",IF(OR(B3371&lt;&gt;B3370,C3371&lt;&gt;C3370,D3371&lt;&gt;D3370,E3371&lt;&gt;E3370),G3370+1,G3370))</f>
        <v/>
      </c>
    </row>
    <row r="3372">
      <c r="A3372" s="14">
        <f>IF(OR(NOT(ISNUMBER(Ввод!$B$5)),NOT(ISNUMBER(Ввод!$B$6))),"",IF(Ввод!$B$5+3370&gt;Ввод!$B$6,"",Ввод!$B$5+3370))</f>
        <v/>
      </c>
      <c r="B3372">
        <f>IF(A3372="","",IFERROR(INDEX(Ввод!$B$12:$B$71,MATCH(A3372,Ввод!$D$12:$D$71,1)),""))</f>
        <v/>
      </c>
      <c r="C3372">
        <f>IF(A3372="","",DATE(YEAR(A3372),12,31)-DATE(YEAR(A3372),1,1)+1)</f>
        <v/>
      </c>
      <c r="D3372">
        <f>IF(A3372="","",Ввод!$B$4-SUMIF(Оплаты!$A$6:$A$505,"&lt;"&amp;A3372,Оплаты!$B$6:$B$505))</f>
        <v/>
      </c>
      <c r="E3372">
        <f>IF(A3372="","",IF(SUMPRODUCT((Ввод!$F$12:$F$31&lt;&gt;"")*(Ввод!$F$12:$F$31&lt;=A3372)*(Ввод!$G$12:$G$31&gt;=A3372))&gt;0,1,0))</f>
        <v/>
      </c>
      <c r="F3372">
        <f>IF(OR(A3372="",B3372=""),"",IF(E3372=1,0,D3372*B3372/100/C3372))</f>
        <v/>
      </c>
      <c r="G3372">
        <f>IF(A3372="","",IF(OR(B3372&lt;&gt;B3371,C3372&lt;&gt;C3371,D3372&lt;&gt;D3371,E3372&lt;&gt;E3371),G3371+1,G3371))</f>
        <v/>
      </c>
    </row>
    <row r="3373">
      <c r="A3373" s="14">
        <f>IF(OR(NOT(ISNUMBER(Ввод!$B$5)),NOT(ISNUMBER(Ввод!$B$6))),"",IF(Ввод!$B$5+3371&gt;Ввод!$B$6,"",Ввод!$B$5+3371))</f>
        <v/>
      </c>
      <c r="B3373">
        <f>IF(A3373="","",IFERROR(INDEX(Ввод!$B$12:$B$71,MATCH(A3373,Ввод!$D$12:$D$71,1)),""))</f>
        <v/>
      </c>
      <c r="C3373">
        <f>IF(A3373="","",DATE(YEAR(A3373),12,31)-DATE(YEAR(A3373),1,1)+1)</f>
        <v/>
      </c>
      <c r="D3373">
        <f>IF(A3373="","",Ввод!$B$4-SUMIF(Оплаты!$A$6:$A$505,"&lt;"&amp;A3373,Оплаты!$B$6:$B$505))</f>
        <v/>
      </c>
      <c r="E3373">
        <f>IF(A3373="","",IF(SUMPRODUCT((Ввод!$F$12:$F$31&lt;&gt;"")*(Ввод!$F$12:$F$31&lt;=A3373)*(Ввод!$G$12:$G$31&gt;=A3373))&gt;0,1,0))</f>
        <v/>
      </c>
      <c r="F3373">
        <f>IF(OR(A3373="",B3373=""),"",IF(E3373=1,0,D3373*B3373/100/C3373))</f>
        <v/>
      </c>
      <c r="G3373">
        <f>IF(A3373="","",IF(OR(B3373&lt;&gt;B3372,C3373&lt;&gt;C3372,D3373&lt;&gt;D3372,E3373&lt;&gt;E3372),G3372+1,G3372))</f>
        <v/>
      </c>
    </row>
    <row r="3374">
      <c r="A3374" s="14">
        <f>IF(OR(NOT(ISNUMBER(Ввод!$B$5)),NOT(ISNUMBER(Ввод!$B$6))),"",IF(Ввод!$B$5+3372&gt;Ввод!$B$6,"",Ввод!$B$5+3372))</f>
        <v/>
      </c>
      <c r="B3374">
        <f>IF(A3374="","",IFERROR(INDEX(Ввод!$B$12:$B$71,MATCH(A3374,Ввод!$D$12:$D$71,1)),""))</f>
        <v/>
      </c>
      <c r="C3374">
        <f>IF(A3374="","",DATE(YEAR(A3374),12,31)-DATE(YEAR(A3374),1,1)+1)</f>
        <v/>
      </c>
      <c r="D3374">
        <f>IF(A3374="","",Ввод!$B$4-SUMIF(Оплаты!$A$6:$A$505,"&lt;"&amp;A3374,Оплаты!$B$6:$B$505))</f>
        <v/>
      </c>
      <c r="E3374">
        <f>IF(A3374="","",IF(SUMPRODUCT((Ввод!$F$12:$F$31&lt;&gt;"")*(Ввод!$F$12:$F$31&lt;=A3374)*(Ввод!$G$12:$G$31&gt;=A3374))&gt;0,1,0))</f>
        <v/>
      </c>
      <c r="F3374">
        <f>IF(OR(A3374="",B3374=""),"",IF(E3374=1,0,D3374*B3374/100/C3374))</f>
        <v/>
      </c>
      <c r="G3374">
        <f>IF(A3374="","",IF(OR(B3374&lt;&gt;B3373,C3374&lt;&gt;C3373,D3374&lt;&gt;D3373,E3374&lt;&gt;E3373),G3373+1,G3373))</f>
        <v/>
      </c>
    </row>
    <row r="3375">
      <c r="A3375" s="14">
        <f>IF(OR(NOT(ISNUMBER(Ввод!$B$5)),NOT(ISNUMBER(Ввод!$B$6))),"",IF(Ввод!$B$5+3373&gt;Ввод!$B$6,"",Ввод!$B$5+3373))</f>
        <v/>
      </c>
      <c r="B3375">
        <f>IF(A3375="","",IFERROR(INDEX(Ввод!$B$12:$B$71,MATCH(A3375,Ввод!$D$12:$D$71,1)),""))</f>
        <v/>
      </c>
      <c r="C3375">
        <f>IF(A3375="","",DATE(YEAR(A3375),12,31)-DATE(YEAR(A3375),1,1)+1)</f>
        <v/>
      </c>
      <c r="D3375">
        <f>IF(A3375="","",Ввод!$B$4-SUMIF(Оплаты!$A$6:$A$505,"&lt;"&amp;A3375,Оплаты!$B$6:$B$505))</f>
        <v/>
      </c>
      <c r="E3375">
        <f>IF(A3375="","",IF(SUMPRODUCT((Ввод!$F$12:$F$31&lt;&gt;"")*(Ввод!$F$12:$F$31&lt;=A3375)*(Ввод!$G$12:$G$31&gt;=A3375))&gt;0,1,0))</f>
        <v/>
      </c>
      <c r="F3375">
        <f>IF(OR(A3375="",B3375=""),"",IF(E3375=1,0,D3375*B3375/100/C3375))</f>
        <v/>
      </c>
      <c r="G3375">
        <f>IF(A3375="","",IF(OR(B3375&lt;&gt;B3374,C3375&lt;&gt;C3374,D3375&lt;&gt;D3374,E3375&lt;&gt;E3374),G3374+1,G3374))</f>
        <v/>
      </c>
    </row>
    <row r="3376">
      <c r="A3376" s="14">
        <f>IF(OR(NOT(ISNUMBER(Ввод!$B$5)),NOT(ISNUMBER(Ввод!$B$6))),"",IF(Ввод!$B$5+3374&gt;Ввод!$B$6,"",Ввод!$B$5+3374))</f>
        <v/>
      </c>
      <c r="B3376">
        <f>IF(A3376="","",IFERROR(INDEX(Ввод!$B$12:$B$71,MATCH(A3376,Ввод!$D$12:$D$71,1)),""))</f>
        <v/>
      </c>
      <c r="C3376">
        <f>IF(A3376="","",DATE(YEAR(A3376),12,31)-DATE(YEAR(A3376),1,1)+1)</f>
        <v/>
      </c>
      <c r="D3376">
        <f>IF(A3376="","",Ввод!$B$4-SUMIF(Оплаты!$A$6:$A$505,"&lt;"&amp;A3376,Оплаты!$B$6:$B$505))</f>
        <v/>
      </c>
      <c r="E3376">
        <f>IF(A3376="","",IF(SUMPRODUCT((Ввод!$F$12:$F$31&lt;&gt;"")*(Ввод!$F$12:$F$31&lt;=A3376)*(Ввод!$G$12:$G$31&gt;=A3376))&gt;0,1,0))</f>
        <v/>
      </c>
      <c r="F3376">
        <f>IF(OR(A3376="",B3376=""),"",IF(E3376=1,0,D3376*B3376/100/C3376))</f>
        <v/>
      </c>
      <c r="G3376">
        <f>IF(A3376="","",IF(OR(B3376&lt;&gt;B3375,C3376&lt;&gt;C3375,D3376&lt;&gt;D3375,E3376&lt;&gt;E3375),G3375+1,G3375))</f>
        <v/>
      </c>
    </row>
    <row r="3377">
      <c r="A3377" s="14">
        <f>IF(OR(NOT(ISNUMBER(Ввод!$B$5)),NOT(ISNUMBER(Ввод!$B$6))),"",IF(Ввод!$B$5+3375&gt;Ввод!$B$6,"",Ввод!$B$5+3375))</f>
        <v/>
      </c>
      <c r="B3377">
        <f>IF(A3377="","",IFERROR(INDEX(Ввод!$B$12:$B$71,MATCH(A3377,Ввод!$D$12:$D$71,1)),""))</f>
        <v/>
      </c>
      <c r="C3377">
        <f>IF(A3377="","",DATE(YEAR(A3377),12,31)-DATE(YEAR(A3377),1,1)+1)</f>
        <v/>
      </c>
      <c r="D3377">
        <f>IF(A3377="","",Ввод!$B$4-SUMIF(Оплаты!$A$6:$A$505,"&lt;"&amp;A3377,Оплаты!$B$6:$B$505))</f>
        <v/>
      </c>
      <c r="E3377">
        <f>IF(A3377="","",IF(SUMPRODUCT((Ввод!$F$12:$F$31&lt;&gt;"")*(Ввод!$F$12:$F$31&lt;=A3377)*(Ввод!$G$12:$G$31&gt;=A3377))&gt;0,1,0))</f>
        <v/>
      </c>
      <c r="F3377">
        <f>IF(OR(A3377="",B3377=""),"",IF(E3377=1,0,D3377*B3377/100/C3377))</f>
        <v/>
      </c>
      <c r="G3377">
        <f>IF(A3377="","",IF(OR(B3377&lt;&gt;B3376,C3377&lt;&gt;C3376,D3377&lt;&gt;D3376,E3377&lt;&gt;E3376),G3376+1,G3376))</f>
        <v/>
      </c>
    </row>
    <row r="3378">
      <c r="A3378" s="14">
        <f>IF(OR(NOT(ISNUMBER(Ввод!$B$5)),NOT(ISNUMBER(Ввод!$B$6))),"",IF(Ввод!$B$5+3376&gt;Ввод!$B$6,"",Ввод!$B$5+3376))</f>
        <v/>
      </c>
      <c r="B3378">
        <f>IF(A3378="","",IFERROR(INDEX(Ввод!$B$12:$B$71,MATCH(A3378,Ввод!$D$12:$D$71,1)),""))</f>
        <v/>
      </c>
      <c r="C3378">
        <f>IF(A3378="","",DATE(YEAR(A3378),12,31)-DATE(YEAR(A3378),1,1)+1)</f>
        <v/>
      </c>
      <c r="D3378">
        <f>IF(A3378="","",Ввод!$B$4-SUMIF(Оплаты!$A$6:$A$505,"&lt;"&amp;A3378,Оплаты!$B$6:$B$505))</f>
        <v/>
      </c>
      <c r="E3378">
        <f>IF(A3378="","",IF(SUMPRODUCT((Ввод!$F$12:$F$31&lt;&gt;"")*(Ввод!$F$12:$F$31&lt;=A3378)*(Ввод!$G$12:$G$31&gt;=A3378))&gt;0,1,0))</f>
        <v/>
      </c>
      <c r="F3378">
        <f>IF(OR(A3378="",B3378=""),"",IF(E3378=1,0,D3378*B3378/100/C3378))</f>
        <v/>
      </c>
      <c r="G3378">
        <f>IF(A3378="","",IF(OR(B3378&lt;&gt;B3377,C3378&lt;&gt;C3377,D3378&lt;&gt;D3377,E3378&lt;&gt;E3377),G3377+1,G3377))</f>
        <v/>
      </c>
    </row>
    <row r="3379">
      <c r="A3379" s="14">
        <f>IF(OR(NOT(ISNUMBER(Ввод!$B$5)),NOT(ISNUMBER(Ввод!$B$6))),"",IF(Ввод!$B$5+3377&gt;Ввод!$B$6,"",Ввод!$B$5+3377))</f>
        <v/>
      </c>
      <c r="B3379">
        <f>IF(A3379="","",IFERROR(INDEX(Ввод!$B$12:$B$71,MATCH(A3379,Ввод!$D$12:$D$71,1)),""))</f>
        <v/>
      </c>
      <c r="C3379">
        <f>IF(A3379="","",DATE(YEAR(A3379),12,31)-DATE(YEAR(A3379),1,1)+1)</f>
        <v/>
      </c>
      <c r="D3379">
        <f>IF(A3379="","",Ввод!$B$4-SUMIF(Оплаты!$A$6:$A$505,"&lt;"&amp;A3379,Оплаты!$B$6:$B$505))</f>
        <v/>
      </c>
      <c r="E3379">
        <f>IF(A3379="","",IF(SUMPRODUCT((Ввод!$F$12:$F$31&lt;&gt;"")*(Ввод!$F$12:$F$31&lt;=A3379)*(Ввод!$G$12:$G$31&gt;=A3379))&gt;0,1,0))</f>
        <v/>
      </c>
      <c r="F3379">
        <f>IF(OR(A3379="",B3379=""),"",IF(E3379=1,0,D3379*B3379/100/C3379))</f>
        <v/>
      </c>
      <c r="G3379">
        <f>IF(A3379="","",IF(OR(B3379&lt;&gt;B3378,C3379&lt;&gt;C3378,D3379&lt;&gt;D3378,E3379&lt;&gt;E3378),G3378+1,G3378))</f>
        <v/>
      </c>
    </row>
    <row r="3380">
      <c r="A3380" s="14">
        <f>IF(OR(NOT(ISNUMBER(Ввод!$B$5)),NOT(ISNUMBER(Ввод!$B$6))),"",IF(Ввод!$B$5+3378&gt;Ввод!$B$6,"",Ввод!$B$5+3378))</f>
        <v/>
      </c>
      <c r="B3380">
        <f>IF(A3380="","",IFERROR(INDEX(Ввод!$B$12:$B$71,MATCH(A3380,Ввод!$D$12:$D$71,1)),""))</f>
        <v/>
      </c>
      <c r="C3380">
        <f>IF(A3380="","",DATE(YEAR(A3380),12,31)-DATE(YEAR(A3380),1,1)+1)</f>
        <v/>
      </c>
      <c r="D3380">
        <f>IF(A3380="","",Ввод!$B$4-SUMIF(Оплаты!$A$6:$A$505,"&lt;"&amp;A3380,Оплаты!$B$6:$B$505))</f>
        <v/>
      </c>
      <c r="E3380">
        <f>IF(A3380="","",IF(SUMPRODUCT((Ввод!$F$12:$F$31&lt;&gt;"")*(Ввод!$F$12:$F$31&lt;=A3380)*(Ввод!$G$12:$G$31&gt;=A3380))&gt;0,1,0))</f>
        <v/>
      </c>
      <c r="F3380">
        <f>IF(OR(A3380="",B3380=""),"",IF(E3380=1,0,D3380*B3380/100/C3380))</f>
        <v/>
      </c>
      <c r="G3380">
        <f>IF(A3380="","",IF(OR(B3380&lt;&gt;B3379,C3380&lt;&gt;C3379,D3380&lt;&gt;D3379,E3380&lt;&gt;E3379),G3379+1,G3379))</f>
        <v/>
      </c>
    </row>
    <row r="3381">
      <c r="A3381" s="14">
        <f>IF(OR(NOT(ISNUMBER(Ввод!$B$5)),NOT(ISNUMBER(Ввод!$B$6))),"",IF(Ввод!$B$5+3379&gt;Ввод!$B$6,"",Ввод!$B$5+3379))</f>
        <v/>
      </c>
      <c r="B3381">
        <f>IF(A3381="","",IFERROR(INDEX(Ввод!$B$12:$B$71,MATCH(A3381,Ввод!$D$12:$D$71,1)),""))</f>
        <v/>
      </c>
      <c r="C3381">
        <f>IF(A3381="","",DATE(YEAR(A3381),12,31)-DATE(YEAR(A3381),1,1)+1)</f>
        <v/>
      </c>
      <c r="D3381">
        <f>IF(A3381="","",Ввод!$B$4-SUMIF(Оплаты!$A$6:$A$505,"&lt;"&amp;A3381,Оплаты!$B$6:$B$505))</f>
        <v/>
      </c>
      <c r="E3381">
        <f>IF(A3381="","",IF(SUMPRODUCT((Ввод!$F$12:$F$31&lt;&gt;"")*(Ввод!$F$12:$F$31&lt;=A3381)*(Ввод!$G$12:$G$31&gt;=A3381))&gt;0,1,0))</f>
        <v/>
      </c>
      <c r="F3381">
        <f>IF(OR(A3381="",B3381=""),"",IF(E3381=1,0,D3381*B3381/100/C3381))</f>
        <v/>
      </c>
      <c r="G3381">
        <f>IF(A3381="","",IF(OR(B3381&lt;&gt;B3380,C3381&lt;&gt;C3380,D3381&lt;&gt;D3380,E3381&lt;&gt;E3380),G3380+1,G3380))</f>
        <v/>
      </c>
    </row>
    <row r="3382">
      <c r="A3382" s="14">
        <f>IF(OR(NOT(ISNUMBER(Ввод!$B$5)),NOT(ISNUMBER(Ввод!$B$6))),"",IF(Ввод!$B$5+3380&gt;Ввод!$B$6,"",Ввод!$B$5+3380))</f>
        <v/>
      </c>
      <c r="B3382">
        <f>IF(A3382="","",IFERROR(INDEX(Ввод!$B$12:$B$71,MATCH(A3382,Ввод!$D$12:$D$71,1)),""))</f>
        <v/>
      </c>
      <c r="C3382">
        <f>IF(A3382="","",DATE(YEAR(A3382),12,31)-DATE(YEAR(A3382),1,1)+1)</f>
        <v/>
      </c>
      <c r="D3382">
        <f>IF(A3382="","",Ввод!$B$4-SUMIF(Оплаты!$A$6:$A$505,"&lt;"&amp;A3382,Оплаты!$B$6:$B$505))</f>
        <v/>
      </c>
      <c r="E3382">
        <f>IF(A3382="","",IF(SUMPRODUCT((Ввод!$F$12:$F$31&lt;&gt;"")*(Ввод!$F$12:$F$31&lt;=A3382)*(Ввод!$G$12:$G$31&gt;=A3382))&gt;0,1,0))</f>
        <v/>
      </c>
      <c r="F3382">
        <f>IF(OR(A3382="",B3382=""),"",IF(E3382=1,0,D3382*B3382/100/C3382))</f>
        <v/>
      </c>
      <c r="G3382">
        <f>IF(A3382="","",IF(OR(B3382&lt;&gt;B3381,C3382&lt;&gt;C3381,D3382&lt;&gt;D3381,E3382&lt;&gt;E3381),G3381+1,G3381))</f>
        <v/>
      </c>
    </row>
    <row r="3383">
      <c r="A3383" s="14">
        <f>IF(OR(NOT(ISNUMBER(Ввод!$B$5)),NOT(ISNUMBER(Ввод!$B$6))),"",IF(Ввод!$B$5+3381&gt;Ввод!$B$6,"",Ввод!$B$5+3381))</f>
        <v/>
      </c>
      <c r="B3383">
        <f>IF(A3383="","",IFERROR(INDEX(Ввод!$B$12:$B$71,MATCH(A3383,Ввод!$D$12:$D$71,1)),""))</f>
        <v/>
      </c>
      <c r="C3383">
        <f>IF(A3383="","",DATE(YEAR(A3383),12,31)-DATE(YEAR(A3383),1,1)+1)</f>
        <v/>
      </c>
      <c r="D3383">
        <f>IF(A3383="","",Ввод!$B$4-SUMIF(Оплаты!$A$6:$A$505,"&lt;"&amp;A3383,Оплаты!$B$6:$B$505))</f>
        <v/>
      </c>
      <c r="E3383">
        <f>IF(A3383="","",IF(SUMPRODUCT((Ввод!$F$12:$F$31&lt;&gt;"")*(Ввод!$F$12:$F$31&lt;=A3383)*(Ввод!$G$12:$G$31&gt;=A3383))&gt;0,1,0))</f>
        <v/>
      </c>
      <c r="F3383">
        <f>IF(OR(A3383="",B3383=""),"",IF(E3383=1,0,D3383*B3383/100/C3383))</f>
        <v/>
      </c>
      <c r="G3383">
        <f>IF(A3383="","",IF(OR(B3383&lt;&gt;B3382,C3383&lt;&gt;C3382,D3383&lt;&gt;D3382,E3383&lt;&gt;E3382),G3382+1,G3382))</f>
        <v/>
      </c>
    </row>
    <row r="3384">
      <c r="A3384" s="14">
        <f>IF(OR(NOT(ISNUMBER(Ввод!$B$5)),NOT(ISNUMBER(Ввод!$B$6))),"",IF(Ввод!$B$5+3382&gt;Ввод!$B$6,"",Ввод!$B$5+3382))</f>
        <v/>
      </c>
      <c r="B3384">
        <f>IF(A3384="","",IFERROR(INDEX(Ввод!$B$12:$B$71,MATCH(A3384,Ввод!$D$12:$D$71,1)),""))</f>
        <v/>
      </c>
      <c r="C3384">
        <f>IF(A3384="","",DATE(YEAR(A3384),12,31)-DATE(YEAR(A3384),1,1)+1)</f>
        <v/>
      </c>
      <c r="D3384">
        <f>IF(A3384="","",Ввод!$B$4-SUMIF(Оплаты!$A$6:$A$505,"&lt;"&amp;A3384,Оплаты!$B$6:$B$505))</f>
        <v/>
      </c>
      <c r="E3384">
        <f>IF(A3384="","",IF(SUMPRODUCT((Ввод!$F$12:$F$31&lt;&gt;"")*(Ввод!$F$12:$F$31&lt;=A3384)*(Ввод!$G$12:$G$31&gt;=A3384))&gt;0,1,0))</f>
        <v/>
      </c>
      <c r="F3384">
        <f>IF(OR(A3384="",B3384=""),"",IF(E3384=1,0,D3384*B3384/100/C3384))</f>
        <v/>
      </c>
      <c r="G3384">
        <f>IF(A3384="","",IF(OR(B3384&lt;&gt;B3383,C3384&lt;&gt;C3383,D3384&lt;&gt;D3383,E3384&lt;&gt;E3383),G3383+1,G3383))</f>
        <v/>
      </c>
    </row>
    <row r="3385">
      <c r="A3385" s="14">
        <f>IF(OR(NOT(ISNUMBER(Ввод!$B$5)),NOT(ISNUMBER(Ввод!$B$6))),"",IF(Ввод!$B$5+3383&gt;Ввод!$B$6,"",Ввод!$B$5+3383))</f>
        <v/>
      </c>
      <c r="B3385">
        <f>IF(A3385="","",IFERROR(INDEX(Ввод!$B$12:$B$71,MATCH(A3385,Ввод!$D$12:$D$71,1)),""))</f>
        <v/>
      </c>
      <c r="C3385">
        <f>IF(A3385="","",DATE(YEAR(A3385),12,31)-DATE(YEAR(A3385),1,1)+1)</f>
        <v/>
      </c>
      <c r="D3385">
        <f>IF(A3385="","",Ввод!$B$4-SUMIF(Оплаты!$A$6:$A$505,"&lt;"&amp;A3385,Оплаты!$B$6:$B$505))</f>
        <v/>
      </c>
      <c r="E3385">
        <f>IF(A3385="","",IF(SUMPRODUCT((Ввод!$F$12:$F$31&lt;&gt;"")*(Ввод!$F$12:$F$31&lt;=A3385)*(Ввод!$G$12:$G$31&gt;=A3385))&gt;0,1,0))</f>
        <v/>
      </c>
      <c r="F3385">
        <f>IF(OR(A3385="",B3385=""),"",IF(E3385=1,0,D3385*B3385/100/C3385))</f>
        <v/>
      </c>
      <c r="G3385">
        <f>IF(A3385="","",IF(OR(B3385&lt;&gt;B3384,C3385&lt;&gt;C3384,D3385&lt;&gt;D3384,E3385&lt;&gt;E3384),G3384+1,G3384))</f>
        <v/>
      </c>
    </row>
    <row r="3386">
      <c r="A3386" s="14">
        <f>IF(OR(NOT(ISNUMBER(Ввод!$B$5)),NOT(ISNUMBER(Ввод!$B$6))),"",IF(Ввод!$B$5+3384&gt;Ввод!$B$6,"",Ввод!$B$5+3384))</f>
        <v/>
      </c>
      <c r="B3386">
        <f>IF(A3386="","",IFERROR(INDEX(Ввод!$B$12:$B$71,MATCH(A3386,Ввод!$D$12:$D$71,1)),""))</f>
        <v/>
      </c>
      <c r="C3386">
        <f>IF(A3386="","",DATE(YEAR(A3386),12,31)-DATE(YEAR(A3386),1,1)+1)</f>
        <v/>
      </c>
      <c r="D3386">
        <f>IF(A3386="","",Ввод!$B$4-SUMIF(Оплаты!$A$6:$A$505,"&lt;"&amp;A3386,Оплаты!$B$6:$B$505))</f>
        <v/>
      </c>
      <c r="E3386">
        <f>IF(A3386="","",IF(SUMPRODUCT((Ввод!$F$12:$F$31&lt;&gt;"")*(Ввод!$F$12:$F$31&lt;=A3386)*(Ввод!$G$12:$G$31&gt;=A3386))&gt;0,1,0))</f>
        <v/>
      </c>
      <c r="F3386">
        <f>IF(OR(A3386="",B3386=""),"",IF(E3386=1,0,D3386*B3386/100/C3386))</f>
        <v/>
      </c>
      <c r="G3386">
        <f>IF(A3386="","",IF(OR(B3386&lt;&gt;B3385,C3386&lt;&gt;C3385,D3386&lt;&gt;D3385,E3386&lt;&gt;E3385),G3385+1,G3385))</f>
        <v/>
      </c>
    </row>
    <row r="3387">
      <c r="A3387" s="14">
        <f>IF(OR(NOT(ISNUMBER(Ввод!$B$5)),NOT(ISNUMBER(Ввод!$B$6))),"",IF(Ввод!$B$5+3385&gt;Ввод!$B$6,"",Ввод!$B$5+3385))</f>
        <v/>
      </c>
      <c r="B3387">
        <f>IF(A3387="","",IFERROR(INDEX(Ввод!$B$12:$B$71,MATCH(A3387,Ввод!$D$12:$D$71,1)),""))</f>
        <v/>
      </c>
      <c r="C3387">
        <f>IF(A3387="","",DATE(YEAR(A3387),12,31)-DATE(YEAR(A3387),1,1)+1)</f>
        <v/>
      </c>
      <c r="D3387">
        <f>IF(A3387="","",Ввод!$B$4-SUMIF(Оплаты!$A$6:$A$505,"&lt;"&amp;A3387,Оплаты!$B$6:$B$505))</f>
        <v/>
      </c>
      <c r="E3387">
        <f>IF(A3387="","",IF(SUMPRODUCT((Ввод!$F$12:$F$31&lt;&gt;"")*(Ввод!$F$12:$F$31&lt;=A3387)*(Ввод!$G$12:$G$31&gt;=A3387))&gt;0,1,0))</f>
        <v/>
      </c>
      <c r="F3387">
        <f>IF(OR(A3387="",B3387=""),"",IF(E3387=1,0,D3387*B3387/100/C3387))</f>
        <v/>
      </c>
      <c r="G3387">
        <f>IF(A3387="","",IF(OR(B3387&lt;&gt;B3386,C3387&lt;&gt;C3386,D3387&lt;&gt;D3386,E3387&lt;&gt;E3386),G3386+1,G3386))</f>
        <v/>
      </c>
    </row>
    <row r="3388">
      <c r="A3388" s="14">
        <f>IF(OR(NOT(ISNUMBER(Ввод!$B$5)),NOT(ISNUMBER(Ввод!$B$6))),"",IF(Ввод!$B$5+3386&gt;Ввод!$B$6,"",Ввод!$B$5+3386))</f>
        <v/>
      </c>
      <c r="B3388">
        <f>IF(A3388="","",IFERROR(INDEX(Ввод!$B$12:$B$71,MATCH(A3388,Ввод!$D$12:$D$71,1)),""))</f>
        <v/>
      </c>
      <c r="C3388">
        <f>IF(A3388="","",DATE(YEAR(A3388),12,31)-DATE(YEAR(A3388),1,1)+1)</f>
        <v/>
      </c>
      <c r="D3388">
        <f>IF(A3388="","",Ввод!$B$4-SUMIF(Оплаты!$A$6:$A$505,"&lt;"&amp;A3388,Оплаты!$B$6:$B$505))</f>
        <v/>
      </c>
      <c r="E3388">
        <f>IF(A3388="","",IF(SUMPRODUCT((Ввод!$F$12:$F$31&lt;&gt;"")*(Ввод!$F$12:$F$31&lt;=A3388)*(Ввод!$G$12:$G$31&gt;=A3388))&gt;0,1,0))</f>
        <v/>
      </c>
      <c r="F3388">
        <f>IF(OR(A3388="",B3388=""),"",IF(E3388=1,0,D3388*B3388/100/C3388))</f>
        <v/>
      </c>
      <c r="G3388">
        <f>IF(A3388="","",IF(OR(B3388&lt;&gt;B3387,C3388&lt;&gt;C3387,D3388&lt;&gt;D3387,E3388&lt;&gt;E3387),G3387+1,G3387))</f>
        <v/>
      </c>
    </row>
    <row r="3389">
      <c r="A3389" s="14">
        <f>IF(OR(NOT(ISNUMBER(Ввод!$B$5)),NOT(ISNUMBER(Ввод!$B$6))),"",IF(Ввод!$B$5+3387&gt;Ввод!$B$6,"",Ввод!$B$5+3387))</f>
        <v/>
      </c>
      <c r="B3389">
        <f>IF(A3389="","",IFERROR(INDEX(Ввод!$B$12:$B$71,MATCH(A3389,Ввод!$D$12:$D$71,1)),""))</f>
        <v/>
      </c>
      <c r="C3389">
        <f>IF(A3389="","",DATE(YEAR(A3389),12,31)-DATE(YEAR(A3389),1,1)+1)</f>
        <v/>
      </c>
      <c r="D3389">
        <f>IF(A3389="","",Ввод!$B$4-SUMIF(Оплаты!$A$6:$A$505,"&lt;"&amp;A3389,Оплаты!$B$6:$B$505))</f>
        <v/>
      </c>
      <c r="E3389">
        <f>IF(A3389="","",IF(SUMPRODUCT((Ввод!$F$12:$F$31&lt;&gt;"")*(Ввод!$F$12:$F$31&lt;=A3389)*(Ввод!$G$12:$G$31&gt;=A3389))&gt;0,1,0))</f>
        <v/>
      </c>
      <c r="F3389">
        <f>IF(OR(A3389="",B3389=""),"",IF(E3389=1,0,D3389*B3389/100/C3389))</f>
        <v/>
      </c>
      <c r="G3389">
        <f>IF(A3389="","",IF(OR(B3389&lt;&gt;B3388,C3389&lt;&gt;C3388,D3389&lt;&gt;D3388,E3389&lt;&gt;E3388),G3388+1,G3388))</f>
        <v/>
      </c>
    </row>
    <row r="3390">
      <c r="A3390" s="14">
        <f>IF(OR(NOT(ISNUMBER(Ввод!$B$5)),NOT(ISNUMBER(Ввод!$B$6))),"",IF(Ввод!$B$5+3388&gt;Ввод!$B$6,"",Ввод!$B$5+3388))</f>
        <v/>
      </c>
      <c r="B3390">
        <f>IF(A3390="","",IFERROR(INDEX(Ввод!$B$12:$B$71,MATCH(A3390,Ввод!$D$12:$D$71,1)),""))</f>
        <v/>
      </c>
      <c r="C3390">
        <f>IF(A3390="","",DATE(YEAR(A3390),12,31)-DATE(YEAR(A3390),1,1)+1)</f>
        <v/>
      </c>
      <c r="D3390">
        <f>IF(A3390="","",Ввод!$B$4-SUMIF(Оплаты!$A$6:$A$505,"&lt;"&amp;A3390,Оплаты!$B$6:$B$505))</f>
        <v/>
      </c>
      <c r="E3390">
        <f>IF(A3390="","",IF(SUMPRODUCT((Ввод!$F$12:$F$31&lt;&gt;"")*(Ввод!$F$12:$F$31&lt;=A3390)*(Ввод!$G$12:$G$31&gt;=A3390))&gt;0,1,0))</f>
        <v/>
      </c>
      <c r="F3390">
        <f>IF(OR(A3390="",B3390=""),"",IF(E3390=1,0,D3390*B3390/100/C3390))</f>
        <v/>
      </c>
      <c r="G3390">
        <f>IF(A3390="","",IF(OR(B3390&lt;&gt;B3389,C3390&lt;&gt;C3389,D3390&lt;&gt;D3389,E3390&lt;&gt;E3389),G3389+1,G3389))</f>
        <v/>
      </c>
    </row>
    <row r="3391">
      <c r="A3391" s="14">
        <f>IF(OR(NOT(ISNUMBER(Ввод!$B$5)),NOT(ISNUMBER(Ввод!$B$6))),"",IF(Ввод!$B$5+3389&gt;Ввод!$B$6,"",Ввод!$B$5+3389))</f>
        <v/>
      </c>
      <c r="B3391">
        <f>IF(A3391="","",IFERROR(INDEX(Ввод!$B$12:$B$71,MATCH(A3391,Ввод!$D$12:$D$71,1)),""))</f>
        <v/>
      </c>
      <c r="C3391">
        <f>IF(A3391="","",DATE(YEAR(A3391),12,31)-DATE(YEAR(A3391),1,1)+1)</f>
        <v/>
      </c>
      <c r="D3391">
        <f>IF(A3391="","",Ввод!$B$4-SUMIF(Оплаты!$A$6:$A$505,"&lt;"&amp;A3391,Оплаты!$B$6:$B$505))</f>
        <v/>
      </c>
      <c r="E3391">
        <f>IF(A3391="","",IF(SUMPRODUCT((Ввод!$F$12:$F$31&lt;&gt;"")*(Ввод!$F$12:$F$31&lt;=A3391)*(Ввод!$G$12:$G$31&gt;=A3391))&gt;0,1,0))</f>
        <v/>
      </c>
      <c r="F3391">
        <f>IF(OR(A3391="",B3391=""),"",IF(E3391=1,0,D3391*B3391/100/C3391))</f>
        <v/>
      </c>
      <c r="G3391">
        <f>IF(A3391="","",IF(OR(B3391&lt;&gt;B3390,C3391&lt;&gt;C3390,D3391&lt;&gt;D3390,E3391&lt;&gt;E3390),G3390+1,G3390))</f>
        <v/>
      </c>
    </row>
    <row r="3392">
      <c r="A3392" s="14">
        <f>IF(OR(NOT(ISNUMBER(Ввод!$B$5)),NOT(ISNUMBER(Ввод!$B$6))),"",IF(Ввод!$B$5+3390&gt;Ввод!$B$6,"",Ввод!$B$5+3390))</f>
        <v/>
      </c>
      <c r="B3392">
        <f>IF(A3392="","",IFERROR(INDEX(Ввод!$B$12:$B$71,MATCH(A3392,Ввод!$D$12:$D$71,1)),""))</f>
        <v/>
      </c>
      <c r="C3392">
        <f>IF(A3392="","",DATE(YEAR(A3392),12,31)-DATE(YEAR(A3392),1,1)+1)</f>
        <v/>
      </c>
      <c r="D3392">
        <f>IF(A3392="","",Ввод!$B$4-SUMIF(Оплаты!$A$6:$A$505,"&lt;"&amp;A3392,Оплаты!$B$6:$B$505))</f>
        <v/>
      </c>
      <c r="E3392">
        <f>IF(A3392="","",IF(SUMPRODUCT((Ввод!$F$12:$F$31&lt;&gt;"")*(Ввод!$F$12:$F$31&lt;=A3392)*(Ввод!$G$12:$G$31&gt;=A3392))&gt;0,1,0))</f>
        <v/>
      </c>
      <c r="F3392">
        <f>IF(OR(A3392="",B3392=""),"",IF(E3392=1,0,D3392*B3392/100/C3392))</f>
        <v/>
      </c>
      <c r="G3392">
        <f>IF(A3392="","",IF(OR(B3392&lt;&gt;B3391,C3392&lt;&gt;C3391,D3392&lt;&gt;D3391,E3392&lt;&gt;E3391),G3391+1,G3391))</f>
        <v/>
      </c>
    </row>
    <row r="3393">
      <c r="A3393" s="14">
        <f>IF(OR(NOT(ISNUMBER(Ввод!$B$5)),NOT(ISNUMBER(Ввод!$B$6))),"",IF(Ввод!$B$5+3391&gt;Ввод!$B$6,"",Ввод!$B$5+3391))</f>
        <v/>
      </c>
      <c r="B3393">
        <f>IF(A3393="","",IFERROR(INDEX(Ввод!$B$12:$B$71,MATCH(A3393,Ввод!$D$12:$D$71,1)),""))</f>
        <v/>
      </c>
      <c r="C3393">
        <f>IF(A3393="","",DATE(YEAR(A3393),12,31)-DATE(YEAR(A3393),1,1)+1)</f>
        <v/>
      </c>
      <c r="D3393">
        <f>IF(A3393="","",Ввод!$B$4-SUMIF(Оплаты!$A$6:$A$505,"&lt;"&amp;A3393,Оплаты!$B$6:$B$505))</f>
        <v/>
      </c>
      <c r="E3393">
        <f>IF(A3393="","",IF(SUMPRODUCT((Ввод!$F$12:$F$31&lt;&gt;"")*(Ввод!$F$12:$F$31&lt;=A3393)*(Ввод!$G$12:$G$31&gt;=A3393))&gt;0,1,0))</f>
        <v/>
      </c>
      <c r="F3393">
        <f>IF(OR(A3393="",B3393=""),"",IF(E3393=1,0,D3393*B3393/100/C3393))</f>
        <v/>
      </c>
      <c r="G3393">
        <f>IF(A3393="","",IF(OR(B3393&lt;&gt;B3392,C3393&lt;&gt;C3392,D3393&lt;&gt;D3392,E3393&lt;&gt;E3392),G3392+1,G3392))</f>
        <v/>
      </c>
    </row>
    <row r="3394">
      <c r="A3394" s="14">
        <f>IF(OR(NOT(ISNUMBER(Ввод!$B$5)),NOT(ISNUMBER(Ввод!$B$6))),"",IF(Ввод!$B$5+3392&gt;Ввод!$B$6,"",Ввод!$B$5+3392))</f>
        <v/>
      </c>
      <c r="B3394">
        <f>IF(A3394="","",IFERROR(INDEX(Ввод!$B$12:$B$71,MATCH(A3394,Ввод!$D$12:$D$71,1)),""))</f>
        <v/>
      </c>
      <c r="C3394">
        <f>IF(A3394="","",DATE(YEAR(A3394),12,31)-DATE(YEAR(A3394),1,1)+1)</f>
        <v/>
      </c>
      <c r="D3394">
        <f>IF(A3394="","",Ввод!$B$4-SUMIF(Оплаты!$A$6:$A$505,"&lt;"&amp;A3394,Оплаты!$B$6:$B$505))</f>
        <v/>
      </c>
      <c r="E3394">
        <f>IF(A3394="","",IF(SUMPRODUCT((Ввод!$F$12:$F$31&lt;&gt;"")*(Ввод!$F$12:$F$31&lt;=A3394)*(Ввод!$G$12:$G$31&gt;=A3394))&gt;0,1,0))</f>
        <v/>
      </c>
      <c r="F3394">
        <f>IF(OR(A3394="",B3394=""),"",IF(E3394=1,0,D3394*B3394/100/C3394))</f>
        <v/>
      </c>
      <c r="G3394">
        <f>IF(A3394="","",IF(OR(B3394&lt;&gt;B3393,C3394&lt;&gt;C3393,D3394&lt;&gt;D3393,E3394&lt;&gt;E3393),G3393+1,G3393))</f>
        <v/>
      </c>
    </row>
    <row r="3395">
      <c r="A3395" s="14">
        <f>IF(OR(NOT(ISNUMBER(Ввод!$B$5)),NOT(ISNUMBER(Ввод!$B$6))),"",IF(Ввод!$B$5+3393&gt;Ввод!$B$6,"",Ввод!$B$5+3393))</f>
        <v/>
      </c>
      <c r="B3395">
        <f>IF(A3395="","",IFERROR(INDEX(Ввод!$B$12:$B$71,MATCH(A3395,Ввод!$D$12:$D$71,1)),""))</f>
        <v/>
      </c>
      <c r="C3395">
        <f>IF(A3395="","",DATE(YEAR(A3395),12,31)-DATE(YEAR(A3395),1,1)+1)</f>
        <v/>
      </c>
      <c r="D3395">
        <f>IF(A3395="","",Ввод!$B$4-SUMIF(Оплаты!$A$6:$A$505,"&lt;"&amp;A3395,Оплаты!$B$6:$B$505))</f>
        <v/>
      </c>
      <c r="E3395">
        <f>IF(A3395="","",IF(SUMPRODUCT((Ввод!$F$12:$F$31&lt;&gt;"")*(Ввод!$F$12:$F$31&lt;=A3395)*(Ввод!$G$12:$G$31&gt;=A3395))&gt;0,1,0))</f>
        <v/>
      </c>
      <c r="F3395">
        <f>IF(OR(A3395="",B3395=""),"",IF(E3395=1,0,D3395*B3395/100/C3395))</f>
        <v/>
      </c>
      <c r="G3395">
        <f>IF(A3395="","",IF(OR(B3395&lt;&gt;B3394,C3395&lt;&gt;C3394,D3395&lt;&gt;D3394,E3395&lt;&gt;E3394),G3394+1,G3394))</f>
        <v/>
      </c>
    </row>
    <row r="3396">
      <c r="A3396" s="14">
        <f>IF(OR(NOT(ISNUMBER(Ввод!$B$5)),NOT(ISNUMBER(Ввод!$B$6))),"",IF(Ввод!$B$5+3394&gt;Ввод!$B$6,"",Ввод!$B$5+3394))</f>
        <v/>
      </c>
      <c r="B3396">
        <f>IF(A3396="","",IFERROR(INDEX(Ввод!$B$12:$B$71,MATCH(A3396,Ввод!$D$12:$D$71,1)),""))</f>
        <v/>
      </c>
      <c r="C3396">
        <f>IF(A3396="","",DATE(YEAR(A3396),12,31)-DATE(YEAR(A3396),1,1)+1)</f>
        <v/>
      </c>
      <c r="D3396">
        <f>IF(A3396="","",Ввод!$B$4-SUMIF(Оплаты!$A$6:$A$505,"&lt;"&amp;A3396,Оплаты!$B$6:$B$505))</f>
        <v/>
      </c>
      <c r="E3396">
        <f>IF(A3396="","",IF(SUMPRODUCT((Ввод!$F$12:$F$31&lt;&gt;"")*(Ввод!$F$12:$F$31&lt;=A3396)*(Ввод!$G$12:$G$31&gt;=A3396))&gt;0,1,0))</f>
        <v/>
      </c>
      <c r="F3396">
        <f>IF(OR(A3396="",B3396=""),"",IF(E3396=1,0,D3396*B3396/100/C3396))</f>
        <v/>
      </c>
      <c r="G3396">
        <f>IF(A3396="","",IF(OR(B3396&lt;&gt;B3395,C3396&lt;&gt;C3395,D3396&lt;&gt;D3395,E3396&lt;&gt;E3395),G3395+1,G3395))</f>
        <v/>
      </c>
    </row>
    <row r="3397">
      <c r="A3397" s="14">
        <f>IF(OR(NOT(ISNUMBER(Ввод!$B$5)),NOT(ISNUMBER(Ввод!$B$6))),"",IF(Ввод!$B$5+3395&gt;Ввод!$B$6,"",Ввод!$B$5+3395))</f>
        <v/>
      </c>
      <c r="B3397">
        <f>IF(A3397="","",IFERROR(INDEX(Ввод!$B$12:$B$71,MATCH(A3397,Ввод!$D$12:$D$71,1)),""))</f>
        <v/>
      </c>
      <c r="C3397">
        <f>IF(A3397="","",DATE(YEAR(A3397),12,31)-DATE(YEAR(A3397),1,1)+1)</f>
        <v/>
      </c>
      <c r="D3397">
        <f>IF(A3397="","",Ввод!$B$4-SUMIF(Оплаты!$A$6:$A$505,"&lt;"&amp;A3397,Оплаты!$B$6:$B$505))</f>
        <v/>
      </c>
      <c r="E3397">
        <f>IF(A3397="","",IF(SUMPRODUCT((Ввод!$F$12:$F$31&lt;&gt;"")*(Ввод!$F$12:$F$31&lt;=A3397)*(Ввод!$G$12:$G$31&gt;=A3397))&gt;0,1,0))</f>
        <v/>
      </c>
      <c r="F3397">
        <f>IF(OR(A3397="",B3397=""),"",IF(E3397=1,0,D3397*B3397/100/C3397))</f>
        <v/>
      </c>
      <c r="G3397">
        <f>IF(A3397="","",IF(OR(B3397&lt;&gt;B3396,C3397&lt;&gt;C3396,D3397&lt;&gt;D3396,E3397&lt;&gt;E3396),G3396+1,G3396))</f>
        <v/>
      </c>
    </row>
    <row r="3398">
      <c r="A3398" s="14">
        <f>IF(OR(NOT(ISNUMBER(Ввод!$B$5)),NOT(ISNUMBER(Ввод!$B$6))),"",IF(Ввод!$B$5+3396&gt;Ввод!$B$6,"",Ввод!$B$5+3396))</f>
        <v/>
      </c>
      <c r="B3398">
        <f>IF(A3398="","",IFERROR(INDEX(Ввод!$B$12:$B$71,MATCH(A3398,Ввод!$D$12:$D$71,1)),""))</f>
        <v/>
      </c>
      <c r="C3398">
        <f>IF(A3398="","",DATE(YEAR(A3398),12,31)-DATE(YEAR(A3398),1,1)+1)</f>
        <v/>
      </c>
      <c r="D3398">
        <f>IF(A3398="","",Ввод!$B$4-SUMIF(Оплаты!$A$6:$A$505,"&lt;"&amp;A3398,Оплаты!$B$6:$B$505))</f>
        <v/>
      </c>
      <c r="E3398">
        <f>IF(A3398="","",IF(SUMPRODUCT((Ввод!$F$12:$F$31&lt;&gt;"")*(Ввод!$F$12:$F$31&lt;=A3398)*(Ввод!$G$12:$G$31&gt;=A3398))&gt;0,1,0))</f>
        <v/>
      </c>
      <c r="F3398">
        <f>IF(OR(A3398="",B3398=""),"",IF(E3398=1,0,D3398*B3398/100/C3398))</f>
        <v/>
      </c>
      <c r="G3398">
        <f>IF(A3398="","",IF(OR(B3398&lt;&gt;B3397,C3398&lt;&gt;C3397,D3398&lt;&gt;D3397,E3398&lt;&gt;E3397),G3397+1,G3397))</f>
        <v/>
      </c>
    </row>
    <row r="3399">
      <c r="A3399" s="14">
        <f>IF(OR(NOT(ISNUMBER(Ввод!$B$5)),NOT(ISNUMBER(Ввод!$B$6))),"",IF(Ввод!$B$5+3397&gt;Ввод!$B$6,"",Ввод!$B$5+3397))</f>
        <v/>
      </c>
      <c r="B3399">
        <f>IF(A3399="","",IFERROR(INDEX(Ввод!$B$12:$B$71,MATCH(A3399,Ввод!$D$12:$D$71,1)),""))</f>
        <v/>
      </c>
      <c r="C3399">
        <f>IF(A3399="","",DATE(YEAR(A3399),12,31)-DATE(YEAR(A3399),1,1)+1)</f>
        <v/>
      </c>
      <c r="D3399">
        <f>IF(A3399="","",Ввод!$B$4-SUMIF(Оплаты!$A$6:$A$505,"&lt;"&amp;A3399,Оплаты!$B$6:$B$505))</f>
        <v/>
      </c>
      <c r="E3399">
        <f>IF(A3399="","",IF(SUMPRODUCT((Ввод!$F$12:$F$31&lt;&gt;"")*(Ввод!$F$12:$F$31&lt;=A3399)*(Ввод!$G$12:$G$31&gt;=A3399))&gt;0,1,0))</f>
        <v/>
      </c>
      <c r="F3399">
        <f>IF(OR(A3399="",B3399=""),"",IF(E3399=1,0,D3399*B3399/100/C3399))</f>
        <v/>
      </c>
      <c r="G3399">
        <f>IF(A3399="","",IF(OR(B3399&lt;&gt;B3398,C3399&lt;&gt;C3398,D3399&lt;&gt;D3398,E3399&lt;&gt;E3398),G3398+1,G3398))</f>
        <v/>
      </c>
    </row>
    <row r="3400">
      <c r="A3400" s="14">
        <f>IF(OR(NOT(ISNUMBER(Ввод!$B$5)),NOT(ISNUMBER(Ввод!$B$6))),"",IF(Ввод!$B$5+3398&gt;Ввод!$B$6,"",Ввод!$B$5+3398))</f>
        <v/>
      </c>
      <c r="B3400">
        <f>IF(A3400="","",IFERROR(INDEX(Ввод!$B$12:$B$71,MATCH(A3400,Ввод!$D$12:$D$71,1)),""))</f>
        <v/>
      </c>
      <c r="C3400">
        <f>IF(A3400="","",DATE(YEAR(A3400),12,31)-DATE(YEAR(A3400),1,1)+1)</f>
        <v/>
      </c>
      <c r="D3400">
        <f>IF(A3400="","",Ввод!$B$4-SUMIF(Оплаты!$A$6:$A$505,"&lt;"&amp;A3400,Оплаты!$B$6:$B$505))</f>
        <v/>
      </c>
      <c r="E3400">
        <f>IF(A3400="","",IF(SUMPRODUCT((Ввод!$F$12:$F$31&lt;&gt;"")*(Ввод!$F$12:$F$31&lt;=A3400)*(Ввод!$G$12:$G$31&gt;=A3400))&gt;0,1,0))</f>
        <v/>
      </c>
      <c r="F3400">
        <f>IF(OR(A3400="",B3400=""),"",IF(E3400=1,0,D3400*B3400/100/C3400))</f>
        <v/>
      </c>
      <c r="G3400">
        <f>IF(A3400="","",IF(OR(B3400&lt;&gt;B3399,C3400&lt;&gt;C3399,D3400&lt;&gt;D3399,E3400&lt;&gt;E3399),G3399+1,G3399))</f>
        <v/>
      </c>
    </row>
    <row r="3401">
      <c r="A3401" s="14">
        <f>IF(OR(NOT(ISNUMBER(Ввод!$B$5)),NOT(ISNUMBER(Ввод!$B$6))),"",IF(Ввод!$B$5+3399&gt;Ввод!$B$6,"",Ввод!$B$5+3399))</f>
        <v/>
      </c>
      <c r="B3401">
        <f>IF(A3401="","",IFERROR(INDEX(Ввод!$B$12:$B$71,MATCH(A3401,Ввод!$D$12:$D$71,1)),""))</f>
        <v/>
      </c>
      <c r="C3401">
        <f>IF(A3401="","",DATE(YEAR(A3401),12,31)-DATE(YEAR(A3401),1,1)+1)</f>
        <v/>
      </c>
      <c r="D3401">
        <f>IF(A3401="","",Ввод!$B$4-SUMIF(Оплаты!$A$6:$A$505,"&lt;"&amp;A3401,Оплаты!$B$6:$B$505))</f>
        <v/>
      </c>
      <c r="E3401">
        <f>IF(A3401="","",IF(SUMPRODUCT((Ввод!$F$12:$F$31&lt;&gt;"")*(Ввод!$F$12:$F$31&lt;=A3401)*(Ввод!$G$12:$G$31&gt;=A3401))&gt;0,1,0))</f>
        <v/>
      </c>
      <c r="F3401">
        <f>IF(OR(A3401="",B3401=""),"",IF(E3401=1,0,D3401*B3401/100/C3401))</f>
        <v/>
      </c>
      <c r="G3401">
        <f>IF(A3401="","",IF(OR(B3401&lt;&gt;B3400,C3401&lt;&gt;C3400,D3401&lt;&gt;D3400,E3401&lt;&gt;E3400),G3400+1,G3400))</f>
        <v/>
      </c>
    </row>
    <row r="3402">
      <c r="A3402" s="14">
        <f>IF(OR(NOT(ISNUMBER(Ввод!$B$5)),NOT(ISNUMBER(Ввод!$B$6))),"",IF(Ввод!$B$5+3400&gt;Ввод!$B$6,"",Ввод!$B$5+3400))</f>
        <v/>
      </c>
      <c r="B3402">
        <f>IF(A3402="","",IFERROR(INDEX(Ввод!$B$12:$B$71,MATCH(A3402,Ввод!$D$12:$D$71,1)),""))</f>
        <v/>
      </c>
      <c r="C3402">
        <f>IF(A3402="","",DATE(YEAR(A3402),12,31)-DATE(YEAR(A3402),1,1)+1)</f>
        <v/>
      </c>
      <c r="D3402">
        <f>IF(A3402="","",Ввод!$B$4-SUMIF(Оплаты!$A$6:$A$505,"&lt;"&amp;A3402,Оплаты!$B$6:$B$505))</f>
        <v/>
      </c>
      <c r="E3402">
        <f>IF(A3402="","",IF(SUMPRODUCT((Ввод!$F$12:$F$31&lt;&gt;"")*(Ввод!$F$12:$F$31&lt;=A3402)*(Ввод!$G$12:$G$31&gt;=A3402))&gt;0,1,0))</f>
        <v/>
      </c>
      <c r="F3402">
        <f>IF(OR(A3402="",B3402=""),"",IF(E3402=1,0,D3402*B3402/100/C3402))</f>
        <v/>
      </c>
      <c r="G3402">
        <f>IF(A3402="","",IF(OR(B3402&lt;&gt;B3401,C3402&lt;&gt;C3401,D3402&lt;&gt;D3401,E3402&lt;&gt;E3401),G3401+1,G3401))</f>
        <v/>
      </c>
    </row>
    <row r="3403">
      <c r="A3403" s="14">
        <f>IF(OR(NOT(ISNUMBER(Ввод!$B$5)),NOT(ISNUMBER(Ввод!$B$6))),"",IF(Ввод!$B$5+3401&gt;Ввод!$B$6,"",Ввод!$B$5+3401))</f>
        <v/>
      </c>
      <c r="B3403">
        <f>IF(A3403="","",IFERROR(INDEX(Ввод!$B$12:$B$71,MATCH(A3403,Ввод!$D$12:$D$71,1)),""))</f>
        <v/>
      </c>
      <c r="C3403">
        <f>IF(A3403="","",DATE(YEAR(A3403),12,31)-DATE(YEAR(A3403),1,1)+1)</f>
        <v/>
      </c>
      <c r="D3403">
        <f>IF(A3403="","",Ввод!$B$4-SUMIF(Оплаты!$A$6:$A$505,"&lt;"&amp;A3403,Оплаты!$B$6:$B$505))</f>
        <v/>
      </c>
      <c r="E3403">
        <f>IF(A3403="","",IF(SUMPRODUCT((Ввод!$F$12:$F$31&lt;&gt;"")*(Ввод!$F$12:$F$31&lt;=A3403)*(Ввод!$G$12:$G$31&gt;=A3403))&gt;0,1,0))</f>
        <v/>
      </c>
      <c r="F3403">
        <f>IF(OR(A3403="",B3403=""),"",IF(E3403=1,0,D3403*B3403/100/C3403))</f>
        <v/>
      </c>
      <c r="G3403">
        <f>IF(A3403="","",IF(OR(B3403&lt;&gt;B3402,C3403&lt;&gt;C3402,D3403&lt;&gt;D3402,E3403&lt;&gt;E3402),G3402+1,G3402))</f>
        <v/>
      </c>
    </row>
    <row r="3404">
      <c r="A3404" s="14">
        <f>IF(OR(NOT(ISNUMBER(Ввод!$B$5)),NOT(ISNUMBER(Ввод!$B$6))),"",IF(Ввод!$B$5+3402&gt;Ввод!$B$6,"",Ввод!$B$5+3402))</f>
        <v/>
      </c>
      <c r="B3404">
        <f>IF(A3404="","",IFERROR(INDEX(Ввод!$B$12:$B$71,MATCH(A3404,Ввод!$D$12:$D$71,1)),""))</f>
        <v/>
      </c>
      <c r="C3404">
        <f>IF(A3404="","",DATE(YEAR(A3404),12,31)-DATE(YEAR(A3404),1,1)+1)</f>
        <v/>
      </c>
      <c r="D3404">
        <f>IF(A3404="","",Ввод!$B$4-SUMIF(Оплаты!$A$6:$A$505,"&lt;"&amp;A3404,Оплаты!$B$6:$B$505))</f>
        <v/>
      </c>
      <c r="E3404">
        <f>IF(A3404="","",IF(SUMPRODUCT((Ввод!$F$12:$F$31&lt;&gt;"")*(Ввод!$F$12:$F$31&lt;=A3404)*(Ввод!$G$12:$G$31&gt;=A3404))&gt;0,1,0))</f>
        <v/>
      </c>
      <c r="F3404">
        <f>IF(OR(A3404="",B3404=""),"",IF(E3404=1,0,D3404*B3404/100/C3404))</f>
        <v/>
      </c>
      <c r="G3404">
        <f>IF(A3404="","",IF(OR(B3404&lt;&gt;B3403,C3404&lt;&gt;C3403,D3404&lt;&gt;D3403,E3404&lt;&gt;E3403),G3403+1,G3403))</f>
        <v/>
      </c>
    </row>
    <row r="3405">
      <c r="A3405" s="14">
        <f>IF(OR(NOT(ISNUMBER(Ввод!$B$5)),NOT(ISNUMBER(Ввод!$B$6))),"",IF(Ввод!$B$5+3403&gt;Ввод!$B$6,"",Ввод!$B$5+3403))</f>
        <v/>
      </c>
      <c r="B3405">
        <f>IF(A3405="","",IFERROR(INDEX(Ввод!$B$12:$B$71,MATCH(A3405,Ввод!$D$12:$D$71,1)),""))</f>
        <v/>
      </c>
      <c r="C3405">
        <f>IF(A3405="","",DATE(YEAR(A3405),12,31)-DATE(YEAR(A3405),1,1)+1)</f>
        <v/>
      </c>
      <c r="D3405">
        <f>IF(A3405="","",Ввод!$B$4-SUMIF(Оплаты!$A$6:$A$505,"&lt;"&amp;A3405,Оплаты!$B$6:$B$505))</f>
        <v/>
      </c>
      <c r="E3405">
        <f>IF(A3405="","",IF(SUMPRODUCT((Ввод!$F$12:$F$31&lt;&gt;"")*(Ввод!$F$12:$F$31&lt;=A3405)*(Ввод!$G$12:$G$31&gt;=A3405))&gt;0,1,0))</f>
        <v/>
      </c>
      <c r="F3405">
        <f>IF(OR(A3405="",B3405=""),"",IF(E3405=1,0,D3405*B3405/100/C3405))</f>
        <v/>
      </c>
      <c r="G3405">
        <f>IF(A3405="","",IF(OR(B3405&lt;&gt;B3404,C3405&lt;&gt;C3404,D3405&lt;&gt;D3404,E3405&lt;&gt;E3404),G3404+1,G3404))</f>
        <v/>
      </c>
    </row>
    <row r="3406">
      <c r="A3406" s="14">
        <f>IF(OR(NOT(ISNUMBER(Ввод!$B$5)),NOT(ISNUMBER(Ввод!$B$6))),"",IF(Ввод!$B$5+3404&gt;Ввод!$B$6,"",Ввод!$B$5+3404))</f>
        <v/>
      </c>
      <c r="B3406">
        <f>IF(A3406="","",IFERROR(INDEX(Ввод!$B$12:$B$71,MATCH(A3406,Ввод!$D$12:$D$71,1)),""))</f>
        <v/>
      </c>
      <c r="C3406">
        <f>IF(A3406="","",DATE(YEAR(A3406),12,31)-DATE(YEAR(A3406),1,1)+1)</f>
        <v/>
      </c>
      <c r="D3406">
        <f>IF(A3406="","",Ввод!$B$4-SUMIF(Оплаты!$A$6:$A$505,"&lt;"&amp;A3406,Оплаты!$B$6:$B$505))</f>
        <v/>
      </c>
      <c r="E3406">
        <f>IF(A3406="","",IF(SUMPRODUCT((Ввод!$F$12:$F$31&lt;&gt;"")*(Ввод!$F$12:$F$31&lt;=A3406)*(Ввод!$G$12:$G$31&gt;=A3406))&gt;0,1,0))</f>
        <v/>
      </c>
      <c r="F3406">
        <f>IF(OR(A3406="",B3406=""),"",IF(E3406=1,0,D3406*B3406/100/C3406))</f>
        <v/>
      </c>
      <c r="G3406">
        <f>IF(A3406="","",IF(OR(B3406&lt;&gt;B3405,C3406&lt;&gt;C3405,D3406&lt;&gt;D3405,E3406&lt;&gt;E3405),G3405+1,G3405))</f>
        <v/>
      </c>
    </row>
    <row r="3407">
      <c r="A3407" s="14">
        <f>IF(OR(NOT(ISNUMBER(Ввод!$B$5)),NOT(ISNUMBER(Ввод!$B$6))),"",IF(Ввод!$B$5+3405&gt;Ввод!$B$6,"",Ввод!$B$5+3405))</f>
        <v/>
      </c>
      <c r="B3407">
        <f>IF(A3407="","",IFERROR(INDEX(Ввод!$B$12:$B$71,MATCH(A3407,Ввод!$D$12:$D$71,1)),""))</f>
        <v/>
      </c>
      <c r="C3407">
        <f>IF(A3407="","",DATE(YEAR(A3407),12,31)-DATE(YEAR(A3407),1,1)+1)</f>
        <v/>
      </c>
      <c r="D3407">
        <f>IF(A3407="","",Ввод!$B$4-SUMIF(Оплаты!$A$6:$A$505,"&lt;"&amp;A3407,Оплаты!$B$6:$B$505))</f>
        <v/>
      </c>
      <c r="E3407">
        <f>IF(A3407="","",IF(SUMPRODUCT((Ввод!$F$12:$F$31&lt;&gt;"")*(Ввод!$F$12:$F$31&lt;=A3407)*(Ввод!$G$12:$G$31&gt;=A3407))&gt;0,1,0))</f>
        <v/>
      </c>
      <c r="F3407">
        <f>IF(OR(A3407="",B3407=""),"",IF(E3407=1,0,D3407*B3407/100/C3407))</f>
        <v/>
      </c>
      <c r="G3407">
        <f>IF(A3407="","",IF(OR(B3407&lt;&gt;B3406,C3407&lt;&gt;C3406,D3407&lt;&gt;D3406,E3407&lt;&gt;E3406),G3406+1,G3406))</f>
        <v/>
      </c>
    </row>
    <row r="3408">
      <c r="A3408" s="14">
        <f>IF(OR(NOT(ISNUMBER(Ввод!$B$5)),NOT(ISNUMBER(Ввод!$B$6))),"",IF(Ввод!$B$5+3406&gt;Ввод!$B$6,"",Ввод!$B$5+3406))</f>
        <v/>
      </c>
      <c r="B3408">
        <f>IF(A3408="","",IFERROR(INDEX(Ввод!$B$12:$B$71,MATCH(A3408,Ввод!$D$12:$D$71,1)),""))</f>
        <v/>
      </c>
      <c r="C3408">
        <f>IF(A3408="","",DATE(YEAR(A3408),12,31)-DATE(YEAR(A3408),1,1)+1)</f>
        <v/>
      </c>
      <c r="D3408">
        <f>IF(A3408="","",Ввод!$B$4-SUMIF(Оплаты!$A$6:$A$505,"&lt;"&amp;A3408,Оплаты!$B$6:$B$505))</f>
        <v/>
      </c>
      <c r="E3408">
        <f>IF(A3408="","",IF(SUMPRODUCT((Ввод!$F$12:$F$31&lt;&gt;"")*(Ввод!$F$12:$F$31&lt;=A3408)*(Ввод!$G$12:$G$31&gt;=A3408))&gt;0,1,0))</f>
        <v/>
      </c>
      <c r="F3408">
        <f>IF(OR(A3408="",B3408=""),"",IF(E3408=1,0,D3408*B3408/100/C3408))</f>
        <v/>
      </c>
      <c r="G3408">
        <f>IF(A3408="","",IF(OR(B3408&lt;&gt;B3407,C3408&lt;&gt;C3407,D3408&lt;&gt;D3407,E3408&lt;&gt;E3407),G3407+1,G3407))</f>
        <v/>
      </c>
    </row>
    <row r="3409">
      <c r="A3409" s="14">
        <f>IF(OR(NOT(ISNUMBER(Ввод!$B$5)),NOT(ISNUMBER(Ввод!$B$6))),"",IF(Ввод!$B$5+3407&gt;Ввод!$B$6,"",Ввод!$B$5+3407))</f>
        <v/>
      </c>
      <c r="B3409">
        <f>IF(A3409="","",IFERROR(INDEX(Ввод!$B$12:$B$71,MATCH(A3409,Ввод!$D$12:$D$71,1)),""))</f>
        <v/>
      </c>
      <c r="C3409">
        <f>IF(A3409="","",DATE(YEAR(A3409),12,31)-DATE(YEAR(A3409),1,1)+1)</f>
        <v/>
      </c>
      <c r="D3409">
        <f>IF(A3409="","",Ввод!$B$4-SUMIF(Оплаты!$A$6:$A$505,"&lt;"&amp;A3409,Оплаты!$B$6:$B$505))</f>
        <v/>
      </c>
      <c r="E3409">
        <f>IF(A3409="","",IF(SUMPRODUCT((Ввод!$F$12:$F$31&lt;&gt;"")*(Ввод!$F$12:$F$31&lt;=A3409)*(Ввод!$G$12:$G$31&gt;=A3409))&gt;0,1,0))</f>
        <v/>
      </c>
      <c r="F3409">
        <f>IF(OR(A3409="",B3409=""),"",IF(E3409=1,0,D3409*B3409/100/C3409))</f>
        <v/>
      </c>
      <c r="G3409">
        <f>IF(A3409="","",IF(OR(B3409&lt;&gt;B3408,C3409&lt;&gt;C3408,D3409&lt;&gt;D3408,E3409&lt;&gt;E3408),G3408+1,G3408))</f>
        <v/>
      </c>
    </row>
    <row r="3410">
      <c r="A3410" s="14">
        <f>IF(OR(NOT(ISNUMBER(Ввод!$B$5)),NOT(ISNUMBER(Ввод!$B$6))),"",IF(Ввод!$B$5+3408&gt;Ввод!$B$6,"",Ввод!$B$5+3408))</f>
        <v/>
      </c>
      <c r="B3410">
        <f>IF(A3410="","",IFERROR(INDEX(Ввод!$B$12:$B$71,MATCH(A3410,Ввод!$D$12:$D$71,1)),""))</f>
        <v/>
      </c>
      <c r="C3410">
        <f>IF(A3410="","",DATE(YEAR(A3410),12,31)-DATE(YEAR(A3410),1,1)+1)</f>
        <v/>
      </c>
      <c r="D3410">
        <f>IF(A3410="","",Ввод!$B$4-SUMIF(Оплаты!$A$6:$A$505,"&lt;"&amp;A3410,Оплаты!$B$6:$B$505))</f>
        <v/>
      </c>
      <c r="E3410">
        <f>IF(A3410="","",IF(SUMPRODUCT((Ввод!$F$12:$F$31&lt;&gt;"")*(Ввод!$F$12:$F$31&lt;=A3410)*(Ввод!$G$12:$G$31&gt;=A3410))&gt;0,1,0))</f>
        <v/>
      </c>
      <c r="F3410">
        <f>IF(OR(A3410="",B3410=""),"",IF(E3410=1,0,D3410*B3410/100/C3410))</f>
        <v/>
      </c>
      <c r="G3410">
        <f>IF(A3410="","",IF(OR(B3410&lt;&gt;B3409,C3410&lt;&gt;C3409,D3410&lt;&gt;D3409,E3410&lt;&gt;E3409),G3409+1,G3409))</f>
        <v/>
      </c>
    </row>
    <row r="3411">
      <c r="A3411" s="14">
        <f>IF(OR(NOT(ISNUMBER(Ввод!$B$5)),NOT(ISNUMBER(Ввод!$B$6))),"",IF(Ввод!$B$5+3409&gt;Ввод!$B$6,"",Ввод!$B$5+3409))</f>
        <v/>
      </c>
      <c r="B3411">
        <f>IF(A3411="","",IFERROR(INDEX(Ввод!$B$12:$B$71,MATCH(A3411,Ввод!$D$12:$D$71,1)),""))</f>
        <v/>
      </c>
      <c r="C3411">
        <f>IF(A3411="","",DATE(YEAR(A3411),12,31)-DATE(YEAR(A3411),1,1)+1)</f>
        <v/>
      </c>
      <c r="D3411">
        <f>IF(A3411="","",Ввод!$B$4-SUMIF(Оплаты!$A$6:$A$505,"&lt;"&amp;A3411,Оплаты!$B$6:$B$505))</f>
        <v/>
      </c>
      <c r="E3411">
        <f>IF(A3411="","",IF(SUMPRODUCT((Ввод!$F$12:$F$31&lt;&gt;"")*(Ввод!$F$12:$F$31&lt;=A3411)*(Ввод!$G$12:$G$31&gt;=A3411))&gt;0,1,0))</f>
        <v/>
      </c>
      <c r="F3411">
        <f>IF(OR(A3411="",B3411=""),"",IF(E3411=1,0,D3411*B3411/100/C3411))</f>
        <v/>
      </c>
      <c r="G3411">
        <f>IF(A3411="","",IF(OR(B3411&lt;&gt;B3410,C3411&lt;&gt;C3410,D3411&lt;&gt;D3410,E3411&lt;&gt;E3410),G3410+1,G3410))</f>
        <v/>
      </c>
    </row>
    <row r="3412">
      <c r="A3412" s="14">
        <f>IF(OR(NOT(ISNUMBER(Ввод!$B$5)),NOT(ISNUMBER(Ввод!$B$6))),"",IF(Ввод!$B$5+3410&gt;Ввод!$B$6,"",Ввод!$B$5+3410))</f>
        <v/>
      </c>
      <c r="B3412">
        <f>IF(A3412="","",IFERROR(INDEX(Ввод!$B$12:$B$71,MATCH(A3412,Ввод!$D$12:$D$71,1)),""))</f>
        <v/>
      </c>
      <c r="C3412">
        <f>IF(A3412="","",DATE(YEAR(A3412),12,31)-DATE(YEAR(A3412),1,1)+1)</f>
        <v/>
      </c>
      <c r="D3412">
        <f>IF(A3412="","",Ввод!$B$4-SUMIF(Оплаты!$A$6:$A$505,"&lt;"&amp;A3412,Оплаты!$B$6:$B$505))</f>
        <v/>
      </c>
      <c r="E3412">
        <f>IF(A3412="","",IF(SUMPRODUCT((Ввод!$F$12:$F$31&lt;&gt;"")*(Ввод!$F$12:$F$31&lt;=A3412)*(Ввод!$G$12:$G$31&gt;=A3412))&gt;0,1,0))</f>
        <v/>
      </c>
      <c r="F3412">
        <f>IF(OR(A3412="",B3412=""),"",IF(E3412=1,0,D3412*B3412/100/C3412))</f>
        <v/>
      </c>
      <c r="G3412">
        <f>IF(A3412="","",IF(OR(B3412&lt;&gt;B3411,C3412&lt;&gt;C3411,D3412&lt;&gt;D3411,E3412&lt;&gt;E3411),G3411+1,G3411))</f>
        <v/>
      </c>
    </row>
    <row r="3413">
      <c r="A3413" s="14">
        <f>IF(OR(NOT(ISNUMBER(Ввод!$B$5)),NOT(ISNUMBER(Ввод!$B$6))),"",IF(Ввод!$B$5+3411&gt;Ввод!$B$6,"",Ввод!$B$5+3411))</f>
        <v/>
      </c>
      <c r="B3413">
        <f>IF(A3413="","",IFERROR(INDEX(Ввод!$B$12:$B$71,MATCH(A3413,Ввод!$D$12:$D$71,1)),""))</f>
        <v/>
      </c>
      <c r="C3413">
        <f>IF(A3413="","",DATE(YEAR(A3413),12,31)-DATE(YEAR(A3413),1,1)+1)</f>
        <v/>
      </c>
      <c r="D3413">
        <f>IF(A3413="","",Ввод!$B$4-SUMIF(Оплаты!$A$6:$A$505,"&lt;"&amp;A3413,Оплаты!$B$6:$B$505))</f>
        <v/>
      </c>
      <c r="E3413">
        <f>IF(A3413="","",IF(SUMPRODUCT((Ввод!$F$12:$F$31&lt;&gt;"")*(Ввод!$F$12:$F$31&lt;=A3413)*(Ввод!$G$12:$G$31&gt;=A3413))&gt;0,1,0))</f>
        <v/>
      </c>
      <c r="F3413">
        <f>IF(OR(A3413="",B3413=""),"",IF(E3413=1,0,D3413*B3413/100/C3413))</f>
        <v/>
      </c>
      <c r="G3413">
        <f>IF(A3413="","",IF(OR(B3413&lt;&gt;B3412,C3413&lt;&gt;C3412,D3413&lt;&gt;D3412,E3413&lt;&gt;E3412),G3412+1,G3412))</f>
        <v/>
      </c>
    </row>
    <row r="3414">
      <c r="A3414" s="14">
        <f>IF(OR(NOT(ISNUMBER(Ввод!$B$5)),NOT(ISNUMBER(Ввод!$B$6))),"",IF(Ввод!$B$5+3412&gt;Ввод!$B$6,"",Ввод!$B$5+3412))</f>
        <v/>
      </c>
      <c r="B3414">
        <f>IF(A3414="","",IFERROR(INDEX(Ввод!$B$12:$B$71,MATCH(A3414,Ввод!$D$12:$D$71,1)),""))</f>
        <v/>
      </c>
      <c r="C3414">
        <f>IF(A3414="","",DATE(YEAR(A3414),12,31)-DATE(YEAR(A3414),1,1)+1)</f>
        <v/>
      </c>
      <c r="D3414">
        <f>IF(A3414="","",Ввод!$B$4-SUMIF(Оплаты!$A$6:$A$505,"&lt;"&amp;A3414,Оплаты!$B$6:$B$505))</f>
        <v/>
      </c>
      <c r="E3414">
        <f>IF(A3414="","",IF(SUMPRODUCT((Ввод!$F$12:$F$31&lt;&gt;"")*(Ввод!$F$12:$F$31&lt;=A3414)*(Ввод!$G$12:$G$31&gt;=A3414))&gt;0,1,0))</f>
        <v/>
      </c>
      <c r="F3414">
        <f>IF(OR(A3414="",B3414=""),"",IF(E3414=1,0,D3414*B3414/100/C3414))</f>
        <v/>
      </c>
      <c r="G3414">
        <f>IF(A3414="","",IF(OR(B3414&lt;&gt;B3413,C3414&lt;&gt;C3413,D3414&lt;&gt;D3413,E3414&lt;&gt;E3413),G3413+1,G3413))</f>
        <v/>
      </c>
    </row>
    <row r="3415">
      <c r="A3415" s="14">
        <f>IF(OR(NOT(ISNUMBER(Ввод!$B$5)),NOT(ISNUMBER(Ввод!$B$6))),"",IF(Ввод!$B$5+3413&gt;Ввод!$B$6,"",Ввод!$B$5+3413))</f>
        <v/>
      </c>
      <c r="B3415">
        <f>IF(A3415="","",IFERROR(INDEX(Ввод!$B$12:$B$71,MATCH(A3415,Ввод!$D$12:$D$71,1)),""))</f>
        <v/>
      </c>
      <c r="C3415">
        <f>IF(A3415="","",DATE(YEAR(A3415),12,31)-DATE(YEAR(A3415),1,1)+1)</f>
        <v/>
      </c>
      <c r="D3415">
        <f>IF(A3415="","",Ввод!$B$4-SUMIF(Оплаты!$A$6:$A$505,"&lt;"&amp;A3415,Оплаты!$B$6:$B$505))</f>
        <v/>
      </c>
      <c r="E3415">
        <f>IF(A3415="","",IF(SUMPRODUCT((Ввод!$F$12:$F$31&lt;&gt;"")*(Ввод!$F$12:$F$31&lt;=A3415)*(Ввод!$G$12:$G$31&gt;=A3415))&gt;0,1,0))</f>
        <v/>
      </c>
      <c r="F3415">
        <f>IF(OR(A3415="",B3415=""),"",IF(E3415=1,0,D3415*B3415/100/C3415))</f>
        <v/>
      </c>
      <c r="G3415">
        <f>IF(A3415="","",IF(OR(B3415&lt;&gt;B3414,C3415&lt;&gt;C3414,D3415&lt;&gt;D3414,E3415&lt;&gt;E3414),G3414+1,G3414))</f>
        <v/>
      </c>
    </row>
    <row r="3416">
      <c r="A3416" s="14">
        <f>IF(OR(NOT(ISNUMBER(Ввод!$B$5)),NOT(ISNUMBER(Ввод!$B$6))),"",IF(Ввод!$B$5+3414&gt;Ввод!$B$6,"",Ввод!$B$5+3414))</f>
        <v/>
      </c>
      <c r="B3416">
        <f>IF(A3416="","",IFERROR(INDEX(Ввод!$B$12:$B$71,MATCH(A3416,Ввод!$D$12:$D$71,1)),""))</f>
        <v/>
      </c>
      <c r="C3416">
        <f>IF(A3416="","",DATE(YEAR(A3416),12,31)-DATE(YEAR(A3416),1,1)+1)</f>
        <v/>
      </c>
      <c r="D3416">
        <f>IF(A3416="","",Ввод!$B$4-SUMIF(Оплаты!$A$6:$A$505,"&lt;"&amp;A3416,Оплаты!$B$6:$B$505))</f>
        <v/>
      </c>
      <c r="E3416">
        <f>IF(A3416="","",IF(SUMPRODUCT((Ввод!$F$12:$F$31&lt;&gt;"")*(Ввод!$F$12:$F$31&lt;=A3416)*(Ввод!$G$12:$G$31&gt;=A3416))&gt;0,1,0))</f>
        <v/>
      </c>
      <c r="F3416">
        <f>IF(OR(A3416="",B3416=""),"",IF(E3416=1,0,D3416*B3416/100/C3416))</f>
        <v/>
      </c>
      <c r="G3416">
        <f>IF(A3416="","",IF(OR(B3416&lt;&gt;B3415,C3416&lt;&gt;C3415,D3416&lt;&gt;D3415,E3416&lt;&gt;E3415),G3415+1,G3415))</f>
        <v/>
      </c>
    </row>
    <row r="3417">
      <c r="A3417" s="14">
        <f>IF(OR(NOT(ISNUMBER(Ввод!$B$5)),NOT(ISNUMBER(Ввод!$B$6))),"",IF(Ввод!$B$5+3415&gt;Ввод!$B$6,"",Ввод!$B$5+3415))</f>
        <v/>
      </c>
      <c r="B3417">
        <f>IF(A3417="","",IFERROR(INDEX(Ввод!$B$12:$B$71,MATCH(A3417,Ввод!$D$12:$D$71,1)),""))</f>
        <v/>
      </c>
      <c r="C3417">
        <f>IF(A3417="","",DATE(YEAR(A3417),12,31)-DATE(YEAR(A3417),1,1)+1)</f>
        <v/>
      </c>
      <c r="D3417">
        <f>IF(A3417="","",Ввод!$B$4-SUMIF(Оплаты!$A$6:$A$505,"&lt;"&amp;A3417,Оплаты!$B$6:$B$505))</f>
        <v/>
      </c>
      <c r="E3417">
        <f>IF(A3417="","",IF(SUMPRODUCT((Ввод!$F$12:$F$31&lt;&gt;"")*(Ввод!$F$12:$F$31&lt;=A3417)*(Ввод!$G$12:$G$31&gt;=A3417))&gt;0,1,0))</f>
        <v/>
      </c>
      <c r="F3417">
        <f>IF(OR(A3417="",B3417=""),"",IF(E3417=1,0,D3417*B3417/100/C3417))</f>
        <v/>
      </c>
      <c r="G3417">
        <f>IF(A3417="","",IF(OR(B3417&lt;&gt;B3416,C3417&lt;&gt;C3416,D3417&lt;&gt;D3416,E3417&lt;&gt;E3416),G3416+1,G3416))</f>
        <v/>
      </c>
    </row>
    <row r="3418">
      <c r="A3418" s="14">
        <f>IF(OR(NOT(ISNUMBER(Ввод!$B$5)),NOT(ISNUMBER(Ввод!$B$6))),"",IF(Ввод!$B$5+3416&gt;Ввод!$B$6,"",Ввод!$B$5+3416))</f>
        <v/>
      </c>
      <c r="B3418">
        <f>IF(A3418="","",IFERROR(INDEX(Ввод!$B$12:$B$71,MATCH(A3418,Ввод!$D$12:$D$71,1)),""))</f>
        <v/>
      </c>
      <c r="C3418">
        <f>IF(A3418="","",DATE(YEAR(A3418),12,31)-DATE(YEAR(A3418),1,1)+1)</f>
        <v/>
      </c>
      <c r="D3418">
        <f>IF(A3418="","",Ввод!$B$4-SUMIF(Оплаты!$A$6:$A$505,"&lt;"&amp;A3418,Оплаты!$B$6:$B$505))</f>
        <v/>
      </c>
      <c r="E3418">
        <f>IF(A3418="","",IF(SUMPRODUCT((Ввод!$F$12:$F$31&lt;&gt;"")*(Ввод!$F$12:$F$31&lt;=A3418)*(Ввод!$G$12:$G$31&gt;=A3418))&gt;0,1,0))</f>
        <v/>
      </c>
      <c r="F3418">
        <f>IF(OR(A3418="",B3418=""),"",IF(E3418=1,0,D3418*B3418/100/C3418))</f>
        <v/>
      </c>
      <c r="G3418">
        <f>IF(A3418="","",IF(OR(B3418&lt;&gt;B3417,C3418&lt;&gt;C3417,D3418&lt;&gt;D3417,E3418&lt;&gt;E3417),G3417+1,G3417))</f>
        <v/>
      </c>
    </row>
    <row r="3419">
      <c r="A3419" s="14">
        <f>IF(OR(NOT(ISNUMBER(Ввод!$B$5)),NOT(ISNUMBER(Ввод!$B$6))),"",IF(Ввод!$B$5+3417&gt;Ввод!$B$6,"",Ввод!$B$5+3417))</f>
        <v/>
      </c>
      <c r="B3419">
        <f>IF(A3419="","",IFERROR(INDEX(Ввод!$B$12:$B$71,MATCH(A3419,Ввод!$D$12:$D$71,1)),""))</f>
        <v/>
      </c>
      <c r="C3419">
        <f>IF(A3419="","",DATE(YEAR(A3419),12,31)-DATE(YEAR(A3419),1,1)+1)</f>
        <v/>
      </c>
      <c r="D3419">
        <f>IF(A3419="","",Ввод!$B$4-SUMIF(Оплаты!$A$6:$A$505,"&lt;"&amp;A3419,Оплаты!$B$6:$B$505))</f>
        <v/>
      </c>
      <c r="E3419">
        <f>IF(A3419="","",IF(SUMPRODUCT((Ввод!$F$12:$F$31&lt;&gt;"")*(Ввод!$F$12:$F$31&lt;=A3419)*(Ввод!$G$12:$G$31&gt;=A3419))&gt;0,1,0))</f>
        <v/>
      </c>
      <c r="F3419">
        <f>IF(OR(A3419="",B3419=""),"",IF(E3419=1,0,D3419*B3419/100/C3419))</f>
        <v/>
      </c>
      <c r="G3419">
        <f>IF(A3419="","",IF(OR(B3419&lt;&gt;B3418,C3419&lt;&gt;C3418,D3419&lt;&gt;D3418,E3419&lt;&gt;E3418),G3418+1,G3418))</f>
        <v/>
      </c>
    </row>
    <row r="3420">
      <c r="A3420" s="14">
        <f>IF(OR(NOT(ISNUMBER(Ввод!$B$5)),NOT(ISNUMBER(Ввод!$B$6))),"",IF(Ввод!$B$5+3418&gt;Ввод!$B$6,"",Ввод!$B$5+3418))</f>
        <v/>
      </c>
      <c r="B3420">
        <f>IF(A3420="","",IFERROR(INDEX(Ввод!$B$12:$B$71,MATCH(A3420,Ввод!$D$12:$D$71,1)),""))</f>
        <v/>
      </c>
      <c r="C3420">
        <f>IF(A3420="","",DATE(YEAR(A3420),12,31)-DATE(YEAR(A3420),1,1)+1)</f>
        <v/>
      </c>
      <c r="D3420">
        <f>IF(A3420="","",Ввод!$B$4-SUMIF(Оплаты!$A$6:$A$505,"&lt;"&amp;A3420,Оплаты!$B$6:$B$505))</f>
        <v/>
      </c>
      <c r="E3420">
        <f>IF(A3420="","",IF(SUMPRODUCT((Ввод!$F$12:$F$31&lt;&gt;"")*(Ввод!$F$12:$F$31&lt;=A3420)*(Ввод!$G$12:$G$31&gt;=A3420))&gt;0,1,0))</f>
        <v/>
      </c>
      <c r="F3420">
        <f>IF(OR(A3420="",B3420=""),"",IF(E3420=1,0,D3420*B3420/100/C3420))</f>
        <v/>
      </c>
      <c r="G3420">
        <f>IF(A3420="","",IF(OR(B3420&lt;&gt;B3419,C3420&lt;&gt;C3419,D3420&lt;&gt;D3419,E3420&lt;&gt;E3419),G3419+1,G3419))</f>
        <v/>
      </c>
    </row>
    <row r="3421">
      <c r="A3421" s="14">
        <f>IF(OR(NOT(ISNUMBER(Ввод!$B$5)),NOT(ISNUMBER(Ввод!$B$6))),"",IF(Ввод!$B$5+3419&gt;Ввод!$B$6,"",Ввод!$B$5+3419))</f>
        <v/>
      </c>
      <c r="B3421">
        <f>IF(A3421="","",IFERROR(INDEX(Ввод!$B$12:$B$71,MATCH(A3421,Ввод!$D$12:$D$71,1)),""))</f>
        <v/>
      </c>
      <c r="C3421">
        <f>IF(A3421="","",DATE(YEAR(A3421),12,31)-DATE(YEAR(A3421),1,1)+1)</f>
        <v/>
      </c>
      <c r="D3421">
        <f>IF(A3421="","",Ввод!$B$4-SUMIF(Оплаты!$A$6:$A$505,"&lt;"&amp;A3421,Оплаты!$B$6:$B$505))</f>
        <v/>
      </c>
      <c r="E3421">
        <f>IF(A3421="","",IF(SUMPRODUCT((Ввод!$F$12:$F$31&lt;&gt;"")*(Ввод!$F$12:$F$31&lt;=A3421)*(Ввод!$G$12:$G$31&gt;=A3421))&gt;0,1,0))</f>
        <v/>
      </c>
      <c r="F3421">
        <f>IF(OR(A3421="",B3421=""),"",IF(E3421=1,0,D3421*B3421/100/C3421))</f>
        <v/>
      </c>
      <c r="G3421">
        <f>IF(A3421="","",IF(OR(B3421&lt;&gt;B3420,C3421&lt;&gt;C3420,D3421&lt;&gt;D3420,E3421&lt;&gt;E3420),G3420+1,G3420))</f>
        <v/>
      </c>
    </row>
    <row r="3422">
      <c r="A3422" s="14">
        <f>IF(OR(NOT(ISNUMBER(Ввод!$B$5)),NOT(ISNUMBER(Ввод!$B$6))),"",IF(Ввод!$B$5+3420&gt;Ввод!$B$6,"",Ввод!$B$5+3420))</f>
        <v/>
      </c>
      <c r="B3422">
        <f>IF(A3422="","",IFERROR(INDEX(Ввод!$B$12:$B$71,MATCH(A3422,Ввод!$D$12:$D$71,1)),""))</f>
        <v/>
      </c>
      <c r="C3422">
        <f>IF(A3422="","",DATE(YEAR(A3422),12,31)-DATE(YEAR(A3422),1,1)+1)</f>
        <v/>
      </c>
      <c r="D3422">
        <f>IF(A3422="","",Ввод!$B$4-SUMIF(Оплаты!$A$6:$A$505,"&lt;"&amp;A3422,Оплаты!$B$6:$B$505))</f>
        <v/>
      </c>
      <c r="E3422">
        <f>IF(A3422="","",IF(SUMPRODUCT((Ввод!$F$12:$F$31&lt;&gt;"")*(Ввод!$F$12:$F$31&lt;=A3422)*(Ввод!$G$12:$G$31&gt;=A3422))&gt;0,1,0))</f>
        <v/>
      </c>
      <c r="F3422">
        <f>IF(OR(A3422="",B3422=""),"",IF(E3422=1,0,D3422*B3422/100/C3422))</f>
        <v/>
      </c>
      <c r="G3422">
        <f>IF(A3422="","",IF(OR(B3422&lt;&gt;B3421,C3422&lt;&gt;C3421,D3422&lt;&gt;D3421,E3422&lt;&gt;E3421),G3421+1,G3421))</f>
        <v/>
      </c>
    </row>
    <row r="3423">
      <c r="A3423" s="14">
        <f>IF(OR(NOT(ISNUMBER(Ввод!$B$5)),NOT(ISNUMBER(Ввод!$B$6))),"",IF(Ввод!$B$5+3421&gt;Ввод!$B$6,"",Ввод!$B$5+3421))</f>
        <v/>
      </c>
      <c r="B3423">
        <f>IF(A3423="","",IFERROR(INDEX(Ввод!$B$12:$B$71,MATCH(A3423,Ввод!$D$12:$D$71,1)),""))</f>
        <v/>
      </c>
      <c r="C3423">
        <f>IF(A3423="","",DATE(YEAR(A3423),12,31)-DATE(YEAR(A3423),1,1)+1)</f>
        <v/>
      </c>
      <c r="D3423">
        <f>IF(A3423="","",Ввод!$B$4-SUMIF(Оплаты!$A$6:$A$505,"&lt;"&amp;A3423,Оплаты!$B$6:$B$505))</f>
        <v/>
      </c>
      <c r="E3423">
        <f>IF(A3423="","",IF(SUMPRODUCT((Ввод!$F$12:$F$31&lt;&gt;"")*(Ввод!$F$12:$F$31&lt;=A3423)*(Ввод!$G$12:$G$31&gt;=A3423))&gt;0,1,0))</f>
        <v/>
      </c>
      <c r="F3423">
        <f>IF(OR(A3423="",B3423=""),"",IF(E3423=1,0,D3423*B3423/100/C3423))</f>
        <v/>
      </c>
      <c r="G3423">
        <f>IF(A3423="","",IF(OR(B3423&lt;&gt;B3422,C3423&lt;&gt;C3422,D3423&lt;&gt;D3422,E3423&lt;&gt;E3422),G3422+1,G3422))</f>
        <v/>
      </c>
    </row>
    <row r="3424">
      <c r="A3424" s="14">
        <f>IF(OR(NOT(ISNUMBER(Ввод!$B$5)),NOT(ISNUMBER(Ввод!$B$6))),"",IF(Ввод!$B$5+3422&gt;Ввод!$B$6,"",Ввод!$B$5+3422))</f>
        <v/>
      </c>
      <c r="B3424">
        <f>IF(A3424="","",IFERROR(INDEX(Ввод!$B$12:$B$71,MATCH(A3424,Ввод!$D$12:$D$71,1)),""))</f>
        <v/>
      </c>
      <c r="C3424">
        <f>IF(A3424="","",DATE(YEAR(A3424),12,31)-DATE(YEAR(A3424),1,1)+1)</f>
        <v/>
      </c>
      <c r="D3424">
        <f>IF(A3424="","",Ввод!$B$4-SUMIF(Оплаты!$A$6:$A$505,"&lt;"&amp;A3424,Оплаты!$B$6:$B$505))</f>
        <v/>
      </c>
      <c r="E3424">
        <f>IF(A3424="","",IF(SUMPRODUCT((Ввод!$F$12:$F$31&lt;&gt;"")*(Ввод!$F$12:$F$31&lt;=A3424)*(Ввод!$G$12:$G$31&gt;=A3424))&gt;0,1,0))</f>
        <v/>
      </c>
      <c r="F3424">
        <f>IF(OR(A3424="",B3424=""),"",IF(E3424=1,0,D3424*B3424/100/C3424))</f>
        <v/>
      </c>
      <c r="G3424">
        <f>IF(A3424="","",IF(OR(B3424&lt;&gt;B3423,C3424&lt;&gt;C3423,D3424&lt;&gt;D3423,E3424&lt;&gt;E3423),G3423+1,G3423))</f>
        <v/>
      </c>
    </row>
    <row r="3425">
      <c r="A3425" s="14">
        <f>IF(OR(NOT(ISNUMBER(Ввод!$B$5)),NOT(ISNUMBER(Ввод!$B$6))),"",IF(Ввод!$B$5+3423&gt;Ввод!$B$6,"",Ввод!$B$5+3423))</f>
        <v/>
      </c>
      <c r="B3425">
        <f>IF(A3425="","",IFERROR(INDEX(Ввод!$B$12:$B$71,MATCH(A3425,Ввод!$D$12:$D$71,1)),""))</f>
        <v/>
      </c>
      <c r="C3425">
        <f>IF(A3425="","",DATE(YEAR(A3425),12,31)-DATE(YEAR(A3425),1,1)+1)</f>
        <v/>
      </c>
      <c r="D3425">
        <f>IF(A3425="","",Ввод!$B$4-SUMIF(Оплаты!$A$6:$A$505,"&lt;"&amp;A3425,Оплаты!$B$6:$B$505))</f>
        <v/>
      </c>
      <c r="E3425">
        <f>IF(A3425="","",IF(SUMPRODUCT((Ввод!$F$12:$F$31&lt;&gt;"")*(Ввод!$F$12:$F$31&lt;=A3425)*(Ввод!$G$12:$G$31&gt;=A3425))&gt;0,1,0))</f>
        <v/>
      </c>
      <c r="F3425">
        <f>IF(OR(A3425="",B3425=""),"",IF(E3425=1,0,D3425*B3425/100/C3425))</f>
        <v/>
      </c>
      <c r="G3425">
        <f>IF(A3425="","",IF(OR(B3425&lt;&gt;B3424,C3425&lt;&gt;C3424,D3425&lt;&gt;D3424,E3425&lt;&gt;E3424),G3424+1,G3424))</f>
        <v/>
      </c>
    </row>
    <row r="3426">
      <c r="A3426" s="14">
        <f>IF(OR(NOT(ISNUMBER(Ввод!$B$5)),NOT(ISNUMBER(Ввод!$B$6))),"",IF(Ввод!$B$5+3424&gt;Ввод!$B$6,"",Ввод!$B$5+3424))</f>
        <v/>
      </c>
      <c r="B3426">
        <f>IF(A3426="","",IFERROR(INDEX(Ввод!$B$12:$B$71,MATCH(A3426,Ввод!$D$12:$D$71,1)),""))</f>
        <v/>
      </c>
      <c r="C3426">
        <f>IF(A3426="","",DATE(YEAR(A3426),12,31)-DATE(YEAR(A3426),1,1)+1)</f>
        <v/>
      </c>
      <c r="D3426">
        <f>IF(A3426="","",Ввод!$B$4-SUMIF(Оплаты!$A$6:$A$505,"&lt;"&amp;A3426,Оплаты!$B$6:$B$505))</f>
        <v/>
      </c>
      <c r="E3426">
        <f>IF(A3426="","",IF(SUMPRODUCT((Ввод!$F$12:$F$31&lt;&gt;"")*(Ввод!$F$12:$F$31&lt;=A3426)*(Ввод!$G$12:$G$31&gt;=A3426))&gt;0,1,0))</f>
        <v/>
      </c>
      <c r="F3426">
        <f>IF(OR(A3426="",B3426=""),"",IF(E3426=1,0,D3426*B3426/100/C3426))</f>
        <v/>
      </c>
      <c r="G3426">
        <f>IF(A3426="","",IF(OR(B3426&lt;&gt;B3425,C3426&lt;&gt;C3425,D3426&lt;&gt;D3425,E3426&lt;&gt;E3425),G3425+1,G3425))</f>
        <v/>
      </c>
    </row>
    <row r="3427">
      <c r="A3427" s="14">
        <f>IF(OR(NOT(ISNUMBER(Ввод!$B$5)),NOT(ISNUMBER(Ввод!$B$6))),"",IF(Ввод!$B$5+3425&gt;Ввод!$B$6,"",Ввод!$B$5+3425))</f>
        <v/>
      </c>
      <c r="B3427">
        <f>IF(A3427="","",IFERROR(INDEX(Ввод!$B$12:$B$71,MATCH(A3427,Ввод!$D$12:$D$71,1)),""))</f>
        <v/>
      </c>
      <c r="C3427">
        <f>IF(A3427="","",DATE(YEAR(A3427),12,31)-DATE(YEAR(A3427),1,1)+1)</f>
        <v/>
      </c>
      <c r="D3427">
        <f>IF(A3427="","",Ввод!$B$4-SUMIF(Оплаты!$A$6:$A$505,"&lt;"&amp;A3427,Оплаты!$B$6:$B$505))</f>
        <v/>
      </c>
      <c r="E3427">
        <f>IF(A3427="","",IF(SUMPRODUCT((Ввод!$F$12:$F$31&lt;&gt;"")*(Ввод!$F$12:$F$31&lt;=A3427)*(Ввод!$G$12:$G$31&gt;=A3427))&gt;0,1,0))</f>
        <v/>
      </c>
      <c r="F3427">
        <f>IF(OR(A3427="",B3427=""),"",IF(E3427=1,0,D3427*B3427/100/C3427))</f>
        <v/>
      </c>
      <c r="G3427">
        <f>IF(A3427="","",IF(OR(B3427&lt;&gt;B3426,C3427&lt;&gt;C3426,D3427&lt;&gt;D3426,E3427&lt;&gt;E3426),G3426+1,G3426))</f>
        <v/>
      </c>
    </row>
    <row r="3428">
      <c r="A3428" s="14">
        <f>IF(OR(NOT(ISNUMBER(Ввод!$B$5)),NOT(ISNUMBER(Ввод!$B$6))),"",IF(Ввод!$B$5+3426&gt;Ввод!$B$6,"",Ввод!$B$5+3426))</f>
        <v/>
      </c>
      <c r="B3428">
        <f>IF(A3428="","",IFERROR(INDEX(Ввод!$B$12:$B$71,MATCH(A3428,Ввод!$D$12:$D$71,1)),""))</f>
        <v/>
      </c>
      <c r="C3428">
        <f>IF(A3428="","",DATE(YEAR(A3428),12,31)-DATE(YEAR(A3428),1,1)+1)</f>
        <v/>
      </c>
      <c r="D3428">
        <f>IF(A3428="","",Ввод!$B$4-SUMIF(Оплаты!$A$6:$A$505,"&lt;"&amp;A3428,Оплаты!$B$6:$B$505))</f>
        <v/>
      </c>
      <c r="E3428">
        <f>IF(A3428="","",IF(SUMPRODUCT((Ввод!$F$12:$F$31&lt;&gt;"")*(Ввод!$F$12:$F$31&lt;=A3428)*(Ввод!$G$12:$G$31&gt;=A3428))&gt;0,1,0))</f>
        <v/>
      </c>
      <c r="F3428">
        <f>IF(OR(A3428="",B3428=""),"",IF(E3428=1,0,D3428*B3428/100/C3428))</f>
        <v/>
      </c>
      <c r="G3428">
        <f>IF(A3428="","",IF(OR(B3428&lt;&gt;B3427,C3428&lt;&gt;C3427,D3428&lt;&gt;D3427,E3428&lt;&gt;E3427),G3427+1,G3427))</f>
        <v/>
      </c>
    </row>
    <row r="3429">
      <c r="A3429" s="14">
        <f>IF(OR(NOT(ISNUMBER(Ввод!$B$5)),NOT(ISNUMBER(Ввод!$B$6))),"",IF(Ввод!$B$5+3427&gt;Ввод!$B$6,"",Ввод!$B$5+3427))</f>
        <v/>
      </c>
      <c r="B3429">
        <f>IF(A3429="","",IFERROR(INDEX(Ввод!$B$12:$B$71,MATCH(A3429,Ввод!$D$12:$D$71,1)),""))</f>
        <v/>
      </c>
      <c r="C3429">
        <f>IF(A3429="","",DATE(YEAR(A3429),12,31)-DATE(YEAR(A3429),1,1)+1)</f>
        <v/>
      </c>
      <c r="D3429">
        <f>IF(A3429="","",Ввод!$B$4-SUMIF(Оплаты!$A$6:$A$505,"&lt;"&amp;A3429,Оплаты!$B$6:$B$505))</f>
        <v/>
      </c>
      <c r="E3429">
        <f>IF(A3429="","",IF(SUMPRODUCT((Ввод!$F$12:$F$31&lt;&gt;"")*(Ввод!$F$12:$F$31&lt;=A3429)*(Ввод!$G$12:$G$31&gt;=A3429))&gt;0,1,0))</f>
        <v/>
      </c>
      <c r="F3429">
        <f>IF(OR(A3429="",B3429=""),"",IF(E3429=1,0,D3429*B3429/100/C3429))</f>
        <v/>
      </c>
      <c r="G3429">
        <f>IF(A3429="","",IF(OR(B3429&lt;&gt;B3428,C3429&lt;&gt;C3428,D3429&lt;&gt;D3428,E3429&lt;&gt;E3428),G3428+1,G3428))</f>
        <v/>
      </c>
    </row>
    <row r="3430">
      <c r="A3430" s="14">
        <f>IF(OR(NOT(ISNUMBER(Ввод!$B$5)),NOT(ISNUMBER(Ввод!$B$6))),"",IF(Ввод!$B$5+3428&gt;Ввод!$B$6,"",Ввод!$B$5+3428))</f>
        <v/>
      </c>
      <c r="B3430">
        <f>IF(A3430="","",IFERROR(INDEX(Ввод!$B$12:$B$71,MATCH(A3430,Ввод!$D$12:$D$71,1)),""))</f>
        <v/>
      </c>
      <c r="C3430">
        <f>IF(A3430="","",DATE(YEAR(A3430),12,31)-DATE(YEAR(A3430),1,1)+1)</f>
        <v/>
      </c>
      <c r="D3430">
        <f>IF(A3430="","",Ввод!$B$4-SUMIF(Оплаты!$A$6:$A$505,"&lt;"&amp;A3430,Оплаты!$B$6:$B$505))</f>
        <v/>
      </c>
      <c r="E3430">
        <f>IF(A3430="","",IF(SUMPRODUCT((Ввод!$F$12:$F$31&lt;&gt;"")*(Ввод!$F$12:$F$31&lt;=A3430)*(Ввод!$G$12:$G$31&gt;=A3430))&gt;0,1,0))</f>
        <v/>
      </c>
      <c r="F3430">
        <f>IF(OR(A3430="",B3430=""),"",IF(E3430=1,0,D3430*B3430/100/C3430))</f>
        <v/>
      </c>
      <c r="G3430">
        <f>IF(A3430="","",IF(OR(B3430&lt;&gt;B3429,C3430&lt;&gt;C3429,D3430&lt;&gt;D3429,E3430&lt;&gt;E3429),G3429+1,G3429))</f>
        <v/>
      </c>
    </row>
    <row r="3431">
      <c r="A3431" s="14">
        <f>IF(OR(NOT(ISNUMBER(Ввод!$B$5)),NOT(ISNUMBER(Ввод!$B$6))),"",IF(Ввод!$B$5+3429&gt;Ввод!$B$6,"",Ввод!$B$5+3429))</f>
        <v/>
      </c>
      <c r="B3431">
        <f>IF(A3431="","",IFERROR(INDEX(Ввод!$B$12:$B$71,MATCH(A3431,Ввод!$D$12:$D$71,1)),""))</f>
        <v/>
      </c>
      <c r="C3431">
        <f>IF(A3431="","",DATE(YEAR(A3431),12,31)-DATE(YEAR(A3431),1,1)+1)</f>
        <v/>
      </c>
      <c r="D3431">
        <f>IF(A3431="","",Ввод!$B$4-SUMIF(Оплаты!$A$6:$A$505,"&lt;"&amp;A3431,Оплаты!$B$6:$B$505))</f>
        <v/>
      </c>
      <c r="E3431">
        <f>IF(A3431="","",IF(SUMPRODUCT((Ввод!$F$12:$F$31&lt;&gt;"")*(Ввод!$F$12:$F$31&lt;=A3431)*(Ввод!$G$12:$G$31&gt;=A3431))&gt;0,1,0))</f>
        <v/>
      </c>
      <c r="F3431">
        <f>IF(OR(A3431="",B3431=""),"",IF(E3431=1,0,D3431*B3431/100/C3431))</f>
        <v/>
      </c>
      <c r="G3431">
        <f>IF(A3431="","",IF(OR(B3431&lt;&gt;B3430,C3431&lt;&gt;C3430,D3431&lt;&gt;D3430,E3431&lt;&gt;E3430),G3430+1,G3430))</f>
        <v/>
      </c>
    </row>
    <row r="3432">
      <c r="A3432" s="14">
        <f>IF(OR(NOT(ISNUMBER(Ввод!$B$5)),NOT(ISNUMBER(Ввод!$B$6))),"",IF(Ввод!$B$5+3430&gt;Ввод!$B$6,"",Ввод!$B$5+3430))</f>
        <v/>
      </c>
      <c r="B3432">
        <f>IF(A3432="","",IFERROR(INDEX(Ввод!$B$12:$B$71,MATCH(A3432,Ввод!$D$12:$D$71,1)),""))</f>
        <v/>
      </c>
      <c r="C3432">
        <f>IF(A3432="","",DATE(YEAR(A3432),12,31)-DATE(YEAR(A3432),1,1)+1)</f>
        <v/>
      </c>
      <c r="D3432">
        <f>IF(A3432="","",Ввод!$B$4-SUMIF(Оплаты!$A$6:$A$505,"&lt;"&amp;A3432,Оплаты!$B$6:$B$505))</f>
        <v/>
      </c>
      <c r="E3432">
        <f>IF(A3432="","",IF(SUMPRODUCT((Ввод!$F$12:$F$31&lt;&gt;"")*(Ввод!$F$12:$F$31&lt;=A3432)*(Ввод!$G$12:$G$31&gt;=A3432))&gt;0,1,0))</f>
        <v/>
      </c>
      <c r="F3432">
        <f>IF(OR(A3432="",B3432=""),"",IF(E3432=1,0,D3432*B3432/100/C3432))</f>
        <v/>
      </c>
      <c r="G3432">
        <f>IF(A3432="","",IF(OR(B3432&lt;&gt;B3431,C3432&lt;&gt;C3431,D3432&lt;&gt;D3431,E3432&lt;&gt;E3431),G3431+1,G3431))</f>
        <v/>
      </c>
    </row>
    <row r="3433">
      <c r="A3433" s="14">
        <f>IF(OR(NOT(ISNUMBER(Ввод!$B$5)),NOT(ISNUMBER(Ввод!$B$6))),"",IF(Ввод!$B$5+3431&gt;Ввод!$B$6,"",Ввод!$B$5+3431))</f>
        <v/>
      </c>
      <c r="B3433">
        <f>IF(A3433="","",IFERROR(INDEX(Ввод!$B$12:$B$71,MATCH(A3433,Ввод!$D$12:$D$71,1)),""))</f>
        <v/>
      </c>
      <c r="C3433">
        <f>IF(A3433="","",DATE(YEAR(A3433),12,31)-DATE(YEAR(A3433),1,1)+1)</f>
        <v/>
      </c>
      <c r="D3433">
        <f>IF(A3433="","",Ввод!$B$4-SUMIF(Оплаты!$A$6:$A$505,"&lt;"&amp;A3433,Оплаты!$B$6:$B$505))</f>
        <v/>
      </c>
      <c r="E3433">
        <f>IF(A3433="","",IF(SUMPRODUCT((Ввод!$F$12:$F$31&lt;&gt;"")*(Ввод!$F$12:$F$31&lt;=A3433)*(Ввод!$G$12:$G$31&gt;=A3433))&gt;0,1,0))</f>
        <v/>
      </c>
      <c r="F3433">
        <f>IF(OR(A3433="",B3433=""),"",IF(E3433=1,0,D3433*B3433/100/C3433))</f>
        <v/>
      </c>
      <c r="G3433">
        <f>IF(A3433="","",IF(OR(B3433&lt;&gt;B3432,C3433&lt;&gt;C3432,D3433&lt;&gt;D3432,E3433&lt;&gt;E3432),G3432+1,G3432))</f>
        <v/>
      </c>
    </row>
    <row r="3434">
      <c r="A3434" s="14">
        <f>IF(OR(NOT(ISNUMBER(Ввод!$B$5)),NOT(ISNUMBER(Ввод!$B$6))),"",IF(Ввод!$B$5+3432&gt;Ввод!$B$6,"",Ввод!$B$5+3432))</f>
        <v/>
      </c>
      <c r="B3434">
        <f>IF(A3434="","",IFERROR(INDEX(Ввод!$B$12:$B$71,MATCH(A3434,Ввод!$D$12:$D$71,1)),""))</f>
        <v/>
      </c>
      <c r="C3434">
        <f>IF(A3434="","",DATE(YEAR(A3434),12,31)-DATE(YEAR(A3434),1,1)+1)</f>
        <v/>
      </c>
      <c r="D3434">
        <f>IF(A3434="","",Ввод!$B$4-SUMIF(Оплаты!$A$6:$A$505,"&lt;"&amp;A3434,Оплаты!$B$6:$B$505))</f>
        <v/>
      </c>
      <c r="E3434">
        <f>IF(A3434="","",IF(SUMPRODUCT((Ввод!$F$12:$F$31&lt;&gt;"")*(Ввод!$F$12:$F$31&lt;=A3434)*(Ввод!$G$12:$G$31&gt;=A3434))&gt;0,1,0))</f>
        <v/>
      </c>
      <c r="F3434">
        <f>IF(OR(A3434="",B3434=""),"",IF(E3434=1,0,D3434*B3434/100/C3434))</f>
        <v/>
      </c>
      <c r="G3434">
        <f>IF(A3434="","",IF(OR(B3434&lt;&gt;B3433,C3434&lt;&gt;C3433,D3434&lt;&gt;D3433,E3434&lt;&gt;E3433),G3433+1,G3433))</f>
        <v/>
      </c>
    </row>
    <row r="3435">
      <c r="A3435" s="14">
        <f>IF(OR(NOT(ISNUMBER(Ввод!$B$5)),NOT(ISNUMBER(Ввод!$B$6))),"",IF(Ввод!$B$5+3433&gt;Ввод!$B$6,"",Ввод!$B$5+3433))</f>
        <v/>
      </c>
      <c r="B3435">
        <f>IF(A3435="","",IFERROR(INDEX(Ввод!$B$12:$B$71,MATCH(A3435,Ввод!$D$12:$D$71,1)),""))</f>
        <v/>
      </c>
      <c r="C3435">
        <f>IF(A3435="","",DATE(YEAR(A3435),12,31)-DATE(YEAR(A3435),1,1)+1)</f>
        <v/>
      </c>
      <c r="D3435">
        <f>IF(A3435="","",Ввод!$B$4-SUMIF(Оплаты!$A$6:$A$505,"&lt;"&amp;A3435,Оплаты!$B$6:$B$505))</f>
        <v/>
      </c>
      <c r="E3435">
        <f>IF(A3435="","",IF(SUMPRODUCT((Ввод!$F$12:$F$31&lt;&gt;"")*(Ввод!$F$12:$F$31&lt;=A3435)*(Ввод!$G$12:$G$31&gt;=A3435))&gt;0,1,0))</f>
        <v/>
      </c>
      <c r="F3435">
        <f>IF(OR(A3435="",B3435=""),"",IF(E3435=1,0,D3435*B3435/100/C3435))</f>
        <v/>
      </c>
      <c r="G3435">
        <f>IF(A3435="","",IF(OR(B3435&lt;&gt;B3434,C3435&lt;&gt;C3434,D3435&lt;&gt;D3434,E3435&lt;&gt;E3434),G3434+1,G3434))</f>
        <v/>
      </c>
    </row>
    <row r="3436">
      <c r="A3436" s="14">
        <f>IF(OR(NOT(ISNUMBER(Ввод!$B$5)),NOT(ISNUMBER(Ввод!$B$6))),"",IF(Ввод!$B$5+3434&gt;Ввод!$B$6,"",Ввод!$B$5+3434))</f>
        <v/>
      </c>
      <c r="B3436">
        <f>IF(A3436="","",IFERROR(INDEX(Ввод!$B$12:$B$71,MATCH(A3436,Ввод!$D$12:$D$71,1)),""))</f>
        <v/>
      </c>
      <c r="C3436">
        <f>IF(A3436="","",DATE(YEAR(A3436),12,31)-DATE(YEAR(A3436),1,1)+1)</f>
        <v/>
      </c>
      <c r="D3436">
        <f>IF(A3436="","",Ввод!$B$4-SUMIF(Оплаты!$A$6:$A$505,"&lt;"&amp;A3436,Оплаты!$B$6:$B$505))</f>
        <v/>
      </c>
      <c r="E3436">
        <f>IF(A3436="","",IF(SUMPRODUCT((Ввод!$F$12:$F$31&lt;&gt;"")*(Ввод!$F$12:$F$31&lt;=A3436)*(Ввод!$G$12:$G$31&gt;=A3436))&gt;0,1,0))</f>
        <v/>
      </c>
      <c r="F3436">
        <f>IF(OR(A3436="",B3436=""),"",IF(E3436=1,0,D3436*B3436/100/C3436))</f>
        <v/>
      </c>
      <c r="G3436">
        <f>IF(A3436="","",IF(OR(B3436&lt;&gt;B3435,C3436&lt;&gt;C3435,D3436&lt;&gt;D3435,E3436&lt;&gt;E3435),G3435+1,G3435))</f>
        <v/>
      </c>
    </row>
    <row r="3437">
      <c r="A3437" s="14">
        <f>IF(OR(NOT(ISNUMBER(Ввод!$B$5)),NOT(ISNUMBER(Ввод!$B$6))),"",IF(Ввод!$B$5+3435&gt;Ввод!$B$6,"",Ввод!$B$5+3435))</f>
        <v/>
      </c>
      <c r="B3437">
        <f>IF(A3437="","",IFERROR(INDEX(Ввод!$B$12:$B$71,MATCH(A3437,Ввод!$D$12:$D$71,1)),""))</f>
        <v/>
      </c>
      <c r="C3437">
        <f>IF(A3437="","",DATE(YEAR(A3437),12,31)-DATE(YEAR(A3437),1,1)+1)</f>
        <v/>
      </c>
      <c r="D3437">
        <f>IF(A3437="","",Ввод!$B$4-SUMIF(Оплаты!$A$6:$A$505,"&lt;"&amp;A3437,Оплаты!$B$6:$B$505))</f>
        <v/>
      </c>
      <c r="E3437">
        <f>IF(A3437="","",IF(SUMPRODUCT((Ввод!$F$12:$F$31&lt;&gt;"")*(Ввод!$F$12:$F$31&lt;=A3437)*(Ввод!$G$12:$G$31&gt;=A3437))&gt;0,1,0))</f>
        <v/>
      </c>
      <c r="F3437">
        <f>IF(OR(A3437="",B3437=""),"",IF(E3437=1,0,D3437*B3437/100/C3437))</f>
        <v/>
      </c>
      <c r="G3437">
        <f>IF(A3437="","",IF(OR(B3437&lt;&gt;B3436,C3437&lt;&gt;C3436,D3437&lt;&gt;D3436,E3437&lt;&gt;E3436),G3436+1,G3436))</f>
        <v/>
      </c>
    </row>
    <row r="3438">
      <c r="A3438" s="14">
        <f>IF(OR(NOT(ISNUMBER(Ввод!$B$5)),NOT(ISNUMBER(Ввод!$B$6))),"",IF(Ввод!$B$5+3436&gt;Ввод!$B$6,"",Ввод!$B$5+3436))</f>
        <v/>
      </c>
      <c r="B3438">
        <f>IF(A3438="","",IFERROR(INDEX(Ввод!$B$12:$B$71,MATCH(A3438,Ввод!$D$12:$D$71,1)),""))</f>
        <v/>
      </c>
      <c r="C3438">
        <f>IF(A3438="","",DATE(YEAR(A3438),12,31)-DATE(YEAR(A3438),1,1)+1)</f>
        <v/>
      </c>
      <c r="D3438">
        <f>IF(A3438="","",Ввод!$B$4-SUMIF(Оплаты!$A$6:$A$505,"&lt;"&amp;A3438,Оплаты!$B$6:$B$505))</f>
        <v/>
      </c>
      <c r="E3438">
        <f>IF(A3438="","",IF(SUMPRODUCT((Ввод!$F$12:$F$31&lt;&gt;"")*(Ввод!$F$12:$F$31&lt;=A3438)*(Ввод!$G$12:$G$31&gt;=A3438))&gt;0,1,0))</f>
        <v/>
      </c>
      <c r="F3438">
        <f>IF(OR(A3438="",B3438=""),"",IF(E3438=1,0,D3438*B3438/100/C3438))</f>
        <v/>
      </c>
      <c r="G3438">
        <f>IF(A3438="","",IF(OR(B3438&lt;&gt;B3437,C3438&lt;&gt;C3437,D3438&lt;&gt;D3437,E3438&lt;&gt;E3437),G3437+1,G3437))</f>
        <v/>
      </c>
    </row>
    <row r="3439">
      <c r="A3439" s="14">
        <f>IF(OR(NOT(ISNUMBER(Ввод!$B$5)),NOT(ISNUMBER(Ввод!$B$6))),"",IF(Ввод!$B$5+3437&gt;Ввод!$B$6,"",Ввод!$B$5+3437))</f>
        <v/>
      </c>
      <c r="B3439">
        <f>IF(A3439="","",IFERROR(INDEX(Ввод!$B$12:$B$71,MATCH(A3439,Ввод!$D$12:$D$71,1)),""))</f>
        <v/>
      </c>
      <c r="C3439">
        <f>IF(A3439="","",DATE(YEAR(A3439),12,31)-DATE(YEAR(A3439),1,1)+1)</f>
        <v/>
      </c>
      <c r="D3439">
        <f>IF(A3439="","",Ввод!$B$4-SUMIF(Оплаты!$A$6:$A$505,"&lt;"&amp;A3439,Оплаты!$B$6:$B$505))</f>
        <v/>
      </c>
      <c r="E3439">
        <f>IF(A3439="","",IF(SUMPRODUCT((Ввод!$F$12:$F$31&lt;&gt;"")*(Ввод!$F$12:$F$31&lt;=A3439)*(Ввод!$G$12:$G$31&gt;=A3439))&gt;0,1,0))</f>
        <v/>
      </c>
      <c r="F3439">
        <f>IF(OR(A3439="",B3439=""),"",IF(E3439=1,0,D3439*B3439/100/C3439))</f>
        <v/>
      </c>
      <c r="G3439">
        <f>IF(A3439="","",IF(OR(B3439&lt;&gt;B3438,C3439&lt;&gt;C3438,D3439&lt;&gt;D3438,E3439&lt;&gt;E3438),G3438+1,G3438))</f>
        <v/>
      </c>
    </row>
    <row r="3440">
      <c r="A3440" s="14">
        <f>IF(OR(NOT(ISNUMBER(Ввод!$B$5)),NOT(ISNUMBER(Ввод!$B$6))),"",IF(Ввод!$B$5+3438&gt;Ввод!$B$6,"",Ввод!$B$5+3438))</f>
        <v/>
      </c>
      <c r="B3440">
        <f>IF(A3440="","",IFERROR(INDEX(Ввод!$B$12:$B$71,MATCH(A3440,Ввод!$D$12:$D$71,1)),""))</f>
        <v/>
      </c>
      <c r="C3440">
        <f>IF(A3440="","",DATE(YEAR(A3440),12,31)-DATE(YEAR(A3440),1,1)+1)</f>
        <v/>
      </c>
      <c r="D3440">
        <f>IF(A3440="","",Ввод!$B$4-SUMIF(Оплаты!$A$6:$A$505,"&lt;"&amp;A3440,Оплаты!$B$6:$B$505))</f>
        <v/>
      </c>
      <c r="E3440">
        <f>IF(A3440="","",IF(SUMPRODUCT((Ввод!$F$12:$F$31&lt;&gt;"")*(Ввод!$F$12:$F$31&lt;=A3440)*(Ввод!$G$12:$G$31&gt;=A3440))&gt;0,1,0))</f>
        <v/>
      </c>
      <c r="F3440">
        <f>IF(OR(A3440="",B3440=""),"",IF(E3440=1,0,D3440*B3440/100/C3440))</f>
        <v/>
      </c>
      <c r="G3440">
        <f>IF(A3440="","",IF(OR(B3440&lt;&gt;B3439,C3440&lt;&gt;C3439,D3440&lt;&gt;D3439,E3440&lt;&gt;E3439),G3439+1,G3439))</f>
        <v/>
      </c>
    </row>
    <row r="3441">
      <c r="A3441" s="14">
        <f>IF(OR(NOT(ISNUMBER(Ввод!$B$5)),NOT(ISNUMBER(Ввод!$B$6))),"",IF(Ввод!$B$5+3439&gt;Ввод!$B$6,"",Ввод!$B$5+3439))</f>
        <v/>
      </c>
      <c r="B3441">
        <f>IF(A3441="","",IFERROR(INDEX(Ввод!$B$12:$B$71,MATCH(A3441,Ввод!$D$12:$D$71,1)),""))</f>
        <v/>
      </c>
      <c r="C3441">
        <f>IF(A3441="","",DATE(YEAR(A3441),12,31)-DATE(YEAR(A3441),1,1)+1)</f>
        <v/>
      </c>
      <c r="D3441">
        <f>IF(A3441="","",Ввод!$B$4-SUMIF(Оплаты!$A$6:$A$505,"&lt;"&amp;A3441,Оплаты!$B$6:$B$505))</f>
        <v/>
      </c>
      <c r="E3441">
        <f>IF(A3441="","",IF(SUMPRODUCT((Ввод!$F$12:$F$31&lt;&gt;"")*(Ввод!$F$12:$F$31&lt;=A3441)*(Ввод!$G$12:$G$31&gt;=A3441))&gt;0,1,0))</f>
        <v/>
      </c>
      <c r="F3441">
        <f>IF(OR(A3441="",B3441=""),"",IF(E3441=1,0,D3441*B3441/100/C3441))</f>
        <v/>
      </c>
      <c r="G3441">
        <f>IF(A3441="","",IF(OR(B3441&lt;&gt;B3440,C3441&lt;&gt;C3440,D3441&lt;&gt;D3440,E3441&lt;&gt;E3440),G3440+1,G3440))</f>
        <v/>
      </c>
    </row>
    <row r="3442">
      <c r="A3442" s="14">
        <f>IF(OR(NOT(ISNUMBER(Ввод!$B$5)),NOT(ISNUMBER(Ввод!$B$6))),"",IF(Ввод!$B$5+3440&gt;Ввод!$B$6,"",Ввод!$B$5+3440))</f>
        <v/>
      </c>
      <c r="B3442">
        <f>IF(A3442="","",IFERROR(INDEX(Ввод!$B$12:$B$71,MATCH(A3442,Ввод!$D$12:$D$71,1)),""))</f>
        <v/>
      </c>
      <c r="C3442">
        <f>IF(A3442="","",DATE(YEAR(A3442),12,31)-DATE(YEAR(A3442),1,1)+1)</f>
        <v/>
      </c>
      <c r="D3442">
        <f>IF(A3442="","",Ввод!$B$4-SUMIF(Оплаты!$A$6:$A$505,"&lt;"&amp;A3442,Оплаты!$B$6:$B$505))</f>
        <v/>
      </c>
      <c r="E3442">
        <f>IF(A3442="","",IF(SUMPRODUCT((Ввод!$F$12:$F$31&lt;&gt;"")*(Ввод!$F$12:$F$31&lt;=A3442)*(Ввод!$G$12:$G$31&gt;=A3442))&gt;0,1,0))</f>
        <v/>
      </c>
      <c r="F3442">
        <f>IF(OR(A3442="",B3442=""),"",IF(E3442=1,0,D3442*B3442/100/C3442))</f>
        <v/>
      </c>
      <c r="G3442">
        <f>IF(A3442="","",IF(OR(B3442&lt;&gt;B3441,C3442&lt;&gt;C3441,D3442&lt;&gt;D3441,E3442&lt;&gt;E3441),G3441+1,G3441))</f>
        <v/>
      </c>
    </row>
    <row r="3443">
      <c r="A3443" s="14">
        <f>IF(OR(NOT(ISNUMBER(Ввод!$B$5)),NOT(ISNUMBER(Ввод!$B$6))),"",IF(Ввод!$B$5+3441&gt;Ввод!$B$6,"",Ввод!$B$5+3441))</f>
        <v/>
      </c>
      <c r="B3443">
        <f>IF(A3443="","",IFERROR(INDEX(Ввод!$B$12:$B$71,MATCH(A3443,Ввод!$D$12:$D$71,1)),""))</f>
        <v/>
      </c>
      <c r="C3443">
        <f>IF(A3443="","",DATE(YEAR(A3443),12,31)-DATE(YEAR(A3443),1,1)+1)</f>
        <v/>
      </c>
      <c r="D3443">
        <f>IF(A3443="","",Ввод!$B$4-SUMIF(Оплаты!$A$6:$A$505,"&lt;"&amp;A3443,Оплаты!$B$6:$B$505))</f>
        <v/>
      </c>
      <c r="E3443">
        <f>IF(A3443="","",IF(SUMPRODUCT((Ввод!$F$12:$F$31&lt;&gt;"")*(Ввод!$F$12:$F$31&lt;=A3443)*(Ввод!$G$12:$G$31&gt;=A3443))&gt;0,1,0))</f>
        <v/>
      </c>
      <c r="F3443">
        <f>IF(OR(A3443="",B3443=""),"",IF(E3443=1,0,D3443*B3443/100/C3443))</f>
        <v/>
      </c>
      <c r="G3443">
        <f>IF(A3443="","",IF(OR(B3443&lt;&gt;B3442,C3443&lt;&gt;C3442,D3443&lt;&gt;D3442,E3443&lt;&gt;E3442),G3442+1,G3442))</f>
        <v/>
      </c>
    </row>
    <row r="3444">
      <c r="A3444" s="14">
        <f>IF(OR(NOT(ISNUMBER(Ввод!$B$5)),NOT(ISNUMBER(Ввод!$B$6))),"",IF(Ввод!$B$5+3442&gt;Ввод!$B$6,"",Ввод!$B$5+3442))</f>
        <v/>
      </c>
      <c r="B3444">
        <f>IF(A3444="","",IFERROR(INDEX(Ввод!$B$12:$B$71,MATCH(A3444,Ввод!$D$12:$D$71,1)),""))</f>
        <v/>
      </c>
      <c r="C3444">
        <f>IF(A3444="","",DATE(YEAR(A3444),12,31)-DATE(YEAR(A3444),1,1)+1)</f>
        <v/>
      </c>
      <c r="D3444">
        <f>IF(A3444="","",Ввод!$B$4-SUMIF(Оплаты!$A$6:$A$505,"&lt;"&amp;A3444,Оплаты!$B$6:$B$505))</f>
        <v/>
      </c>
      <c r="E3444">
        <f>IF(A3444="","",IF(SUMPRODUCT((Ввод!$F$12:$F$31&lt;&gt;"")*(Ввод!$F$12:$F$31&lt;=A3444)*(Ввод!$G$12:$G$31&gt;=A3444))&gt;0,1,0))</f>
        <v/>
      </c>
      <c r="F3444">
        <f>IF(OR(A3444="",B3444=""),"",IF(E3444=1,0,D3444*B3444/100/C3444))</f>
        <v/>
      </c>
      <c r="G3444">
        <f>IF(A3444="","",IF(OR(B3444&lt;&gt;B3443,C3444&lt;&gt;C3443,D3444&lt;&gt;D3443,E3444&lt;&gt;E3443),G3443+1,G3443))</f>
        <v/>
      </c>
    </row>
    <row r="3445">
      <c r="A3445" s="14">
        <f>IF(OR(NOT(ISNUMBER(Ввод!$B$5)),NOT(ISNUMBER(Ввод!$B$6))),"",IF(Ввод!$B$5+3443&gt;Ввод!$B$6,"",Ввод!$B$5+3443))</f>
        <v/>
      </c>
      <c r="B3445">
        <f>IF(A3445="","",IFERROR(INDEX(Ввод!$B$12:$B$71,MATCH(A3445,Ввод!$D$12:$D$71,1)),""))</f>
        <v/>
      </c>
      <c r="C3445">
        <f>IF(A3445="","",DATE(YEAR(A3445),12,31)-DATE(YEAR(A3445),1,1)+1)</f>
        <v/>
      </c>
      <c r="D3445">
        <f>IF(A3445="","",Ввод!$B$4-SUMIF(Оплаты!$A$6:$A$505,"&lt;"&amp;A3445,Оплаты!$B$6:$B$505))</f>
        <v/>
      </c>
      <c r="E3445">
        <f>IF(A3445="","",IF(SUMPRODUCT((Ввод!$F$12:$F$31&lt;&gt;"")*(Ввод!$F$12:$F$31&lt;=A3445)*(Ввод!$G$12:$G$31&gt;=A3445))&gt;0,1,0))</f>
        <v/>
      </c>
      <c r="F3445">
        <f>IF(OR(A3445="",B3445=""),"",IF(E3445=1,0,D3445*B3445/100/C3445))</f>
        <v/>
      </c>
      <c r="G3445">
        <f>IF(A3445="","",IF(OR(B3445&lt;&gt;B3444,C3445&lt;&gt;C3444,D3445&lt;&gt;D3444,E3445&lt;&gt;E3444),G3444+1,G3444))</f>
        <v/>
      </c>
    </row>
    <row r="3446">
      <c r="A3446" s="14">
        <f>IF(OR(NOT(ISNUMBER(Ввод!$B$5)),NOT(ISNUMBER(Ввод!$B$6))),"",IF(Ввод!$B$5+3444&gt;Ввод!$B$6,"",Ввод!$B$5+3444))</f>
        <v/>
      </c>
      <c r="B3446">
        <f>IF(A3446="","",IFERROR(INDEX(Ввод!$B$12:$B$71,MATCH(A3446,Ввод!$D$12:$D$71,1)),""))</f>
        <v/>
      </c>
      <c r="C3446">
        <f>IF(A3446="","",DATE(YEAR(A3446),12,31)-DATE(YEAR(A3446),1,1)+1)</f>
        <v/>
      </c>
      <c r="D3446">
        <f>IF(A3446="","",Ввод!$B$4-SUMIF(Оплаты!$A$6:$A$505,"&lt;"&amp;A3446,Оплаты!$B$6:$B$505))</f>
        <v/>
      </c>
      <c r="E3446">
        <f>IF(A3446="","",IF(SUMPRODUCT((Ввод!$F$12:$F$31&lt;&gt;"")*(Ввод!$F$12:$F$31&lt;=A3446)*(Ввод!$G$12:$G$31&gt;=A3446))&gt;0,1,0))</f>
        <v/>
      </c>
      <c r="F3446">
        <f>IF(OR(A3446="",B3446=""),"",IF(E3446=1,0,D3446*B3446/100/C3446))</f>
        <v/>
      </c>
      <c r="G3446">
        <f>IF(A3446="","",IF(OR(B3446&lt;&gt;B3445,C3446&lt;&gt;C3445,D3446&lt;&gt;D3445,E3446&lt;&gt;E3445),G3445+1,G3445))</f>
        <v/>
      </c>
    </row>
    <row r="3447">
      <c r="A3447" s="14">
        <f>IF(OR(NOT(ISNUMBER(Ввод!$B$5)),NOT(ISNUMBER(Ввод!$B$6))),"",IF(Ввод!$B$5+3445&gt;Ввод!$B$6,"",Ввод!$B$5+3445))</f>
        <v/>
      </c>
      <c r="B3447">
        <f>IF(A3447="","",IFERROR(INDEX(Ввод!$B$12:$B$71,MATCH(A3447,Ввод!$D$12:$D$71,1)),""))</f>
        <v/>
      </c>
      <c r="C3447">
        <f>IF(A3447="","",DATE(YEAR(A3447),12,31)-DATE(YEAR(A3447),1,1)+1)</f>
        <v/>
      </c>
      <c r="D3447">
        <f>IF(A3447="","",Ввод!$B$4-SUMIF(Оплаты!$A$6:$A$505,"&lt;"&amp;A3447,Оплаты!$B$6:$B$505))</f>
        <v/>
      </c>
      <c r="E3447">
        <f>IF(A3447="","",IF(SUMPRODUCT((Ввод!$F$12:$F$31&lt;&gt;"")*(Ввод!$F$12:$F$31&lt;=A3447)*(Ввод!$G$12:$G$31&gt;=A3447))&gt;0,1,0))</f>
        <v/>
      </c>
      <c r="F3447">
        <f>IF(OR(A3447="",B3447=""),"",IF(E3447=1,0,D3447*B3447/100/C3447))</f>
        <v/>
      </c>
      <c r="G3447">
        <f>IF(A3447="","",IF(OR(B3447&lt;&gt;B3446,C3447&lt;&gt;C3446,D3447&lt;&gt;D3446,E3447&lt;&gt;E3446),G3446+1,G3446))</f>
        <v/>
      </c>
    </row>
    <row r="3448">
      <c r="A3448" s="14">
        <f>IF(OR(NOT(ISNUMBER(Ввод!$B$5)),NOT(ISNUMBER(Ввод!$B$6))),"",IF(Ввод!$B$5+3446&gt;Ввод!$B$6,"",Ввод!$B$5+3446))</f>
        <v/>
      </c>
      <c r="B3448">
        <f>IF(A3448="","",IFERROR(INDEX(Ввод!$B$12:$B$71,MATCH(A3448,Ввод!$D$12:$D$71,1)),""))</f>
        <v/>
      </c>
      <c r="C3448">
        <f>IF(A3448="","",DATE(YEAR(A3448),12,31)-DATE(YEAR(A3448),1,1)+1)</f>
        <v/>
      </c>
      <c r="D3448">
        <f>IF(A3448="","",Ввод!$B$4-SUMIF(Оплаты!$A$6:$A$505,"&lt;"&amp;A3448,Оплаты!$B$6:$B$505))</f>
        <v/>
      </c>
      <c r="E3448">
        <f>IF(A3448="","",IF(SUMPRODUCT((Ввод!$F$12:$F$31&lt;&gt;"")*(Ввод!$F$12:$F$31&lt;=A3448)*(Ввод!$G$12:$G$31&gt;=A3448))&gt;0,1,0))</f>
        <v/>
      </c>
      <c r="F3448">
        <f>IF(OR(A3448="",B3448=""),"",IF(E3448=1,0,D3448*B3448/100/C3448))</f>
        <v/>
      </c>
      <c r="G3448">
        <f>IF(A3448="","",IF(OR(B3448&lt;&gt;B3447,C3448&lt;&gt;C3447,D3448&lt;&gt;D3447,E3448&lt;&gt;E3447),G3447+1,G3447))</f>
        <v/>
      </c>
    </row>
    <row r="3449">
      <c r="A3449" s="14">
        <f>IF(OR(NOT(ISNUMBER(Ввод!$B$5)),NOT(ISNUMBER(Ввод!$B$6))),"",IF(Ввод!$B$5+3447&gt;Ввод!$B$6,"",Ввод!$B$5+3447))</f>
        <v/>
      </c>
      <c r="B3449">
        <f>IF(A3449="","",IFERROR(INDEX(Ввод!$B$12:$B$71,MATCH(A3449,Ввод!$D$12:$D$71,1)),""))</f>
        <v/>
      </c>
      <c r="C3449">
        <f>IF(A3449="","",DATE(YEAR(A3449),12,31)-DATE(YEAR(A3449),1,1)+1)</f>
        <v/>
      </c>
      <c r="D3449">
        <f>IF(A3449="","",Ввод!$B$4-SUMIF(Оплаты!$A$6:$A$505,"&lt;"&amp;A3449,Оплаты!$B$6:$B$505))</f>
        <v/>
      </c>
      <c r="E3449">
        <f>IF(A3449="","",IF(SUMPRODUCT((Ввод!$F$12:$F$31&lt;&gt;"")*(Ввод!$F$12:$F$31&lt;=A3449)*(Ввод!$G$12:$G$31&gt;=A3449))&gt;0,1,0))</f>
        <v/>
      </c>
      <c r="F3449">
        <f>IF(OR(A3449="",B3449=""),"",IF(E3449=1,0,D3449*B3449/100/C3449))</f>
        <v/>
      </c>
      <c r="G3449">
        <f>IF(A3449="","",IF(OR(B3449&lt;&gt;B3448,C3449&lt;&gt;C3448,D3449&lt;&gt;D3448,E3449&lt;&gt;E3448),G3448+1,G3448))</f>
        <v/>
      </c>
    </row>
    <row r="3450">
      <c r="A3450" s="14">
        <f>IF(OR(NOT(ISNUMBER(Ввод!$B$5)),NOT(ISNUMBER(Ввод!$B$6))),"",IF(Ввод!$B$5+3448&gt;Ввод!$B$6,"",Ввод!$B$5+3448))</f>
        <v/>
      </c>
      <c r="B3450">
        <f>IF(A3450="","",IFERROR(INDEX(Ввод!$B$12:$B$71,MATCH(A3450,Ввод!$D$12:$D$71,1)),""))</f>
        <v/>
      </c>
      <c r="C3450">
        <f>IF(A3450="","",DATE(YEAR(A3450),12,31)-DATE(YEAR(A3450),1,1)+1)</f>
        <v/>
      </c>
      <c r="D3450">
        <f>IF(A3450="","",Ввод!$B$4-SUMIF(Оплаты!$A$6:$A$505,"&lt;"&amp;A3450,Оплаты!$B$6:$B$505))</f>
        <v/>
      </c>
      <c r="E3450">
        <f>IF(A3450="","",IF(SUMPRODUCT((Ввод!$F$12:$F$31&lt;&gt;"")*(Ввод!$F$12:$F$31&lt;=A3450)*(Ввод!$G$12:$G$31&gt;=A3450))&gt;0,1,0))</f>
        <v/>
      </c>
      <c r="F3450">
        <f>IF(OR(A3450="",B3450=""),"",IF(E3450=1,0,D3450*B3450/100/C3450))</f>
        <v/>
      </c>
      <c r="G3450">
        <f>IF(A3450="","",IF(OR(B3450&lt;&gt;B3449,C3450&lt;&gt;C3449,D3450&lt;&gt;D3449,E3450&lt;&gt;E3449),G3449+1,G3449))</f>
        <v/>
      </c>
    </row>
    <row r="3451">
      <c r="A3451" s="14">
        <f>IF(OR(NOT(ISNUMBER(Ввод!$B$5)),NOT(ISNUMBER(Ввод!$B$6))),"",IF(Ввод!$B$5+3449&gt;Ввод!$B$6,"",Ввод!$B$5+3449))</f>
        <v/>
      </c>
      <c r="B3451">
        <f>IF(A3451="","",IFERROR(INDEX(Ввод!$B$12:$B$71,MATCH(A3451,Ввод!$D$12:$D$71,1)),""))</f>
        <v/>
      </c>
      <c r="C3451">
        <f>IF(A3451="","",DATE(YEAR(A3451),12,31)-DATE(YEAR(A3451),1,1)+1)</f>
        <v/>
      </c>
      <c r="D3451">
        <f>IF(A3451="","",Ввод!$B$4-SUMIF(Оплаты!$A$6:$A$505,"&lt;"&amp;A3451,Оплаты!$B$6:$B$505))</f>
        <v/>
      </c>
      <c r="E3451">
        <f>IF(A3451="","",IF(SUMPRODUCT((Ввод!$F$12:$F$31&lt;&gt;"")*(Ввод!$F$12:$F$31&lt;=A3451)*(Ввод!$G$12:$G$31&gt;=A3451))&gt;0,1,0))</f>
        <v/>
      </c>
      <c r="F3451">
        <f>IF(OR(A3451="",B3451=""),"",IF(E3451=1,0,D3451*B3451/100/C3451))</f>
        <v/>
      </c>
      <c r="G3451">
        <f>IF(A3451="","",IF(OR(B3451&lt;&gt;B3450,C3451&lt;&gt;C3450,D3451&lt;&gt;D3450,E3451&lt;&gt;E3450),G3450+1,G3450))</f>
        <v/>
      </c>
    </row>
    <row r="3452">
      <c r="A3452" s="14">
        <f>IF(OR(NOT(ISNUMBER(Ввод!$B$5)),NOT(ISNUMBER(Ввод!$B$6))),"",IF(Ввод!$B$5+3450&gt;Ввод!$B$6,"",Ввод!$B$5+3450))</f>
        <v/>
      </c>
      <c r="B3452">
        <f>IF(A3452="","",IFERROR(INDEX(Ввод!$B$12:$B$71,MATCH(A3452,Ввод!$D$12:$D$71,1)),""))</f>
        <v/>
      </c>
      <c r="C3452">
        <f>IF(A3452="","",DATE(YEAR(A3452),12,31)-DATE(YEAR(A3452),1,1)+1)</f>
        <v/>
      </c>
      <c r="D3452">
        <f>IF(A3452="","",Ввод!$B$4-SUMIF(Оплаты!$A$6:$A$505,"&lt;"&amp;A3452,Оплаты!$B$6:$B$505))</f>
        <v/>
      </c>
      <c r="E3452">
        <f>IF(A3452="","",IF(SUMPRODUCT((Ввод!$F$12:$F$31&lt;&gt;"")*(Ввод!$F$12:$F$31&lt;=A3452)*(Ввод!$G$12:$G$31&gt;=A3452))&gt;0,1,0))</f>
        <v/>
      </c>
      <c r="F3452">
        <f>IF(OR(A3452="",B3452=""),"",IF(E3452=1,0,D3452*B3452/100/C3452))</f>
        <v/>
      </c>
      <c r="G3452">
        <f>IF(A3452="","",IF(OR(B3452&lt;&gt;B3451,C3452&lt;&gt;C3451,D3452&lt;&gt;D3451,E3452&lt;&gt;E3451),G3451+1,G3451))</f>
        <v/>
      </c>
    </row>
    <row r="3453">
      <c r="A3453" s="14">
        <f>IF(OR(NOT(ISNUMBER(Ввод!$B$5)),NOT(ISNUMBER(Ввод!$B$6))),"",IF(Ввод!$B$5+3451&gt;Ввод!$B$6,"",Ввод!$B$5+3451))</f>
        <v/>
      </c>
      <c r="B3453">
        <f>IF(A3453="","",IFERROR(INDEX(Ввод!$B$12:$B$71,MATCH(A3453,Ввод!$D$12:$D$71,1)),""))</f>
        <v/>
      </c>
      <c r="C3453">
        <f>IF(A3453="","",DATE(YEAR(A3453),12,31)-DATE(YEAR(A3453),1,1)+1)</f>
        <v/>
      </c>
      <c r="D3453">
        <f>IF(A3453="","",Ввод!$B$4-SUMIF(Оплаты!$A$6:$A$505,"&lt;"&amp;A3453,Оплаты!$B$6:$B$505))</f>
        <v/>
      </c>
      <c r="E3453">
        <f>IF(A3453="","",IF(SUMPRODUCT((Ввод!$F$12:$F$31&lt;&gt;"")*(Ввод!$F$12:$F$31&lt;=A3453)*(Ввод!$G$12:$G$31&gt;=A3453))&gt;0,1,0))</f>
        <v/>
      </c>
      <c r="F3453">
        <f>IF(OR(A3453="",B3453=""),"",IF(E3453=1,0,D3453*B3453/100/C3453))</f>
        <v/>
      </c>
      <c r="G3453">
        <f>IF(A3453="","",IF(OR(B3453&lt;&gt;B3452,C3453&lt;&gt;C3452,D3453&lt;&gt;D3452,E3453&lt;&gt;E3452),G3452+1,G3452))</f>
        <v/>
      </c>
    </row>
    <row r="3454">
      <c r="A3454" s="14">
        <f>IF(OR(NOT(ISNUMBER(Ввод!$B$5)),NOT(ISNUMBER(Ввод!$B$6))),"",IF(Ввод!$B$5+3452&gt;Ввод!$B$6,"",Ввод!$B$5+3452))</f>
        <v/>
      </c>
      <c r="B3454">
        <f>IF(A3454="","",IFERROR(INDEX(Ввод!$B$12:$B$71,MATCH(A3454,Ввод!$D$12:$D$71,1)),""))</f>
        <v/>
      </c>
      <c r="C3454">
        <f>IF(A3454="","",DATE(YEAR(A3454),12,31)-DATE(YEAR(A3454),1,1)+1)</f>
        <v/>
      </c>
      <c r="D3454">
        <f>IF(A3454="","",Ввод!$B$4-SUMIF(Оплаты!$A$6:$A$505,"&lt;"&amp;A3454,Оплаты!$B$6:$B$505))</f>
        <v/>
      </c>
      <c r="E3454">
        <f>IF(A3454="","",IF(SUMPRODUCT((Ввод!$F$12:$F$31&lt;&gt;"")*(Ввод!$F$12:$F$31&lt;=A3454)*(Ввод!$G$12:$G$31&gt;=A3454))&gt;0,1,0))</f>
        <v/>
      </c>
      <c r="F3454">
        <f>IF(OR(A3454="",B3454=""),"",IF(E3454=1,0,D3454*B3454/100/C3454))</f>
        <v/>
      </c>
      <c r="G3454">
        <f>IF(A3454="","",IF(OR(B3454&lt;&gt;B3453,C3454&lt;&gt;C3453,D3454&lt;&gt;D3453,E3454&lt;&gt;E3453),G3453+1,G3453))</f>
        <v/>
      </c>
    </row>
    <row r="3455">
      <c r="A3455" s="14">
        <f>IF(OR(NOT(ISNUMBER(Ввод!$B$5)),NOT(ISNUMBER(Ввод!$B$6))),"",IF(Ввод!$B$5+3453&gt;Ввод!$B$6,"",Ввод!$B$5+3453))</f>
        <v/>
      </c>
      <c r="B3455">
        <f>IF(A3455="","",IFERROR(INDEX(Ввод!$B$12:$B$71,MATCH(A3455,Ввод!$D$12:$D$71,1)),""))</f>
        <v/>
      </c>
      <c r="C3455">
        <f>IF(A3455="","",DATE(YEAR(A3455),12,31)-DATE(YEAR(A3455),1,1)+1)</f>
        <v/>
      </c>
      <c r="D3455">
        <f>IF(A3455="","",Ввод!$B$4-SUMIF(Оплаты!$A$6:$A$505,"&lt;"&amp;A3455,Оплаты!$B$6:$B$505))</f>
        <v/>
      </c>
      <c r="E3455">
        <f>IF(A3455="","",IF(SUMPRODUCT((Ввод!$F$12:$F$31&lt;&gt;"")*(Ввод!$F$12:$F$31&lt;=A3455)*(Ввод!$G$12:$G$31&gt;=A3455))&gt;0,1,0))</f>
        <v/>
      </c>
      <c r="F3455">
        <f>IF(OR(A3455="",B3455=""),"",IF(E3455=1,0,D3455*B3455/100/C3455))</f>
        <v/>
      </c>
      <c r="G3455">
        <f>IF(A3455="","",IF(OR(B3455&lt;&gt;B3454,C3455&lt;&gt;C3454,D3455&lt;&gt;D3454,E3455&lt;&gt;E3454),G3454+1,G3454))</f>
        <v/>
      </c>
    </row>
    <row r="3456">
      <c r="A3456" s="14">
        <f>IF(OR(NOT(ISNUMBER(Ввод!$B$5)),NOT(ISNUMBER(Ввод!$B$6))),"",IF(Ввод!$B$5+3454&gt;Ввод!$B$6,"",Ввод!$B$5+3454))</f>
        <v/>
      </c>
      <c r="B3456">
        <f>IF(A3456="","",IFERROR(INDEX(Ввод!$B$12:$B$71,MATCH(A3456,Ввод!$D$12:$D$71,1)),""))</f>
        <v/>
      </c>
      <c r="C3456">
        <f>IF(A3456="","",DATE(YEAR(A3456),12,31)-DATE(YEAR(A3456),1,1)+1)</f>
        <v/>
      </c>
      <c r="D3456">
        <f>IF(A3456="","",Ввод!$B$4-SUMIF(Оплаты!$A$6:$A$505,"&lt;"&amp;A3456,Оплаты!$B$6:$B$505))</f>
        <v/>
      </c>
      <c r="E3456">
        <f>IF(A3456="","",IF(SUMPRODUCT((Ввод!$F$12:$F$31&lt;&gt;"")*(Ввод!$F$12:$F$31&lt;=A3456)*(Ввод!$G$12:$G$31&gt;=A3456))&gt;0,1,0))</f>
        <v/>
      </c>
      <c r="F3456">
        <f>IF(OR(A3456="",B3456=""),"",IF(E3456=1,0,D3456*B3456/100/C3456))</f>
        <v/>
      </c>
      <c r="G3456">
        <f>IF(A3456="","",IF(OR(B3456&lt;&gt;B3455,C3456&lt;&gt;C3455,D3456&lt;&gt;D3455,E3456&lt;&gt;E3455),G3455+1,G3455))</f>
        <v/>
      </c>
    </row>
    <row r="3457">
      <c r="A3457" s="14">
        <f>IF(OR(NOT(ISNUMBER(Ввод!$B$5)),NOT(ISNUMBER(Ввод!$B$6))),"",IF(Ввод!$B$5+3455&gt;Ввод!$B$6,"",Ввод!$B$5+3455))</f>
        <v/>
      </c>
      <c r="B3457">
        <f>IF(A3457="","",IFERROR(INDEX(Ввод!$B$12:$B$71,MATCH(A3457,Ввод!$D$12:$D$71,1)),""))</f>
        <v/>
      </c>
      <c r="C3457">
        <f>IF(A3457="","",DATE(YEAR(A3457),12,31)-DATE(YEAR(A3457),1,1)+1)</f>
        <v/>
      </c>
      <c r="D3457">
        <f>IF(A3457="","",Ввод!$B$4-SUMIF(Оплаты!$A$6:$A$505,"&lt;"&amp;A3457,Оплаты!$B$6:$B$505))</f>
        <v/>
      </c>
      <c r="E3457">
        <f>IF(A3457="","",IF(SUMPRODUCT((Ввод!$F$12:$F$31&lt;&gt;"")*(Ввод!$F$12:$F$31&lt;=A3457)*(Ввод!$G$12:$G$31&gt;=A3457))&gt;0,1,0))</f>
        <v/>
      </c>
      <c r="F3457">
        <f>IF(OR(A3457="",B3457=""),"",IF(E3457=1,0,D3457*B3457/100/C3457))</f>
        <v/>
      </c>
      <c r="G3457">
        <f>IF(A3457="","",IF(OR(B3457&lt;&gt;B3456,C3457&lt;&gt;C3456,D3457&lt;&gt;D3456,E3457&lt;&gt;E3456),G3456+1,G3456))</f>
        <v/>
      </c>
    </row>
    <row r="3458">
      <c r="A3458" s="14">
        <f>IF(OR(NOT(ISNUMBER(Ввод!$B$5)),NOT(ISNUMBER(Ввод!$B$6))),"",IF(Ввод!$B$5+3456&gt;Ввод!$B$6,"",Ввод!$B$5+3456))</f>
        <v/>
      </c>
      <c r="B3458">
        <f>IF(A3458="","",IFERROR(INDEX(Ввод!$B$12:$B$71,MATCH(A3458,Ввод!$D$12:$D$71,1)),""))</f>
        <v/>
      </c>
      <c r="C3458">
        <f>IF(A3458="","",DATE(YEAR(A3458),12,31)-DATE(YEAR(A3458),1,1)+1)</f>
        <v/>
      </c>
      <c r="D3458">
        <f>IF(A3458="","",Ввод!$B$4-SUMIF(Оплаты!$A$6:$A$505,"&lt;"&amp;A3458,Оплаты!$B$6:$B$505))</f>
        <v/>
      </c>
      <c r="E3458">
        <f>IF(A3458="","",IF(SUMPRODUCT((Ввод!$F$12:$F$31&lt;&gt;"")*(Ввод!$F$12:$F$31&lt;=A3458)*(Ввод!$G$12:$G$31&gt;=A3458))&gt;0,1,0))</f>
        <v/>
      </c>
      <c r="F3458">
        <f>IF(OR(A3458="",B3458=""),"",IF(E3458=1,0,D3458*B3458/100/C3458))</f>
        <v/>
      </c>
      <c r="G3458">
        <f>IF(A3458="","",IF(OR(B3458&lt;&gt;B3457,C3458&lt;&gt;C3457,D3458&lt;&gt;D3457,E3458&lt;&gt;E3457),G3457+1,G3457))</f>
        <v/>
      </c>
    </row>
    <row r="3459">
      <c r="A3459" s="14">
        <f>IF(OR(NOT(ISNUMBER(Ввод!$B$5)),NOT(ISNUMBER(Ввод!$B$6))),"",IF(Ввод!$B$5+3457&gt;Ввод!$B$6,"",Ввод!$B$5+3457))</f>
        <v/>
      </c>
      <c r="B3459">
        <f>IF(A3459="","",IFERROR(INDEX(Ввод!$B$12:$B$71,MATCH(A3459,Ввод!$D$12:$D$71,1)),""))</f>
        <v/>
      </c>
      <c r="C3459">
        <f>IF(A3459="","",DATE(YEAR(A3459),12,31)-DATE(YEAR(A3459),1,1)+1)</f>
        <v/>
      </c>
      <c r="D3459">
        <f>IF(A3459="","",Ввод!$B$4-SUMIF(Оплаты!$A$6:$A$505,"&lt;"&amp;A3459,Оплаты!$B$6:$B$505))</f>
        <v/>
      </c>
      <c r="E3459">
        <f>IF(A3459="","",IF(SUMPRODUCT((Ввод!$F$12:$F$31&lt;&gt;"")*(Ввод!$F$12:$F$31&lt;=A3459)*(Ввод!$G$12:$G$31&gt;=A3459))&gt;0,1,0))</f>
        <v/>
      </c>
      <c r="F3459">
        <f>IF(OR(A3459="",B3459=""),"",IF(E3459=1,0,D3459*B3459/100/C3459))</f>
        <v/>
      </c>
      <c r="G3459">
        <f>IF(A3459="","",IF(OR(B3459&lt;&gt;B3458,C3459&lt;&gt;C3458,D3459&lt;&gt;D3458,E3459&lt;&gt;E3458),G3458+1,G3458))</f>
        <v/>
      </c>
    </row>
    <row r="3460">
      <c r="A3460" s="14">
        <f>IF(OR(NOT(ISNUMBER(Ввод!$B$5)),NOT(ISNUMBER(Ввод!$B$6))),"",IF(Ввод!$B$5+3458&gt;Ввод!$B$6,"",Ввод!$B$5+3458))</f>
        <v/>
      </c>
      <c r="B3460">
        <f>IF(A3460="","",IFERROR(INDEX(Ввод!$B$12:$B$71,MATCH(A3460,Ввод!$D$12:$D$71,1)),""))</f>
        <v/>
      </c>
      <c r="C3460">
        <f>IF(A3460="","",DATE(YEAR(A3460),12,31)-DATE(YEAR(A3460),1,1)+1)</f>
        <v/>
      </c>
      <c r="D3460">
        <f>IF(A3460="","",Ввод!$B$4-SUMIF(Оплаты!$A$6:$A$505,"&lt;"&amp;A3460,Оплаты!$B$6:$B$505))</f>
        <v/>
      </c>
      <c r="E3460">
        <f>IF(A3460="","",IF(SUMPRODUCT((Ввод!$F$12:$F$31&lt;&gt;"")*(Ввод!$F$12:$F$31&lt;=A3460)*(Ввод!$G$12:$G$31&gt;=A3460))&gt;0,1,0))</f>
        <v/>
      </c>
      <c r="F3460">
        <f>IF(OR(A3460="",B3460=""),"",IF(E3460=1,0,D3460*B3460/100/C3460))</f>
        <v/>
      </c>
      <c r="G3460">
        <f>IF(A3460="","",IF(OR(B3460&lt;&gt;B3459,C3460&lt;&gt;C3459,D3460&lt;&gt;D3459,E3460&lt;&gt;E3459),G3459+1,G3459))</f>
        <v/>
      </c>
    </row>
    <row r="3461">
      <c r="A3461" s="14">
        <f>IF(OR(NOT(ISNUMBER(Ввод!$B$5)),NOT(ISNUMBER(Ввод!$B$6))),"",IF(Ввод!$B$5+3459&gt;Ввод!$B$6,"",Ввод!$B$5+3459))</f>
        <v/>
      </c>
      <c r="B3461">
        <f>IF(A3461="","",IFERROR(INDEX(Ввод!$B$12:$B$71,MATCH(A3461,Ввод!$D$12:$D$71,1)),""))</f>
        <v/>
      </c>
      <c r="C3461">
        <f>IF(A3461="","",DATE(YEAR(A3461),12,31)-DATE(YEAR(A3461),1,1)+1)</f>
        <v/>
      </c>
      <c r="D3461">
        <f>IF(A3461="","",Ввод!$B$4-SUMIF(Оплаты!$A$6:$A$505,"&lt;"&amp;A3461,Оплаты!$B$6:$B$505))</f>
        <v/>
      </c>
      <c r="E3461">
        <f>IF(A3461="","",IF(SUMPRODUCT((Ввод!$F$12:$F$31&lt;&gt;"")*(Ввод!$F$12:$F$31&lt;=A3461)*(Ввод!$G$12:$G$31&gt;=A3461))&gt;0,1,0))</f>
        <v/>
      </c>
      <c r="F3461">
        <f>IF(OR(A3461="",B3461=""),"",IF(E3461=1,0,D3461*B3461/100/C3461))</f>
        <v/>
      </c>
      <c r="G3461">
        <f>IF(A3461="","",IF(OR(B3461&lt;&gt;B3460,C3461&lt;&gt;C3460,D3461&lt;&gt;D3460,E3461&lt;&gt;E3460),G3460+1,G3460))</f>
        <v/>
      </c>
    </row>
    <row r="3462">
      <c r="A3462" s="14">
        <f>IF(OR(NOT(ISNUMBER(Ввод!$B$5)),NOT(ISNUMBER(Ввод!$B$6))),"",IF(Ввод!$B$5+3460&gt;Ввод!$B$6,"",Ввод!$B$5+3460))</f>
        <v/>
      </c>
      <c r="B3462">
        <f>IF(A3462="","",IFERROR(INDEX(Ввод!$B$12:$B$71,MATCH(A3462,Ввод!$D$12:$D$71,1)),""))</f>
        <v/>
      </c>
      <c r="C3462">
        <f>IF(A3462="","",DATE(YEAR(A3462),12,31)-DATE(YEAR(A3462),1,1)+1)</f>
        <v/>
      </c>
      <c r="D3462">
        <f>IF(A3462="","",Ввод!$B$4-SUMIF(Оплаты!$A$6:$A$505,"&lt;"&amp;A3462,Оплаты!$B$6:$B$505))</f>
        <v/>
      </c>
      <c r="E3462">
        <f>IF(A3462="","",IF(SUMPRODUCT((Ввод!$F$12:$F$31&lt;&gt;"")*(Ввод!$F$12:$F$31&lt;=A3462)*(Ввод!$G$12:$G$31&gt;=A3462))&gt;0,1,0))</f>
        <v/>
      </c>
      <c r="F3462">
        <f>IF(OR(A3462="",B3462=""),"",IF(E3462=1,0,D3462*B3462/100/C3462))</f>
        <v/>
      </c>
      <c r="G3462">
        <f>IF(A3462="","",IF(OR(B3462&lt;&gt;B3461,C3462&lt;&gt;C3461,D3462&lt;&gt;D3461,E3462&lt;&gt;E3461),G3461+1,G3461))</f>
        <v/>
      </c>
    </row>
    <row r="3463">
      <c r="A3463" s="14">
        <f>IF(OR(NOT(ISNUMBER(Ввод!$B$5)),NOT(ISNUMBER(Ввод!$B$6))),"",IF(Ввод!$B$5+3461&gt;Ввод!$B$6,"",Ввод!$B$5+3461))</f>
        <v/>
      </c>
      <c r="B3463">
        <f>IF(A3463="","",IFERROR(INDEX(Ввод!$B$12:$B$71,MATCH(A3463,Ввод!$D$12:$D$71,1)),""))</f>
        <v/>
      </c>
      <c r="C3463">
        <f>IF(A3463="","",DATE(YEAR(A3463),12,31)-DATE(YEAR(A3463),1,1)+1)</f>
        <v/>
      </c>
      <c r="D3463">
        <f>IF(A3463="","",Ввод!$B$4-SUMIF(Оплаты!$A$6:$A$505,"&lt;"&amp;A3463,Оплаты!$B$6:$B$505))</f>
        <v/>
      </c>
      <c r="E3463">
        <f>IF(A3463="","",IF(SUMPRODUCT((Ввод!$F$12:$F$31&lt;&gt;"")*(Ввод!$F$12:$F$31&lt;=A3463)*(Ввод!$G$12:$G$31&gt;=A3463))&gt;0,1,0))</f>
        <v/>
      </c>
      <c r="F3463">
        <f>IF(OR(A3463="",B3463=""),"",IF(E3463=1,0,D3463*B3463/100/C3463))</f>
        <v/>
      </c>
      <c r="G3463">
        <f>IF(A3463="","",IF(OR(B3463&lt;&gt;B3462,C3463&lt;&gt;C3462,D3463&lt;&gt;D3462,E3463&lt;&gt;E3462),G3462+1,G3462))</f>
        <v/>
      </c>
    </row>
    <row r="3464">
      <c r="A3464" s="14">
        <f>IF(OR(NOT(ISNUMBER(Ввод!$B$5)),NOT(ISNUMBER(Ввод!$B$6))),"",IF(Ввод!$B$5+3462&gt;Ввод!$B$6,"",Ввод!$B$5+3462))</f>
        <v/>
      </c>
      <c r="B3464">
        <f>IF(A3464="","",IFERROR(INDEX(Ввод!$B$12:$B$71,MATCH(A3464,Ввод!$D$12:$D$71,1)),""))</f>
        <v/>
      </c>
      <c r="C3464">
        <f>IF(A3464="","",DATE(YEAR(A3464),12,31)-DATE(YEAR(A3464),1,1)+1)</f>
        <v/>
      </c>
      <c r="D3464">
        <f>IF(A3464="","",Ввод!$B$4-SUMIF(Оплаты!$A$6:$A$505,"&lt;"&amp;A3464,Оплаты!$B$6:$B$505))</f>
        <v/>
      </c>
      <c r="E3464">
        <f>IF(A3464="","",IF(SUMPRODUCT((Ввод!$F$12:$F$31&lt;&gt;"")*(Ввод!$F$12:$F$31&lt;=A3464)*(Ввод!$G$12:$G$31&gt;=A3464))&gt;0,1,0))</f>
        <v/>
      </c>
      <c r="F3464">
        <f>IF(OR(A3464="",B3464=""),"",IF(E3464=1,0,D3464*B3464/100/C3464))</f>
        <v/>
      </c>
      <c r="G3464">
        <f>IF(A3464="","",IF(OR(B3464&lt;&gt;B3463,C3464&lt;&gt;C3463,D3464&lt;&gt;D3463,E3464&lt;&gt;E3463),G3463+1,G3463))</f>
        <v/>
      </c>
    </row>
    <row r="3465">
      <c r="A3465" s="14">
        <f>IF(OR(NOT(ISNUMBER(Ввод!$B$5)),NOT(ISNUMBER(Ввод!$B$6))),"",IF(Ввод!$B$5+3463&gt;Ввод!$B$6,"",Ввод!$B$5+3463))</f>
        <v/>
      </c>
      <c r="B3465">
        <f>IF(A3465="","",IFERROR(INDEX(Ввод!$B$12:$B$71,MATCH(A3465,Ввод!$D$12:$D$71,1)),""))</f>
        <v/>
      </c>
      <c r="C3465">
        <f>IF(A3465="","",DATE(YEAR(A3465),12,31)-DATE(YEAR(A3465),1,1)+1)</f>
        <v/>
      </c>
      <c r="D3465">
        <f>IF(A3465="","",Ввод!$B$4-SUMIF(Оплаты!$A$6:$A$505,"&lt;"&amp;A3465,Оплаты!$B$6:$B$505))</f>
        <v/>
      </c>
      <c r="E3465">
        <f>IF(A3465="","",IF(SUMPRODUCT((Ввод!$F$12:$F$31&lt;&gt;"")*(Ввод!$F$12:$F$31&lt;=A3465)*(Ввод!$G$12:$G$31&gt;=A3465))&gt;0,1,0))</f>
        <v/>
      </c>
      <c r="F3465">
        <f>IF(OR(A3465="",B3465=""),"",IF(E3465=1,0,D3465*B3465/100/C3465))</f>
        <v/>
      </c>
      <c r="G3465">
        <f>IF(A3465="","",IF(OR(B3465&lt;&gt;B3464,C3465&lt;&gt;C3464,D3465&lt;&gt;D3464,E3465&lt;&gt;E3464),G3464+1,G3464))</f>
        <v/>
      </c>
    </row>
    <row r="3466">
      <c r="A3466" s="14">
        <f>IF(OR(NOT(ISNUMBER(Ввод!$B$5)),NOT(ISNUMBER(Ввод!$B$6))),"",IF(Ввод!$B$5+3464&gt;Ввод!$B$6,"",Ввод!$B$5+3464))</f>
        <v/>
      </c>
      <c r="B3466">
        <f>IF(A3466="","",IFERROR(INDEX(Ввод!$B$12:$B$71,MATCH(A3466,Ввод!$D$12:$D$71,1)),""))</f>
        <v/>
      </c>
      <c r="C3466">
        <f>IF(A3466="","",DATE(YEAR(A3466),12,31)-DATE(YEAR(A3466),1,1)+1)</f>
        <v/>
      </c>
      <c r="D3466">
        <f>IF(A3466="","",Ввод!$B$4-SUMIF(Оплаты!$A$6:$A$505,"&lt;"&amp;A3466,Оплаты!$B$6:$B$505))</f>
        <v/>
      </c>
      <c r="E3466">
        <f>IF(A3466="","",IF(SUMPRODUCT((Ввод!$F$12:$F$31&lt;&gt;"")*(Ввод!$F$12:$F$31&lt;=A3466)*(Ввод!$G$12:$G$31&gt;=A3466))&gt;0,1,0))</f>
        <v/>
      </c>
      <c r="F3466">
        <f>IF(OR(A3466="",B3466=""),"",IF(E3466=1,0,D3466*B3466/100/C3466))</f>
        <v/>
      </c>
      <c r="G3466">
        <f>IF(A3466="","",IF(OR(B3466&lt;&gt;B3465,C3466&lt;&gt;C3465,D3466&lt;&gt;D3465,E3466&lt;&gt;E3465),G3465+1,G3465))</f>
        <v/>
      </c>
    </row>
    <row r="3467">
      <c r="A3467" s="14">
        <f>IF(OR(NOT(ISNUMBER(Ввод!$B$5)),NOT(ISNUMBER(Ввод!$B$6))),"",IF(Ввод!$B$5+3465&gt;Ввод!$B$6,"",Ввод!$B$5+3465))</f>
        <v/>
      </c>
      <c r="B3467">
        <f>IF(A3467="","",IFERROR(INDEX(Ввод!$B$12:$B$71,MATCH(A3467,Ввод!$D$12:$D$71,1)),""))</f>
        <v/>
      </c>
      <c r="C3467">
        <f>IF(A3467="","",DATE(YEAR(A3467),12,31)-DATE(YEAR(A3467),1,1)+1)</f>
        <v/>
      </c>
      <c r="D3467">
        <f>IF(A3467="","",Ввод!$B$4-SUMIF(Оплаты!$A$6:$A$505,"&lt;"&amp;A3467,Оплаты!$B$6:$B$505))</f>
        <v/>
      </c>
      <c r="E3467">
        <f>IF(A3467="","",IF(SUMPRODUCT((Ввод!$F$12:$F$31&lt;&gt;"")*(Ввод!$F$12:$F$31&lt;=A3467)*(Ввод!$G$12:$G$31&gt;=A3467))&gt;0,1,0))</f>
        <v/>
      </c>
      <c r="F3467">
        <f>IF(OR(A3467="",B3467=""),"",IF(E3467=1,0,D3467*B3467/100/C3467))</f>
        <v/>
      </c>
      <c r="G3467">
        <f>IF(A3467="","",IF(OR(B3467&lt;&gt;B3466,C3467&lt;&gt;C3466,D3467&lt;&gt;D3466,E3467&lt;&gt;E3466),G3466+1,G3466))</f>
        <v/>
      </c>
    </row>
    <row r="3468">
      <c r="A3468" s="14">
        <f>IF(OR(NOT(ISNUMBER(Ввод!$B$5)),NOT(ISNUMBER(Ввод!$B$6))),"",IF(Ввод!$B$5+3466&gt;Ввод!$B$6,"",Ввод!$B$5+3466))</f>
        <v/>
      </c>
      <c r="B3468">
        <f>IF(A3468="","",IFERROR(INDEX(Ввод!$B$12:$B$71,MATCH(A3468,Ввод!$D$12:$D$71,1)),""))</f>
        <v/>
      </c>
      <c r="C3468">
        <f>IF(A3468="","",DATE(YEAR(A3468),12,31)-DATE(YEAR(A3468),1,1)+1)</f>
        <v/>
      </c>
      <c r="D3468">
        <f>IF(A3468="","",Ввод!$B$4-SUMIF(Оплаты!$A$6:$A$505,"&lt;"&amp;A3468,Оплаты!$B$6:$B$505))</f>
        <v/>
      </c>
      <c r="E3468">
        <f>IF(A3468="","",IF(SUMPRODUCT((Ввод!$F$12:$F$31&lt;&gt;"")*(Ввод!$F$12:$F$31&lt;=A3468)*(Ввод!$G$12:$G$31&gt;=A3468))&gt;0,1,0))</f>
        <v/>
      </c>
      <c r="F3468">
        <f>IF(OR(A3468="",B3468=""),"",IF(E3468=1,0,D3468*B3468/100/C3468))</f>
        <v/>
      </c>
      <c r="G3468">
        <f>IF(A3468="","",IF(OR(B3468&lt;&gt;B3467,C3468&lt;&gt;C3467,D3468&lt;&gt;D3467,E3468&lt;&gt;E3467),G3467+1,G3467))</f>
        <v/>
      </c>
    </row>
    <row r="3469">
      <c r="A3469" s="14">
        <f>IF(OR(NOT(ISNUMBER(Ввод!$B$5)),NOT(ISNUMBER(Ввод!$B$6))),"",IF(Ввод!$B$5+3467&gt;Ввод!$B$6,"",Ввод!$B$5+3467))</f>
        <v/>
      </c>
      <c r="B3469">
        <f>IF(A3469="","",IFERROR(INDEX(Ввод!$B$12:$B$71,MATCH(A3469,Ввод!$D$12:$D$71,1)),""))</f>
        <v/>
      </c>
      <c r="C3469">
        <f>IF(A3469="","",DATE(YEAR(A3469),12,31)-DATE(YEAR(A3469),1,1)+1)</f>
        <v/>
      </c>
      <c r="D3469">
        <f>IF(A3469="","",Ввод!$B$4-SUMIF(Оплаты!$A$6:$A$505,"&lt;"&amp;A3469,Оплаты!$B$6:$B$505))</f>
        <v/>
      </c>
      <c r="E3469">
        <f>IF(A3469="","",IF(SUMPRODUCT((Ввод!$F$12:$F$31&lt;&gt;"")*(Ввод!$F$12:$F$31&lt;=A3469)*(Ввод!$G$12:$G$31&gt;=A3469))&gt;0,1,0))</f>
        <v/>
      </c>
      <c r="F3469">
        <f>IF(OR(A3469="",B3469=""),"",IF(E3469=1,0,D3469*B3469/100/C3469))</f>
        <v/>
      </c>
      <c r="G3469">
        <f>IF(A3469="","",IF(OR(B3469&lt;&gt;B3468,C3469&lt;&gt;C3468,D3469&lt;&gt;D3468,E3469&lt;&gt;E3468),G3468+1,G3468))</f>
        <v/>
      </c>
    </row>
    <row r="3470">
      <c r="A3470" s="14">
        <f>IF(OR(NOT(ISNUMBER(Ввод!$B$5)),NOT(ISNUMBER(Ввод!$B$6))),"",IF(Ввод!$B$5+3468&gt;Ввод!$B$6,"",Ввод!$B$5+3468))</f>
        <v/>
      </c>
      <c r="B3470">
        <f>IF(A3470="","",IFERROR(INDEX(Ввод!$B$12:$B$71,MATCH(A3470,Ввод!$D$12:$D$71,1)),""))</f>
        <v/>
      </c>
      <c r="C3470">
        <f>IF(A3470="","",DATE(YEAR(A3470),12,31)-DATE(YEAR(A3470),1,1)+1)</f>
        <v/>
      </c>
      <c r="D3470">
        <f>IF(A3470="","",Ввод!$B$4-SUMIF(Оплаты!$A$6:$A$505,"&lt;"&amp;A3470,Оплаты!$B$6:$B$505))</f>
        <v/>
      </c>
      <c r="E3470">
        <f>IF(A3470="","",IF(SUMPRODUCT((Ввод!$F$12:$F$31&lt;&gt;"")*(Ввод!$F$12:$F$31&lt;=A3470)*(Ввод!$G$12:$G$31&gt;=A3470))&gt;0,1,0))</f>
        <v/>
      </c>
      <c r="F3470">
        <f>IF(OR(A3470="",B3470=""),"",IF(E3470=1,0,D3470*B3470/100/C3470))</f>
        <v/>
      </c>
      <c r="G3470">
        <f>IF(A3470="","",IF(OR(B3470&lt;&gt;B3469,C3470&lt;&gt;C3469,D3470&lt;&gt;D3469,E3470&lt;&gt;E3469),G3469+1,G3469))</f>
        <v/>
      </c>
    </row>
    <row r="3471">
      <c r="A3471" s="14">
        <f>IF(OR(NOT(ISNUMBER(Ввод!$B$5)),NOT(ISNUMBER(Ввод!$B$6))),"",IF(Ввод!$B$5+3469&gt;Ввод!$B$6,"",Ввод!$B$5+3469))</f>
        <v/>
      </c>
      <c r="B3471">
        <f>IF(A3471="","",IFERROR(INDEX(Ввод!$B$12:$B$71,MATCH(A3471,Ввод!$D$12:$D$71,1)),""))</f>
        <v/>
      </c>
      <c r="C3471">
        <f>IF(A3471="","",DATE(YEAR(A3471),12,31)-DATE(YEAR(A3471),1,1)+1)</f>
        <v/>
      </c>
      <c r="D3471">
        <f>IF(A3471="","",Ввод!$B$4-SUMIF(Оплаты!$A$6:$A$505,"&lt;"&amp;A3471,Оплаты!$B$6:$B$505))</f>
        <v/>
      </c>
      <c r="E3471">
        <f>IF(A3471="","",IF(SUMPRODUCT((Ввод!$F$12:$F$31&lt;&gt;"")*(Ввод!$F$12:$F$31&lt;=A3471)*(Ввод!$G$12:$G$31&gt;=A3471))&gt;0,1,0))</f>
        <v/>
      </c>
      <c r="F3471">
        <f>IF(OR(A3471="",B3471=""),"",IF(E3471=1,0,D3471*B3471/100/C3471))</f>
        <v/>
      </c>
      <c r="G3471">
        <f>IF(A3471="","",IF(OR(B3471&lt;&gt;B3470,C3471&lt;&gt;C3470,D3471&lt;&gt;D3470,E3471&lt;&gt;E3470),G3470+1,G3470))</f>
        <v/>
      </c>
    </row>
    <row r="3472">
      <c r="A3472" s="14">
        <f>IF(OR(NOT(ISNUMBER(Ввод!$B$5)),NOT(ISNUMBER(Ввод!$B$6))),"",IF(Ввод!$B$5+3470&gt;Ввод!$B$6,"",Ввод!$B$5+3470))</f>
        <v/>
      </c>
      <c r="B3472">
        <f>IF(A3472="","",IFERROR(INDEX(Ввод!$B$12:$B$71,MATCH(A3472,Ввод!$D$12:$D$71,1)),""))</f>
        <v/>
      </c>
      <c r="C3472">
        <f>IF(A3472="","",DATE(YEAR(A3472),12,31)-DATE(YEAR(A3472),1,1)+1)</f>
        <v/>
      </c>
      <c r="D3472">
        <f>IF(A3472="","",Ввод!$B$4-SUMIF(Оплаты!$A$6:$A$505,"&lt;"&amp;A3472,Оплаты!$B$6:$B$505))</f>
        <v/>
      </c>
      <c r="E3472">
        <f>IF(A3472="","",IF(SUMPRODUCT((Ввод!$F$12:$F$31&lt;&gt;"")*(Ввод!$F$12:$F$31&lt;=A3472)*(Ввод!$G$12:$G$31&gt;=A3472))&gt;0,1,0))</f>
        <v/>
      </c>
      <c r="F3472">
        <f>IF(OR(A3472="",B3472=""),"",IF(E3472=1,0,D3472*B3472/100/C3472))</f>
        <v/>
      </c>
      <c r="G3472">
        <f>IF(A3472="","",IF(OR(B3472&lt;&gt;B3471,C3472&lt;&gt;C3471,D3472&lt;&gt;D3471,E3472&lt;&gt;E3471),G3471+1,G3471))</f>
        <v/>
      </c>
    </row>
    <row r="3473">
      <c r="A3473" s="14">
        <f>IF(OR(NOT(ISNUMBER(Ввод!$B$5)),NOT(ISNUMBER(Ввод!$B$6))),"",IF(Ввод!$B$5+3471&gt;Ввод!$B$6,"",Ввод!$B$5+3471))</f>
        <v/>
      </c>
      <c r="B3473">
        <f>IF(A3473="","",IFERROR(INDEX(Ввод!$B$12:$B$71,MATCH(A3473,Ввод!$D$12:$D$71,1)),""))</f>
        <v/>
      </c>
      <c r="C3473">
        <f>IF(A3473="","",DATE(YEAR(A3473),12,31)-DATE(YEAR(A3473),1,1)+1)</f>
        <v/>
      </c>
      <c r="D3473">
        <f>IF(A3473="","",Ввод!$B$4-SUMIF(Оплаты!$A$6:$A$505,"&lt;"&amp;A3473,Оплаты!$B$6:$B$505))</f>
        <v/>
      </c>
      <c r="E3473">
        <f>IF(A3473="","",IF(SUMPRODUCT((Ввод!$F$12:$F$31&lt;&gt;"")*(Ввод!$F$12:$F$31&lt;=A3473)*(Ввод!$G$12:$G$31&gt;=A3473))&gt;0,1,0))</f>
        <v/>
      </c>
      <c r="F3473">
        <f>IF(OR(A3473="",B3473=""),"",IF(E3473=1,0,D3473*B3473/100/C3473))</f>
        <v/>
      </c>
      <c r="G3473">
        <f>IF(A3473="","",IF(OR(B3473&lt;&gt;B3472,C3473&lt;&gt;C3472,D3473&lt;&gt;D3472,E3473&lt;&gt;E3472),G3472+1,G3472))</f>
        <v/>
      </c>
    </row>
    <row r="3474">
      <c r="A3474" s="14">
        <f>IF(OR(NOT(ISNUMBER(Ввод!$B$5)),NOT(ISNUMBER(Ввод!$B$6))),"",IF(Ввод!$B$5+3472&gt;Ввод!$B$6,"",Ввод!$B$5+3472))</f>
        <v/>
      </c>
      <c r="B3474">
        <f>IF(A3474="","",IFERROR(INDEX(Ввод!$B$12:$B$71,MATCH(A3474,Ввод!$D$12:$D$71,1)),""))</f>
        <v/>
      </c>
      <c r="C3474">
        <f>IF(A3474="","",DATE(YEAR(A3474),12,31)-DATE(YEAR(A3474),1,1)+1)</f>
        <v/>
      </c>
      <c r="D3474">
        <f>IF(A3474="","",Ввод!$B$4-SUMIF(Оплаты!$A$6:$A$505,"&lt;"&amp;A3474,Оплаты!$B$6:$B$505))</f>
        <v/>
      </c>
      <c r="E3474">
        <f>IF(A3474="","",IF(SUMPRODUCT((Ввод!$F$12:$F$31&lt;&gt;"")*(Ввод!$F$12:$F$31&lt;=A3474)*(Ввод!$G$12:$G$31&gt;=A3474))&gt;0,1,0))</f>
        <v/>
      </c>
      <c r="F3474">
        <f>IF(OR(A3474="",B3474=""),"",IF(E3474=1,0,D3474*B3474/100/C3474))</f>
        <v/>
      </c>
      <c r="G3474">
        <f>IF(A3474="","",IF(OR(B3474&lt;&gt;B3473,C3474&lt;&gt;C3473,D3474&lt;&gt;D3473,E3474&lt;&gt;E3473),G3473+1,G3473))</f>
        <v/>
      </c>
    </row>
    <row r="3475">
      <c r="A3475" s="14">
        <f>IF(OR(NOT(ISNUMBER(Ввод!$B$5)),NOT(ISNUMBER(Ввод!$B$6))),"",IF(Ввод!$B$5+3473&gt;Ввод!$B$6,"",Ввод!$B$5+3473))</f>
        <v/>
      </c>
      <c r="B3475">
        <f>IF(A3475="","",IFERROR(INDEX(Ввод!$B$12:$B$71,MATCH(A3475,Ввод!$D$12:$D$71,1)),""))</f>
        <v/>
      </c>
      <c r="C3475">
        <f>IF(A3475="","",DATE(YEAR(A3475),12,31)-DATE(YEAR(A3475),1,1)+1)</f>
        <v/>
      </c>
      <c r="D3475">
        <f>IF(A3475="","",Ввод!$B$4-SUMIF(Оплаты!$A$6:$A$505,"&lt;"&amp;A3475,Оплаты!$B$6:$B$505))</f>
        <v/>
      </c>
      <c r="E3475">
        <f>IF(A3475="","",IF(SUMPRODUCT((Ввод!$F$12:$F$31&lt;&gt;"")*(Ввод!$F$12:$F$31&lt;=A3475)*(Ввод!$G$12:$G$31&gt;=A3475))&gt;0,1,0))</f>
        <v/>
      </c>
      <c r="F3475">
        <f>IF(OR(A3475="",B3475=""),"",IF(E3475=1,0,D3475*B3475/100/C3475))</f>
        <v/>
      </c>
      <c r="G3475">
        <f>IF(A3475="","",IF(OR(B3475&lt;&gt;B3474,C3475&lt;&gt;C3474,D3475&lt;&gt;D3474,E3475&lt;&gt;E3474),G3474+1,G3474))</f>
        <v/>
      </c>
    </row>
    <row r="3476">
      <c r="A3476" s="14">
        <f>IF(OR(NOT(ISNUMBER(Ввод!$B$5)),NOT(ISNUMBER(Ввод!$B$6))),"",IF(Ввод!$B$5+3474&gt;Ввод!$B$6,"",Ввод!$B$5+3474))</f>
        <v/>
      </c>
      <c r="B3476">
        <f>IF(A3476="","",IFERROR(INDEX(Ввод!$B$12:$B$71,MATCH(A3476,Ввод!$D$12:$D$71,1)),""))</f>
        <v/>
      </c>
      <c r="C3476">
        <f>IF(A3476="","",DATE(YEAR(A3476),12,31)-DATE(YEAR(A3476),1,1)+1)</f>
        <v/>
      </c>
      <c r="D3476">
        <f>IF(A3476="","",Ввод!$B$4-SUMIF(Оплаты!$A$6:$A$505,"&lt;"&amp;A3476,Оплаты!$B$6:$B$505))</f>
        <v/>
      </c>
      <c r="E3476">
        <f>IF(A3476="","",IF(SUMPRODUCT((Ввод!$F$12:$F$31&lt;&gt;"")*(Ввод!$F$12:$F$31&lt;=A3476)*(Ввод!$G$12:$G$31&gt;=A3476))&gt;0,1,0))</f>
        <v/>
      </c>
      <c r="F3476">
        <f>IF(OR(A3476="",B3476=""),"",IF(E3476=1,0,D3476*B3476/100/C3476))</f>
        <v/>
      </c>
      <c r="G3476">
        <f>IF(A3476="","",IF(OR(B3476&lt;&gt;B3475,C3476&lt;&gt;C3475,D3476&lt;&gt;D3475,E3476&lt;&gt;E3475),G3475+1,G3475))</f>
        <v/>
      </c>
    </row>
    <row r="3477">
      <c r="A3477" s="14">
        <f>IF(OR(NOT(ISNUMBER(Ввод!$B$5)),NOT(ISNUMBER(Ввод!$B$6))),"",IF(Ввод!$B$5+3475&gt;Ввод!$B$6,"",Ввод!$B$5+3475))</f>
        <v/>
      </c>
      <c r="B3477">
        <f>IF(A3477="","",IFERROR(INDEX(Ввод!$B$12:$B$71,MATCH(A3477,Ввод!$D$12:$D$71,1)),""))</f>
        <v/>
      </c>
      <c r="C3477">
        <f>IF(A3477="","",DATE(YEAR(A3477),12,31)-DATE(YEAR(A3477),1,1)+1)</f>
        <v/>
      </c>
      <c r="D3477">
        <f>IF(A3477="","",Ввод!$B$4-SUMIF(Оплаты!$A$6:$A$505,"&lt;"&amp;A3477,Оплаты!$B$6:$B$505))</f>
        <v/>
      </c>
      <c r="E3477">
        <f>IF(A3477="","",IF(SUMPRODUCT((Ввод!$F$12:$F$31&lt;&gt;"")*(Ввод!$F$12:$F$31&lt;=A3477)*(Ввод!$G$12:$G$31&gt;=A3477))&gt;0,1,0))</f>
        <v/>
      </c>
      <c r="F3477">
        <f>IF(OR(A3477="",B3477=""),"",IF(E3477=1,0,D3477*B3477/100/C3477))</f>
        <v/>
      </c>
      <c r="G3477">
        <f>IF(A3477="","",IF(OR(B3477&lt;&gt;B3476,C3477&lt;&gt;C3476,D3477&lt;&gt;D3476,E3477&lt;&gt;E3476),G3476+1,G3476))</f>
        <v/>
      </c>
    </row>
    <row r="3478">
      <c r="A3478" s="14">
        <f>IF(OR(NOT(ISNUMBER(Ввод!$B$5)),NOT(ISNUMBER(Ввод!$B$6))),"",IF(Ввод!$B$5+3476&gt;Ввод!$B$6,"",Ввод!$B$5+3476))</f>
        <v/>
      </c>
      <c r="B3478">
        <f>IF(A3478="","",IFERROR(INDEX(Ввод!$B$12:$B$71,MATCH(A3478,Ввод!$D$12:$D$71,1)),""))</f>
        <v/>
      </c>
      <c r="C3478">
        <f>IF(A3478="","",DATE(YEAR(A3478),12,31)-DATE(YEAR(A3478),1,1)+1)</f>
        <v/>
      </c>
      <c r="D3478">
        <f>IF(A3478="","",Ввод!$B$4-SUMIF(Оплаты!$A$6:$A$505,"&lt;"&amp;A3478,Оплаты!$B$6:$B$505))</f>
        <v/>
      </c>
      <c r="E3478">
        <f>IF(A3478="","",IF(SUMPRODUCT((Ввод!$F$12:$F$31&lt;&gt;"")*(Ввод!$F$12:$F$31&lt;=A3478)*(Ввод!$G$12:$G$31&gt;=A3478))&gt;0,1,0))</f>
        <v/>
      </c>
      <c r="F3478">
        <f>IF(OR(A3478="",B3478=""),"",IF(E3478=1,0,D3478*B3478/100/C3478))</f>
        <v/>
      </c>
      <c r="G3478">
        <f>IF(A3478="","",IF(OR(B3478&lt;&gt;B3477,C3478&lt;&gt;C3477,D3478&lt;&gt;D3477,E3478&lt;&gt;E3477),G3477+1,G3477))</f>
        <v/>
      </c>
    </row>
    <row r="3479">
      <c r="A3479" s="14">
        <f>IF(OR(NOT(ISNUMBER(Ввод!$B$5)),NOT(ISNUMBER(Ввод!$B$6))),"",IF(Ввод!$B$5+3477&gt;Ввод!$B$6,"",Ввод!$B$5+3477))</f>
        <v/>
      </c>
      <c r="B3479">
        <f>IF(A3479="","",IFERROR(INDEX(Ввод!$B$12:$B$71,MATCH(A3479,Ввод!$D$12:$D$71,1)),""))</f>
        <v/>
      </c>
      <c r="C3479">
        <f>IF(A3479="","",DATE(YEAR(A3479),12,31)-DATE(YEAR(A3479),1,1)+1)</f>
        <v/>
      </c>
      <c r="D3479">
        <f>IF(A3479="","",Ввод!$B$4-SUMIF(Оплаты!$A$6:$A$505,"&lt;"&amp;A3479,Оплаты!$B$6:$B$505))</f>
        <v/>
      </c>
      <c r="E3479">
        <f>IF(A3479="","",IF(SUMPRODUCT((Ввод!$F$12:$F$31&lt;&gt;"")*(Ввод!$F$12:$F$31&lt;=A3479)*(Ввод!$G$12:$G$31&gt;=A3479))&gt;0,1,0))</f>
        <v/>
      </c>
      <c r="F3479">
        <f>IF(OR(A3479="",B3479=""),"",IF(E3479=1,0,D3479*B3479/100/C3479))</f>
        <v/>
      </c>
      <c r="G3479">
        <f>IF(A3479="","",IF(OR(B3479&lt;&gt;B3478,C3479&lt;&gt;C3478,D3479&lt;&gt;D3478,E3479&lt;&gt;E3478),G3478+1,G3478))</f>
        <v/>
      </c>
    </row>
    <row r="3480">
      <c r="A3480" s="14">
        <f>IF(OR(NOT(ISNUMBER(Ввод!$B$5)),NOT(ISNUMBER(Ввод!$B$6))),"",IF(Ввод!$B$5+3478&gt;Ввод!$B$6,"",Ввод!$B$5+3478))</f>
        <v/>
      </c>
      <c r="B3480">
        <f>IF(A3480="","",IFERROR(INDEX(Ввод!$B$12:$B$71,MATCH(A3480,Ввод!$D$12:$D$71,1)),""))</f>
        <v/>
      </c>
      <c r="C3480">
        <f>IF(A3480="","",DATE(YEAR(A3480),12,31)-DATE(YEAR(A3480),1,1)+1)</f>
        <v/>
      </c>
      <c r="D3480">
        <f>IF(A3480="","",Ввод!$B$4-SUMIF(Оплаты!$A$6:$A$505,"&lt;"&amp;A3480,Оплаты!$B$6:$B$505))</f>
        <v/>
      </c>
      <c r="E3480">
        <f>IF(A3480="","",IF(SUMPRODUCT((Ввод!$F$12:$F$31&lt;&gt;"")*(Ввод!$F$12:$F$31&lt;=A3480)*(Ввод!$G$12:$G$31&gt;=A3480))&gt;0,1,0))</f>
        <v/>
      </c>
      <c r="F3480">
        <f>IF(OR(A3480="",B3480=""),"",IF(E3480=1,0,D3480*B3480/100/C3480))</f>
        <v/>
      </c>
      <c r="G3480">
        <f>IF(A3480="","",IF(OR(B3480&lt;&gt;B3479,C3480&lt;&gt;C3479,D3480&lt;&gt;D3479,E3480&lt;&gt;E3479),G3479+1,G3479))</f>
        <v/>
      </c>
    </row>
    <row r="3481">
      <c r="A3481" s="14">
        <f>IF(OR(NOT(ISNUMBER(Ввод!$B$5)),NOT(ISNUMBER(Ввод!$B$6))),"",IF(Ввод!$B$5+3479&gt;Ввод!$B$6,"",Ввод!$B$5+3479))</f>
        <v/>
      </c>
      <c r="B3481">
        <f>IF(A3481="","",IFERROR(INDEX(Ввод!$B$12:$B$71,MATCH(A3481,Ввод!$D$12:$D$71,1)),""))</f>
        <v/>
      </c>
      <c r="C3481">
        <f>IF(A3481="","",DATE(YEAR(A3481),12,31)-DATE(YEAR(A3481),1,1)+1)</f>
        <v/>
      </c>
      <c r="D3481">
        <f>IF(A3481="","",Ввод!$B$4-SUMIF(Оплаты!$A$6:$A$505,"&lt;"&amp;A3481,Оплаты!$B$6:$B$505))</f>
        <v/>
      </c>
      <c r="E3481">
        <f>IF(A3481="","",IF(SUMPRODUCT((Ввод!$F$12:$F$31&lt;&gt;"")*(Ввод!$F$12:$F$31&lt;=A3481)*(Ввод!$G$12:$G$31&gt;=A3481))&gt;0,1,0))</f>
        <v/>
      </c>
      <c r="F3481">
        <f>IF(OR(A3481="",B3481=""),"",IF(E3481=1,0,D3481*B3481/100/C3481))</f>
        <v/>
      </c>
      <c r="G3481">
        <f>IF(A3481="","",IF(OR(B3481&lt;&gt;B3480,C3481&lt;&gt;C3480,D3481&lt;&gt;D3480,E3481&lt;&gt;E3480),G3480+1,G3480))</f>
        <v/>
      </c>
    </row>
    <row r="3482">
      <c r="A3482" s="14">
        <f>IF(OR(NOT(ISNUMBER(Ввод!$B$5)),NOT(ISNUMBER(Ввод!$B$6))),"",IF(Ввод!$B$5+3480&gt;Ввод!$B$6,"",Ввод!$B$5+3480))</f>
        <v/>
      </c>
      <c r="B3482">
        <f>IF(A3482="","",IFERROR(INDEX(Ввод!$B$12:$B$71,MATCH(A3482,Ввод!$D$12:$D$71,1)),""))</f>
        <v/>
      </c>
      <c r="C3482">
        <f>IF(A3482="","",DATE(YEAR(A3482),12,31)-DATE(YEAR(A3482),1,1)+1)</f>
        <v/>
      </c>
      <c r="D3482">
        <f>IF(A3482="","",Ввод!$B$4-SUMIF(Оплаты!$A$6:$A$505,"&lt;"&amp;A3482,Оплаты!$B$6:$B$505))</f>
        <v/>
      </c>
      <c r="E3482">
        <f>IF(A3482="","",IF(SUMPRODUCT((Ввод!$F$12:$F$31&lt;&gt;"")*(Ввод!$F$12:$F$31&lt;=A3482)*(Ввод!$G$12:$G$31&gt;=A3482))&gt;0,1,0))</f>
        <v/>
      </c>
      <c r="F3482">
        <f>IF(OR(A3482="",B3482=""),"",IF(E3482=1,0,D3482*B3482/100/C3482))</f>
        <v/>
      </c>
      <c r="G3482">
        <f>IF(A3482="","",IF(OR(B3482&lt;&gt;B3481,C3482&lt;&gt;C3481,D3482&lt;&gt;D3481,E3482&lt;&gt;E3481),G3481+1,G3481))</f>
        <v/>
      </c>
    </row>
    <row r="3483">
      <c r="A3483" s="14">
        <f>IF(OR(NOT(ISNUMBER(Ввод!$B$5)),NOT(ISNUMBER(Ввод!$B$6))),"",IF(Ввод!$B$5+3481&gt;Ввод!$B$6,"",Ввод!$B$5+3481))</f>
        <v/>
      </c>
      <c r="B3483">
        <f>IF(A3483="","",IFERROR(INDEX(Ввод!$B$12:$B$71,MATCH(A3483,Ввод!$D$12:$D$71,1)),""))</f>
        <v/>
      </c>
      <c r="C3483">
        <f>IF(A3483="","",DATE(YEAR(A3483),12,31)-DATE(YEAR(A3483),1,1)+1)</f>
        <v/>
      </c>
      <c r="D3483">
        <f>IF(A3483="","",Ввод!$B$4-SUMIF(Оплаты!$A$6:$A$505,"&lt;"&amp;A3483,Оплаты!$B$6:$B$505))</f>
        <v/>
      </c>
      <c r="E3483">
        <f>IF(A3483="","",IF(SUMPRODUCT((Ввод!$F$12:$F$31&lt;&gt;"")*(Ввод!$F$12:$F$31&lt;=A3483)*(Ввод!$G$12:$G$31&gt;=A3483))&gt;0,1,0))</f>
        <v/>
      </c>
      <c r="F3483">
        <f>IF(OR(A3483="",B3483=""),"",IF(E3483=1,0,D3483*B3483/100/C3483))</f>
        <v/>
      </c>
      <c r="G3483">
        <f>IF(A3483="","",IF(OR(B3483&lt;&gt;B3482,C3483&lt;&gt;C3482,D3483&lt;&gt;D3482,E3483&lt;&gt;E3482),G3482+1,G3482))</f>
        <v/>
      </c>
    </row>
    <row r="3484">
      <c r="A3484" s="14">
        <f>IF(OR(NOT(ISNUMBER(Ввод!$B$5)),NOT(ISNUMBER(Ввод!$B$6))),"",IF(Ввод!$B$5+3482&gt;Ввод!$B$6,"",Ввод!$B$5+3482))</f>
        <v/>
      </c>
      <c r="B3484">
        <f>IF(A3484="","",IFERROR(INDEX(Ввод!$B$12:$B$71,MATCH(A3484,Ввод!$D$12:$D$71,1)),""))</f>
        <v/>
      </c>
      <c r="C3484">
        <f>IF(A3484="","",DATE(YEAR(A3484),12,31)-DATE(YEAR(A3484),1,1)+1)</f>
        <v/>
      </c>
      <c r="D3484">
        <f>IF(A3484="","",Ввод!$B$4-SUMIF(Оплаты!$A$6:$A$505,"&lt;"&amp;A3484,Оплаты!$B$6:$B$505))</f>
        <v/>
      </c>
      <c r="E3484">
        <f>IF(A3484="","",IF(SUMPRODUCT((Ввод!$F$12:$F$31&lt;&gt;"")*(Ввод!$F$12:$F$31&lt;=A3484)*(Ввод!$G$12:$G$31&gt;=A3484))&gt;0,1,0))</f>
        <v/>
      </c>
      <c r="F3484">
        <f>IF(OR(A3484="",B3484=""),"",IF(E3484=1,0,D3484*B3484/100/C3484))</f>
        <v/>
      </c>
      <c r="G3484">
        <f>IF(A3484="","",IF(OR(B3484&lt;&gt;B3483,C3484&lt;&gt;C3483,D3484&lt;&gt;D3483,E3484&lt;&gt;E3483),G3483+1,G3483))</f>
        <v/>
      </c>
    </row>
    <row r="3485">
      <c r="A3485" s="14">
        <f>IF(OR(NOT(ISNUMBER(Ввод!$B$5)),NOT(ISNUMBER(Ввод!$B$6))),"",IF(Ввод!$B$5+3483&gt;Ввод!$B$6,"",Ввод!$B$5+3483))</f>
        <v/>
      </c>
      <c r="B3485">
        <f>IF(A3485="","",IFERROR(INDEX(Ввод!$B$12:$B$71,MATCH(A3485,Ввод!$D$12:$D$71,1)),""))</f>
        <v/>
      </c>
      <c r="C3485">
        <f>IF(A3485="","",DATE(YEAR(A3485),12,31)-DATE(YEAR(A3485),1,1)+1)</f>
        <v/>
      </c>
      <c r="D3485">
        <f>IF(A3485="","",Ввод!$B$4-SUMIF(Оплаты!$A$6:$A$505,"&lt;"&amp;A3485,Оплаты!$B$6:$B$505))</f>
        <v/>
      </c>
      <c r="E3485">
        <f>IF(A3485="","",IF(SUMPRODUCT((Ввод!$F$12:$F$31&lt;&gt;"")*(Ввод!$F$12:$F$31&lt;=A3485)*(Ввод!$G$12:$G$31&gt;=A3485))&gt;0,1,0))</f>
        <v/>
      </c>
      <c r="F3485">
        <f>IF(OR(A3485="",B3485=""),"",IF(E3485=1,0,D3485*B3485/100/C3485))</f>
        <v/>
      </c>
      <c r="G3485">
        <f>IF(A3485="","",IF(OR(B3485&lt;&gt;B3484,C3485&lt;&gt;C3484,D3485&lt;&gt;D3484,E3485&lt;&gt;E3484),G3484+1,G3484))</f>
        <v/>
      </c>
    </row>
    <row r="3486">
      <c r="A3486" s="14">
        <f>IF(OR(NOT(ISNUMBER(Ввод!$B$5)),NOT(ISNUMBER(Ввод!$B$6))),"",IF(Ввод!$B$5+3484&gt;Ввод!$B$6,"",Ввод!$B$5+3484))</f>
        <v/>
      </c>
      <c r="B3486">
        <f>IF(A3486="","",IFERROR(INDEX(Ввод!$B$12:$B$71,MATCH(A3486,Ввод!$D$12:$D$71,1)),""))</f>
        <v/>
      </c>
      <c r="C3486">
        <f>IF(A3486="","",DATE(YEAR(A3486),12,31)-DATE(YEAR(A3486),1,1)+1)</f>
        <v/>
      </c>
      <c r="D3486">
        <f>IF(A3486="","",Ввод!$B$4-SUMIF(Оплаты!$A$6:$A$505,"&lt;"&amp;A3486,Оплаты!$B$6:$B$505))</f>
        <v/>
      </c>
      <c r="E3486">
        <f>IF(A3486="","",IF(SUMPRODUCT((Ввод!$F$12:$F$31&lt;&gt;"")*(Ввод!$F$12:$F$31&lt;=A3486)*(Ввод!$G$12:$G$31&gt;=A3486))&gt;0,1,0))</f>
        <v/>
      </c>
      <c r="F3486">
        <f>IF(OR(A3486="",B3486=""),"",IF(E3486=1,0,D3486*B3486/100/C3486))</f>
        <v/>
      </c>
      <c r="G3486">
        <f>IF(A3486="","",IF(OR(B3486&lt;&gt;B3485,C3486&lt;&gt;C3485,D3486&lt;&gt;D3485,E3486&lt;&gt;E3485),G3485+1,G3485))</f>
        <v/>
      </c>
    </row>
    <row r="3487">
      <c r="A3487" s="14">
        <f>IF(OR(NOT(ISNUMBER(Ввод!$B$5)),NOT(ISNUMBER(Ввод!$B$6))),"",IF(Ввод!$B$5+3485&gt;Ввод!$B$6,"",Ввод!$B$5+3485))</f>
        <v/>
      </c>
      <c r="B3487">
        <f>IF(A3487="","",IFERROR(INDEX(Ввод!$B$12:$B$71,MATCH(A3487,Ввод!$D$12:$D$71,1)),""))</f>
        <v/>
      </c>
      <c r="C3487">
        <f>IF(A3487="","",DATE(YEAR(A3487),12,31)-DATE(YEAR(A3487),1,1)+1)</f>
        <v/>
      </c>
      <c r="D3487">
        <f>IF(A3487="","",Ввод!$B$4-SUMIF(Оплаты!$A$6:$A$505,"&lt;"&amp;A3487,Оплаты!$B$6:$B$505))</f>
        <v/>
      </c>
      <c r="E3487">
        <f>IF(A3487="","",IF(SUMPRODUCT((Ввод!$F$12:$F$31&lt;&gt;"")*(Ввод!$F$12:$F$31&lt;=A3487)*(Ввод!$G$12:$G$31&gt;=A3487))&gt;0,1,0))</f>
        <v/>
      </c>
      <c r="F3487">
        <f>IF(OR(A3487="",B3487=""),"",IF(E3487=1,0,D3487*B3487/100/C3487))</f>
        <v/>
      </c>
      <c r="G3487">
        <f>IF(A3487="","",IF(OR(B3487&lt;&gt;B3486,C3487&lt;&gt;C3486,D3487&lt;&gt;D3486,E3487&lt;&gt;E3486),G3486+1,G3486))</f>
        <v/>
      </c>
    </row>
    <row r="3488">
      <c r="A3488" s="14">
        <f>IF(OR(NOT(ISNUMBER(Ввод!$B$5)),NOT(ISNUMBER(Ввод!$B$6))),"",IF(Ввод!$B$5+3486&gt;Ввод!$B$6,"",Ввод!$B$5+3486))</f>
        <v/>
      </c>
      <c r="B3488">
        <f>IF(A3488="","",IFERROR(INDEX(Ввод!$B$12:$B$71,MATCH(A3488,Ввод!$D$12:$D$71,1)),""))</f>
        <v/>
      </c>
      <c r="C3488">
        <f>IF(A3488="","",DATE(YEAR(A3488),12,31)-DATE(YEAR(A3488),1,1)+1)</f>
        <v/>
      </c>
      <c r="D3488">
        <f>IF(A3488="","",Ввод!$B$4-SUMIF(Оплаты!$A$6:$A$505,"&lt;"&amp;A3488,Оплаты!$B$6:$B$505))</f>
        <v/>
      </c>
      <c r="E3488">
        <f>IF(A3488="","",IF(SUMPRODUCT((Ввод!$F$12:$F$31&lt;&gt;"")*(Ввод!$F$12:$F$31&lt;=A3488)*(Ввод!$G$12:$G$31&gt;=A3488))&gt;0,1,0))</f>
        <v/>
      </c>
      <c r="F3488">
        <f>IF(OR(A3488="",B3488=""),"",IF(E3488=1,0,D3488*B3488/100/C3488))</f>
        <v/>
      </c>
      <c r="G3488">
        <f>IF(A3488="","",IF(OR(B3488&lt;&gt;B3487,C3488&lt;&gt;C3487,D3488&lt;&gt;D3487,E3488&lt;&gt;E3487),G3487+1,G3487))</f>
        <v/>
      </c>
    </row>
    <row r="3489">
      <c r="A3489" s="14">
        <f>IF(OR(NOT(ISNUMBER(Ввод!$B$5)),NOT(ISNUMBER(Ввод!$B$6))),"",IF(Ввод!$B$5+3487&gt;Ввод!$B$6,"",Ввод!$B$5+3487))</f>
        <v/>
      </c>
      <c r="B3489">
        <f>IF(A3489="","",IFERROR(INDEX(Ввод!$B$12:$B$71,MATCH(A3489,Ввод!$D$12:$D$71,1)),""))</f>
        <v/>
      </c>
      <c r="C3489">
        <f>IF(A3489="","",DATE(YEAR(A3489),12,31)-DATE(YEAR(A3489),1,1)+1)</f>
        <v/>
      </c>
      <c r="D3489">
        <f>IF(A3489="","",Ввод!$B$4-SUMIF(Оплаты!$A$6:$A$505,"&lt;"&amp;A3489,Оплаты!$B$6:$B$505))</f>
        <v/>
      </c>
      <c r="E3489">
        <f>IF(A3489="","",IF(SUMPRODUCT((Ввод!$F$12:$F$31&lt;&gt;"")*(Ввод!$F$12:$F$31&lt;=A3489)*(Ввод!$G$12:$G$31&gt;=A3489))&gt;0,1,0))</f>
        <v/>
      </c>
      <c r="F3489">
        <f>IF(OR(A3489="",B3489=""),"",IF(E3489=1,0,D3489*B3489/100/C3489))</f>
        <v/>
      </c>
      <c r="G3489">
        <f>IF(A3489="","",IF(OR(B3489&lt;&gt;B3488,C3489&lt;&gt;C3488,D3489&lt;&gt;D3488,E3489&lt;&gt;E3488),G3488+1,G3488))</f>
        <v/>
      </c>
    </row>
    <row r="3490">
      <c r="A3490" s="14">
        <f>IF(OR(NOT(ISNUMBER(Ввод!$B$5)),NOT(ISNUMBER(Ввод!$B$6))),"",IF(Ввод!$B$5+3488&gt;Ввод!$B$6,"",Ввод!$B$5+3488))</f>
        <v/>
      </c>
      <c r="B3490">
        <f>IF(A3490="","",IFERROR(INDEX(Ввод!$B$12:$B$71,MATCH(A3490,Ввод!$D$12:$D$71,1)),""))</f>
        <v/>
      </c>
      <c r="C3490">
        <f>IF(A3490="","",DATE(YEAR(A3490),12,31)-DATE(YEAR(A3490),1,1)+1)</f>
        <v/>
      </c>
      <c r="D3490">
        <f>IF(A3490="","",Ввод!$B$4-SUMIF(Оплаты!$A$6:$A$505,"&lt;"&amp;A3490,Оплаты!$B$6:$B$505))</f>
        <v/>
      </c>
      <c r="E3490">
        <f>IF(A3490="","",IF(SUMPRODUCT((Ввод!$F$12:$F$31&lt;&gt;"")*(Ввод!$F$12:$F$31&lt;=A3490)*(Ввод!$G$12:$G$31&gt;=A3490))&gt;0,1,0))</f>
        <v/>
      </c>
      <c r="F3490">
        <f>IF(OR(A3490="",B3490=""),"",IF(E3490=1,0,D3490*B3490/100/C3490))</f>
        <v/>
      </c>
      <c r="G3490">
        <f>IF(A3490="","",IF(OR(B3490&lt;&gt;B3489,C3490&lt;&gt;C3489,D3490&lt;&gt;D3489,E3490&lt;&gt;E3489),G3489+1,G3489))</f>
        <v/>
      </c>
    </row>
    <row r="3491">
      <c r="A3491" s="14">
        <f>IF(OR(NOT(ISNUMBER(Ввод!$B$5)),NOT(ISNUMBER(Ввод!$B$6))),"",IF(Ввод!$B$5+3489&gt;Ввод!$B$6,"",Ввод!$B$5+3489))</f>
        <v/>
      </c>
      <c r="B3491">
        <f>IF(A3491="","",IFERROR(INDEX(Ввод!$B$12:$B$71,MATCH(A3491,Ввод!$D$12:$D$71,1)),""))</f>
        <v/>
      </c>
      <c r="C3491">
        <f>IF(A3491="","",DATE(YEAR(A3491),12,31)-DATE(YEAR(A3491),1,1)+1)</f>
        <v/>
      </c>
      <c r="D3491">
        <f>IF(A3491="","",Ввод!$B$4-SUMIF(Оплаты!$A$6:$A$505,"&lt;"&amp;A3491,Оплаты!$B$6:$B$505))</f>
        <v/>
      </c>
      <c r="E3491">
        <f>IF(A3491="","",IF(SUMPRODUCT((Ввод!$F$12:$F$31&lt;&gt;"")*(Ввод!$F$12:$F$31&lt;=A3491)*(Ввод!$G$12:$G$31&gt;=A3491))&gt;0,1,0))</f>
        <v/>
      </c>
      <c r="F3491">
        <f>IF(OR(A3491="",B3491=""),"",IF(E3491=1,0,D3491*B3491/100/C3491))</f>
        <v/>
      </c>
      <c r="G3491">
        <f>IF(A3491="","",IF(OR(B3491&lt;&gt;B3490,C3491&lt;&gt;C3490,D3491&lt;&gt;D3490,E3491&lt;&gt;E3490),G3490+1,G3490))</f>
        <v/>
      </c>
    </row>
    <row r="3492">
      <c r="A3492" s="14">
        <f>IF(OR(NOT(ISNUMBER(Ввод!$B$5)),NOT(ISNUMBER(Ввод!$B$6))),"",IF(Ввод!$B$5+3490&gt;Ввод!$B$6,"",Ввод!$B$5+3490))</f>
        <v/>
      </c>
      <c r="B3492">
        <f>IF(A3492="","",IFERROR(INDEX(Ввод!$B$12:$B$71,MATCH(A3492,Ввод!$D$12:$D$71,1)),""))</f>
        <v/>
      </c>
      <c r="C3492">
        <f>IF(A3492="","",DATE(YEAR(A3492),12,31)-DATE(YEAR(A3492),1,1)+1)</f>
        <v/>
      </c>
      <c r="D3492">
        <f>IF(A3492="","",Ввод!$B$4-SUMIF(Оплаты!$A$6:$A$505,"&lt;"&amp;A3492,Оплаты!$B$6:$B$505))</f>
        <v/>
      </c>
      <c r="E3492">
        <f>IF(A3492="","",IF(SUMPRODUCT((Ввод!$F$12:$F$31&lt;&gt;"")*(Ввод!$F$12:$F$31&lt;=A3492)*(Ввод!$G$12:$G$31&gt;=A3492))&gt;0,1,0))</f>
        <v/>
      </c>
      <c r="F3492">
        <f>IF(OR(A3492="",B3492=""),"",IF(E3492=1,0,D3492*B3492/100/C3492))</f>
        <v/>
      </c>
      <c r="G3492">
        <f>IF(A3492="","",IF(OR(B3492&lt;&gt;B3491,C3492&lt;&gt;C3491,D3492&lt;&gt;D3491,E3492&lt;&gt;E3491),G3491+1,G3491))</f>
        <v/>
      </c>
    </row>
    <row r="3493">
      <c r="A3493" s="14">
        <f>IF(OR(NOT(ISNUMBER(Ввод!$B$5)),NOT(ISNUMBER(Ввод!$B$6))),"",IF(Ввод!$B$5+3491&gt;Ввод!$B$6,"",Ввод!$B$5+3491))</f>
        <v/>
      </c>
      <c r="B3493">
        <f>IF(A3493="","",IFERROR(INDEX(Ввод!$B$12:$B$71,MATCH(A3493,Ввод!$D$12:$D$71,1)),""))</f>
        <v/>
      </c>
      <c r="C3493">
        <f>IF(A3493="","",DATE(YEAR(A3493),12,31)-DATE(YEAR(A3493),1,1)+1)</f>
        <v/>
      </c>
      <c r="D3493">
        <f>IF(A3493="","",Ввод!$B$4-SUMIF(Оплаты!$A$6:$A$505,"&lt;"&amp;A3493,Оплаты!$B$6:$B$505))</f>
        <v/>
      </c>
      <c r="E3493">
        <f>IF(A3493="","",IF(SUMPRODUCT((Ввод!$F$12:$F$31&lt;&gt;"")*(Ввод!$F$12:$F$31&lt;=A3493)*(Ввод!$G$12:$G$31&gt;=A3493))&gt;0,1,0))</f>
        <v/>
      </c>
      <c r="F3493">
        <f>IF(OR(A3493="",B3493=""),"",IF(E3493=1,0,D3493*B3493/100/C3493))</f>
        <v/>
      </c>
      <c r="G3493">
        <f>IF(A3493="","",IF(OR(B3493&lt;&gt;B3492,C3493&lt;&gt;C3492,D3493&lt;&gt;D3492,E3493&lt;&gt;E3492),G3492+1,G3492))</f>
        <v/>
      </c>
    </row>
    <row r="3494">
      <c r="A3494" s="14">
        <f>IF(OR(NOT(ISNUMBER(Ввод!$B$5)),NOT(ISNUMBER(Ввод!$B$6))),"",IF(Ввод!$B$5+3492&gt;Ввод!$B$6,"",Ввод!$B$5+3492))</f>
        <v/>
      </c>
      <c r="B3494">
        <f>IF(A3494="","",IFERROR(INDEX(Ввод!$B$12:$B$71,MATCH(A3494,Ввод!$D$12:$D$71,1)),""))</f>
        <v/>
      </c>
      <c r="C3494">
        <f>IF(A3494="","",DATE(YEAR(A3494),12,31)-DATE(YEAR(A3494),1,1)+1)</f>
        <v/>
      </c>
      <c r="D3494">
        <f>IF(A3494="","",Ввод!$B$4-SUMIF(Оплаты!$A$6:$A$505,"&lt;"&amp;A3494,Оплаты!$B$6:$B$505))</f>
        <v/>
      </c>
      <c r="E3494">
        <f>IF(A3494="","",IF(SUMPRODUCT((Ввод!$F$12:$F$31&lt;&gt;"")*(Ввод!$F$12:$F$31&lt;=A3494)*(Ввод!$G$12:$G$31&gt;=A3494))&gt;0,1,0))</f>
        <v/>
      </c>
      <c r="F3494">
        <f>IF(OR(A3494="",B3494=""),"",IF(E3494=1,0,D3494*B3494/100/C3494))</f>
        <v/>
      </c>
      <c r="G3494">
        <f>IF(A3494="","",IF(OR(B3494&lt;&gt;B3493,C3494&lt;&gt;C3493,D3494&lt;&gt;D3493,E3494&lt;&gt;E3493),G3493+1,G3493))</f>
        <v/>
      </c>
    </row>
    <row r="3495">
      <c r="A3495" s="14">
        <f>IF(OR(NOT(ISNUMBER(Ввод!$B$5)),NOT(ISNUMBER(Ввод!$B$6))),"",IF(Ввод!$B$5+3493&gt;Ввод!$B$6,"",Ввод!$B$5+3493))</f>
        <v/>
      </c>
      <c r="B3495">
        <f>IF(A3495="","",IFERROR(INDEX(Ввод!$B$12:$B$71,MATCH(A3495,Ввод!$D$12:$D$71,1)),""))</f>
        <v/>
      </c>
      <c r="C3495">
        <f>IF(A3495="","",DATE(YEAR(A3495),12,31)-DATE(YEAR(A3495),1,1)+1)</f>
        <v/>
      </c>
      <c r="D3495">
        <f>IF(A3495="","",Ввод!$B$4-SUMIF(Оплаты!$A$6:$A$505,"&lt;"&amp;A3495,Оплаты!$B$6:$B$505))</f>
        <v/>
      </c>
      <c r="E3495">
        <f>IF(A3495="","",IF(SUMPRODUCT((Ввод!$F$12:$F$31&lt;&gt;"")*(Ввод!$F$12:$F$31&lt;=A3495)*(Ввод!$G$12:$G$31&gt;=A3495))&gt;0,1,0))</f>
        <v/>
      </c>
      <c r="F3495">
        <f>IF(OR(A3495="",B3495=""),"",IF(E3495=1,0,D3495*B3495/100/C3495))</f>
        <v/>
      </c>
      <c r="G3495">
        <f>IF(A3495="","",IF(OR(B3495&lt;&gt;B3494,C3495&lt;&gt;C3494,D3495&lt;&gt;D3494,E3495&lt;&gt;E3494),G3494+1,G3494))</f>
        <v/>
      </c>
    </row>
    <row r="3496">
      <c r="A3496" s="14">
        <f>IF(OR(NOT(ISNUMBER(Ввод!$B$5)),NOT(ISNUMBER(Ввод!$B$6))),"",IF(Ввод!$B$5+3494&gt;Ввод!$B$6,"",Ввод!$B$5+3494))</f>
        <v/>
      </c>
      <c r="B3496">
        <f>IF(A3496="","",IFERROR(INDEX(Ввод!$B$12:$B$71,MATCH(A3496,Ввод!$D$12:$D$71,1)),""))</f>
        <v/>
      </c>
      <c r="C3496">
        <f>IF(A3496="","",DATE(YEAR(A3496),12,31)-DATE(YEAR(A3496),1,1)+1)</f>
        <v/>
      </c>
      <c r="D3496">
        <f>IF(A3496="","",Ввод!$B$4-SUMIF(Оплаты!$A$6:$A$505,"&lt;"&amp;A3496,Оплаты!$B$6:$B$505))</f>
        <v/>
      </c>
      <c r="E3496">
        <f>IF(A3496="","",IF(SUMPRODUCT((Ввод!$F$12:$F$31&lt;&gt;"")*(Ввод!$F$12:$F$31&lt;=A3496)*(Ввод!$G$12:$G$31&gt;=A3496))&gt;0,1,0))</f>
        <v/>
      </c>
      <c r="F3496">
        <f>IF(OR(A3496="",B3496=""),"",IF(E3496=1,0,D3496*B3496/100/C3496))</f>
        <v/>
      </c>
      <c r="G3496">
        <f>IF(A3496="","",IF(OR(B3496&lt;&gt;B3495,C3496&lt;&gt;C3495,D3496&lt;&gt;D3495,E3496&lt;&gt;E3495),G3495+1,G3495))</f>
        <v/>
      </c>
    </row>
    <row r="3497">
      <c r="A3497" s="14">
        <f>IF(OR(NOT(ISNUMBER(Ввод!$B$5)),NOT(ISNUMBER(Ввод!$B$6))),"",IF(Ввод!$B$5+3495&gt;Ввод!$B$6,"",Ввод!$B$5+3495))</f>
        <v/>
      </c>
      <c r="B3497">
        <f>IF(A3497="","",IFERROR(INDEX(Ввод!$B$12:$B$71,MATCH(A3497,Ввод!$D$12:$D$71,1)),""))</f>
        <v/>
      </c>
      <c r="C3497">
        <f>IF(A3497="","",DATE(YEAR(A3497),12,31)-DATE(YEAR(A3497),1,1)+1)</f>
        <v/>
      </c>
      <c r="D3497">
        <f>IF(A3497="","",Ввод!$B$4-SUMIF(Оплаты!$A$6:$A$505,"&lt;"&amp;A3497,Оплаты!$B$6:$B$505))</f>
        <v/>
      </c>
      <c r="E3497">
        <f>IF(A3497="","",IF(SUMPRODUCT((Ввод!$F$12:$F$31&lt;&gt;"")*(Ввод!$F$12:$F$31&lt;=A3497)*(Ввод!$G$12:$G$31&gt;=A3497))&gt;0,1,0))</f>
        <v/>
      </c>
      <c r="F3497">
        <f>IF(OR(A3497="",B3497=""),"",IF(E3497=1,0,D3497*B3497/100/C3497))</f>
        <v/>
      </c>
      <c r="G3497">
        <f>IF(A3497="","",IF(OR(B3497&lt;&gt;B3496,C3497&lt;&gt;C3496,D3497&lt;&gt;D3496,E3497&lt;&gt;E3496),G3496+1,G3496))</f>
        <v/>
      </c>
    </row>
    <row r="3498">
      <c r="A3498" s="14">
        <f>IF(OR(NOT(ISNUMBER(Ввод!$B$5)),NOT(ISNUMBER(Ввод!$B$6))),"",IF(Ввод!$B$5+3496&gt;Ввод!$B$6,"",Ввод!$B$5+3496))</f>
        <v/>
      </c>
      <c r="B3498">
        <f>IF(A3498="","",IFERROR(INDEX(Ввод!$B$12:$B$71,MATCH(A3498,Ввод!$D$12:$D$71,1)),""))</f>
        <v/>
      </c>
      <c r="C3498">
        <f>IF(A3498="","",DATE(YEAR(A3498),12,31)-DATE(YEAR(A3498),1,1)+1)</f>
        <v/>
      </c>
      <c r="D3498">
        <f>IF(A3498="","",Ввод!$B$4-SUMIF(Оплаты!$A$6:$A$505,"&lt;"&amp;A3498,Оплаты!$B$6:$B$505))</f>
        <v/>
      </c>
      <c r="E3498">
        <f>IF(A3498="","",IF(SUMPRODUCT((Ввод!$F$12:$F$31&lt;&gt;"")*(Ввод!$F$12:$F$31&lt;=A3498)*(Ввод!$G$12:$G$31&gt;=A3498))&gt;0,1,0))</f>
        <v/>
      </c>
      <c r="F3498">
        <f>IF(OR(A3498="",B3498=""),"",IF(E3498=1,0,D3498*B3498/100/C3498))</f>
        <v/>
      </c>
      <c r="G3498">
        <f>IF(A3498="","",IF(OR(B3498&lt;&gt;B3497,C3498&lt;&gt;C3497,D3498&lt;&gt;D3497,E3498&lt;&gt;E3497),G3497+1,G3497))</f>
        <v/>
      </c>
    </row>
    <row r="3499">
      <c r="A3499" s="14">
        <f>IF(OR(NOT(ISNUMBER(Ввод!$B$5)),NOT(ISNUMBER(Ввод!$B$6))),"",IF(Ввод!$B$5+3497&gt;Ввод!$B$6,"",Ввод!$B$5+3497))</f>
        <v/>
      </c>
      <c r="B3499">
        <f>IF(A3499="","",IFERROR(INDEX(Ввод!$B$12:$B$71,MATCH(A3499,Ввод!$D$12:$D$71,1)),""))</f>
        <v/>
      </c>
      <c r="C3499">
        <f>IF(A3499="","",DATE(YEAR(A3499),12,31)-DATE(YEAR(A3499),1,1)+1)</f>
        <v/>
      </c>
      <c r="D3499">
        <f>IF(A3499="","",Ввод!$B$4-SUMIF(Оплаты!$A$6:$A$505,"&lt;"&amp;A3499,Оплаты!$B$6:$B$505))</f>
        <v/>
      </c>
      <c r="E3499">
        <f>IF(A3499="","",IF(SUMPRODUCT((Ввод!$F$12:$F$31&lt;&gt;"")*(Ввод!$F$12:$F$31&lt;=A3499)*(Ввод!$G$12:$G$31&gt;=A3499))&gt;0,1,0))</f>
        <v/>
      </c>
      <c r="F3499">
        <f>IF(OR(A3499="",B3499=""),"",IF(E3499=1,0,D3499*B3499/100/C3499))</f>
        <v/>
      </c>
      <c r="G3499">
        <f>IF(A3499="","",IF(OR(B3499&lt;&gt;B3498,C3499&lt;&gt;C3498,D3499&lt;&gt;D3498,E3499&lt;&gt;E3498),G3498+1,G3498))</f>
        <v/>
      </c>
    </row>
    <row r="3500">
      <c r="A3500" s="14">
        <f>IF(OR(NOT(ISNUMBER(Ввод!$B$5)),NOT(ISNUMBER(Ввод!$B$6))),"",IF(Ввод!$B$5+3498&gt;Ввод!$B$6,"",Ввод!$B$5+3498))</f>
        <v/>
      </c>
      <c r="B3500">
        <f>IF(A3500="","",IFERROR(INDEX(Ввод!$B$12:$B$71,MATCH(A3500,Ввод!$D$12:$D$71,1)),""))</f>
        <v/>
      </c>
      <c r="C3500">
        <f>IF(A3500="","",DATE(YEAR(A3500),12,31)-DATE(YEAR(A3500),1,1)+1)</f>
        <v/>
      </c>
      <c r="D3500">
        <f>IF(A3500="","",Ввод!$B$4-SUMIF(Оплаты!$A$6:$A$505,"&lt;"&amp;A3500,Оплаты!$B$6:$B$505))</f>
        <v/>
      </c>
      <c r="E3500">
        <f>IF(A3500="","",IF(SUMPRODUCT((Ввод!$F$12:$F$31&lt;&gt;"")*(Ввод!$F$12:$F$31&lt;=A3500)*(Ввод!$G$12:$G$31&gt;=A3500))&gt;0,1,0))</f>
        <v/>
      </c>
      <c r="F3500">
        <f>IF(OR(A3500="",B3500=""),"",IF(E3500=1,0,D3500*B3500/100/C3500))</f>
        <v/>
      </c>
      <c r="G3500">
        <f>IF(A3500="","",IF(OR(B3500&lt;&gt;B3499,C3500&lt;&gt;C3499,D3500&lt;&gt;D3499,E3500&lt;&gt;E3499),G3499+1,G3499))</f>
        <v/>
      </c>
    </row>
    <row r="3501">
      <c r="A3501" s="14">
        <f>IF(OR(NOT(ISNUMBER(Ввод!$B$5)),NOT(ISNUMBER(Ввод!$B$6))),"",IF(Ввод!$B$5+3499&gt;Ввод!$B$6,"",Ввод!$B$5+3499))</f>
        <v/>
      </c>
      <c r="B3501">
        <f>IF(A3501="","",IFERROR(INDEX(Ввод!$B$12:$B$71,MATCH(A3501,Ввод!$D$12:$D$71,1)),""))</f>
        <v/>
      </c>
      <c r="C3501">
        <f>IF(A3501="","",DATE(YEAR(A3501),12,31)-DATE(YEAR(A3501),1,1)+1)</f>
        <v/>
      </c>
      <c r="D3501">
        <f>IF(A3501="","",Ввод!$B$4-SUMIF(Оплаты!$A$6:$A$505,"&lt;"&amp;A3501,Оплаты!$B$6:$B$505))</f>
        <v/>
      </c>
      <c r="E3501">
        <f>IF(A3501="","",IF(SUMPRODUCT((Ввод!$F$12:$F$31&lt;&gt;"")*(Ввод!$F$12:$F$31&lt;=A3501)*(Ввод!$G$12:$G$31&gt;=A3501))&gt;0,1,0))</f>
        <v/>
      </c>
      <c r="F3501">
        <f>IF(OR(A3501="",B3501=""),"",IF(E3501=1,0,D3501*B3501/100/C3501))</f>
        <v/>
      </c>
      <c r="G3501">
        <f>IF(A3501="","",IF(OR(B3501&lt;&gt;B3500,C3501&lt;&gt;C3500,D3501&lt;&gt;D3500,E3501&lt;&gt;E3500),G3500+1,G3500))</f>
        <v/>
      </c>
    </row>
    <row r="3502">
      <c r="A3502" s="14">
        <f>IF(OR(NOT(ISNUMBER(Ввод!$B$5)),NOT(ISNUMBER(Ввод!$B$6))),"",IF(Ввод!$B$5+3500&gt;Ввод!$B$6,"",Ввод!$B$5+3500))</f>
        <v/>
      </c>
      <c r="B3502">
        <f>IF(A3502="","",IFERROR(INDEX(Ввод!$B$12:$B$71,MATCH(A3502,Ввод!$D$12:$D$71,1)),""))</f>
        <v/>
      </c>
      <c r="C3502">
        <f>IF(A3502="","",DATE(YEAR(A3502),12,31)-DATE(YEAR(A3502),1,1)+1)</f>
        <v/>
      </c>
      <c r="D3502">
        <f>IF(A3502="","",Ввод!$B$4-SUMIF(Оплаты!$A$6:$A$505,"&lt;"&amp;A3502,Оплаты!$B$6:$B$505))</f>
        <v/>
      </c>
      <c r="E3502">
        <f>IF(A3502="","",IF(SUMPRODUCT((Ввод!$F$12:$F$31&lt;&gt;"")*(Ввод!$F$12:$F$31&lt;=A3502)*(Ввод!$G$12:$G$31&gt;=A3502))&gt;0,1,0))</f>
        <v/>
      </c>
      <c r="F3502">
        <f>IF(OR(A3502="",B3502=""),"",IF(E3502=1,0,D3502*B3502/100/C3502))</f>
        <v/>
      </c>
      <c r="G3502">
        <f>IF(A3502="","",IF(OR(B3502&lt;&gt;B3501,C3502&lt;&gt;C3501,D3502&lt;&gt;D3501,E3502&lt;&gt;E3501),G3501+1,G3501))</f>
        <v/>
      </c>
    </row>
    <row r="3503">
      <c r="A3503" s="14">
        <f>IF(OR(NOT(ISNUMBER(Ввод!$B$5)),NOT(ISNUMBER(Ввод!$B$6))),"",IF(Ввод!$B$5+3501&gt;Ввод!$B$6,"",Ввод!$B$5+3501))</f>
        <v/>
      </c>
      <c r="B3503">
        <f>IF(A3503="","",IFERROR(INDEX(Ввод!$B$12:$B$71,MATCH(A3503,Ввод!$D$12:$D$71,1)),""))</f>
        <v/>
      </c>
      <c r="C3503">
        <f>IF(A3503="","",DATE(YEAR(A3503),12,31)-DATE(YEAR(A3503),1,1)+1)</f>
        <v/>
      </c>
      <c r="D3503">
        <f>IF(A3503="","",Ввод!$B$4-SUMIF(Оплаты!$A$6:$A$505,"&lt;"&amp;A3503,Оплаты!$B$6:$B$505))</f>
        <v/>
      </c>
      <c r="E3503">
        <f>IF(A3503="","",IF(SUMPRODUCT((Ввод!$F$12:$F$31&lt;&gt;"")*(Ввод!$F$12:$F$31&lt;=A3503)*(Ввод!$G$12:$G$31&gt;=A3503))&gt;0,1,0))</f>
        <v/>
      </c>
      <c r="F3503">
        <f>IF(OR(A3503="",B3503=""),"",IF(E3503=1,0,D3503*B3503/100/C3503))</f>
        <v/>
      </c>
      <c r="G3503">
        <f>IF(A3503="","",IF(OR(B3503&lt;&gt;B3502,C3503&lt;&gt;C3502,D3503&lt;&gt;D3502,E3503&lt;&gt;E3502),G3502+1,G3502))</f>
        <v/>
      </c>
    </row>
    <row r="3504">
      <c r="A3504" s="14">
        <f>IF(OR(NOT(ISNUMBER(Ввод!$B$5)),NOT(ISNUMBER(Ввод!$B$6))),"",IF(Ввод!$B$5+3502&gt;Ввод!$B$6,"",Ввод!$B$5+3502))</f>
        <v/>
      </c>
      <c r="B3504">
        <f>IF(A3504="","",IFERROR(INDEX(Ввод!$B$12:$B$71,MATCH(A3504,Ввод!$D$12:$D$71,1)),""))</f>
        <v/>
      </c>
      <c r="C3504">
        <f>IF(A3504="","",DATE(YEAR(A3504),12,31)-DATE(YEAR(A3504),1,1)+1)</f>
        <v/>
      </c>
      <c r="D3504">
        <f>IF(A3504="","",Ввод!$B$4-SUMIF(Оплаты!$A$6:$A$505,"&lt;"&amp;A3504,Оплаты!$B$6:$B$505))</f>
        <v/>
      </c>
      <c r="E3504">
        <f>IF(A3504="","",IF(SUMPRODUCT((Ввод!$F$12:$F$31&lt;&gt;"")*(Ввод!$F$12:$F$31&lt;=A3504)*(Ввод!$G$12:$G$31&gt;=A3504))&gt;0,1,0))</f>
        <v/>
      </c>
      <c r="F3504">
        <f>IF(OR(A3504="",B3504=""),"",IF(E3504=1,0,D3504*B3504/100/C3504))</f>
        <v/>
      </c>
      <c r="G3504">
        <f>IF(A3504="","",IF(OR(B3504&lt;&gt;B3503,C3504&lt;&gt;C3503,D3504&lt;&gt;D3503,E3504&lt;&gt;E3503),G3503+1,G3503))</f>
        <v/>
      </c>
    </row>
    <row r="3505">
      <c r="A3505" s="14">
        <f>IF(OR(NOT(ISNUMBER(Ввод!$B$5)),NOT(ISNUMBER(Ввод!$B$6))),"",IF(Ввод!$B$5+3503&gt;Ввод!$B$6,"",Ввод!$B$5+3503))</f>
        <v/>
      </c>
      <c r="B3505">
        <f>IF(A3505="","",IFERROR(INDEX(Ввод!$B$12:$B$71,MATCH(A3505,Ввод!$D$12:$D$71,1)),""))</f>
        <v/>
      </c>
      <c r="C3505">
        <f>IF(A3505="","",DATE(YEAR(A3505),12,31)-DATE(YEAR(A3505),1,1)+1)</f>
        <v/>
      </c>
      <c r="D3505">
        <f>IF(A3505="","",Ввод!$B$4-SUMIF(Оплаты!$A$6:$A$505,"&lt;"&amp;A3505,Оплаты!$B$6:$B$505))</f>
        <v/>
      </c>
      <c r="E3505">
        <f>IF(A3505="","",IF(SUMPRODUCT((Ввод!$F$12:$F$31&lt;&gt;"")*(Ввод!$F$12:$F$31&lt;=A3505)*(Ввод!$G$12:$G$31&gt;=A3505))&gt;0,1,0))</f>
        <v/>
      </c>
      <c r="F3505">
        <f>IF(OR(A3505="",B3505=""),"",IF(E3505=1,0,D3505*B3505/100/C3505))</f>
        <v/>
      </c>
      <c r="G3505">
        <f>IF(A3505="","",IF(OR(B3505&lt;&gt;B3504,C3505&lt;&gt;C3504,D3505&lt;&gt;D3504,E3505&lt;&gt;E3504),G3504+1,G3504))</f>
        <v/>
      </c>
    </row>
    <row r="3506">
      <c r="A3506" s="14">
        <f>IF(OR(NOT(ISNUMBER(Ввод!$B$5)),NOT(ISNUMBER(Ввод!$B$6))),"",IF(Ввод!$B$5+3504&gt;Ввод!$B$6,"",Ввод!$B$5+3504))</f>
        <v/>
      </c>
      <c r="B3506">
        <f>IF(A3506="","",IFERROR(INDEX(Ввод!$B$12:$B$71,MATCH(A3506,Ввод!$D$12:$D$71,1)),""))</f>
        <v/>
      </c>
      <c r="C3506">
        <f>IF(A3506="","",DATE(YEAR(A3506),12,31)-DATE(YEAR(A3506),1,1)+1)</f>
        <v/>
      </c>
      <c r="D3506">
        <f>IF(A3506="","",Ввод!$B$4-SUMIF(Оплаты!$A$6:$A$505,"&lt;"&amp;A3506,Оплаты!$B$6:$B$505))</f>
        <v/>
      </c>
      <c r="E3506">
        <f>IF(A3506="","",IF(SUMPRODUCT((Ввод!$F$12:$F$31&lt;&gt;"")*(Ввод!$F$12:$F$31&lt;=A3506)*(Ввод!$G$12:$G$31&gt;=A3506))&gt;0,1,0))</f>
        <v/>
      </c>
      <c r="F3506">
        <f>IF(OR(A3506="",B3506=""),"",IF(E3506=1,0,D3506*B3506/100/C3506))</f>
        <v/>
      </c>
      <c r="G3506">
        <f>IF(A3506="","",IF(OR(B3506&lt;&gt;B3505,C3506&lt;&gt;C3505,D3506&lt;&gt;D3505,E3506&lt;&gt;E3505),G3505+1,G3505))</f>
        <v/>
      </c>
    </row>
    <row r="3507">
      <c r="A3507" s="14">
        <f>IF(OR(NOT(ISNUMBER(Ввод!$B$5)),NOT(ISNUMBER(Ввод!$B$6))),"",IF(Ввод!$B$5+3505&gt;Ввод!$B$6,"",Ввод!$B$5+3505))</f>
        <v/>
      </c>
      <c r="B3507">
        <f>IF(A3507="","",IFERROR(INDEX(Ввод!$B$12:$B$71,MATCH(A3507,Ввод!$D$12:$D$71,1)),""))</f>
        <v/>
      </c>
      <c r="C3507">
        <f>IF(A3507="","",DATE(YEAR(A3507),12,31)-DATE(YEAR(A3507),1,1)+1)</f>
        <v/>
      </c>
      <c r="D3507">
        <f>IF(A3507="","",Ввод!$B$4-SUMIF(Оплаты!$A$6:$A$505,"&lt;"&amp;A3507,Оплаты!$B$6:$B$505))</f>
        <v/>
      </c>
      <c r="E3507">
        <f>IF(A3507="","",IF(SUMPRODUCT((Ввод!$F$12:$F$31&lt;&gt;"")*(Ввод!$F$12:$F$31&lt;=A3507)*(Ввод!$G$12:$G$31&gt;=A3507))&gt;0,1,0))</f>
        <v/>
      </c>
      <c r="F3507">
        <f>IF(OR(A3507="",B3507=""),"",IF(E3507=1,0,D3507*B3507/100/C3507))</f>
        <v/>
      </c>
      <c r="G3507">
        <f>IF(A3507="","",IF(OR(B3507&lt;&gt;B3506,C3507&lt;&gt;C3506,D3507&lt;&gt;D3506,E3507&lt;&gt;E3506),G3506+1,G3506))</f>
        <v/>
      </c>
    </row>
    <row r="3508">
      <c r="A3508" s="14">
        <f>IF(OR(NOT(ISNUMBER(Ввод!$B$5)),NOT(ISNUMBER(Ввод!$B$6))),"",IF(Ввод!$B$5+3506&gt;Ввод!$B$6,"",Ввод!$B$5+3506))</f>
        <v/>
      </c>
      <c r="B3508">
        <f>IF(A3508="","",IFERROR(INDEX(Ввод!$B$12:$B$71,MATCH(A3508,Ввод!$D$12:$D$71,1)),""))</f>
        <v/>
      </c>
      <c r="C3508">
        <f>IF(A3508="","",DATE(YEAR(A3508),12,31)-DATE(YEAR(A3508),1,1)+1)</f>
        <v/>
      </c>
      <c r="D3508">
        <f>IF(A3508="","",Ввод!$B$4-SUMIF(Оплаты!$A$6:$A$505,"&lt;"&amp;A3508,Оплаты!$B$6:$B$505))</f>
        <v/>
      </c>
      <c r="E3508">
        <f>IF(A3508="","",IF(SUMPRODUCT((Ввод!$F$12:$F$31&lt;&gt;"")*(Ввод!$F$12:$F$31&lt;=A3508)*(Ввод!$G$12:$G$31&gt;=A3508))&gt;0,1,0))</f>
        <v/>
      </c>
      <c r="F3508">
        <f>IF(OR(A3508="",B3508=""),"",IF(E3508=1,0,D3508*B3508/100/C3508))</f>
        <v/>
      </c>
      <c r="G3508">
        <f>IF(A3508="","",IF(OR(B3508&lt;&gt;B3507,C3508&lt;&gt;C3507,D3508&lt;&gt;D3507,E3508&lt;&gt;E3507),G3507+1,G3507))</f>
        <v/>
      </c>
    </row>
    <row r="3509">
      <c r="A3509" s="14">
        <f>IF(OR(NOT(ISNUMBER(Ввод!$B$5)),NOT(ISNUMBER(Ввод!$B$6))),"",IF(Ввод!$B$5+3507&gt;Ввод!$B$6,"",Ввод!$B$5+3507))</f>
        <v/>
      </c>
      <c r="B3509">
        <f>IF(A3509="","",IFERROR(INDEX(Ввод!$B$12:$B$71,MATCH(A3509,Ввод!$D$12:$D$71,1)),""))</f>
        <v/>
      </c>
      <c r="C3509">
        <f>IF(A3509="","",DATE(YEAR(A3509),12,31)-DATE(YEAR(A3509),1,1)+1)</f>
        <v/>
      </c>
      <c r="D3509">
        <f>IF(A3509="","",Ввод!$B$4-SUMIF(Оплаты!$A$6:$A$505,"&lt;"&amp;A3509,Оплаты!$B$6:$B$505))</f>
        <v/>
      </c>
      <c r="E3509">
        <f>IF(A3509="","",IF(SUMPRODUCT((Ввод!$F$12:$F$31&lt;&gt;"")*(Ввод!$F$12:$F$31&lt;=A3509)*(Ввод!$G$12:$G$31&gt;=A3509))&gt;0,1,0))</f>
        <v/>
      </c>
      <c r="F3509">
        <f>IF(OR(A3509="",B3509=""),"",IF(E3509=1,0,D3509*B3509/100/C3509))</f>
        <v/>
      </c>
      <c r="G3509">
        <f>IF(A3509="","",IF(OR(B3509&lt;&gt;B3508,C3509&lt;&gt;C3508,D3509&lt;&gt;D3508,E3509&lt;&gt;E3508),G3508+1,G3508))</f>
        <v/>
      </c>
    </row>
    <row r="3510">
      <c r="A3510" s="14">
        <f>IF(OR(NOT(ISNUMBER(Ввод!$B$5)),NOT(ISNUMBER(Ввод!$B$6))),"",IF(Ввод!$B$5+3508&gt;Ввод!$B$6,"",Ввод!$B$5+3508))</f>
        <v/>
      </c>
      <c r="B3510">
        <f>IF(A3510="","",IFERROR(INDEX(Ввод!$B$12:$B$71,MATCH(A3510,Ввод!$D$12:$D$71,1)),""))</f>
        <v/>
      </c>
      <c r="C3510">
        <f>IF(A3510="","",DATE(YEAR(A3510),12,31)-DATE(YEAR(A3510),1,1)+1)</f>
        <v/>
      </c>
      <c r="D3510">
        <f>IF(A3510="","",Ввод!$B$4-SUMIF(Оплаты!$A$6:$A$505,"&lt;"&amp;A3510,Оплаты!$B$6:$B$505))</f>
        <v/>
      </c>
      <c r="E3510">
        <f>IF(A3510="","",IF(SUMPRODUCT((Ввод!$F$12:$F$31&lt;&gt;"")*(Ввод!$F$12:$F$31&lt;=A3510)*(Ввод!$G$12:$G$31&gt;=A3510))&gt;0,1,0))</f>
        <v/>
      </c>
      <c r="F3510">
        <f>IF(OR(A3510="",B3510=""),"",IF(E3510=1,0,D3510*B3510/100/C3510))</f>
        <v/>
      </c>
      <c r="G3510">
        <f>IF(A3510="","",IF(OR(B3510&lt;&gt;B3509,C3510&lt;&gt;C3509,D3510&lt;&gt;D3509,E3510&lt;&gt;E3509),G3509+1,G3509))</f>
        <v/>
      </c>
    </row>
    <row r="3511">
      <c r="A3511" s="14">
        <f>IF(OR(NOT(ISNUMBER(Ввод!$B$5)),NOT(ISNUMBER(Ввод!$B$6))),"",IF(Ввод!$B$5+3509&gt;Ввод!$B$6,"",Ввод!$B$5+3509))</f>
        <v/>
      </c>
      <c r="B3511">
        <f>IF(A3511="","",IFERROR(INDEX(Ввод!$B$12:$B$71,MATCH(A3511,Ввод!$D$12:$D$71,1)),""))</f>
        <v/>
      </c>
      <c r="C3511">
        <f>IF(A3511="","",DATE(YEAR(A3511),12,31)-DATE(YEAR(A3511),1,1)+1)</f>
        <v/>
      </c>
      <c r="D3511">
        <f>IF(A3511="","",Ввод!$B$4-SUMIF(Оплаты!$A$6:$A$505,"&lt;"&amp;A3511,Оплаты!$B$6:$B$505))</f>
        <v/>
      </c>
      <c r="E3511">
        <f>IF(A3511="","",IF(SUMPRODUCT((Ввод!$F$12:$F$31&lt;&gt;"")*(Ввод!$F$12:$F$31&lt;=A3511)*(Ввод!$G$12:$G$31&gt;=A3511))&gt;0,1,0))</f>
        <v/>
      </c>
      <c r="F3511">
        <f>IF(OR(A3511="",B3511=""),"",IF(E3511=1,0,D3511*B3511/100/C3511))</f>
        <v/>
      </c>
      <c r="G3511">
        <f>IF(A3511="","",IF(OR(B3511&lt;&gt;B3510,C3511&lt;&gt;C3510,D3511&lt;&gt;D3510,E3511&lt;&gt;E3510),G3510+1,G3510))</f>
        <v/>
      </c>
    </row>
    <row r="3512">
      <c r="A3512" s="14">
        <f>IF(OR(NOT(ISNUMBER(Ввод!$B$5)),NOT(ISNUMBER(Ввод!$B$6))),"",IF(Ввод!$B$5+3510&gt;Ввод!$B$6,"",Ввод!$B$5+3510))</f>
        <v/>
      </c>
      <c r="B3512">
        <f>IF(A3512="","",IFERROR(INDEX(Ввод!$B$12:$B$71,MATCH(A3512,Ввод!$D$12:$D$71,1)),""))</f>
        <v/>
      </c>
      <c r="C3512">
        <f>IF(A3512="","",DATE(YEAR(A3512),12,31)-DATE(YEAR(A3512),1,1)+1)</f>
        <v/>
      </c>
      <c r="D3512">
        <f>IF(A3512="","",Ввод!$B$4-SUMIF(Оплаты!$A$6:$A$505,"&lt;"&amp;A3512,Оплаты!$B$6:$B$505))</f>
        <v/>
      </c>
      <c r="E3512">
        <f>IF(A3512="","",IF(SUMPRODUCT((Ввод!$F$12:$F$31&lt;&gt;"")*(Ввод!$F$12:$F$31&lt;=A3512)*(Ввод!$G$12:$G$31&gt;=A3512))&gt;0,1,0))</f>
        <v/>
      </c>
      <c r="F3512">
        <f>IF(OR(A3512="",B3512=""),"",IF(E3512=1,0,D3512*B3512/100/C3512))</f>
        <v/>
      </c>
      <c r="G3512">
        <f>IF(A3512="","",IF(OR(B3512&lt;&gt;B3511,C3512&lt;&gt;C3511,D3512&lt;&gt;D3511,E3512&lt;&gt;E3511),G3511+1,G3511))</f>
        <v/>
      </c>
    </row>
    <row r="3513">
      <c r="A3513" s="14">
        <f>IF(OR(NOT(ISNUMBER(Ввод!$B$5)),NOT(ISNUMBER(Ввод!$B$6))),"",IF(Ввод!$B$5+3511&gt;Ввод!$B$6,"",Ввод!$B$5+3511))</f>
        <v/>
      </c>
      <c r="B3513">
        <f>IF(A3513="","",IFERROR(INDEX(Ввод!$B$12:$B$71,MATCH(A3513,Ввод!$D$12:$D$71,1)),""))</f>
        <v/>
      </c>
      <c r="C3513">
        <f>IF(A3513="","",DATE(YEAR(A3513),12,31)-DATE(YEAR(A3513),1,1)+1)</f>
        <v/>
      </c>
      <c r="D3513">
        <f>IF(A3513="","",Ввод!$B$4-SUMIF(Оплаты!$A$6:$A$505,"&lt;"&amp;A3513,Оплаты!$B$6:$B$505))</f>
        <v/>
      </c>
      <c r="E3513">
        <f>IF(A3513="","",IF(SUMPRODUCT((Ввод!$F$12:$F$31&lt;&gt;"")*(Ввод!$F$12:$F$31&lt;=A3513)*(Ввод!$G$12:$G$31&gt;=A3513))&gt;0,1,0))</f>
        <v/>
      </c>
      <c r="F3513">
        <f>IF(OR(A3513="",B3513=""),"",IF(E3513=1,0,D3513*B3513/100/C3513))</f>
        <v/>
      </c>
      <c r="G3513">
        <f>IF(A3513="","",IF(OR(B3513&lt;&gt;B3512,C3513&lt;&gt;C3512,D3513&lt;&gt;D3512,E3513&lt;&gt;E3512),G3512+1,G3512))</f>
        <v/>
      </c>
    </row>
    <row r="3514">
      <c r="A3514" s="14">
        <f>IF(OR(NOT(ISNUMBER(Ввод!$B$5)),NOT(ISNUMBER(Ввод!$B$6))),"",IF(Ввод!$B$5+3512&gt;Ввод!$B$6,"",Ввод!$B$5+3512))</f>
        <v/>
      </c>
      <c r="B3514">
        <f>IF(A3514="","",IFERROR(INDEX(Ввод!$B$12:$B$71,MATCH(A3514,Ввод!$D$12:$D$71,1)),""))</f>
        <v/>
      </c>
      <c r="C3514">
        <f>IF(A3514="","",DATE(YEAR(A3514),12,31)-DATE(YEAR(A3514),1,1)+1)</f>
        <v/>
      </c>
      <c r="D3514">
        <f>IF(A3514="","",Ввод!$B$4-SUMIF(Оплаты!$A$6:$A$505,"&lt;"&amp;A3514,Оплаты!$B$6:$B$505))</f>
        <v/>
      </c>
      <c r="E3514">
        <f>IF(A3514="","",IF(SUMPRODUCT((Ввод!$F$12:$F$31&lt;&gt;"")*(Ввод!$F$12:$F$31&lt;=A3514)*(Ввод!$G$12:$G$31&gt;=A3514))&gt;0,1,0))</f>
        <v/>
      </c>
      <c r="F3514">
        <f>IF(OR(A3514="",B3514=""),"",IF(E3514=1,0,D3514*B3514/100/C3514))</f>
        <v/>
      </c>
      <c r="G3514">
        <f>IF(A3514="","",IF(OR(B3514&lt;&gt;B3513,C3514&lt;&gt;C3513,D3514&lt;&gt;D3513,E3514&lt;&gt;E3513),G3513+1,G3513))</f>
        <v/>
      </c>
    </row>
    <row r="3515">
      <c r="A3515" s="14">
        <f>IF(OR(NOT(ISNUMBER(Ввод!$B$5)),NOT(ISNUMBER(Ввод!$B$6))),"",IF(Ввод!$B$5+3513&gt;Ввод!$B$6,"",Ввод!$B$5+3513))</f>
        <v/>
      </c>
      <c r="B3515">
        <f>IF(A3515="","",IFERROR(INDEX(Ввод!$B$12:$B$71,MATCH(A3515,Ввод!$D$12:$D$71,1)),""))</f>
        <v/>
      </c>
      <c r="C3515">
        <f>IF(A3515="","",DATE(YEAR(A3515),12,31)-DATE(YEAR(A3515),1,1)+1)</f>
        <v/>
      </c>
      <c r="D3515">
        <f>IF(A3515="","",Ввод!$B$4-SUMIF(Оплаты!$A$6:$A$505,"&lt;"&amp;A3515,Оплаты!$B$6:$B$505))</f>
        <v/>
      </c>
      <c r="E3515">
        <f>IF(A3515="","",IF(SUMPRODUCT((Ввод!$F$12:$F$31&lt;&gt;"")*(Ввод!$F$12:$F$31&lt;=A3515)*(Ввод!$G$12:$G$31&gt;=A3515))&gt;0,1,0))</f>
        <v/>
      </c>
      <c r="F3515">
        <f>IF(OR(A3515="",B3515=""),"",IF(E3515=1,0,D3515*B3515/100/C3515))</f>
        <v/>
      </c>
      <c r="G3515">
        <f>IF(A3515="","",IF(OR(B3515&lt;&gt;B3514,C3515&lt;&gt;C3514,D3515&lt;&gt;D3514,E3515&lt;&gt;E3514),G3514+1,G3514))</f>
        <v/>
      </c>
    </row>
    <row r="3516">
      <c r="A3516" s="14">
        <f>IF(OR(NOT(ISNUMBER(Ввод!$B$5)),NOT(ISNUMBER(Ввод!$B$6))),"",IF(Ввод!$B$5+3514&gt;Ввод!$B$6,"",Ввод!$B$5+3514))</f>
        <v/>
      </c>
      <c r="B3516">
        <f>IF(A3516="","",IFERROR(INDEX(Ввод!$B$12:$B$71,MATCH(A3516,Ввод!$D$12:$D$71,1)),""))</f>
        <v/>
      </c>
      <c r="C3516">
        <f>IF(A3516="","",DATE(YEAR(A3516),12,31)-DATE(YEAR(A3516),1,1)+1)</f>
        <v/>
      </c>
      <c r="D3516">
        <f>IF(A3516="","",Ввод!$B$4-SUMIF(Оплаты!$A$6:$A$505,"&lt;"&amp;A3516,Оплаты!$B$6:$B$505))</f>
        <v/>
      </c>
      <c r="E3516">
        <f>IF(A3516="","",IF(SUMPRODUCT((Ввод!$F$12:$F$31&lt;&gt;"")*(Ввод!$F$12:$F$31&lt;=A3516)*(Ввод!$G$12:$G$31&gt;=A3516))&gt;0,1,0))</f>
        <v/>
      </c>
      <c r="F3516">
        <f>IF(OR(A3516="",B3516=""),"",IF(E3516=1,0,D3516*B3516/100/C3516))</f>
        <v/>
      </c>
      <c r="G3516">
        <f>IF(A3516="","",IF(OR(B3516&lt;&gt;B3515,C3516&lt;&gt;C3515,D3516&lt;&gt;D3515,E3516&lt;&gt;E3515),G3515+1,G3515))</f>
        <v/>
      </c>
    </row>
    <row r="3517">
      <c r="A3517" s="14">
        <f>IF(OR(NOT(ISNUMBER(Ввод!$B$5)),NOT(ISNUMBER(Ввод!$B$6))),"",IF(Ввод!$B$5+3515&gt;Ввод!$B$6,"",Ввод!$B$5+3515))</f>
        <v/>
      </c>
      <c r="B3517">
        <f>IF(A3517="","",IFERROR(INDEX(Ввод!$B$12:$B$71,MATCH(A3517,Ввод!$D$12:$D$71,1)),""))</f>
        <v/>
      </c>
      <c r="C3517">
        <f>IF(A3517="","",DATE(YEAR(A3517),12,31)-DATE(YEAR(A3517),1,1)+1)</f>
        <v/>
      </c>
      <c r="D3517">
        <f>IF(A3517="","",Ввод!$B$4-SUMIF(Оплаты!$A$6:$A$505,"&lt;"&amp;A3517,Оплаты!$B$6:$B$505))</f>
        <v/>
      </c>
      <c r="E3517">
        <f>IF(A3517="","",IF(SUMPRODUCT((Ввод!$F$12:$F$31&lt;&gt;"")*(Ввод!$F$12:$F$31&lt;=A3517)*(Ввод!$G$12:$G$31&gt;=A3517))&gt;0,1,0))</f>
        <v/>
      </c>
      <c r="F3517">
        <f>IF(OR(A3517="",B3517=""),"",IF(E3517=1,0,D3517*B3517/100/C3517))</f>
        <v/>
      </c>
      <c r="G3517">
        <f>IF(A3517="","",IF(OR(B3517&lt;&gt;B3516,C3517&lt;&gt;C3516,D3517&lt;&gt;D3516,E3517&lt;&gt;E3516),G3516+1,G3516))</f>
        <v/>
      </c>
    </row>
    <row r="3518">
      <c r="A3518" s="14">
        <f>IF(OR(NOT(ISNUMBER(Ввод!$B$5)),NOT(ISNUMBER(Ввод!$B$6))),"",IF(Ввод!$B$5+3516&gt;Ввод!$B$6,"",Ввод!$B$5+3516))</f>
        <v/>
      </c>
      <c r="B3518">
        <f>IF(A3518="","",IFERROR(INDEX(Ввод!$B$12:$B$71,MATCH(A3518,Ввод!$D$12:$D$71,1)),""))</f>
        <v/>
      </c>
      <c r="C3518">
        <f>IF(A3518="","",DATE(YEAR(A3518),12,31)-DATE(YEAR(A3518),1,1)+1)</f>
        <v/>
      </c>
      <c r="D3518">
        <f>IF(A3518="","",Ввод!$B$4-SUMIF(Оплаты!$A$6:$A$505,"&lt;"&amp;A3518,Оплаты!$B$6:$B$505))</f>
        <v/>
      </c>
      <c r="E3518">
        <f>IF(A3518="","",IF(SUMPRODUCT((Ввод!$F$12:$F$31&lt;&gt;"")*(Ввод!$F$12:$F$31&lt;=A3518)*(Ввод!$G$12:$G$31&gt;=A3518))&gt;0,1,0))</f>
        <v/>
      </c>
      <c r="F3518">
        <f>IF(OR(A3518="",B3518=""),"",IF(E3518=1,0,D3518*B3518/100/C3518))</f>
        <v/>
      </c>
      <c r="G3518">
        <f>IF(A3518="","",IF(OR(B3518&lt;&gt;B3517,C3518&lt;&gt;C3517,D3518&lt;&gt;D3517,E3518&lt;&gt;E3517),G3517+1,G3517))</f>
        <v/>
      </c>
    </row>
    <row r="3519">
      <c r="A3519" s="14">
        <f>IF(OR(NOT(ISNUMBER(Ввод!$B$5)),NOT(ISNUMBER(Ввод!$B$6))),"",IF(Ввод!$B$5+3517&gt;Ввод!$B$6,"",Ввод!$B$5+3517))</f>
        <v/>
      </c>
      <c r="B3519">
        <f>IF(A3519="","",IFERROR(INDEX(Ввод!$B$12:$B$71,MATCH(A3519,Ввод!$D$12:$D$71,1)),""))</f>
        <v/>
      </c>
      <c r="C3519">
        <f>IF(A3519="","",DATE(YEAR(A3519),12,31)-DATE(YEAR(A3519),1,1)+1)</f>
        <v/>
      </c>
      <c r="D3519">
        <f>IF(A3519="","",Ввод!$B$4-SUMIF(Оплаты!$A$6:$A$505,"&lt;"&amp;A3519,Оплаты!$B$6:$B$505))</f>
        <v/>
      </c>
      <c r="E3519">
        <f>IF(A3519="","",IF(SUMPRODUCT((Ввод!$F$12:$F$31&lt;&gt;"")*(Ввод!$F$12:$F$31&lt;=A3519)*(Ввод!$G$12:$G$31&gt;=A3519))&gt;0,1,0))</f>
        <v/>
      </c>
      <c r="F3519">
        <f>IF(OR(A3519="",B3519=""),"",IF(E3519=1,0,D3519*B3519/100/C3519))</f>
        <v/>
      </c>
      <c r="G3519">
        <f>IF(A3519="","",IF(OR(B3519&lt;&gt;B3518,C3519&lt;&gt;C3518,D3519&lt;&gt;D3518,E3519&lt;&gt;E3518),G3518+1,G3518))</f>
        <v/>
      </c>
    </row>
    <row r="3520">
      <c r="A3520" s="14">
        <f>IF(OR(NOT(ISNUMBER(Ввод!$B$5)),NOT(ISNUMBER(Ввод!$B$6))),"",IF(Ввод!$B$5+3518&gt;Ввод!$B$6,"",Ввод!$B$5+3518))</f>
        <v/>
      </c>
      <c r="B3520">
        <f>IF(A3520="","",IFERROR(INDEX(Ввод!$B$12:$B$71,MATCH(A3520,Ввод!$D$12:$D$71,1)),""))</f>
        <v/>
      </c>
      <c r="C3520">
        <f>IF(A3520="","",DATE(YEAR(A3520),12,31)-DATE(YEAR(A3520),1,1)+1)</f>
        <v/>
      </c>
      <c r="D3520">
        <f>IF(A3520="","",Ввод!$B$4-SUMIF(Оплаты!$A$6:$A$505,"&lt;"&amp;A3520,Оплаты!$B$6:$B$505))</f>
        <v/>
      </c>
      <c r="E3520">
        <f>IF(A3520="","",IF(SUMPRODUCT((Ввод!$F$12:$F$31&lt;&gt;"")*(Ввод!$F$12:$F$31&lt;=A3520)*(Ввод!$G$12:$G$31&gt;=A3520))&gt;0,1,0))</f>
        <v/>
      </c>
      <c r="F3520">
        <f>IF(OR(A3520="",B3520=""),"",IF(E3520=1,0,D3520*B3520/100/C3520))</f>
        <v/>
      </c>
      <c r="G3520">
        <f>IF(A3520="","",IF(OR(B3520&lt;&gt;B3519,C3520&lt;&gt;C3519,D3520&lt;&gt;D3519,E3520&lt;&gt;E3519),G3519+1,G3519))</f>
        <v/>
      </c>
    </row>
    <row r="3521">
      <c r="A3521" s="14">
        <f>IF(OR(NOT(ISNUMBER(Ввод!$B$5)),NOT(ISNUMBER(Ввод!$B$6))),"",IF(Ввод!$B$5+3519&gt;Ввод!$B$6,"",Ввод!$B$5+3519))</f>
        <v/>
      </c>
      <c r="B3521">
        <f>IF(A3521="","",IFERROR(INDEX(Ввод!$B$12:$B$71,MATCH(A3521,Ввод!$D$12:$D$71,1)),""))</f>
        <v/>
      </c>
      <c r="C3521">
        <f>IF(A3521="","",DATE(YEAR(A3521),12,31)-DATE(YEAR(A3521),1,1)+1)</f>
        <v/>
      </c>
      <c r="D3521">
        <f>IF(A3521="","",Ввод!$B$4-SUMIF(Оплаты!$A$6:$A$505,"&lt;"&amp;A3521,Оплаты!$B$6:$B$505))</f>
        <v/>
      </c>
      <c r="E3521">
        <f>IF(A3521="","",IF(SUMPRODUCT((Ввод!$F$12:$F$31&lt;&gt;"")*(Ввод!$F$12:$F$31&lt;=A3521)*(Ввод!$G$12:$G$31&gt;=A3521))&gt;0,1,0))</f>
        <v/>
      </c>
      <c r="F3521">
        <f>IF(OR(A3521="",B3521=""),"",IF(E3521=1,0,D3521*B3521/100/C3521))</f>
        <v/>
      </c>
      <c r="G3521">
        <f>IF(A3521="","",IF(OR(B3521&lt;&gt;B3520,C3521&lt;&gt;C3520,D3521&lt;&gt;D3520,E3521&lt;&gt;E3520),G3520+1,G3520))</f>
        <v/>
      </c>
    </row>
    <row r="3522">
      <c r="A3522" s="14">
        <f>IF(OR(NOT(ISNUMBER(Ввод!$B$5)),NOT(ISNUMBER(Ввод!$B$6))),"",IF(Ввод!$B$5+3520&gt;Ввод!$B$6,"",Ввод!$B$5+3520))</f>
        <v/>
      </c>
      <c r="B3522">
        <f>IF(A3522="","",IFERROR(INDEX(Ввод!$B$12:$B$71,MATCH(A3522,Ввод!$D$12:$D$71,1)),""))</f>
        <v/>
      </c>
      <c r="C3522">
        <f>IF(A3522="","",DATE(YEAR(A3522),12,31)-DATE(YEAR(A3522),1,1)+1)</f>
        <v/>
      </c>
      <c r="D3522">
        <f>IF(A3522="","",Ввод!$B$4-SUMIF(Оплаты!$A$6:$A$505,"&lt;"&amp;A3522,Оплаты!$B$6:$B$505))</f>
        <v/>
      </c>
      <c r="E3522">
        <f>IF(A3522="","",IF(SUMPRODUCT((Ввод!$F$12:$F$31&lt;&gt;"")*(Ввод!$F$12:$F$31&lt;=A3522)*(Ввод!$G$12:$G$31&gt;=A3522))&gt;0,1,0))</f>
        <v/>
      </c>
      <c r="F3522">
        <f>IF(OR(A3522="",B3522=""),"",IF(E3522=1,0,D3522*B3522/100/C3522))</f>
        <v/>
      </c>
      <c r="G3522">
        <f>IF(A3522="","",IF(OR(B3522&lt;&gt;B3521,C3522&lt;&gt;C3521,D3522&lt;&gt;D3521,E3522&lt;&gt;E3521),G3521+1,G3521))</f>
        <v/>
      </c>
    </row>
    <row r="3523">
      <c r="A3523" s="14">
        <f>IF(OR(NOT(ISNUMBER(Ввод!$B$5)),NOT(ISNUMBER(Ввод!$B$6))),"",IF(Ввод!$B$5+3521&gt;Ввод!$B$6,"",Ввод!$B$5+3521))</f>
        <v/>
      </c>
      <c r="B3523">
        <f>IF(A3523="","",IFERROR(INDEX(Ввод!$B$12:$B$71,MATCH(A3523,Ввод!$D$12:$D$71,1)),""))</f>
        <v/>
      </c>
      <c r="C3523">
        <f>IF(A3523="","",DATE(YEAR(A3523),12,31)-DATE(YEAR(A3523),1,1)+1)</f>
        <v/>
      </c>
      <c r="D3523">
        <f>IF(A3523="","",Ввод!$B$4-SUMIF(Оплаты!$A$6:$A$505,"&lt;"&amp;A3523,Оплаты!$B$6:$B$505))</f>
        <v/>
      </c>
      <c r="E3523">
        <f>IF(A3523="","",IF(SUMPRODUCT((Ввод!$F$12:$F$31&lt;&gt;"")*(Ввод!$F$12:$F$31&lt;=A3523)*(Ввод!$G$12:$G$31&gt;=A3523))&gt;0,1,0))</f>
        <v/>
      </c>
      <c r="F3523">
        <f>IF(OR(A3523="",B3523=""),"",IF(E3523=1,0,D3523*B3523/100/C3523))</f>
        <v/>
      </c>
      <c r="G3523">
        <f>IF(A3523="","",IF(OR(B3523&lt;&gt;B3522,C3523&lt;&gt;C3522,D3523&lt;&gt;D3522,E3523&lt;&gt;E3522),G3522+1,G3522))</f>
        <v/>
      </c>
    </row>
    <row r="3524">
      <c r="A3524" s="14">
        <f>IF(OR(NOT(ISNUMBER(Ввод!$B$5)),NOT(ISNUMBER(Ввод!$B$6))),"",IF(Ввод!$B$5+3522&gt;Ввод!$B$6,"",Ввод!$B$5+3522))</f>
        <v/>
      </c>
      <c r="B3524">
        <f>IF(A3524="","",IFERROR(INDEX(Ввод!$B$12:$B$71,MATCH(A3524,Ввод!$D$12:$D$71,1)),""))</f>
        <v/>
      </c>
      <c r="C3524">
        <f>IF(A3524="","",DATE(YEAR(A3524),12,31)-DATE(YEAR(A3524),1,1)+1)</f>
        <v/>
      </c>
      <c r="D3524">
        <f>IF(A3524="","",Ввод!$B$4-SUMIF(Оплаты!$A$6:$A$505,"&lt;"&amp;A3524,Оплаты!$B$6:$B$505))</f>
        <v/>
      </c>
      <c r="E3524">
        <f>IF(A3524="","",IF(SUMPRODUCT((Ввод!$F$12:$F$31&lt;&gt;"")*(Ввод!$F$12:$F$31&lt;=A3524)*(Ввод!$G$12:$G$31&gt;=A3524))&gt;0,1,0))</f>
        <v/>
      </c>
      <c r="F3524">
        <f>IF(OR(A3524="",B3524=""),"",IF(E3524=1,0,D3524*B3524/100/C3524))</f>
        <v/>
      </c>
      <c r="G3524">
        <f>IF(A3524="","",IF(OR(B3524&lt;&gt;B3523,C3524&lt;&gt;C3523,D3524&lt;&gt;D3523,E3524&lt;&gt;E3523),G3523+1,G3523))</f>
        <v/>
      </c>
    </row>
    <row r="3525">
      <c r="A3525" s="14">
        <f>IF(OR(NOT(ISNUMBER(Ввод!$B$5)),NOT(ISNUMBER(Ввод!$B$6))),"",IF(Ввод!$B$5+3523&gt;Ввод!$B$6,"",Ввод!$B$5+3523))</f>
        <v/>
      </c>
      <c r="B3525">
        <f>IF(A3525="","",IFERROR(INDEX(Ввод!$B$12:$B$71,MATCH(A3525,Ввод!$D$12:$D$71,1)),""))</f>
        <v/>
      </c>
      <c r="C3525">
        <f>IF(A3525="","",DATE(YEAR(A3525),12,31)-DATE(YEAR(A3525),1,1)+1)</f>
        <v/>
      </c>
      <c r="D3525">
        <f>IF(A3525="","",Ввод!$B$4-SUMIF(Оплаты!$A$6:$A$505,"&lt;"&amp;A3525,Оплаты!$B$6:$B$505))</f>
        <v/>
      </c>
      <c r="E3525">
        <f>IF(A3525="","",IF(SUMPRODUCT((Ввод!$F$12:$F$31&lt;&gt;"")*(Ввод!$F$12:$F$31&lt;=A3525)*(Ввод!$G$12:$G$31&gt;=A3525))&gt;0,1,0))</f>
        <v/>
      </c>
      <c r="F3525">
        <f>IF(OR(A3525="",B3525=""),"",IF(E3525=1,0,D3525*B3525/100/C3525))</f>
        <v/>
      </c>
      <c r="G3525">
        <f>IF(A3525="","",IF(OR(B3525&lt;&gt;B3524,C3525&lt;&gt;C3524,D3525&lt;&gt;D3524,E3525&lt;&gt;E3524),G3524+1,G3524))</f>
        <v/>
      </c>
    </row>
    <row r="3526">
      <c r="A3526" s="14">
        <f>IF(OR(NOT(ISNUMBER(Ввод!$B$5)),NOT(ISNUMBER(Ввод!$B$6))),"",IF(Ввод!$B$5+3524&gt;Ввод!$B$6,"",Ввод!$B$5+3524))</f>
        <v/>
      </c>
      <c r="B3526">
        <f>IF(A3526="","",IFERROR(INDEX(Ввод!$B$12:$B$71,MATCH(A3526,Ввод!$D$12:$D$71,1)),""))</f>
        <v/>
      </c>
      <c r="C3526">
        <f>IF(A3526="","",DATE(YEAR(A3526),12,31)-DATE(YEAR(A3526),1,1)+1)</f>
        <v/>
      </c>
      <c r="D3526">
        <f>IF(A3526="","",Ввод!$B$4-SUMIF(Оплаты!$A$6:$A$505,"&lt;"&amp;A3526,Оплаты!$B$6:$B$505))</f>
        <v/>
      </c>
      <c r="E3526">
        <f>IF(A3526="","",IF(SUMPRODUCT((Ввод!$F$12:$F$31&lt;&gt;"")*(Ввод!$F$12:$F$31&lt;=A3526)*(Ввод!$G$12:$G$31&gt;=A3526))&gt;0,1,0))</f>
        <v/>
      </c>
      <c r="F3526">
        <f>IF(OR(A3526="",B3526=""),"",IF(E3526=1,0,D3526*B3526/100/C3526))</f>
        <v/>
      </c>
      <c r="G3526">
        <f>IF(A3526="","",IF(OR(B3526&lt;&gt;B3525,C3526&lt;&gt;C3525,D3526&lt;&gt;D3525,E3526&lt;&gt;E3525),G3525+1,G3525))</f>
        <v/>
      </c>
    </row>
    <row r="3527">
      <c r="A3527" s="14">
        <f>IF(OR(NOT(ISNUMBER(Ввод!$B$5)),NOT(ISNUMBER(Ввод!$B$6))),"",IF(Ввод!$B$5+3525&gt;Ввод!$B$6,"",Ввод!$B$5+3525))</f>
        <v/>
      </c>
      <c r="B3527">
        <f>IF(A3527="","",IFERROR(INDEX(Ввод!$B$12:$B$71,MATCH(A3527,Ввод!$D$12:$D$71,1)),""))</f>
        <v/>
      </c>
      <c r="C3527">
        <f>IF(A3527="","",DATE(YEAR(A3527),12,31)-DATE(YEAR(A3527),1,1)+1)</f>
        <v/>
      </c>
      <c r="D3527">
        <f>IF(A3527="","",Ввод!$B$4-SUMIF(Оплаты!$A$6:$A$505,"&lt;"&amp;A3527,Оплаты!$B$6:$B$505))</f>
        <v/>
      </c>
      <c r="E3527">
        <f>IF(A3527="","",IF(SUMPRODUCT((Ввод!$F$12:$F$31&lt;&gt;"")*(Ввод!$F$12:$F$31&lt;=A3527)*(Ввод!$G$12:$G$31&gt;=A3527))&gt;0,1,0))</f>
        <v/>
      </c>
      <c r="F3527">
        <f>IF(OR(A3527="",B3527=""),"",IF(E3527=1,0,D3527*B3527/100/C3527))</f>
        <v/>
      </c>
      <c r="G3527">
        <f>IF(A3527="","",IF(OR(B3527&lt;&gt;B3526,C3527&lt;&gt;C3526,D3527&lt;&gt;D3526,E3527&lt;&gt;E3526),G3526+1,G3526))</f>
        <v/>
      </c>
    </row>
    <row r="3528">
      <c r="A3528" s="14">
        <f>IF(OR(NOT(ISNUMBER(Ввод!$B$5)),NOT(ISNUMBER(Ввод!$B$6))),"",IF(Ввод!$B$5+3526&gt;Ввод!$B$6,"",Ввод!$B$5+3526))</f>
        <v/>
      </c>
      <c r="B3528">
        <f>IF(A3528="","",IFERROR(INDEX(Ввод!$B$12:$B$71,MATCH(A3528,Ввод!$D$12:$D$71,1)),""))</f>
        <v/>
      </c>
      <c r="C3528">
        <f>IF(A3528="","",DATE(YEAR(A3528),12,31)-DATE(YEAR(A3528),1,1)+1)</f>
        <v/>
      </c>
      <c r="D3528">
        <f>IF(A3528="","",Ввод!$B$4-SUMIF(Оплаты!$A$6:$A$505,"&lt;"&amp;A3528,Оплаты!$B$6:$B$505))</f>
        <v/>
      </c>
      <c r="E3528">
        <f>IF(A3528="","",IF(SUMPRODUCT((Ввод!$F$12:$F$31&lt;&gt;"")*(Ввод!$F$12:$F$31&lt;=A3528)*(Ввод!$G$12:$G$31&gt;=A3528))&gt;0,1,0))</f>
        <v/>
      </c>
      <c r="F3528">
        <f>IF(OR(A3528="",B3528=""),"",IF(E3528=1,0,D3528*B3528/100/C3528))</f>
        <v/>
      </c>
      <c r="G3528">
        <f>IF(A3528="","",IF(OR(B3528&lt;&gt;B3527,C3528&lt;&gt;C3527,D3528&lt;&gt;D3527,E3528&lt;&gt;E3527),G3527+1,G3527))</f>
        <v/>
      </c>
    </row>
    <row r="3529">
      <c r="A3529" s="14">
        <f>IF(OR(NOT(ISNUMBER(Ввод!$B$5)),NOT(ISNUMBER(Ввод!$B$6))),"",IF(Ввод!$B$5+3527&gt;Ввод!$B$6,"",Ввод!$B$5+3527))</f>
        <v/>
      </c>
      <c r="B3529">
        <f>IF(A3529="","",IFERROR(INDEX(Ввод!$B$12:$B$71,MATCH(A3529,Ввод!$D$12:$D$71,1)),""))</f>
        <v/>
      </c>
      <c r="C3529">
        <f>IF(A3529="","",DATE(YEAR(A3529),12,31)-DATE(YEAR(A3529),1,1)+1)</f>
        <v/>
      </c>
      <c r="D3529">
        <f>IF(A3529="","",Ввод!$B$4-SUMIF(Оплаты!$A$6:$A$505,"&lt;"&amp;A3529,Оплаты!$B$6:$B$505))</f>
        <v/>
      </c>
      <c r="E3529">
        <f>IF(A3529="","",IF(SUMPRODUCT((Ввод!$F$12:$F$31&lt;&gt;"")*(Ввод!$F$12:$F$31&lt;=A3529)*(Ввод!$G$12:$G$31&gt;=A3529))&gt;0,1,0))</f>
        <v/>
      </c>
      <c r="F3529">
        <f>IF(OR(A3529="",B3529=""),"",IF(E3529=1,0,D3529*B3529/100/C3529))</f>
        <v/>
      </c>
      <c r="G3529">
        <f>IF(A3529="","",IF(OR(B3529&lt;&gt;B3528,C3529&lt;&gt;C3528,D3529&lt;&gt;D3528,E3529&lt;&gt;E3528),G3528+1,G3528))</f>
        <v/>
      </c>
    </row>
    <row r="3530">
      <c r="A3530" s="14">
        <f>IF(OR(NOT(ISNUMBER(Ввод!$B$5)),NOT(ISNUMBER(Ввод!$B$6))),"",IF(Ввод!$B$5+3528&gt;Ввод!$B$6,"",Ввод!$B$5+3528))</f>
        <v/>
      </c>
      <c r="B3530">
        <f>IF(A3530="","",IFERROR(INDEX(Ввод!$B$12:$B$71,MATCH(A3530,Ввод!$D$12:$D$71,1)),""))</f>
        <v/>
      </c>
      <c r="C3530">
        <f>IF(A3530="","",DATE(YEAR(A3530),12,31)-DATE(YEAR(A3530),1,1)+1)</f>
        <v/>
      </c>
      <c r="D3530">
        <f>IF(A3530="","",Ввод!$B$4-SUMIF(Оплаты!$A$6:$A$505,"&lt;"&amp;A3530,Оплаты!$B$6:$B$505))</f>
        <v/>
      </c>
      <c r="E3530">
        <f>IF(A3530="","",IF(SUMPRODUCT((Ввод!$F$12:$F$31&lt;&gt;"")*(Ввод!$F$12:$F$31&lt;=A3530)*(Ввод!$G$12:$G$31&gt;=A3530))&gt;0,1,0))</f>
        <v/>
      </c>
      <c r="F3530">
        <f>IF(OR(A3530="",B3530=""),"",IF(E3530=1,0,D3530*B3530/100/C3530))</f>
        <v/>
      </c>
      <c r="G3530">
        <f>IF(A3530="","",IF(OR(B3530&lt;&gt;B3529,C3530&lt;&gt;C3529,D3530&lt;&gt;D3529,E3530&lt;&gt;E3529),G3529+1,G3529))</f>
        <v/>
      </c>
    </row>
    <row r="3531">
      <c r="A3531" s="14">
        <f>IF(OR(NOT(ISNUMBER(Ввод!$B$5)),NOT(ISNUMBER(Ввод!$B$6))),"",IF(Ввод!$B$5+3529&gt;Ввод!$B$6,"",Ввод!$B$5+3529))</f>
        <v/>
      </c>
      <c r="B3531">
        <f>IF(A3531="","",IFERROR(INDEX(Ввод!$B$12:$B$71,MATCH(A3531,Ввод!$D$12:$D$71,1)),""))</f>
        <v/>
      </c>
      <c r="C3531">
        <f>IF(A3531="","",DATE(YEAR(A3531),12,31)-DATE(YEAR(A3531),1,1)+1)</f>
        <v/>
      </c>
      <c r="D3531">
        <f>IF(A3531="","",Ввод!$B$4-SUMIF(Оплаты!$A$6:$A$505,"&lt;"&amp;A3531,Оплаты!$B$6:$B$505))</f>
        <v/>
      </c>
      <c r="E3531">
        <f>IF(A3531="","",IF(SUMPRODUCT((Ввод!$F$12:$F$31&lt;&gt;"")*(Ввод!$F$12:$F$31&lt;=A3531)*(Ввод!$G$12:$G$31&gt;=A3531))&gt;0,1,0))</f>
        <v/>
      </c>
      <c r="F3531">
        <f>IF(OR(A3531="",B3531=""),"",IF(E3531=1,0,D3531*B3531/100/C3531))</f>
        <v/>
      </c>
      <c r="G3531">
        <f>IF(A3531="","",IF(OR(B3531&lt;&gt;B3530,C3531&lt;&gt;C3530,D3531&lt;&gt;D3530,E3531&lt;&gt;E3530),G3530+1,G3530))</f>
        <v/>
      </c>
    </row>
    <row r="3532">
      <c r="A3532" s="14">
        <f>IF(OR(NOT(ISNUMBER(Ввод!$B$5)),NOT(ISNUMBER(Ввод!$B$6))),"",IF(Ввод!$B$5+3530&gt;Ввод!$B$6,"",Ввод!$B$5+3530))</f>
        <v/>
      </c>
      <c r="B3532">
        <f>IF(A3532="","",IFERROR(INDEX(Ввод!$B$12:$B$71,MATCH(A3532,Ввод!$D$12:$D$71,1)),""))</f>
        <v/>
      </c>
      <c r="C3532">
        <f>IF(A3532="","",DATE(YEAR(A3532),12,31)-DATE(YEAR(A3532),1,1)+1)</f>
        <v/>
      </c>
      <c r="D3532">
        <f>IF(A3532="","",Ввод!$B$4-SUMIF(Оплаты!$A$6:$A$505,"&lt;"&amp;A3532,Оплаты!$B$6:$B$505))</f>
        <v/>
      </c>
      <c r="E3532">
        <f>IF(A3532="","",IF(SUMPRODUCT((Ввод!$F$12:$F$31&lt;&gt;"")*(Ввод!$F$12:$F$31&lt;=A3532)*(Ввод!$G$12:$G$31&gt;=A3532))&gt;0,1,0))</f>
        <v/>
      </c>
      <c r="F3532">
        <f>IF(OR(A3532="",B3532=""),"",IF(E3532=1,0,D3532*B3532/100/C3532))</f>
        <v/>
      </c>
      <c r="G3532">
        <f>IF(A3532="","",IF(OR(B3532&lt;&gt;B3531,C3532&lt;&gt;C3531,D3532&lt;&gt;D3531,E3532&lt;&gt;E3531),G3531+1,G3531))</f>
        <v/>
      </c>
    </row>
    <row r="3533">
      <c r="A3533" s="14">
        <f>IF(OR(NOT(ISNUMBER(Ввод!$B$5)),NOT(ISNUMBER(Ввод!$B$6))),"",IF(Ввод!$B$5+3531&gt;Ввод!$B$6,"",Ввод!$B$5+3531))</f>
        <v/>
      </c>
      <c r="B3533">
        <f>IF(A3533="","",IFERROR(INDEX(Ввод!$B$12:$B$71,MATCH(A3533,Ввод!$D$12:$D$71,1)),""))</f>
        <v/>
      </c>
      <c r="C3533">
        <f>IF(A3533="","",DATE(YEAR(A3533),12,31)-DATE(YEAR(A3533),1,1)+1)</f>
        <v/>
      </c>
      <c r="D3533">
        <f>IF(A3533="","",Ввод!$B$4-SUMIF(Оплаты!$A$6:$A$505,"&lt;"&amp;A3533,Оплаты!$B$6:$B$505))</f>
        <v/>
      </c>
      <c r="E3533">
        <f>IF(A3533="","",IF(SUMPRODUCT((Ввод!$F$12:$F$31&lt;&gt;"")*(Ввод!$F$12:$F$31&lt;=A3533)*(Ввод!$G$12:$G$31&gt;=A3533))&gt;0,1,0))</f>
        <v/>
      </c>
      <c r="F3533">
        <f>IF(OR(A3533="",B3533=""),"",IF(E3533=1,0,D3533*B3533/100/C3533))</f>
        <v/>
      </c>
      <c r="G3533">
        <f>IF(A3533="","",IF(OR(B3533&lt;&gt;B3532,C3533&lt;&gt;C3532,D3533&lt;&gt;D3532,E3533&lt;&gt;E3532),G3532+1,G3532))</f>
        <v/>
      </c>
    </row>
    <row r="3534">
      <c r="A3534" s="14">
        <f>IF(OR(NOT(ISNUMBER(Ввод!$B$5)),NOT(ISNUMBER(Ввод!$B$6))),"",IF(Ввод!$B$5+3532&gt;Ввод!$B$6,"",Ввод!$B$5+3532))</f>
        <v/>
      </c>
      <c r="B3534">
        <f>IF(A3534="","",IFERROR(INDEX(Ввод!$B$12:$B$71,MATCH(A3534,Ввод!$D$12:$D$71,1)),""))</f>
        <v/>
      </c>
      <c r="C3534">
        <f>IF(A3534="","",DATE(YEAR(A3534),12,31)-DATE(YEAR(A3534),1,1)+1)</f>
        <v/>
      </c>
      <c r="D3534">
        <f>IF(A3534="","",Ввод!$B$4-SUMIF(Оплаты!$A$6:$A$505,"&lt;"&amp;A3534,Оплаты!$B$6:$B$505))</f>
        <v/>
      </c>
      <c r="E3534">
        <f>IF(A3534="","",IF(SUMPRODUCT((Ввод!$F$12:$F$31&lt;&gt;"")*(Ввод!$F$12:$F$31&lt;=A3534)*(Ввод!$G$12:$G$31&gt;=A3534))&gt;0,1,0))</f>
        <v/>
      </c>
      <c r="F3534">
        <f>IF(OR(A3534="",B3534=""),"",IF(E3534=1,0,D3534*B3534/100/C3534))</f>
        <v/>
      </c>
      <c r="G3534">
        <f>IF(A3534="","",IF(OR(B3534&lt;&gt;B3533,C3534&lt;&gt;C3533,D3534&lt;&gt;D3533,E3534&lt;&gt;E3533),G3533+1,G3533))</f>
        <v/>
      </c>
    </row>
    <row r="3535">
      <c r="A3535" s="14">
        <f>IF(OR(NOT(ISNUMBER(Ввод!$B$5)),NOT(ISNUMBER(Ввод!$B$6))),"",IF(Ввод!$B$5+3533&gt;Ввод!$B$6,"",Ввод!$B$5+3533))</f>
        <v/>
      </c>
      <c r="B3535">
        <f>IF(A3535="","",IFERROR(INDEX(Ввод!$B$12:$B$71,MATCH(A3535,Ввод!$D$12:$D$71,1)),""))</f>
        <v/>
      </c>
      <c r="C3535">
        <f>IF(A3535="","",DATE(YEAR(A3535),12,31)-DATE(YEAR(A3535),1,1)+1)</f>
        <v/>
      </c>
      <c r="D3535">
        <f>IF(A3535="","",Ввод!$B$4-SUMIF(Оплаты!$A$6:$A$505,"&lt;"&amp;A3535,Оплаты!$B$6:$B$505))</f>
        <v/>
      </c>
      <c r="E3535">
        <f>IF(A3535="","",IF(SUMPRODUCT((Ввод!$F$12:$F$31&lt;&gt;"")*(Ввод!$F$12:$F$31&lt;=A3535)*(Ввод!$G$12:$G$31&gt;=A3535))&gt;0,1,0))</f>
        <v/>
      </c>
      <c r="F3535">
        <f>IF(OR(A3535="",B3535=""),"",IF(E3535=1,0,D3535*B3535/100/C3535))</f>
        <v/>
      </c>
      <c r="G3535">
        <f>IF(A3535="","",IF(OR(B3535&lt;&gt;B3534,C3535&lt;&gt;C3534,D3535&lt;&gt;D3534,E3535&lt;&gt;E3534),G3534+1,G3534))</f>
        <v/>
      </c>
    </row>
    <row r="3536">
      <c r="A3536" s="14">
        <f>IF(OR(NOT(ISNUMBER(Ввод!$B$5)),NOT(ISNUMBER(Ввод!$B$6))),"",IF(Ввод!$B$5+3534&gt;Ввод!$B$6,"",Ввод!$B$5+3534))</f>
        <v/>
      </c>
      <c r="B3536">
        <f>IF(A3536="","",IFERROR(INDEX(Ввод!$B$12:$B$71,MATCH(A3536,Ввод!$D$12:$D$71,1)),""))</f>
        <v/>
      </c>
      <c r="C3536">
        <f>IF(A3536="","",DATE(YEAR(A3536),12,31)-DATE(YEAR(A3536),1,1)+1)</f>
        <v/>
      </c>
      <c r="D3536">
        <f>IF(A3536="","",Ввод!$B$4-SUMIF(Оплаты!$A$6:$A$505,"&lt;"&amp;A3536,Оплаты!$B$6:$B$505))</f>
        <v/>
      </c>
      <c r="E3536">
        <f>IF(A3536="","",IF(SUMPRODUCT((Ввод!$F$12:$F$31&lt;&gt;"")*(Ввод!$F$12:$F$31&lt;=A3536)*(Ввод!$G$12:$G$31&gt;=A3536))&gt;0,1,0))</f>
        <v/>
      </c>
      <c r="F3536">
        <f>IF(OR(A3536="",B3536=""),"",IF(E3536=1,0,D3536*B3536/100/C3536))</f>
        <v/>
      </c>
      <c r="G3536">
        <f>IF(A3536="","",IF(OR(B3536&lt;&gt;B3535,C3536&lt;&gt;C3535,D3536&lt;&gt;D3535,E3536&lt;&gt;E3535),G3535+1,G3535))</f>
        <v/>
      </c>
    </row>
    <row r="3537">
      <c r="A3537" s="14">
        <f>IF(OR(NOT(ISNUMBER(Ввод!$B$5)),NOT(ISNUMBER(Ввод!$B$6))),"",IF(Ввод!$B$5+3535&gt;Ввод!$B$6,"",Ввод!$B$5+3535))</f>
        <v/>
      </c>
      <c r="B3537">
        <f>IF(A3537="","",IFERROR(INDEX(Ввод!$B$12:$B$71,MATCH(A3537,Ввод!$D$12:$D$71,1)),""))</f>
        <v/>
      </c>
      <c r="C3537">
        <f>IF(A3537="","",DATE(YEAR(A3537),12,31)-DATE(YEAR(A3537),1,1)+1)</f>
        <v/>
      </c>
      <c r="D3537">
        <f>IF(A3537="","",Ввод!$B$4-SUMIF(Оплаты!$A$6:$A$505,"&lt;"&amp;A3537,Оплаты!$B$6:$B$505))</f>
        <v/>
      </c>
      <c r="E3537">
        <f>IF(A3537="","",IF(SUMPRODUCT((Ввод!$F$12:$F$31&lt;&gt;"")*(Ввод!$F$12:$F$31&lt;=A3537)*(Ввод!$G$12:$G$31&gt;=A3537))&gt;0,1,0))</f>
        <v/>
      </c>
      <c r="F3537">
        <f>IF(OR(A3537="",B3537=""),"",IF(E3537=1,0,D3537*B3537/100/C3537))</f>
        <v/>
      </c>
      <c r="G3537">
        <f>IF(A3537="","",IF(OR(B3537&lt;&gt;B3536,C3537&lt;&gt;C3536,D3537&lt;&gt;D3536,E3537&lt;&gt;E3536),G3536+1,G3536))</f>
        <v/>
      </c>
    </row>
    <row r="3538">
      <c r="A3538" s="14">
        <f>IF(OR(NOT(ISNUMBER(Ввод!$B$5)),NOT(ISNUMBER(Ввод!$B$6))),"",IF(Ввод!$B$5+3536&gt;Ввод!$B$6,"",Ввод!$B$5+3536))</f>
        <v/>
      </c>
      <c r="B3538">
        <f>IF(A3538="","",IFERROR(INDEX(Ввод!$B$12:$B$71,MATCH(A3538,Ввод!$D$12:$D$71,1)),""))</f>
        <v/>
      </c>
      <c r="C3538">
        <f>IF(A3538="","",DATE(YEAR(A3538),12,31)-DATE(YEAR(A3538),1,1)+1)</f>
        <v/>
      </c>
      <c r="D3538">
        <f>IF(A3538="","",Ввод!$B$4-SUMIF(Оплаты!$A$6:$A$505,"&lt;"&amp;A3538,Оплаты!$B$6:$B$505))</f>
        <v/>
      </c>
      <c r="E3538">
        <f>IF(A3538="","",IF(SUMPRODUCT((Ввод!$F$12:$F$31&lt;&gt;"")*(Ввод!$F$12:$F$31&lt;=A3538)*(Ввод!$G$12:$G$31&gt;=A3538))&gt;0,1,0))</f>
        <v/>
      </c>
      <c r="F3538">
        <f>IF(OR(A3538="",B3538=""),"",IF(E3538=1,0,D3538*B3538/100/C3538))</f>
        <v/>
      </c>
      <c r="G3538">
        <f>IF(A3538="","",IF(OR(B3538&lt;&gt;B3537,C3538&lt;&gt;C3537,D3538&lt;&gt;D3537,E3538&lt;&gt;E3537),G3537+1,G3537))</f>
        <v/>
      </c>
    </row>
    <row r="3539">
      <c r="A3539" s="14">
        <f>IF(OR(NOT(ISNUMBER(Ввод!$B$5)),NOT(ISNUMBER(Ввод!$B$6))),"",IF(Ввод!$B$5+3537&gt;Ввод!$B$6,"",Ввод!$B$5+3537))</f>
        <v/>
      </c>
      <c r="B3539">
        <f>IF(A3539="","",IFERROR(INDEX(Ввод!$B$12:$B$71,MATCH(A3539,Ввод!$D$12:$D$71,1)),""))</f>
        <v/>
      </c>
      <c r="C3539">
        <f>IF(A3539="","",DATE(YEAR(A3539),12,31)-DATE(YEAR(A3539),1,1)+1)</f>
        <v/>
      </c>
      <c r="D3539">
        <f>IF(A3539="","",Ввод!$B$4-SUMIF(Оплаты!$A$6:$A$505,"&lt;"&amp;A3539,Оплаты!$B$6:$B$505))</f>
        <v/>
      </c>
      <c r="E3539">
        <f>IF(A3539="","",IF(SUMPRODUCT((Ввод!$F$12:$F$31&lt;&gt;"")*(Ввод!$F$12:$F$31&lt;=A3539)*(Ввод!$G$12:$G$31&gt;=A3539))&gt;0,1,0))</f>
        <v/>
      </c>
      <c r="F3539">
        <f>IF(OR(A3539="",B3539=""),"",IF(E3539=1,0,D3539*B3539/100/C3539))</f>
        <v/>
      </c>
      <c r="G3539">
        <f>IF(A3539="","",IF(OR(B3539&lt;&gt;B3538,C3539&lt;&gt;C3538,D3539&lt;&gt;D3538,E3539&lt;&gt;E3538),G3538+1,G3538))</f>
        <v/>
      </c>
    </row>
    <row r="3540">
      <c r="A3540" s="14">
        <f>IF(OR(NOT(ISNUMBER(Ввод!$B$5)),NOT(ISNUMBER(Ввод!$B$6))),"",IF(Ввод!$B$5+3538&gt;Ввод!$B$6,"",Ввод!$B$5+3538))</f>
        <v/>
      </c>
      <c r="B3540">
        <f>IF(A3540="","",IFERROR(INDEX(Ввод!$B$12:$B$71,MATCH(A3540,Ввод!$D$12:$D$71,1)),""))</f>
        <v/>
      </c>
      <c r="C3540">
        <f>IF(A3540="","",DATE(YEAR(A3540),12,31)-DATE(YEAR(A3540),1,1)+1)</f>
        <v/>
      </c>
      <c r="D3540">
        <f>IF(A3540="","",Ввод!$B$4-SUMIF(Оплаты!$A$6:$A$505,"&lt;"&amp;A3540,Оплаты!$B$6:$B$505))</f>
        <v/>
      </c>
      <c r="E3540">
        <f>IF(A3540="","",IF(SUMPRODUCT((Ввод!$F$12:$F$31&lt;&gt;"")*(Ввод!$F$12:$F$31&lt;=A3540)*(Ввод!$G$12:$G$31&gt;=A3540))&gt;0,1,0))</f>
        <v/>
      </c>
      <c r="F3540">
        <f>IF(OR(A3540="",B3540=""),"",IF(E3540=1,0,D3540*B3540/100/C3540))</f>
        <v/>
      </c>
      <c r="G3540">
        <f>IF(A3540="","",IF(OR(B3540&lt;&gt;B3539,C3540&lt;&gt;C3539,D3540&lt;&gt;D3539,E3540&lt;&gt;E3539),G3539+1,G3539))</f>
        <v/>
      </c>
    </row>
    <row r="3541">
      <c r="A3541" s="14">
        <f>IF(OR(NOT(ISNUMBER(Ввод!$B$5)),NOT(ISNUMBER(Ввод!$B$6))),"",IF(Ввод!$B$5+3539&gt;Ввод!$B$6,"",Ввод!$B$5+3539))</f>
        <v/>
      </c>
      <c r="B3541">
        <f>IF(A3541="","",IFERROR(INDEX(Ввод!$B$12:$B$71,MATCH(A3541,Ввод!$D$12:$D$71,1)),""))</f>
        <v/>
      </c>
      <c r="C3541">
        <f>IF(A3541="","",DATE(YEAR(A3541),12,31)-DATE(YEAR(A3541),1,1)+1)</f>
        <v/>
      </c>
      <c r="D3541">
        <f>IF(A3541="","",Ввод!$B$4-SUMIF(Оплаты!$A$6:$A$505,"&lt;"&amp;A3541,Оплаты!$B$6:$B$505))</f>
        <v/>
      </c>
      <c r="E3541">
        <f>IF(A3541="","",IF(SUMPRODUCT((Ввод!$F$12:$F$31&lt;&gt;"")*(Ввод!$F$12:$F$31&lt;=A3541)*(Ввод!$G$12:$G$31&gt;=A3541))&gt;0,1,0))</f>
        <v/>
      </c>
      <c r="F3541">
        <f>IF(OR(A3541="",B3541=""),"",IF(E3541=1,0,D3541*B3541/100/C3541))</f>
        <v/>
      </c>
      <c r="G3541">
        <f>IF(A3541="","",IF(OR(B3541&lt;&gt;B3540,C3541&lt;&gt;C3540,D3541&lt;&gt;D3540,E3541&lt;&gt;E3540),G3540+1,G3540))</f>
        <v/>
      </c>
    </row>
    <row r="3542">
      <c r="A3542" s="14">
        <f>IF(OR(NOT(ISNUMBER(Ввод!$B$5)),NOT(ISNUMBER(Ввод!$B$6))),"",IF(Ввод!$B$5+3540&gt;Ввод!$B$6,"",Ввод!$B$5+3540))</f>
        <v/>
      </c>
      <c r="B3542">
        <f>IF(A3542="","",IFERROR(INDEX(Ввод!$B$12:$B$71,MATCH(A3542,Ввод!$D$12:$D$71,1)),""))</f>
        <v/>
      </c>
      <c r="C3542">
        <f>IF(A3542="","",DATE(YEAR(A3542),12,31)-DATE(YEAR(A3542),1,1)+1)</f>
        <v/>
      </c>
      <c r="D3542">
        <f>IF(A3542="","",Ввод!$B$4-SUMIF(Оплаты!$A$6:$A$505,"&lt;"&amp;A3542,Оплаты!$B$6:$B$505))</f>
        <v/>
      </c>
      <c r="E3542">
        <f>IF(A3542="","",IF(SUMPRODUCT((Ввод!$F$12:$F$31&lt;&gt;"")*(Ввод!$F$12:$F$31&lt;=A3542)*(Ввод!$G$12:$G$31&gt;=A3542))&gt;0,1,0))</f>
        <v/>
      </c>
      <c r="F3542">
        <f>IF(OR(A3542="",B3542=""),"",IF(E3542=1,0,D3542*B3542/100/C3542))</f>
        <v/>
      </c>
      <c r="G3542">
        <f>IF(A3542="","",IF(OR(B3542&lt;&gt;B3541,C3542&lt;&gt;C3541,D3542&lt;&gt;D3541,E3542&lt;&gt;E3541),G3541+1,G3541))</f>
        <v/>
      </c>
    </row>
    <row r="3543">
      <c r="A3543" s="14">
        <f>IF(OR(NOT(ISNUMBER(Ввод!$B$5)),NOT(ISNUMBER(Ввод!$B$6))),"",IF(Ввод!$B$5+3541&gt;Ввод!$B$6,"",Ввод!$B$5+3541))</f>
        <v/>
      </c>
      <c r="B3543">
        <f>IF(A3543="","",IFERROR(INDEX(Ввод!$B$12:$B$71,MATCH(A3543,Ввод!$D$12:$D$71,1)),""))</f>
        <v/>
      </c>
      <c r="C3543">
        <f>IF(A3543="","",DATE(YEAR(A3543),12,31)-DATE(YEAR(A3543),1,1)+1)</f>
        <v/>
      </c>
      <c r="D3543">
        <f>IF(A3543="","",Ввод!$B$4-SUMIF(Оплаты!$A$6:$A$505,"&lt;"&amp;A3543,Оплаты!$B$6:$B$505))</f>
        <v/>
      </c>
      <c r="E3543">
        <f>IF(A3543="","",IF(SUMPRODUCT((Ввод!$F$12:$F$31&lt;&gt;"")*(Ввод!$F$12:$F$31&lt;=A3543)*(Ввод!$G$12:$G$31&gt;=A3543))&gt;0,1,0))</f>
        <v/>
      </c>
      <c r="F3543">
        <f>IF(OR(A3543="",B3543=""),"",IF(E3543=1,0,D3543*B3543/100/C3543))</f>
        <v/>
      </c>
      <c r="G3543">
        <f>IF(A3543="","",IF(OR(B3543&lt;&gt;B3542,C3543&lt;&gt;C3542,D3543&lt;&gt;D3542,E3543&lt;&gt;E3542),G3542+1,G3542))</f>
        <v/>
      </c>
    </row>
    <row r="3544">
      <c r="A3544" s="14">
        <f>IF(OR(NOT(ISNUMBER(Ввод!$B$5)),NOT(ISNUMBER(Ввод!$B$6))),"",IF(Ввод!$B$5+3542&gt;Ввод!$B$6,"",Ввод!$B$5+3542))</f>
        <v/>
      </c>
      <c r="B3544">
        <f>IF(A3544="","",IFERROR(INDEX(Ввод!$B$12:$B$71,MATCH(A3544,Ввод!$D$12:$D$71,1)),""))</f>
        <v/>
      </c>
      <c r="C3544">
        <f>IF(A3544="","",DATE(YEAR(A3544),12,31)-DATE(YEAR(A3544),1,1)+1)</f>
        <v/>
      </c>
      <c r="D3544">
        <f>IF(A3544="","",Ввод!$B$4-SUMIF(Оплаты!$A$6:$A$505,"&lt;"&amp;A3544,Оплаты!$B$6:$B$505))</f>
        <v/>
      </c>
      <c r="E3544">
        <f>IF(A3544="","",IF(SUMPRODUCT((Ввод!$F$12:$F$31&lt;&gt;"")*(Ввод!$F$12:$F$31&lt;=A3544)*(Ввод!$G$12:$G$31&gt;=A3544))&gt;0,1,0))</f>
        <v/>
      </c>
      <c r="F3544">
        <f>IF(OR(A3544="",B3544=""),"",IF(E3544=1,0,D3544*B3544/100/C3544))</f>
        <v/>
      </c>
      <c r="G3544">
        <f>IF(A3544="","",IF(OR(B3544&lt;&gt;B3543,C3544&lt;&gt;C3543,D3544&lt;&gt;D3543,E3544&lt;&gt;E3543),G3543+1,G3543))</f>
        <v/>
      </c>
    </row>
    <row r="3545">
      <c r="A3545" s="14">
        <f>IF(OR(NOT(ISNUMBER(Ввод!$B$5)),NOT(ISNUMBER(Ввод!$B$6))),"",IF(Ввод!$B$5+3543&gt;Ввод!$B$6,"",Ввод!$B$5+3543))</f>
        <v/>
      </c>
      <c r="B3545">
        <f>IF(A3545="","",IFERROR(INDEX(Ввод!$B$12:$B$71,MATCH(A3545,Ввод!$D$12:$D$71,1)),""))</f>
        <v/>
      </c>
      <c r="C3545">
        <f>IF(A3545="","",DATE(YEAR(A3545),12,31)-DATE(YEAR(A3545),1,1)+1)</f>
        <v/>
      </c>
      <c r="D3545">
        <f>IF(A3545="","",Ввод!$B$4-SUMIF(Оплаты!$A$6:$A$505,"&lt;"&amp;A3545,Оплаты!$B$6:$B$505))</f>
        <v/>
      </c>
      <c r="E3545">
        <f>IF(A3545="","",IF(SUMPRODUCT((Ввод!$F$12:$F$31&lt;&gt;"")*(Ввод!$F$12:$F$31&lt;=A3545)*(Ввод!$G$12:$G$31&gt;=A3545))&gt;0,1,0))</f>
        <v/>
      </c>
      <c r="F3545">
        <f>IF(OR(A3545="",B3545=""),"",IF(E3545=1,0,D3545*B3545/100/C3545))</f>
        <v/>
      </c>
      <c r="G3545">
        <f>IF(A3545="","",IF(OR(B3545&lt;&gt;B3544,C3545&lt;&gt;C3544,D3545&lt;&gt;D3544,E3545&lt;&gt;E3544),G3544+1,G3544))</f>
        <v/>
      </c>
    </row>
    <row r="3546">
      <c r="A3546" s="14">
        <f>IF(OR(NOT(ISNUMBER(Ввод!$B$5)),NOT(ISNUMBER(Ввод!$B$6))),"",IF(Ввод!$B$5+3544&gt;Ввод!$B$6,"",Ввод!$B$5+3544))</f>
        <v/>
      </c>
      <c r="B3546">
        <f>IF(A3546="","",IFERROR(INDEX(Ввод!$B$12:$B$71,MATCH(A3546,Ввод!$D$12:$D$71,1)),""))</f>
        <v/>
      </c>
      <c r="C3546">
        <f>IF(A3546="","",DATE(YEAR(A3546),12,31)-DATE(YEAR(A3546),1,1)+1)</f>
        <v/>
      </c>
      <c r="D3546">
        <f>IF(A3546="","",Ввод!$B$4-SUMIF(Оплаты!$A$6:$A$505,"&lt;"&amp;A3546,Оплаты!$B$6:$B$505))</f>
        <v/>
      </c>
      <c r="E3546">
        <f>IF(A3546="","",IF(SUMPRODUCT((Ввод!$F$12:$F$31&lt;&gt;"")*(Ввод!$F$12:$F$31&lt;=A3546)*(Ввод!$G$12:$G$31&gt;=A3546))&gt;0,1,0))</f>
        <v/>
      </c>
      <c r="F3546">
        <f>IF(OR(A3546="",B3546=""),"",IF(E3546=1,0,D3546*B3546/100/C3546))</f>
        <v/>
      </c>
      <c r="G3546">
        <f>IF(A3546="","",IF(OR(B3546&lt;&gt;B3545,C3546&lt;&gt;C3545,D3546&lt;&gt;D3545,E3546&lt;&gt;E3545),G3545+1,G3545))</f>
        <v/>
      </c>
    </row>
    <row r="3547">
      <c r="A3547" s="14">
        <f>IF(OR(NOT(ISNUMBER(Ввод!$B$5)),NOT(ISNUMBER(Ввод!$B$6))),"",IF(Ввод!$B$5+3545&gt;Ввод!$B$6,"",Ввод!$B$5+3545))</f>
        <v/>
      </c>
      <c r="B3547">
        <f>IF(A3547="","",IFERROR(INDEX(Ввод!$B$12:$B$71,MATCH(A3547,Ввод!$D$12:$D$71,1)),""))</f>
        <v/>
      </c>
      <c r="C3547">
        <f>IF(A3547="","",DATE(YEAR(A3547),12,31)-DATE(YEAR(A3547),1,1)+1)</f>
        <v/>
      </c>
      <c r="D3547">
        <f>IF(A3547="","",Ввод!$B$4-SUMIF(Оплаты!$A$6:$A$505,"&lt;"&amp;A3547,Оплаты!$B$6:$B$505))</f>
        <v/>
      </c>
      <c r="E3547">
        <f>IF(A3547="","",IF(SUMPRODUCT((Ввод!$F$12:$F$31&lt;&gt;"")*(Ввод!$F$12:$F$31&lt;=A3547)*(Ввод!$G$12:$G$31&gt;=A3547))&gt;0,1,0))</f>
        <v/>
      </c>
      <c r="F3547">
        <f>IF(OR(A3547="",B3547=""),"",IF(E3547=1,0,D3547*B3547/100/C3547))</f>
        <v/>
      </c>
      <c r="G3547">
        <f>IF(A3547="","",IF(OR(B3547&lt;&gt;B3546,C3547&lt;&gt;C3546,D3547&lt;&gt;D3546,E3547&lt;&gt;E3546),G3546+1,G3546))</f>
        <v/>
      </c>
    </row>
    <row r="3548">
      <c r="A3548" s="14">
        <f>IF(OR(NOT(ISNUMBER(Ввод!$B$5)),NOT(ISNUMBER(Ввод!$B$6))),"",IF(Ввод!$B$5+3546&gt;Ввод!$B$6,"",Ввод!$B$5+3546))</f>
        <v/>
      </c>
      <c r="B3548">
        <f>IF(A3548="","",IFERROR(INDEX(Ввод!$B$12:$B$71,MATCH(A3548,Ввод!$D$12:$D$71,1)),""))</f>
        <v/>
      </c>
      <c r="C3548">
        <f>IF(A3548="","",DATE(YEAR(A3548),12,31)-DATE(YEAR(A3548),1,1)+1)</f>
        <v/>
      </c>
      <c r="D3548">
        <f>IF(A3548="","",Ввод!$B$4-SUMIF(Оплаты!$A$6:$A$505,"&lt;"&amp;A3548,Оплаты!$B$6:$B$505))</f>
        <v/>
      </c>
      <c r="E3548">
        <f>IF(A3548="","",IF(SUMPRODUCT((Ввод!$F$12:$F$31&lt;&gt;"")*(Ввод!$F$12:$F$31&lt;=A3548)*(Ввод!$G$12:$G$31&gt;=A3548))&gt;0,1,0))</f>
        <v/>
      </c>
      <c r="F3548">
        <f>IF(OR(A3548="",B3548=""),"",IF(E3548=1,0,D3548*B3548/100/C3548))</f>
        <v/>
      </c>
      <c r="G3548">
        <f>IF(A3548="","",IF(OR(B3548&lt;&gt;B3547,C3548&lt;&gt;C3547,D3548&lt;&gt;D3547,E3548&lt;&gt;E3547),G3547+1,G3547))</f>
        <v/>
      </c>
    </row>
    <row r="3549">
      <c r="A3549" s="14">
        <f>IF(OR(NOT(ISNUMBER(Ввод!$B$5)),NOT(ISNUMBER(Ввод!$B$6))),"",IF(Ввод!$B$5+3547&gt;Ввод!$B$6,"",Ввод!$B$5+3547))</f>
        <v/>
      </c>
      <c r="B3549">
        <f>IF(A3549="","",IFERROR(INDEX(Ввод!$B$12:$B$71,MATCH(A3549,Ввод!$D$12:$D$71,1)),""))</f>
        <v/>
      </c>
      <c r="C3549">
        <f>IF(A3549="","",DATE(YEAR(A3549),12,31)-DATE(YEAR(A3549),1,1)+1)</f>
        <v/>
      </c>
      <c r="D3549">
        <f>IF(A3549="","",Ввод!$B$4-SUMIF(Оплаты!$A$6:$A$505,"&lt;"&amp;A3549,Оплаты!$B$6:$B$505))</f>
        <v/>
      </c>
      <c r="E3549">
        <f>IF(A3549="","",IF(SUMPRODUCT((Ввод!$F$12:$F$31&lt;&gt;"")*(Ввод!$F$12:$F$31&lt;=A3549)*(Ввод!$G$12:$G$31&gt;=A3549))&gt;0,1,0))</f>
        <v/>
      </c>
      <c r="F3549">
        <f>IF(OR(A3549="",B3549=""),"",IF(E3549=1,0,D3549*B3549/100/C3549))</f>
        <v/>
      </c>
      <c r="G3549">
        <f>IF(A3549="","",IF(OR(B3549&lt;&gt;B3548,C3549&lt;&gt;C3548,D3549&lt;&gt;D3548,E3549&lt;&gt;E3548),G3548+1,G3548))</f>
        <v/>
      </c>
    </row>
    <row r="3550">
      <c r="A3550" s="14">
        <f>IF(OR(NOT(ISNUMBER(Ввод!$B$5)),NOT(ISNUMBER(Ввод!$B$6))),"",IF(Ввод!$B$5+3548&gt;Ввод!$B$6,"",Ввод!$B$5+3548))</f>
        <v/>
      </c>
      <c r="B3550">
        <f>IF(A3550="","",IFERROR(INDEX(Ввод!$B$12:$B$71,MATCH(A3550,Ввод!$D$12:$D$71,1)),""))</f>
        <v/>
      </c>
      <c r="C3550">
        <f>IF(A3550="","",DATE(YEAR(A3550),12,31)-DATE(YEAR(A3550),1,1)+1)</f>
        <v/>
      </c>
      <c r="D3550">
        <f>IF(A3550="","",Ввод!$B$4-SUMIF(Оплаты!$A$6:$A$505,"&lt;"&amp;A3550,Оплаты!$B$6:$B$505))</f>
        <v/>
      </c>
      <c r="E3550">
        <f>IF(A3550="","",IF(SUMPRODUCT((Ввод!$F$12:$F$31&lt;&gt;"")*(Ввод!$F$12:$F$31&lt;=A3550)*(Ввод!$G$12:$G$31&gt;=A3550))&gt;0,1,0))</f>
        <v/>
      </c>
      <c r="F3550">
        <f>IF(OR(A3550="",B3550=""),"",IF(E3550=1,0,D3550*B3550/100/C3550))</f>
        <v/>
      </c>
      <c r="G3550">
        <f>IF(A3550="","",IF(OR(B3550&lt;&gt;B3549,C3550&lt;&gt;C3549,D3550&lt;&gt;D3549,E3550&lt;&gt;E3549),G3549+1,G3549))</f>
        <v/>
      </c>
    </row>
    <row r="3551">
      <c r="A3551" s="14">
        <f>IF(OR(NOT(ISNUMBER(Ввод!$B$5)),NOT(ISNUMBER(Ввод!$B$6))),"",IF(Ввод!$B$5+3549&gt;Ввод!$B$6,"",Ввод!$B$5+3549))</f>
        <v/>
      </c>
      <c r="B3551">
        <f>IF(A3551="","",IFERROR(INDEX(Ввод!$B$12:$B$71,MATCH(A3551,Ввод!$D$12:$D$71,1)),""))</f>
        <v/>
      </c>
      <c r="C3551">
        <f>IF(A3551="","",DATE(YEAR(A3551),12,31)-DATE(YEAR(A3551),1,1)+1)</f>
        <v/>
      </c>
      <c r="D3551">
        <f>IF(A3551="","",Ввод!$B$4-SUMIF(Оплаты!$A$6:$A$505,"&lt;"&amp;A3551,Оплаты!$B$6:$B$505))</f>
        <v/>
      </c>
      <c r="E3551">
        <f>IF(A3551="","",IF(SUMPRODUCT((Ввод!$F$12:$F$31&lt;&gt;"")*(Ввод!$F$12:$F$31&lt;=A3551)*(Ввод!$G$12:$G$31&gt;=A3551))&gt;0,1,0))</f>
        <v/>
      </c>
      <c r="F3551">
        <f>IF(OR(A3551="",B3551=""),"",IF(E3551=1,0,D3551*B3551/100/C3551))</f>
        <v/>
      </c>
      <c r="G3551">
        <f>IF(A3551="","",IF(OR(B3551&lt;&gt;B3550,C3551&lt;&gt;C3550,D3551&lt;&gt;D3550,E3551&lt;&gt;E3550),G3550+1,G3550))</f>
        <v/>
      </c>
    </row>
    <row r="3552">
      <c r="A3552" s="14">
        <f>IF(OR(NOT(ISNUMBER(Ввод!$B$5)),NOT(ISNUMBER(Ввод!$B$6))),"",IF(Ввод!$B$5+3550&gt;Ввод!$B$6,"",Ввод!$B$5+3550))</f>
        <v/>
      </c>
      <c r="B3552">
        <f>IF(A3552="","",IFERROR(INDEX(Ввод!$B$12:$B$71,MATCH(A3552,Ввод!$D$12:$D$71,1)),""))</f>
        <v/>
      </c>
      <c r="C3552">
        <f>IF(A3552="","",DATE(YEAR(A3552),12,31)-DATE(YEAR(A3552),1,1)+1)</f>
        <v/>
      </c>
      <c r="D3552">
        <f>IF(A3552="","",Ввод!$B$4-SUMIF(Оплаты!$A$6:$A$505,"&lt;"&amp;A3552,Оплаты!$B$6:$B$505))</f>
        <v/>
      </c>
      <c r="E3552">
        <f>IF(A3552="","",IF(SUMPRODUCT((Ввод!$F$12:$F$31&lt;&gt;"")*(Ввод!$F$12:$F$31&lt;=A3552)*(Ввод!$G$12:$G$31&gt;=A3552))&gt;0,1,0))</f>
        <v/>
      </c>
      <c r="F3552">
        <f>IF(OR(A3552="",B3552=""),"",IF(E3552=1,0,D3552*B3552/100/C3552))</f>
        <v/>
      </c>
      <c r="G3552">
        <f>IF(A3552="","",IF(OR(B3552&lt;&gt;B3551,C3552&lt;&gt;C3551,D3552&lt;&gt;D3551,E3552&lt;&gt;E3551),G3551+1,G3551))</f>
        <v/>
      </c>
    </row>
    <row r="3553">
      <c r="A3553" s="14">
        <f>IF(OR(NOT(ISNUMBER(Ввод!$B$5)),NOT(ISNUMBER(Ввод!$B$6))),"",IF(Ввод!$B$5+3551&gt;Ввод!$B$6,"",Ввод!$B$5+3551))</f>
        <v/>
      </c>
      <c r="B3553">
        <f>IF(A3553="","",IFERROR(INDEX(Ввод!$B$12:$B$71,MATCH(A3553,Ввод!$D$12:$D$71,1)),""))</f>
        <v/>
      </c>
      <c r="C3553">
        <f>IF(A3553="","",DATE(YEAR(A3553),12,31)-DATE(YEAR(A3553),1,1)+1)</f>
        <v/>
      </c>
      <c r="D3553">
        <f>IF(A3553="","",Ввод!$B$4-SUMIF(Оплаты!$A$6:$A$505,"&lt;"&amp;A3553,Оплаты!$B$6:$B$505))</f>
        <v/>
      </c>
      <c r="E3553">
        <f>IF(A3553="","",IF(SUMPRODUCT((Ввод!$F$12:$F$31&lt;&gt;"")*(Ввод!$F$12:$F$31&lt;=A3553)*(Ввод!$G$12:$G$31&gt;=A3553))&gt;0,1,0))</f>
        <v/>
      </c>
      <c r="F3553">
        <f>IF(OR(A3553="",B3553=""),"",IF(E3553=1,0,D3553*B3553/100/C3553))</f>
        <v/>
      </c>
      <c r="G3553">
        <f>IF(A3553="","",IF(OR(B3553&lt;&gt;B3552,C3553&lt;&gt;C3552,D3553&lt;&gt;D3552,E3553&lt;&gt;E3552),G3552+1,G3552))</f>
        <v/>
      </c>
    </row>
    <row r="3554">
      <c r="A3554" s="14">
        <f>IF(OR(NOT(ISNUMBER(Ввод!$B$5)),NOT(ISNUMBER(Ввод!$B$6))),"",IF(Ввод!$B$5+3552&gt;Ввод!$B$6,"",Ввод!$B$5+3552))</f>
        <v/>
      </c>
      <c r="B3554">
        <f>IF(A3554="","",IFERROR(INDEX(Ввод!$B$12:$B$71,MATCH(A3554,Ввод!$D$12:$D$71,1)),""))</f>
        <v/>
      </c>
      <c r="C3554">
        <f>IF(A3554="","",DATE(YEAR(A3554),12,31)-DATE(YEAR(A3554),1,1)+1)</f>
        <v/>
      </c>
      <c r="D3554">
        <f>IF(A3554="","",Ввод!$B$4-SUMIF(Оплаты!$A$6:$A$505,"&lt;"&amp;A3554,Оплаты!$B$6:$B$505))</f>
        <v/>
      </c>
      <c r="E3554">
        <f>IF(A3554="","",IF(SUMPRODUCT((Ввод!$F$12:$F$31&lt;&gt;"")*(Ввод!$F$12:$F$31&lt;=A3554)*(Ввод!$G$12:$G$31&gt;=A3554))&gt;0,1,0))</f>
        <v/>
      </c>
      <c r="F3554">
        <f>IF(OR(A3554="",B3554=""),"",IF(E3554=1,0,D3554*B3554/100/C3554))</f>
        <v/>
      </c>
      <c r="G3554">
        <f>IF(A3554="","",IF(OR(B3554&lt;&gt;B3553,C3554&lt;&gt;C3553,D3554&lt;&gt;D3553,E3554&lt;&gt;E3553),G3553+1,G3553))</f>
        <v/>
      </c>
    </row>
    <row r="3555">
      <c r="A3555" s="14">
        <f>IF(OR(NOT(ISNUMBER(Ввод!$B$5)),NOT(ISNUMBER(Ввод!$B$6))),"",IF(Ввод!$B$5+3553&gt;Ввод!$B$6,"",Ввод!$B$5+3553))</f>
        <v/>
      </c>
      <c r="B3555">
        <f>IF(A3555="","",IFERROR(INDEX(Ввод!$B$12:$B$71,MATCH(A3555,Ввод!$D$12:$D$71,1)),""))</f>
        <v/>
      </c>
      <c r="C3555">
        <f>IF(A3555="","",DATE(YEAR(A3555),12,31)-DATE(YEAR(A3555),1,1)+1)</f>
        <v/>
      </c>
      <c r="D3555">
        <f>IF(A3555="","",Ввод!$B$4-SUMIF(Оплаты!$A$6:$A$505,"&lt;"&amp;A3555,Оплаты!$B$6:$B$505))</f>
        <v/>
      </c>
      <c r="E3555">
        <f>IF(A3555="","",IF(SUMPRODUCT((Ввод!$F$12:$F$31&lt;&gt;"")*(Ввод!$F$12:$F$31&lt;=A3555)*(Ввод!$G$12:$G$31&gt;=A3555))&gt;0,1,0))</f>
        <v/>
      </c>
      <c r="F3555">
        <f>IF(OR(A3555="",B3555=""),"",IF(E3555=1,0,D3555*B3555/100/C3555))</f>
        <v/>
      </c>
      <c r="G3555">
        <f>IF(A3555="","",IF(OR(B3555&lt;&gt;B3554,C3555&lt;&gt;C3554,D3555&lt;&gt;D3554,E3555&lt;&gt;E3554),G3554+1,G3554))</f>
        <v/>
      </c>
    </row>
    <row r="3556">
      <c r="A3556" s="14">
        <f>IF(OR(NOT(ISNUMBER(Ввод!$B$5)),NOT(ISNUMBER(Ввод!$B$6))),"",IF(Ввод!$B$5+3554&gt;Ввод!$B$6,"",Ввод!$B$5+3554))</f>
        <v/>
      </c>
      <c r="B3556">
        <f>IF(A3556="","",IFERROR(INDEX(Ввод!$B$12:$B$71,MATCH(A3556,Ввод!$D$12:$D$71,1)),""))</f>
        <v/>
      </c>
      <c r="C3556">
        <f>IF(A3556="","",DATE(YEAR(A3556),12,31)-DATE(YEAR(A3556),1,1)+1)</f>
        <v/>
      </c>
      <c r="D3556">
        <f>IF(A3556="","",Ввод!$B$4-SUMIF(Оплаты!$A$6:$A$505,"&lt;"&amp;A3556,Оплаты!$B$6:$B$505))</f>
        <v/>
      </c>
      <c r="E3556">
        <f>IF(A3556="","",IF(SUMPRODUCT((Ввод!$F$12:$F$31&lt;&gt;"")*(Ввод!$F$12:$F$31&lt;=A3556)*(Ввод!$G$12:$G$31&gt;=A3556))&gt;0,1,0))</f>
        <v/>
      </c>
      <c r="F3556">
        <f>IF(OR(A3556="",B3556=""),"",IF(E3556=1,0,D3556*B3556/100/C3556))</f>
        <v/>
      </c>
      <c r="G3556">
        <f>IF(A3556="","",IF(OR(B3556&lt;&gt;B3555,C3556&lt;&gt;C3555,D3556&lt;&gt;D3555,E3556&lt;&gt;E3555),G3555+1,G3555))</f>
        <v/>
      </c>
    </row>
    <row r="3557">
      <c r="A3557" s="14">
        <f>IF(OR(NOT(ISNUMBER(Ввод!$B$5)),NOT(ISNUMBER(Ввод!$B$6))),"",IF(Ввод!$B$5+3555&gt;Ввод!$B$6,"",Ввод!$B$5+3555))</f>
        <v/>
      </c>
      <c r="B3557">
        <f>IF(A3557="","",IFERROR(INDEX(Ввод!$B$12:$B$71,MATCH(A3557,Ввод!$D$12:$D$71,1)),""))</f>
        <v/>
      </c>
      <c r="C3557">
        <f>IF(A3557="","",DATE(YEAR(A3557),12,31)-DATE(YEAR(A3557),1,1)+1)</f>
        <v/>
      </c>
      <c r="D3557">
        <f>IF(A3557="","",Ввод!$B$4-SUMIF(Оплаты!$A$6:$A$505,"&lt;"&amp;A3557,Оплаты!$B$6:$B$505))</f>
        <v/>
      </c>
      <c r="E3557">
        <f>IF(A3557="","",IF(SUMPRODUCT((Ввод!$F$12:$F$31&lt;&gt;"")*(Ввод!$F$12:$F$31&lt;=A3557)*(Ввод!$G$12:$G$31&gt;=A3557))&gt;0,1,0))</f>
        <v/>
      </c>
      <c r="F3557">
        <f>IF(OR(A3557="",B3557=""),"",IF(E3557=1,0,D3557*B3557/100/C3557))</f>
        <v/>
      </c>
      <c r="G3557">
        <f>IF(A3557="","",IF(OR(B3557&lt;&gt;B3556,C3557&lt;&gt;C3556,D3557&lt;&gt;D3556,E3557&lt;&gt;E3556),G3556+1,G3556))</f>
        <v/>
      </c>
    </row>
    <row r="3558">
      <c r="A3558" s="14">
        <f>IF(OR(NOT(ISNUMBER(Ввод!$B$5)),NOT(ISNUMBER(Ввод!$B$6))),"",IF(Ввод!$B$5+3556&gt;Ввод!$B$6,"",Ввод!$B$5+3556))</f>
        <v/>
      </c>
      <c r="B3558">
        <f>IF(A3558="","",IFERROR(INDEX(Ввод!$B$12:$B$71,MATCH(A3558,Ввод!$D$12:$D$71,1)),""))</f>
        <v/>
      </c>
      <c r="C3558">
        <f>IF(A3558="","",DATE(YEAR(A3558),12,31)-DATE(YEAR(A3558),1,1)+1)</f>
        <v/>
      </c>
      <c r="D3558">
        <f>IF(A3558="","",Ввод!$B$4-SUMIF(Оплаты!$A$6:$A$505,"&lt;"&amp;A3558,Оплаты!$B$6:$B$505))</f>
        <v/>
      </c>
      <c r="E3558">
        <f>IF(A3558="","",IF(SUMPRODUCT((Ввод!$F$12:$F$31&lt;&gt;"")*(Ввод!$F$12:$F$31&lt;=A3558)*(Ввод!$G$12:$G$31&gt;=A3558))&gt;0,1,0))</f>
        <v/>
      </c>
      <c r="F3558">
        <f>IF(OR(A3558="",B3558=""),"",IF(E3558=1,0,D3558*B3558/100/C3558))</f>
        <v/>
      </c>
      <c r="G3558">
        <f>IF(A3558="","",IF(OR(B3558&lt;&gt;B3557,C3558&lt;&gt;C3557,D3558&lt;&gt;D3557,E3558&lt;&gt;E3557),G3557+1,G3557))</f>
        <v/>
      </c>
    </row>
    <row r="3559">
      <c r="A3559" s="14">
        <f>IF(OR(NOT(ISNUMBER(Ввод!$B$5)),NOT(ISNUMBER(Ввод!$B$6))),"",IF(Ввод!$B$5+3557&gt;Ввод!$B$6,"",Ввод!$B$5+3557))</f>
        <v/>
      </c>
      <c r="B3559">
        <f>IF(A3559="","",IFERROR(INDEX(Ввод!$B$12:$B$71,MATCH(A3559,Ввод!$D$12:$D$71,1)),""))</f>
        <v/>
      </c>
      <c r="C3559">
        <f>IF(A3559="","",DATE(YEAR(A3559),12,31)-DATE(YEAR(A3559),1,1)+1)</f>
        <v/>
      </c>
      <c r="D3559">
        <f>IF(A3559="","",Ввод!$B$4-SUMIF(Оплаты!$A$6:$A$505,"&lt;"&amp;A3559,Оплаты!$B$6:$B$505))</f>
        <v/>
      </c>
      <c r="E3559">
        <f>IF(A3559="","",IF(SUMPRODUCT((Ввод!$F$12:$F$31&lt;&gt;"")*(Ввод!$F$12:$F$31&lt;=A3559)*(Ввод!$G$12:$G$31&gt;=A3559))&gt;0,1,0))</f>
        <v/>
      </c>
      <c r="F3559">
        <f>IF(OR(A3559="",B3559=""),"",IF(E3559=1,0,D3559*B3559/100/C3559))</f>
        <v/>
      </c>
      <c r="G3559">
        <f>IF(A3559="","",IF(OR(B3559&lt;&gt;B3558,C3559&lt;&gt;C3558,D3559&lt;&gt;D3558,E3559&lt;&gt;E3558),G3558+1,G3558))</f>
        <v/>
      </c>
    </row>
    <row r="3560">
      <c r="A3560" s="14">
        <f>IF(OR(NOT(ISNUMBER(Ввод!$B$5)),NOT(ISNUMBER(Ввод!$B$6))),"",IF(Ввод!$B$5+3558&gt;Ввод!$B$6,"",Ввод!$B$5+3558))</f>
        <v/>
      </c>
      <c r="B3560">
        <f>IF(A3560="","",IFERROR(INDEX(Ввод!$B$12:$B$71,MATCH(A3560,Ввод!$D$12:$D$71,1)),""))</f>
        <v/>
      </c>
      <c r="C3560">
        <f>IF(A3560="","",DATE(YEAR(A3560),12,31)-DATE(YEAR(A3560),1,1)+1)</f>
        <v/>
      </c>
      <c r="D3560">
        <f>IF(A3560="","",Ввод!$B$4-SUMIF(Оплаты!$A$6:$A$505,"&lt;"&amp;A3560,Оплаты!$B$6:$B$505))</f>
        <v/>
      </c>
      <c r="E3560">
        <f>IF(A3560="","",IF(SUMPRODUCT((Ввод!$F$12:$F$31&lt;&gt;"")*(Ввод!$F$12:$F$31&lt;=A3560)*(Ввод!$G$12:$G$31&gt;=A3560))&gt;0,1,0))</f>
        <v/>
      </c>
      <c r="F3560">
        <f>IF(OR(A3560="",B3560=""),"",IF(E3560=1,0,D3560*B3560/100/C3560))</f>
        <v/>
      </c>
      <c r="G3560">
        <f>IF(A3560="","",IF(OR(B3560&lt;&gt;B3559,C3560&lt;&gt;C3559,D3560&lt;&gt;D3559,E3560&lt;&gt;E3559),G3559+1,G3559))</f>
        <v/>
      </c>
    </row>
    <row r="3561">
      <c r="A3561" s="14">
        <f>IF(OR(NOT(ISNUMBER(Ввод!$B$5)),NOT(ISNUMBER(Ввод!$B$6))),"",IF(Ввод!$B$5+3559&gt;Ввод!$B$6,"",Ввод!$B$5+3559))</f>
        <v/>
      </c>
      <c r="B3561">
        <f>IF(A3561="","",IFERROR(INDEX(Ввод!$B$12:$B$71,MATCH(A3561,Ввод!$D$12:$D$71,1)),""))</f>
        <v/>
      </c>
      <c r="C3561">
        <f>IF(A3561="","",DATE(YEAR(A3561),12,31)-DATE(YEAR(A3561),1,1)+1)</f>
        <v/>
      </c>
      <c r="D3561">
        <f>IF(A3561="","",Ввод!$B$4-SUMIF(Оплаты!$A$6:$A$505,"&lt;"&amp;A3561,Оплаты!$B$6:$B$505))</f>
        <v/>
      </c>
      <c r="E3561">
        <f>IF(A3561="","",IF(SUMPRODUCT((Ввод!$F$12:$F$31&lt;&gt;"")*(Ввод!$F$12:$F$31&lt;=A3561)*(Ввод!$G$12:$G$31&gt;=A3561))&gt;0,1,0))</f>
        <v/>
      </c>
      <c r="F3561">
        <f>IF(OR(A3561="",B3561=""),"",IF(E3561=1,0,D3561*B3561/100/C3561))</f>
        <v/>
      </c>
      <c r="G3561">
        <f>IF(A3561="","",IF(OR(B3561&lt;&gt;B3560,C3561&lt;&gt;C3560,D3561&lt;&gt;D3560,E3561&lt;&gt;E3560),G3560+1,G3560))</f>
        <v/>
      </c>
    </row>
    <row r="3562">
      <c r="A3562" s="14">
        <f>IF(OR(NOT(ISNUMBER(Ввод!$B$5)),NOT(ISNUMBER(Ввод!$B$6))),"",IF(Ввод!$B$5+3560&gt;Ввод!$B$6,"",Ввод!$B$5+3560))</f>
        <v/>
      </c>
      <c r="B3562">
        <f>IF(A3562="","",IFERROR(INDEX(Ввод!$B$12:$B$71,MATCH(A3562,Ввод!$D$12:$D$71,1)),""))</f>
        <v/>
      </c>
      <c r="C3562">
        <f>IF(A3562="","",DATE(YEAR(A3562),12,31)-DATE(YEAR(A3562),1,1)+1)</f>
        <v/>
      </c>
      <c r="D3562">
        <f>IF(A3562="","",Ввод!$B$4-SUMIF(Оплаты!$A$6:$A$505,"&lt;"&amp;A3562,Оплаты!$B$6:$B$505))</f>
        <v/>
      </c>
      <c r="E3562">
        <f>IF(A3562="","",IF(SUMPRODUCT((Ввод!$F$12:$F$31&lt;&gt;"")*(Ввод!$F$12:$F$31&lt;=A3562)*(Ввод!$G$12:$G$31&gt;=A3562))&gt;0,1,0))</f>
        <v/>
      </c>
      <c r="F3562">
        <f>IF(OR(A3562="",B3562=""),"",IF(E3562=1,0,D3562*B3562/100/C3562))</f>
        <v/>
      </c>
      <c r="G3562">
        <f>IF(A3562="","",IF(OR(B3562&lt;&gt;B3561,C3562&lt;&gt;C3561,D3562&lt;&gt;D3561,E3562&lt;&gt;E3561),G3561+1,G3561))</f>
        <v/>
      </c>
    </row>
    <row r="3563">
      <c r="A3563" s="14">
        <f>IF(OR(NOT(ISNUMBER(Ввод!$B$5)),NOT(ISNUMBER(Ввод!$B$6))),"",IF(Ввод!$B$5+3561&gt;Ввод!$B$6,"",Ввод!$B$5+3561))</f>
        <v/>
      </c>
      <c r="B3563">
        <f>IF(A3563="","",IFERROR(INDEX(Ввод!$B$12:$B$71,MATCH(A3563,Ввод!$D$12:$D$71,1)),""))</f>
        <v/>
      </c>
      <c r="C3563">
        <f>IF(A3563="","",DATE(YEAR(A3563),12,31)-DATE(YEAR(A3563),1,1)+1)</f>
        <v/>
      </c>
      <c r="D3563">
        <f>IF(A3563="","",Ввод!$B$4-SUMIF(Оплаты!$A$6:$A$505,"&lt;"&amp;A3563,Оплаты!$B$6:$B$505))</f>
        <v/>
      </c>
      <c r="E3563">
        <f>IF(A3563="","",IF(SUMPRODUCT((Ввод!$F$12:$F$31&lt;&gt;"")*(Ввод!$F$12:$F$31&lt;=A3563)*(Ввод!$G$12:$G$31&gt;=A3563))&gt;0,1,0))</f>
        <v/>
      </c>
      <c r="F3563">
        <f>IF(OR(A3563="",B3563=""),"",IF(E3563=1,0,D3563*B3563/100/C3563))</f>
        <v/>
      </c>
      <c r="G3563">
        <f>IF(A3563="","",IF(OR(B3563&lt;&gt;B3562,C3563&lt;&gt;C3562,D3563&lt;&gt;D3562,E3563&lt;&gt;E3562),G3562+1,G3562))</f>
        <v/>
      </c>
    </row>
    <row r="3564">
      <c r="A3564" s="14">
        <f>IF(OR(NOT(ISNUMBER(Ввод!$B$5)),NOT(ISNUMBER(Ввод!$B$6))),"",IF(Ввод!$B$5+3562&gt;Ввод!$B$6,"",Ввод!$B$5+3562))</f>
        <v/>
      </c>
      <c r="B3564">
        <f>IF(A3564="","",IFERROR(INDEX(Ввод!$B$12:$B$71,MATCH(A3564,Ввод!$D$12:$D$71,1)),""))</f>
        <v/>
      </c>
      <c r="C3564">
        <f>IF(A3564="","",DATE(YEAR(A3564),12,31)-DATE(YEAR(A3564),1,1)+1)</f>
        <v/>
      </c>
      <c r="D3564">
        <f>IF(A3564="","",Ввод!$B$4-SUMIF(Оплаты!$A$6:$A$505,"&lt;"&amp;A3564,Оплаты!$B$6:$B$505))</f>
        <v/>
      </c>
      <c r="E3564">
        <f>IF(A3564="","",IF(SUMPRODUCT((Ввод!$F$12:$F$31&lt;&gt;"")*(Ввод!$F$12:$F$31&lt;=A3564)*(Ввод!$G$12:$G$31&gt;=A3564))&gt;0,1,0))</f>
        <v/>
      </c>
      <c r="F3564">
        <f>IF(OR(A3564="",B3564=""),"",IF(E3564=1,0,D3564*B3564/100/C3564))</f>
        <v/>
      </c>
      <c r="G3564">
        <f>IF(A3564="","",IF(OR(B3564&lt;&gt;B3563,C3564&lt;&gt;C3563,D3564&lt;&gt;D3563,E3564&lt;&gt;E3563),G3563+1,G3563))</f>
        <v/>
      </c>
    </row>
    <row r="3565">
      <c r="A3565" s="14">
        <f>IF(OR(NOT(ISNUMBER(Ввод!$B$5)),NOT(ISNUMBER(Ввод!$B$6))),"",IF(Ввод!$B$5+3563&gt;Ввод!$B$6,"",Ввод!$B$5+3563))</f>
        <v/>
      </c>
      <c r="B3565">
        <f>IF(A3565="","",IFERROR(INDEX(Ввод!$B$12:$B$71,MATCH(A3565,Ввод!$D$12:$D$71,1)),""))</f>
        <v/>
      </c>
      <c r="C3565">
        <f>IF(A3565="","",DATE(YEAR(A3565),12,31)-DATE(YEAR(A3565),1,1)+1)</f>
        <v/>
      </c>
      <c r="D3565">
        <f>IF(A3565="","",Ввод!$B$4-SUMIF(Оплаты!$A$6:$A$505,"&lt;"&amp;A3565,Оплаты!$B$6:$B$505))</f>
        <v/>
      </c>
      <c r="E3565">
        <f>IF(A3565="","",IF(SUMPRODUCT((Ввод!$F$12:$F$31&lt;&gt;"")*(Ввод!$F$12:$F$31&lt;=A3565)*(Ввод!$G$12:$G$31&gt;=A3565))&gt;0,1,0))</f>
        <v/>
      </c>
      <c r="F3565">
        <f>IF(OR(A3565="",B3565=""),"",IF(E3565=1,0,D3565*B3565/100/C3565))</f>
        <v/>
      </c>
      <c r="G3565">
        <f>IF(A3565="","",IF(OR(B3565&lt;&gt;B3564,C3565&lt;&gt;C3564,D3565&lt;&gt;D3564,E3565&lt;&gt;E3564),G3564+1,G3564))</f>
        <v/>
      </c>
    </row>
    <row r="3566">
      <c r="A3566" s="14">
        <f>IF(OR(NOT(ISNUMBER(Ввод!$B$5)),NOT(ISNUMBER(Ввод!$B$6))),"",IF(Ввод!$B$5+3564&gt;Ввод!$B$6,"",Ввод!$B$5+3564))</f>
        <v/>
      </c>
      <c r="B3566">
        <f>IF(A3566="","",IFERROR(INDEX(Ввод!$B$12:$B$71,MATCH(A3566,Ввод!$D$12:$D$71,1)),""))</f>
        <v/>
      </c>
      <c r="C3566">
        <f>IF(A3566="","",DATE(YEAR(A3566),12,31)-DATE(YEAR(A3566),1,1)+1)</f>
        <v/>
      </c>
      <c r="D3566">
        <f>IF(A3566="","",Ввод!$B$4-SUMIF(Оплаты!$A$6:$A$505,"&lt;"&amp;A3566,Оплаты!$B$6:$B$505))</f>
        <v/>
      </c>
      <c r="E3566">
        <f>IF(A3566="","",IF(SUMPRODUCT((Ввод!$F$12:$F$31&lt;&gt;"")*(Ввод!$F$12:$F$31&lt;=A3566)*(Ввод!$G$12:$G$31&gt;=A3566))&gt;0,1,0))</f>
        <v/>
      </c>
      <c r="F3566">
        <f>IF(OR(A3566="",B3566=""),"",IF(E3566=1,0,D3566*B3566/100/C3566))</f>
        <v/>
      </c>
      <c r="G3566">
        <f>IF(A3566="","",IF(OR(B3566&lt;&gt;B3565,C3566&lt;&gt;C3565,D3566&lt;&gt;D3565,E3566&lt;&gt;E3565),G3565+1,G3565))</f>
        <v/>
      </c>
    </row>
    <row r="3567">
      <c r="A3567" s="14">
        <f>IF(OR(NOT(ISNUMBER(Ввод!$B$5)),NOT(ISNUMBER(Ввод!$B$6))),"",IF(Ввод!$B$5+3565&gt;Ввод!$B$6,"",Ввод!$B$5+3565))</f>
        <v/>
      </c>
      <c r="B3567">
        <f>IF(A3567="","",IFERROR(INDEX(Ввод!$B$12:$B$71,MATCH(A3567,Ввод!$D$12:$D$71,1)),""))</f>
        <v/>
      </c>
      <c r="C3567">
        <f>IF(A3567="","",DATE(YEAR(A3567),12,31)-DATE(YEAR(A3567),1,1)+1)</f>
        <v/>
      </c>
      <c r="D3567">
        <f>IF(A3567="","",Ввод!$B$4-SUMIF(Оплаты!$A$6:$A$505,"&lt;"&amp;A3567,Оплаты!$B$6:$B$505))</f>
        <v/>
      </c>
      <c r="E3567">
        <f>IF(A3567="","",IF(SUMPRODUCT((Ввод!$F$12:$F$31&lt;&gt;"")*(Ввод!$F$12:$F$31&lt;=A3567)*(Ввод!$G$12:$G$31&gt;=A3567))&gt;0,1,0))</f>
        <v/>
      </c>
      <c r="F3567">
        <f>IF(OR(A3567="",B3567=""),"",IF(E3567=1,0,D3567*B3567/100/C3567))</f>
        <v/>
      </c>
      <c r="G3567">
        <f>IF(A3567="","",IF(OR(B3567&lt;&gt;B3566,C3567&lt;&gt;C3566,D3567&lt;&gt;D3566,E3567&lt;&gt;E3566),G3566+1,G3566))</f>
        <v/>
      </c>
    </row>
    <row r="3568">
      <c r="A3568" s="14">
        <f>IF(OR(NOT(ISNUMBER(Ввод!$B$5)),NOT(ISNUMBER(Ввод!$B$6))),"",IF(Ввод!$B$5+3566&gt;Ввод!$B$6,"",Ввод!$B$5+3566))</f>
        <v/>
      </c>
      <c r="B3568">
        <f>IF(A3568="","",IFERROR(INDEX(Ввод!$B$12:$B$71,MATCH(A3568,Ввод!$D$12:$D$71,1)),""))</f>
        <v/>
      </c>
      <c r="C3568">
        <f>IF(A3568="","",DATE(YEAR(A3568),12,31)-DATE(YEAR(A3568),1,1)+1)</f>
        <v/>
      </c>
      <c r="D3568">
        <f>IF(A3568="","",Ввод!$B$4-SUMIF(Оплаты!$A$6:$A$505,"&lt;"&amp;A3568,Оплаты!$B$6:$B$505))</f>
        <v/>
      </c>
      <c r="E3568">
        <f>IF(A3568="","",IF(SUMPRODUCT((Ввод!$F$12:$F$31&lt;&gt;"")*(Ввод!$F$12:$F$31&lt;=A3568)*(Ввод!$G$12:$G$31&gt;=A3568))&gt;0,1,0))</f>
        <v/>
      </c>
      <c r="F3568">
        <f>IF(OR(A3568="",B3568=""),"",IF(E3568=1,0,D3568*B3568/100/C3568))</f>
        <v/>
      </c>
      <c r="G3568">
        <f>IF(A3568="","",IF(OR(B3568&lt;&gt;B3567,C3568&lt;&gt;C3567,D3568&lt;&gt;D3567,E3568&lt;&gt;E3567),G3567+1,G3567))</f>
        <v/>
      </c>
    </row>
    <row r="3569">
      <c r="A3569" s="14">
        <f>IF(OR(NOT(ISNUMBER(Ввод!$B$5)),NOT(ISNUMBER(Ввод!$B$6))),"",IF(Ввод!$B$5+3567&gt;Ввод!$B$6,"",Ввод!$B$5+3567))</f>
        <v/>
      </c>
      <c r="B3569">
        <f>IF(A3569="","",IFERROR(INDEX(Ввод!$B$12:$B$71,MATCH(A3569,Ввод!$D$12:$D$71,1)),""))</f>
        <v/>
      </c>
      <c r="C3569">
        <f>IF(A3569="","",DATE(YEAR(A3569),12,31)-DATE(YEAR(A3569),1,1)+1)</f>
        <v/>
      </c>
      <c r="D3569">
        <f>IF(A3569="","",Ввод!$B$4-SUMIF(Оплаты!$A$6:$A$505,"&lt;"&amp;A3569,Оплаты!$B$6:$B$505))</f>
        <v/>
      </c>
      <c r="E3569">
        <f>IF(A3569="","",IF(SUMPRODUCT((Ввод!$F$12:$F$31&lt;&gt;"")*(Ввод!$F$12:$F$31&lt;=A3569)*(Ввод!$G$12:$G$31&gt;=A3569))&gt;0,1,0))</f>
        <v/>
      </c>
      <c r="F3569">
        <f>IF(OR(A3569="",B3569=""),"",IF(E3569=1,0,D3569*B3569/100/C3569))</f>
        <v/>
      </c>
      <c r="G3569">
        <f>IF(A3569="","",IF(OR(B3569&lt;&gt;B3568,C3569&lt;&gt;C3568,D3569&lt;&gt;D3568,E3569&lt;&gt;E3568),G3568+1,G3568))</f>
        <v/>
      </c>
    </row>
    <row r="3570">
      <c r="A3570" s="14">
        <f>IF(OR(NOT(ISNUMBER(Ввод!$B$5)),NOT(ISNUMBER(Ввод!$B$6))),"",IF(Ввод!$B$5+3568&gt;Ввод!$B$6,"",Ввод!$B$5+3568))</f>
        <v/>
      </c>
      <c r="B3570">
        <f>IF(A3570="","",IFERROR(INDEX(Ввод!$B$12:$B$71,MATCH(A3570,Ввод!$D$12:$D$71,1)),""))</f>
        <v/>
      </c>
      <c r="C3570">
        <f>IF(A3570="","",DATE(YEAR(A3570),12,31)-DATE(YEAR(A3570),1,1)+1)</f>
        <v/>
      </c>
      <c r="D3570">
        <f>IF(A3570="","",Ввод!$B$4-SUMIF(Оплаты!$A$6:$A$505,"&lt;"&amp;A3570,Оплаты!$B$6:$B$505))</f>
        <v/>
      </c>
      <c r="E3570">
        <f>IF(A3570="","",IF(SUMPRODUCT((Ввод!$F$12:$F$31&lt;&gt;"")*(Ввод!$F$12:$F$31&lt;=A3570)*(Ввод!$G$12:$G$31&gt;=A3570))&gt;0,1,0))</f>
        <v/>
      </c>
      <c r="F3570">
        <f>IF(OR(A3570="",B3570=""),"",IF(E3570=1,0,D3570*B3570/100/C3570))</f>
        <v/>
      </c>
      <c r="G3570">
        <f>IF(A3570="","",IF(OR(B3570&lt;&gt;B3569,C3570&lt;&gt;C3569,D3570&lt;&gt;D3569,E3570&lt;&gt;E3569),G3569+1,G3569))</f>
        <v/>
      </c>
    </row>
    <row r="3571">
      <c r="A3571" s="14">
        <f>IF(OR(NOT(ISNUMBER(Ввод!$B$5)),NOT(ISNUMBER(Ввод!$B$6))),"",IF(Ввод!$B$5+3569&gt;Ввод!$B$6,"",Ввод!$B$5+3569))</f>
        <v/>
      </c>
      <c r="B3571">
        <f>IF(A3571="","",IFERROR(INDEX(Ввод!$B$12:$B$71,MATCH(A3571,Ввод!$D$12:$D$71,1)),""))</f>
        <v/>
      </c>
      <c r="C3571">
        <f>IF(A3571="","",DATE(YEAR(A3571),12,31)-DATE(YEAR(A3571),1,1)+1)</f>
        <v/>
      </c>
      <c r="D3571">
        <f>IF(A3571="","",Ввод!$B$4-SUMIF(Оплаты!$A$6:$A$505,"&lt;"&amp;A3571,Оплаты!$B$6:$B$505))</f>
        <v/>
      </c>
      <c r="E3571">
        <f>IF(A3571="","",IF(SUMPRODUCT((Ввод!$F$12:$F$31&lt;&gt;"")*(Ввод!$F$12:$F$31&lt;=A3571)*(Ввод!$G$12:$G$31&gt;=A3571))&gt;0,1,0))</f>
        <v/>
      </c>
      <c r="F3571">
        <f>IF(OR(A3571="",B3571=""),"",IF(E3571=1,0,D3571*B3571/100/C3571))</f>
        <v/>
      </c>
      <c r="G3571">
        <f>IF(A3571="","",IF(OR(B3571&lt;&gt;B3570,C3571&lt;&gt;C3570,D3571&lt;&gt;D3570,E3571&lt;&gt;E3570),G3570+1,G3570))</f>
        <v/>
      </c>
    </row>
    <row r="3572">
      <c r="A3572" s="14">
        <f>IF(OR(NOT(ISNUMBER(Ввод!$B$5)),NOT(ISNUMBER(Ввод!$B$6))),"",IF(Ввод!$B$5+3570&gt;Ввод!$B$6,"",Ввод!$B$5+3570))</f>
        <v/>
      </c>
      <c r="B3572">
        <f>IF(A3572="","",IFERROR(INDEX(Ввод!$B$12:$B$71,MATCH(A3572,Ввод!$D$12:$D$71,1)),""))</f>
        <v/>
      </c>
      <c r="C3572">
        <f>IF(A3572="","",DATE(YEAR(A3572),12,31)-DATE(YEAR(A3572),1,1)+1)</f>
        <v/>
      </c>
      <c r="D3572">
        <f>IF(A3572="","",Ввод!$B$4-SUMIF(Оплаты!$A$6:$A$505,"&lt;"&amp;A3572,Оплаты!$B$6:$B$505))</f>
        <v/>
      </c>
      <c r="E3572">
        <f>IF(A3572="","",IF(SUMPRODUCT((Ввод!$F$12:$F$31&lt;&gt;"")*(Ввод!$F$12:$F$31&lt;=A3572)*(Ввод!$G$12:$G$31&gt;=A3572))&gt;0,1,0))</f>
        <v/>
      </c>
      <c r="F3572">
        <f>IF(OR(A3572="",B3572=""),"",IF(E3572=1,0,D3572*B3572/100/C3572))</f>
        <v/>
      </c>
      <c r="G3572">
        <f>IF(A3572="","",IF(OR(B3572&lt;&gt;B3571,C3572&lt;&gt;C3571,D3572&lt;&gt;D3571,E3572&lt;&gt;E3571),G3571+1,G3571))</f>
        <v/>
      </c>
    </row>
    <row r="3573">
      <c r="A3573" s="14">
        <f>IF(OR(NOT(ISNUMBER(Ввод!$B$5)),NOT(ISNUMBER(Ввод!$B$6))),"",IF(Ввод!$B$5+3571&gt;Ввод!$B$6,"",Ввод!$B$5+3571))</f>
        <v/>
      </c>
      <c r="B3573">
        <f>IF(A3573="","",IFERROR(INDEX(Ввод!$B$12:$B$71,MATCH(A3573,Ввод!$D$12:$D$71,1)),""))</f>
        <v/>
      </c>
      <c r="C3573">
        <f>IF(A3573="","",DATE(YEAR(A3573),12,31)-DATE(YEAR(A3573),1,1)+1)</f>
        <v/>
      </c>
      <c r="D3573">
        <f>IF(A3573="","",Ввод!$B$4-SUMIF(Оплаты!$A$6:$A$505,"&lt;"&amp;A3573,Оплаты!$B$6:$B$505))</f>
        <v/>
      </c>
      <c r="E3573">
        <f>IF(A3573="","",IF(SUMPRODUCT((Ввод!$F$12:$F$31&lt;&gt;"")*(Ввод!$F$12:$F$31&lt;=A3573)*(Ввод!$G$12:$G$31&gt;=A3573))&gt;0,1,0))</f>
        <v/>
      </c>
      <c r="F3573">
        <f>IF(OR(A3573="",B3573=""),"",IF(E3573=1,0,D3573*B3573/100/C3573))</f>
        <v/>
      </c>
      <c r="G3573">
        <f>IF(A3573="","",IF(OR(B3573&lt;&gt;B3572,C3573&lt;&gt;C3572,D3573&lt;&gt;D3572,E3573&lt;&gt;E3572),G3572+1,G3572))</f>
        <v/>
      </c>
    </row>
    <row r="3574">
      <c r="A3574" s="14">
        <f>IF(OR(NOT(ISNUMBER(Ввод!$B$5)),NOT(ISNUMBER(Ввод!$B$6))),"",IF(Ввод!$B$5+3572&gt;Ввод!$B$6,"",Ввод!$B$5+3572))</f>
        <v/>
      </c>
      <c r="B3574">
        <f>IF(A3574="","",IFERROR(INDEX(Ввод!$B$12:$B$71,MATCH(A3574,Ввод!$D$12:$D$71,1)),""))</f>
        <v/>
      </c>
      <c r="C3574">
        <f>IF(A3574="","",DATE(YEAR(A3574),12,31)-DATE(YEAR(A3574),1,1)+1)</f>
        <v/>
      </c>
      <c r="D3574">
        <f>IF(A3574="","",Ввод!$B$4-SUMIF(Оплаты!$A$6:$A$505,"&lt;"&amp;A3574,Оплаты!$B$6:$B$505))</f>
        <v/>
      </c>
      <c r="E3574">
        <f>IF(A3574="","",IF(SUMPRODUCT((Ввод!$F$12:$F$31&lt;&gt;"")*(Ввод!$F$12:$F$31&lt;=A3574)*(Ввод!$G$12:$G$31&gt;=A3574))&gt;0,1,0))</f>
        <v/>
      </c>
      <c r="F3574">
        <f>IF(OR(A3574="",B3574=""),"",IF(E3574=1,0,D3574*B3574/100/C3574))</f>
        <v/>
      </c>
      <c r="G3574">
        <f>IF(A3574="","",IF(OR(B3574&lt;&gt;B3573,C3574&lt;&gt;C3573,D3574&lt;&gt;D3573,E3574&lt;&gt;E3573),G3573+1,G3573))</f>
        <v/>
      </c>
    </row>
    <row r="3575">
      <c r="A3575" s="14">
        <f>IF(OR(NOT(ISNUMBER(Ввод!$B$5)),NOT(ISNUMBER(Ввод!$B$6))),"",IF(Ввод!$B$5+3573&gt;Ввод!$B$6,"",Ввод!$B$5+3573))</f>
        <v/>
      </c>
      <c r="B3575">
        <f>IF(A3575="","",IFERROR(INDEX(Ввод!$B$12:$B$71,MATCH(A3575,Ввод!$D$12:$D$71,1)),""))</f>
        <v/>
      </c>
      <c r="C3575">
        <f>IF(A3575="","",DATE(YEAR(A3575),12,31)-DATE(YEAR(A3575),1,1)+1)</f>
        <v/>
      </c>
      <c r="D3575">
        <f>IF(A3575="","",Ввод!$B$4-SUMIF(Оплаты!$A$6:$A$505,"&lt;"&amp;A3575,Оплаты!$B$6:$B$505))</f>
        <v/>
      </c>
      <c r="E3575">
        <f>IF(A3575="","",IF(SUMPRODUCT((Ввод!$F$12:$F$31&lt;&gt;"")*(Ввод!$F$12:$F$31&lt;=A3575)*(Ввод!$G$12:$G$31&gt;=A3575))&gt;0,1,0))</f>
        <v/>
      </c>
      <c r="F3575">
        <f>IF(OR(A3575="",B3575=""),"",IF(E3575=1,0,D3575*B3575/100/C3575))</f>
        <v/>
      </c>
      <c r="G3575">
        <f>IF(A3575="","",IF(OR(B3575&lt;&gt;B3574,C3575&lt;&gt;C3574,D3575&lt;&gt;D3574,E3575&lt;&gt;E3574),G3574+1,G3574))</f>
        <v/>
      </c>
    </row>
    <row r="3576">
      <c r="A3576" s="14">
        <f>IF(OR(NOT(ISNUMBER(Ввод!$B$5)),NOT(ISNUMBER(Ввод!$B$6))),"",IF(Ввод!$B$5+3574&gt;Ввод!$B$6,"",Ввод!$B$5+3574))</f>
        <v/>
      </c>
      <c r="B3576">
        <f>IF(A3576="","",IFERROR(INDEX(Ввод!$B$12:$B$71,MATCH(A3576,Ввод!$D$12:$D$71,1)),""))</f>
        <v/>
      </c>
      <c r="C3576">
        <f>IF(A3576="","",DATE(YEAR(A3576),12,31)-DATE(YEAR(A3576),1,1)+1)</f>
        <v/>
      </c>
      <c r="D3576">
        <f>IF(A3576="","",Ввод!$B$4-SUMIF(Оплаты!$A$6:$A$505,"&lt;"&amp;A3576,Оплаты!$B$6:$B$505))</f>
        <v/>
      </c>
      <c r="E3576">
        <f>IF(A3576="","",IF(SUMPRODUCT((Ввод!$F$12:$F$31&lt;&gt;"")*(Ввод!$F$12:$F$31&lt;=A3576)*(Ввод!$G$12:$G$31&gt;=A3576))&gt;0,1,0))</f>
        <v/>
      </c>
      <c r="F3576">
        <f>IF(OR(A3576="",B3576=""),"",IF(E3576=1,0,D3576*B3576/100/C3576))</f>
        <v/>
      </c>
      <c r="G3576">
        <f>IF(A3576="","",IF(OR(B3576&lt;&gt;B3575,C3576&lt;&gt;C3575,D3576&lt;&gt;D3575,E3576&lt;&gt;E3575),G3575+1,G3575))</f>
        <v/>
      </c>
    </row>
    <row r="3577">
      <c r="A3577" s="14">
        <f>IF(OR(NOT(ISNUMBER(Ввод!$B$5)),NOT(ISNUMBER(Ввод!$B$6))),"",IF(Ввод!$B$5+3575&gt;Ввод!$B$6,"",Ввод!$B$5+3575))</f>
        <v/>
      </c>
      <c r="B3577">
        <f>IF(A3577="","",IFERROR(INDEX(Ввод!$B$12:$B$71,MATCH(A3577,Ввод!$D$12:$D$71,1)),""))</f>
        <v/>
      </c>
      <c r="C3577">
        <f>IF(A3577="","",DATE(YEAR(A3577),12,31)-DATE(YEAR(A3577),1,1)+1)</f>
        <v/>
      </c>
      <c r="D3577">
        <f>IF(A3577="","",Ввод!$B$4-SUMIF(Оплаты!$A$6:$A$505,"&lt;"&amp;A3577,Оплаты!$B$6:$B$505))</f>
        <v/>
      </c>
      <c r="E3577">
        <f>IF(A3577="","",IF(SUMPRODUCT((Ввод!$F$12:$F$31&lt;&gt;"")*(Ввод!$F$12:$F$31&lt;=A3577)*(Ввод!$G$12:$G$31&gt;=A3577))&gt;0,1,0))</f>
        <v/>
      </c>
      <c r="F3577">
        <f>IF(OR(A3577="",B3577=""),"",IF(E3577=1,0,D3577*B3577/100/C3577))</f>
        <v/>
      </c>
      <c r="G3577">
        <f>IF(A3577="","",IF(OR(B3577&lt;&gt;B3576,C3577&lt;&gt;C3576,D3577&lt;&gt;D3576,E3577&lt;&gt;E3576),G3576+1,G3576))</f>
        <v/>
      </c>
    </row>
    <row r="3578">
      <c r="A3578" s="14">
        <f>IF(OR(NOT(ISNUMBER(Ввод!$B$5)),NOT(ISNUMBER(Ввод!$B$6))),"",IF(Ввод!$B$5+3576&gt;Ввод!$B$6,"",Ввод!$B$5+3576))</f>
        <v/>
      </c>
      <c r="B3578">
        <f>IF(A3578="","",IFERROR(INDEX(Ввод!$B$12:$B$71,MATCH(A3578,Ввод!$D$12:$D$71,1)),""))</f>
        <v/>
      </c>
      <c r="C3578">
        <f>IF(A3578="","",DATE(YEAR(A3578),12,31)-DATE(YEAR(A3578),1,1)+1)</f>
        <v/>
      </c>
      <c r="D3578">
        <f>IF(A3578="","",Ввод!$B$4-SUMIF(Оплаты!$A$6:$A$505,"&lt;"&amp;A3578,Оплаты!$B$6:$B$505))</f>
        <v/>
      </c>
      <c r="E3578">
        <f>IF(A3578="","",IF(SUMPRODUCT((Ввод!$F$12:$F$31&lt;&gt;"")*(Ввод!$F$12:$F$31&lt;=A3578)*(Ввод!$G$12:$G$31&gt;=A3578))&gt;0,1,0))</f>
        <v/>
      </c>
      <c r="F3578">
        <f>IF(OR(A3578="",B3578=""),"",IF(E3578=1,0,D3578*B3578/100/C3578))</f>
        <v/>
      </c>
      <c r="G3578">
        <f>IF(A3578="","",IF(OR(B3578&lt;&gt;B3577,C3578&lt;&gt;C3577,D3578&lt;&gt;D3577,E3578&lt;&gt;E3577),G3577+1,G3577))</f>
        <v/>
      </c>
    </row>
    <row r="3579">
      <c r="A3579" s="14">
        <f>IF(OR(NOT(ISNUMBER(Ввод!$B$5)),NOT(ISNUMBER(Ввод!$B$6))),"",IF(Ввод!$B$5+3577&gt;Ввод!$B$6,"",Ввод!$B$5+3577))</f>
        <v/>
      </c>
      <c r="B3579">
        <f>IF(A3579="","",IFERROR(INDEX(Ввод!$B$12:$B$71,MATCH(A3579,Ввод!$D$12:$D$71,1)),""))</f>
        <v/>
      </c>
      <c r="C3579">
        <f>IF(A3579="","",DATE(YEAR(A3579),12,31)-DATE(YEAR(A3579),1,1)+1)</f>
        <v/>
      </c>
      <c r="D3579">
        <f>IF(A3579="","",Ввод!$B$4-SUMIF(Оплаты!$A$6:$A$505,"&lt;"&amp;A3579,Оплаты!$B$6:$B$505))</f>
        <v/>
      </c>
      <c r="E3579">
        <f>IF(A3579="","",IF(SUMPRODUCT((Ввод!$F$12:$F$31&lt;&gt;"")*(Ввод!$F$12:$F$31&lt;=A3579)*(Ввод!$G$12:$G$31&gt;=A3579))&gt;0,1,0))</f>
        <v/>
      </c>
      <c r="F3579">
        <f>IF(OR(A3579="",B3579=""),"",IF(E3579=1,0,D3579*B3579/100/C3579))</f>
        <v/>
      </c>
      <c r="G3579">
        <f>IF(A3579="","",IF(OR(B3579&lt;&gt;B3578,C3579&lt;&gt;C3578,D3579&lt;&gt;D3578,E3579&lt;&gt;E3578),G3578+1,G3578))</f>
        <v/>
      </c>
    </row>
    <row r="3580">
      <c r="A3580" s="14">
        <f>IF(OR(NOT(ISNUMBER(Ввод!$B$5)),NOT(ISNUMBER(Ввод!$B$6))),"",IF(Ввод!$B$5+3578&gt;Ввод!$B$6,"",Ввод!$B$5+3578))</f>
        <v/>
      </c>
      <c r="B3580">
        <f>IF(A3580="","",IFERROR(INDEX(Ввод!$B$12:$B$71,MATCH(A3580,Ввод!$D$12:$D$71,1)),""))</f>
        <v/>
      </c>
      <c r="C3580">
        <f>IF(A3580="","",DATE(YEAR(A3580),12,31)-DATE(YEAR(A3580),1,1)+1)</f>
        <v/>
      </c>
      <c r="D3580">
        <f>IF(A3580="","",Ввод!$B$4-SUMIF(Оплаты!$A$6:$A$505,"&lt;"&amp;A3580,Оплаты!$B$6:$B$505))</f>
        <v/>
      </c>
      <c r="E3580">
        <f>IF(A3580="","",IF(SUMPRODUCT((Ввод!$F$12:$F$31&lt;&gt;"")*(Ввод!$F$12:$F$31&lt;=A3580)*(Ввод!$G$12:$G$31&gt;=A3580))&gt;0,1,0))</f>
        <v/>
      </c>
      <c r="F3580">
        <f>IF(OR(A3580="",B3580=""),"",IF(E3580=1,0,D3580*B3580/100/C3580))</f>
        <v/>
      </c>
      <c r="G3580">
        <f>IF(A3580="","",IF(OR(B3580&lt;&gt;B3579,C3580&lt;&gt;C3579,D3580&lt;&gt;D3579,E3580&lt;&gt;E3579),G3579+1,G3579))</f>
        <v/>
      </c>
    </row>
    <row r="3581">
      <c r="A3581" s="14">
        <f>IF(OR(NOT(ISNUMBER(Ввод!$B$5)),NOT(ISNUMBER(Ввод!$B$6))),"",IF(Ввод!$B$5+3579&gt;Ввод!$B$6,"",Ввод!$B$5+3579))</f>
        <v/>
      </c>
      <c r="B3581">
        <f>IF(A3581="","",IFERROR(INDEX(Ввод!$B$12:$B$71,MATCH(A3581,Ввод!$D$12:$D$71,1)),""))</f>
        <v/>
      </c>
      <c r="C3581">
        <f>IF(A3581="","",DATE(YEAR(A3581),12,31)-DATE(YEAR(A3581),1,1)+1)</f>
        <v/>
      </c>
      <c r="D3581">
        <f>IF(A3581="","",Ввод!$B$4-SUMIF(Оплаты!$A$6:$A$505,"&lt;"&amp;A3581,Оплаты!$B$6:$B$505))</f>
        <v/>
      </c>
      <c r="E3581">
        <f>IF(A3581="","",IF(SUMPRODUCT((Ввод!$F$12:$F$31&lt;&gt;"")*(Ввод!$F$12:$F$31&lt;=A3581)*(Ввод!$G$12:$G$31&gt;=A3581))&gt;0,1,0))</f>
        <v/>
      </c>
      <c r="F3581">
        <f>IF(OR(A3581="",B3581=""),"",IF(E3581=1,0,D3581*B3581/100/C3581))</f>
        <v/>
      </c>
      <c r="G3581">
        <f>IF(A3581="","",IF(OR(B3581&lt;&gt;B3580,C3581&lt;&gt;C3580,D3581&lt;&gt;D3580,E3581&lt;&gt;E3580),G3580+1,G3580))</f>
        <v/>
      </c>
    </row>
    <row r="3582">
      <c r="A3582" s="14">
        <f>IF(OR(NOT(ISNUMBER(Ввод!$B$5)),NOT(ISNUMBER(Ввод!$B$6))),"",IF(Ввод!$B$5+3580&gt;Ввод!$B$6,"",Ввод!$B$5+3580))</f>
        <v/>
      </c>
      <c r="B3582">
        <f>IF(A3582="","",IFERROR(INDEX(Ввод!$B$12:$B$71,MATCH(A3582,Ввод!$D$12:$D$71,1)),""))</f>
        <v/>
      </c>
      <c r="C3582">
        <f>IF(A3582="","",DATE(YEAR(A3582),12,31)-DATE(YEAR(A3582),1,1)+1)</f>
        <v/>
      </c>
      <c r="D3582">
        <f>IF(A3582="","",Ввод!$B$4-SUMIF(Оплаты!$A$6:$A$505,"&lt;"&amp;A3582,Оплаты!$B$6:$B$505))</f>
        <v/>
      </c>
      <c r="E3582">
        <f>IF(A3582="","",IF(SUMPRODUCT((Ввод!$F$12:$F$31&lt;&gt;"")*(Ввод!$F$12:$F$31&lt;=A3582)*(Ввод!$G$12:$G$31&gt;=A3582))&gt;0,1,0))</f>
        <v/>
      </c>
      <c r="F3582">
        <f>IF(OR(A3582="",B3582=""),"",IF(E3582=1,0,D3582*B3582/100/C3582))</f>
        <v/>
      </c>
      <c r="G3582">
        <f>IF(A3582="","",IF(OR(B3582&lt;&gt;B3581,C3582&lt;&gt;C3581,D3582&lt;&gt;D3581,E3582&lt;&gt;E3581),G3581+1,G3581))</f>
        <v/>
      </c>
    </row>
    <row r="3583">
      <c r="A3583" s="14">
        <f>IF(OR(NOT(ISNUMBER(Ввод!$B$5)),NOT(ISNUMBER(Ввод!$B$6))),"",IF(Ввод!$B$5+3581&gt;Ввод!$B$6,"",Ввод!$B$5+3581))</f>
        <v/>
      </c>
      <c r="B3583">
        <f>IF(A3583="","",IFERROR(INDEX(Ввод!$B$12:$B$71,MATCH(A3583,Ввод!$D$12:$D$71,1)),""))</f>
        <v/>
      </c>
      <c r="C3583">
        <f>IF(A3583="","",DATE(YEAR(A3583),12,31)-DATE(YEAR(A3583),1,1)+1)</f>
        <v/>
      </c>
      <c r="D3583">
        <f>IF(A3583="","",Ввод!$B$4-SUMIF(Оплаты!$A$6:$A$505,"&lt;"&amp;A3583,Оплаты!$B$6:$B$505))</f>
        <v/>
      </c>
      <c r="E3583">
        <f>IF(A3583="","",IF(SUMPRODUCT((Ввод!$F$12:$F$31&lt;&gt;"")*(Ввод!$F$12:$F$31&lt;=A3583)*(Ввод!$G$12:$G$31&gt;=A3583))&gt;0,1,0))</f>
        <v/>
      </c>
      <c r="F3583">
        <f>IF(OR(A3583="",B3583=""),"",IF(E3583=1,0,D3583*B3583/100/C3583))</f>
        <v/>
      </c>
      <c r="G3583">
        <f>IF(A3583="","",IF(OR(B3583&lt;&gt;B3582,C3583&lt;&gt;C3582,D3583&lt;&gt;D3582,E3583&lt;&gt;E3582),G3582+1,G3582))</f>
        <v/>
      </c>
    </row>
    <row r="3584">
      <c r="A3584" s="14">
        <f>IF(OR(NOT(ISNUMBER(Ввод!$B$5)),NOT(ISNUMBER(Ввод!$B$6))),"",IF(Ввод!$B$5+3582&gt;Ввод!$B$6,"",Ввод!$B$5+3582))</f>
        <v/>
      </c>
      <c r="B3584">
        <f>IF(A3584="","",IFERROR(INDEX(Ввод!$B$12:$B$71,MATCH(A3584,Ввод!$D$12:$D$71,1)),""))</f>
        <v/>
      </c>
      <c r="C3584">
        <f>IF(A3584="","",DATE(YEAR(A3584),12,31)-DATE(YEAR(A3584),1,1)+1)</f>
        <v/>
      </c>
      <c r="D3584">
        <f>IF(A3584="","",Ввод!$B$4-SUMIF(Оплаты!$A$6:$A$505,"&lt;"&amp;A3584,Оплаты!$B$6:$B$505))</f>
        <v/>
      </c>
      <c r="E3584">
        <f>IF(A3584="","",IF(SUMPRODUCT((Ввод!$F$12:$F$31&lt;&gt;"")*(Ввод!$F$12:$F$31&lt;=A3584)*(Ввод!$G$12:$G$31&gt;=A3584))&gt;0,1,0))</f>
        <v/>
      </c>
      <c r="F3584">
        <f>IF(OR(A3584="",B3584=""),"",IF(E3584=1,0,D3584*B3584/100/C3584))</f>
        <v/>
      </c>
      <c r="G3584">
        <f>IF(A3584="","",IF(OR(B3584&lt;&gt;B3583,C3584&lt;&gt;C3583,D3584&lt;&gt;D3583,E3584&lt;&gt;E3583),G3583+1,G3583))</f>
        <v/>
      </c>
    </row>
    <row r="3585">
      <c r="A3585" s="14">
        <f>IF(OR(NOT(ISNUMBER(Ввод!$B$5)),NOT(ISNUMBER(Ввод!$B$6))),"",IF(Ввод!$B$5+3583&gt;Ввод!$B$6,"",Ввод!$B$5+3583))</f>
        <v/>
      </c>
      <c r="B3585">
        <f>IF(A3585="","",IFERROR(INDEX(Ввод!$B$12:$B$71,MATCH(A3585,Ввод!$D$12:$D$71,1)),""))</f>
        <v/>
      </c>
      <c r="C3585">
        <f>IF(A3585="","",DATE(YEAR(A3585),12,31)-DATE(YEAR(A3585),1,1)+1)</f>
        <v/>
      </c>
      <c r="D3585">
        <f>IF(A3585="","",Ввод!$B$4-SUMIF(Оплаты!$A$6:$A$505,"&lt;"&amp;A3585,Оплаты!$B$6:$B$505))</f>
        <v/>
      </c>
      <c r="E3585">
        <f>IF(A3585="","",IF(SUMPRODUCT((Ввод!$F$12:$F$31&lt;&gt;"")*(Ввод!$F$12:$F$31&lt;=A3585)*(Ввод!$G$12:$G$31&gt;=A3585))&gt;0,1,0))</f>
        <v/>
      </c>
      <c r="F3585">
        <f>IF(OR(A3585="",B3585=""),"",IF(E3585=1,0,D3585*B3585/100/C3585))</f>
        <v/>
      </c>
      <c r="G3585">
        <f>IF(A3585="","",IF(OR(B3585&lt;&gt;B3584,C3585&lt;&gt;C3584,D3585&lt;&gt;D3584,E3585&lt;&gt;E3584),G3584+1,G3584))</f>
        <v/>
      </c>
    </row>
    <row r="3586">
      <c r="A3586" s="14">
        <f>IF(OR(NOT(ISNUMBER(Ввод!$B$5)),NOT(ISNUMBER(Ввод!$B$6))),"",IF(Ввод!$B$5+3584&gt;Ввод!$B$6,"",Ввод!$B$5+3584))</f>
        <v/>
      </c>
      <c r="B3586">
        <f>IF(A3586="","",IFERROR(INDEX(Ввод!$B$12:$B$71,MATCH(A3586,Ввод!$D$12:$D$71,1)),""))</f>
        <v/>
      </c>
      <c r="C3586">
        <f>IF(A3586="","",DATE(YEAR(A3586),12,31)-DATE(YEAR(A3586),1,1)+1)</f>
        <v/>
      </c>
      <c r="D3586">
        <f>IF(A3586="","",Ввод!$B$4-SUMIF(Оплаты!$A$6:$A$505,"&lt;"&amp;A3586,Оплаты!$B$6:$B$505))</f>
        <v/>
      </c>
      <c r="E3586">
        <f>IF(A3586="","",IF(SUMPRODUCT((Ввод!$F$12:$F$31&lt;&gt;"")*(Ввод!$F$12:$F$31&lt;=A3586)*(Ввод!$G$12:$G$31&gt;=A3586))&gt;0,1,0))</f>
        <v/>
      </c>
      <c r="F3586">
        <f>IF(OR(A3586="",B3586=""),"",IF(E3586=1,0,D3586*B3586/100/C3586))</f>
        <v/>
      </c>
      <c r="G3586">
        <f>IF(A3586="","",IF(OR(B3586&lt;&gt;B3585,C3586&lt;&gt;C3585,D3586&lt;&gt;D3585,E3586&lt;&gt;E3585),G3585+1,G3585))</f>
        <v/>
      </c>
    </row>
    <row r="3587">
      <c r="A3587" s="14">
        <f>IF(OR(NOT(ISNUMBER(Ввод!$B$5)),NOT(ISNUMBER(Ввод!$B$6))),"",IF(Ввод!$B$5+3585&gt;Ввод!$B$6,"",Ввод!$B$5+3585))</f>
        <v/>
      </c>
      <c r="B3587">
        <f>IF(A3587="","",IFERROR(INDEX(Ввод!$B$12:$B$71,MATCH(A3587,Ввод!$D$12:$D$71,1)),""))</f>
        <v/>
      </c>
      <c r="C3587">
        <f>IF(A3587="","",DATE(YEAR(A3587),12,31)-DATE(YEAR(A3587),1,1)+1)</f>
        <v/>
      </c>
      <c r="D3587">
        <f>IF(A3587="","",Ввод!$B$4-SUMIF(Оплаты!$A$6:$A$505,"&lt;"&amp;A3587,Оплаты!$B$6:$B$505))</f>
        <v/>
      </c>
      <c r="E3587">
        <f>IF(A3587="","",IF(SUMPRODUCT((Ввод!$F$12:$F$31&lt;&gt;"")*(Ввод!$F$12:$F$31&lt;=A3587)*(Ввод!$G$12:$G$31&gt;=A3587))&gt;0,1,0))</f>
        <v/>
      </c>
      <c r="F3587">
        <f>IF(OR(A3587="",B3587=""),"",IF(E3587=1,0,D3587*B3587/100/C3587))</f>
        <v/>
      </c>
      <c r="G3587">
        <f>IF(A3587="","",IF(OR(B3587&lt;&gt;B3586,C3587&lt;&gt;C3586,D3587&lt;&gt;D3586,E3587&lt;&gt;E3586),G3586+1,G3586))</f>
        <v/>
      </c>
    </row>
    <row r="3588">
      <c r="A3588" s="14">
        <f>IF(OR(NOT(ISNUMBER(Ввод!$B$5)),NOT(ISNUMBER(Ввод!$B$6))),"",IF(Ввод!$B$5+3586&gt;Ввод!$B$6,"",Ввод!$B$5+3586))</f>
        <v/>
      </c>
      <c r="B3588">
        <f>IF(A3588="","",IFERROR(INDEX(Ввод!$B$12:$B$71,MATCH(A3588,Ввод!$D$12:$D$71,1)),""))</f>
        <v/>
      </c>
      <c r="C3588">
        <f>IF(A3588="","",DATE(YEAR(A3588),12,31)-DATE(YEAR(A3588),1,1)+1)</f>
        <v/>
      </c>
      <c r="D3588">
        <f>IF(A3588="","",Ввод!$B$4-SUMIF(Оплаты!$A$6:$A$505,"&lt;"&amp;A3588,Оплаты!$B$6:$B$505))</f>
        <v/>
      </c>
      <c r="E3588">
        <f>IF(A3588="","",IF(SUMPRODUCT((Ввод!$F$12:$F$31&lt;&gt;"")*(Ввод!$F$12:$F$31&lt;=A3588)*(Ввод!$G$12:$G$31&gt;=A3588))&gt;0,1,0))</f>
        <v/>
      </c>
      <c r="F3588">
        <f>IF(OR(A3588="",B3588=""),"",IF(E3588=1,0,D3588*B3588/100/C3588))</f>
        <v/>
      </c>
      <c r="G3588">
        <f>IF(A3588="","",IF(OR(B3588&lt;&gt;B3587,C3588&lt;&gt;C3587,D3588&lt;&gt;D3587,E3588&lt;&gt;E3587),G3587+1,G3587))</f>
        <v/>
      </c>
    </row>
    <row r="3589">
      <c r="A3589" s="14">
        <f>IF(OR(NOT(ISNUMBER(Ввод!$B$5)),NOT(ISNUMBER(Ввод!$B$6))),"",IF(Ввод!$B$5+3587&gt;Ввод!$B$6,"",Ввод!$B$5+3587))</f>
        <v/>
      </c>
      <c r="B3589">
        <f>IF(A3589="","",IFERROR(INDEX(Ввод!$B$12:$B$71,MATCH(A3589,Ввод!$D$12:$D$71,1)),""))</f>
        <v/>
      </c>
      <c r="C3589">
        <f>IF(A3589="","",DATE(YEAR(A3589),12,31)-DATE(YEAR(A3589),1,1)+1)</f>
        <v/>
      </c>
      <c r="D3589">
        <f>IF(A3589="","",Ввод!$B$4-SUMIF(Оплаты!$A$6:$A$505,"&lt;"&amp;A3589,Оплаты!$B$6:$B$505))</f>
        <v/>
      </c>
      <c r="E3589">
        <f>IF(A3589="","",IF(SUMPRODUCT((Ввод!$F$12:$F$31&lt;&gt;"")*(Ввод!$F$12:$F$31&lt;=A3589)*(Ввод!$G$12:$G$31&gt;=A3589))&gt;0,1,0))</f>
        <v/>
      </c>
      <c r="F3589">
        <f>IF(OR(A3589="",B3589=""),"",IF(E3589=1,0,D3589*B3589/100/C3589))</f>
        <v/>
      </c>
      <c r="G3589">
        <f>IF(A3589="","",IF(OR(B3589&lt;&gt;B3588,C3589&lt;&gt;C3588,D3589&lt;&gt;D3588,E3589&lt;&gt;E3588),G3588+1,G3588))</f>
        <v/>
      </c>
    </row>
    <row r="3590">
      <c r="A3590" s="14">
        <f>IF(OR(NOT(ISNUMBER(Ввод!$B$5)),NOT(ISNUMBER(Ввод!$B$6))),"",IF(Ввод!$B$5+3588&gt;Ввод!$B$6,"",Ввод!$B$5+3588))</f>
        <v/>
      </c>
      <c r="B3590">
        <f>IF(A3590="","",IFERROR(INDEX(Ввод!$B$12:$B$71,MATCH(A3590,Ввод!$D$12:$D$71,1)),""))</f>
        <v/>
      </c>
      <c r="C3590">
        <f>IF(A3590="","",DATE(YEAR(A3590),12,31)-DATE(YEAR(A3590),1,1)+1)</f>
        <v/>
      </c>
      <c r="D3590">
        <f>IF(A3590="","",Ввод!$B$4-SUMIF(Оплаты!$A$6:$A$505,"&lt;"&amp;A3590,Оплаты!$B$6:$B$505))</f>
        <v/>
      </c>
      <c r="E3590">
        <f>IF(A3590="","",IF(SUMPRODUCT((Ввод!$F$12:$F$31&lt;&gt;"")*(Ввод!$F$12:$F$31&lt;=A3590)*(Ввод!$G$12:$G$31&gt;=A3590))&gt;0,1,0))</f>
        <v/>
      </c>
      <c r="F3590">
        <f>IF(OR(A3590="",B3590=""),"",IF(E3590=1,0,D3590*B3590/100/C3590))</f>
        <v/>
      </c>
      <c r="G3590">
        <f>IF(A3590="","",IF(OR(B3590&lt;&gt;B3589,C3590&lt;&gt;C3589,D3590&lt;&gt;D3589,E3590&lt;&gt;E3589),G3589+1,G3589))</f>
        <v/>
      </c>
    </row>
    <row r="3591">
      <c r="A3591" s="14">
        <f>IF(OR(NOT(ISNUMBER(Ввод!$B$5)),NOT(ISNUMBER(Ввод!$B$6))),"",IF(Ввод!$B$5+3589&gt;Ввод!$B$6,"",Ввод!$B$5+3589))</f>
        <v/>
      </c>
      <c r="B3591">
        <f>IF(A3591="","",IFERROR(INDEX(Ввод!$B$12:$B$71,MATCH(A3591,Ввод!$D$12:$D$71,1)),""))</f>
        <v/>
      </c>
      <c r="C3591">
        <f>IF(A3591="","",DATE(YEAR(A3591),12,31)-DATE(YEAR(A3591),1,1)+1)</f>
        <v/>
      </c>
      <c r="D3591">
        <f>IF(A3591="","",Ввод!$B$4-SUMIF(Оплаты!$A$6:$A$505,"&lt;"&amp;A3591,Оплаты!$B$6:$B$505))</f>
        <v/>
      </c>
      <c r="E3591">
        <f>IF(A3591="","",IF(SUMPRODUCT((Ввод!$F$12:$F$31&lt;&gt;"")*(Ввод!$F$12:$F$31&lt;=A3591)*(Ввод!$G$12:$G$31&gt;=A3591))&gt;0,1,0))</f>
        <v/>
      </c>
      <c r="F3591">
        <f>IF(OR(A3591="",B3591=""),"",IF(E3591=1,0,D3591*B3591/100/C3591))</f>
        <v/>
      </c>
      <c r="G3591">
        <f>IF(A3591="","",IF(OR(B3591&lt;&gt;B3590,C3591&lt;&gt;C3590,D3591&lt;&gt;D3590,E3591&lt;&gt;E3590),G3590+1,G3590))</f>
        <v/>
      </c>
    </row>
    <row r="3592">
      <c r="A3592" s="14">
        <f>IF(OR(NOT(ISNUMBER(Ввод!$B$5)),NOT(ISNUMBER(Ввод!$B$6))),"",IF(Ввод!$B$5+3590&gt;Ввод!$B$6,"",Ввод!$B$5+3590))</f>
        <v/>
      </c>
      <c r="B3592">
        <f>IF(A3592="","",IFERROR(INDEX(Ввод!$B$12:$B$71,MATCH(A3592,Ввод!$D$12:$D$71,1)),""))</f>
        <v/>
      </c>
      <c r="C3592">
        <f>IF(A3592="","",DATE(YEAR(A3592),12,31)-DATE(YEAR(A3592),1,1)+1)</f>
        <v/>
      </c>
      <c r="D3592">
        <f>IF(A3592="","",Ввод!$B$4-SUMIF(Оплаты!$A$6:$A$505,"&lt;"&amp;A3592,Оплаты!$B$6:$B$505))</f>
        <v/>
      </c>
      <c r="E3592">
        <f>IF(A3592="","",IF(SUMPRODUCT((Ввод!$F$12:$F$31&lt;&gt;"")*(Ввод!$F$12:$F$31&lt;=A3592)*(Ввод!$G$12:$G$31&gt;=A3592))&gt;0,1,0))</f>
        <v/>
      </c>
      <c r="F3592">
        <f>IF(OR(A3592="",B3592=""),"",IF(E3592=1,0,D3592*B3592/100/C3592))</f>
        <v/>
      </c>
      <c r="G3592">
        <f>IF(A3592="","",IF(OR(B3592&lt;&gt;B3591,C3592&lt;&gt;C3591,D3592&lt;&gt;D3591,E3592&lt;&gt;E3591),G3591+1,G3591))</f>
        <v/>
      </c>
    </row>
    <row r="3593">
      <c r="A3593" s="14">
        <f>IF(OR(NOT(ISNUMBER(Ввод!$B$5)),NOT(ISNUMBER(Ввод!$B$6))),"",IF(Ввод!$B$5+3591&gt;Ввод!$B$6,"",Ввод!$B$5+3591))</f>
        <v/>
      </c>
      <c r="B3593">
        <f>IF(A3593="","",IFERROR(INDEX(Ввод!$B$12:$B$71,MATCH(A3593,Ввод!$D$12:$D$71,1)),""))</f>
        <v/>
      </c>
      <c r="C3593">
        <f>IF(A3593="","",DATE(YEAR(A3593),12,31)-DATE(YEAR(A3593),1,1)+1)</f>
        <v/>
      </c>
      <c r="D3593">
        <f>IF(A3593="","",Ввод!$B$4-SUMIF(Оплаты!$A$6:$A$505,"&lt;"&amp;A3593,Оплаты!$B$6:$B$505))</f>
        <v/>
      </c>
      <c r="E3593">
        <f>IF(A3593="","",IF(SUMPRODUCT((Ввод!$F$12:$F$31&lt;&gt;"")*(Ввод!$F$12:$F$31&lt;=A3593)*(Ввод!$G$12:$G$31&gt;=A3593))&gt;0,1,0))</f>
        <v/>
      </c>
      <c r="F3593">
        <f>IF(OR(A3593="",B3593=""),"",IF(E3593=1,0,D3593*B3593/100/C3593))</f>
        <v/>
      </c>
      <c r="G3593">
        <f>IF(A3593="","",IF(OR(B3593&lt;&gt;B3592,C3593&lt;&gt;C3592,D3593&lt;&gt;D3592,E3593&lt;&gt;E3592),G3592+1,G3592))</f>
        <v/>
      </c>
    </row>
    <row r="3594">
      <c r="A3594" s="14">
        <f>IF(OR(NOT(ISNUMBER(Ввод!$B$5)),NOT(ISNUMBER(Ввод!$B$6))),"",IF(Ввод!$B$5+3592&gt;Ввод!$B$6,"",Ввод!$B$5+3592))</f>
        <v/>
      </c>
      <c r="B3594">
        <f>IF(A3594="","",IFERROR(INDEX(Ввод!$B$12:$B$71,MATCH(A3594,Ввод!$D$12:$D$71,1)),""))</f>
        <v/>
      </c>
      <c r="C3594">
        <f>IF(A3594="","",DATE(YEAR(A3594),12,31)-DATE(YEAR(A3594),1,1)+1)</f>
        <v/>
      </c>
      <c r="D3594">
        <f>IF(A3594="","",Ввод!$B$4-SUMIF(Оплаты!$A$6:$A$505,"&lt;"&amp;A3594,Оплаты!$B$6:$B$505))</f>
        <v/>
      </c>
      <c r="E3594">
        <f>IF(A3594="","",IF(SUMPRODUCT((Ввод!$F$12:$F$31&lt;&gt;"")*(Ввод!$F$12:$F$31&lt;=A3594)*(Ввод!$G$12:$G$31&gt;=A3594))&gt;0,1,0))</f>
        <v/>
      </c>
      <c r="F3594">
        <f>IF(OR(A3594="",B3594=""),"",IF(E3594=1,0,D3594*B3594/100/C3594))</f>
        <v/>
      </c>
      <c r="G3594">
        <f>IF(A3594="","",IF(OR(B3594&lt;&gt;B3593,C3594&lt;&gt;C3593,D3594&lt;&gt;D3593,E3594&lt;&gt;E3593),G3593+1,G3593))</f>
        <v/>
      </c>
    </row>
    <row r="3595">
      <c r="A3595" s="14">
        <f>IF(OR(NOT(ISNUMBER(Ввод!$B$5)),NOT(ISNUMBER(Ввод!$B$6))),"",IF(Ввод!$B$5+3593&gt;Ввод!$B$6,"",Ввод!$B$5+3593))</f>
        <v/>
      </c>
      <c r="B3595">
        <f>IF(A3595="","",IFERROR(INDEX(Ввод!$B$12:$B$71,MATCH(A3595,Ввод!$D$12:$D$71,1)),""))</f>
        <v/>
      </c>
      <c r="C3595">
        <f>IF(A3595="","",DATE(YEAR(A3595),12,31)-DATE(YEAR(A3595),1,1)+1)</f>
        <v/>
      </c>
      <c r="D3595">
        <f>IF(A3595="","",Ввод!$B$4-SUMIF(Оплаты!$A$6:$A$505,"&lt;"&amp;A3595,Оплаты!$B$6:$B$505))</f>
        <v/>
      </c>
      <c r="E3595">
        <f>IF(A3595="","",IF(SUMPRODUCT((Ввод!$F$12:$F$31&lt;&gt;"")*(Ввод!$F$12:$F$31&lt;=A3595)*(Ввод!$G$12:$G$31&gt;=A3595))&gt;0,1,0))</f>
        <v/>
      </c>
      <c r="F3595">
        <f>IF(OR(A3595="",B3595=""),"",IF(E3595=1,0,D3595*B3595/100/C3595))</f>
        <v/>
      </c>
      <c r="G3595">
        <f>IF(A3595="","",IF(OR(B3595&lt;&gt;B3594,C3595&lt;&gt;C3594,D3595&lt;&gt;D3594,E3595&lt;&gt;E3594),G3594+1,G3594))</f>
        <v/>
      </c>
    </row>
    <row r="3596">
      <c r="A3596" s="14">
        <f>IF(OR(NOT(ISNUMBER(Ввод!$B$5)),NOT(ISNUMBER(Ввод!$B$6))),"",IF(Ввод!$B$5+3594&gt;Ввод!$B$6,"",Ввод!$B$5+3594))</f>
        <v/>
      </c>
      <c r="B3596">
        <f>IF(A3596="","",IFERROR(INDEX(Ввод!$B$12:$B$71,MATCH(A3596,Ввод!$D$12:$D$71,1)),""))</f>
        <v/>
      </c>
      <c r="C3596">
        <f>IF(A3596="","",DATE(YEAR(A3596),12,31)-DATE(YEAR(A3596),1,1)+1)</f>
        <v/>
      </c>
      <c r="D3596">
        <f>IF(A3596="","",Ввод!$B$4-SUMIF(Оплаты!$A$6:$A$505,"&lt;"&amp;A3596,Оплаты!$B$6:$B$505))</f>
        <v/>
      </c>
      <c r="E3596">
        <f>IF(A3596="","",IF(SUMPRODUCT((Ввод!$F$12:$F$31&lt;&gt;"")*(Ввод!$F$12:$F$31&lt;=A3596)*(Ввод!$G$12:$G$31&gt;=A3596))&gt;0,1,0))</f>
        <v/>
      </c>
      <c r="F3596">
        <f>IF(OR(A3596="",B3596=""),"",IF(E3596=1,0,D3596*B3596/100/C3596))</f>
        <v/>
      </c>
      <c r="G3596">
        <f>IF(A3596="","",IF(OR(B3596&lt;&gt;B3595,C3596&lt;&gt;C3595,D3596&lt;&gt;D3595,E3596&lt;&gt;E3595),G3595+1,G3595))</f>
        <v/>
      </c>
    </row>
    <row r="3597">
      <c r="A3597" s="14">
        <f>IF(OR(NOT(ISNUMBER(Ввод!$B$5)),NOT(ISNUMBER(Ввод!$B$6))),"",IF(Ввод!$B$5+3595&gt;Ввод!$B$6,"",Ввод!$B$5+3595))</f>
        <v/>
      </c>
      <c r="B3597">
        <f>IF(A3597="","",IFERROR(INDEX(Ввод!$B$12:$B$71,MATCH(A3597,Ввод!$D$12:$D$71,1)),""))</f>
        <v/>
      </c>
      <c r="C3597">
        <f>IF(A3597="","",DATE(YEAR(A3597),12,31)-DATE(YEAR(A3597),1,1)+1)</f>
        <v/>
      </c>
      <c r="D3597">
        <f>IF(A3597="","",Ввод!$B$4-SUMIF(Оплаты!$A$6:$A$505,"&lt;"&amp;A3597,Оплаты!$B$6:$B$505))</f>
        <v/>
      </c>
      <c r="E3597">
        <f>IF(A3597="","",IF(SUMPRODUCT((Ввод!$F$12:$F$31&lt;&gt;"")*(Ввод!$F$12:$F$31&lt;=A3597)*(Ввод!$G$12:$G$31&gt;=A3597))&gt;0,1,0))</f>
        <v/>
      </c>
      <c r="F3597">
        <f>IF(OR(A3597="",B3597=""),"",IF(E3597=1,0,D3597*B3597/100/C3597))</f>
        <v/>
      </c>
      <c r="G3597">
        <f>IF(A3597="","",IF(OR(B3597&lt;&gt;B3596,C3597&lt;&gt;C3596,D3597&lt;&gt;D3596,E3597&lt;&gt;E3596),G3596+1,G3596))</f>
        <v/>
      </c>
    </row>
    <row r="3598">
      <c r="A3598" s="14">
        <f>IF(OR(NOT(ISNUMBER(Ввод!$B$5)),NOT(ISNUMBER(Ввод!$B$6))),"",IF(Ввод!$B$5+3596&gt;Ввод!$B$6,"",Ввод!$B$5+3596))</f>
        <v/>
      </c>
      <c r="B3598">
        <f>IF(A3598="","",IFERROR(INDEX(Ввод!$B$12:$B$71,MATCH(A3598,Ввод!$D$12:$D$71,1)),""))</f>
        <v/>
      </c>
      <c r="C3598">
        <f>IF(A3598="","",DATE(YEAR(A3598),12,31)-DATE(YEAR(A3598),1,1)+1)</f>
        <v/>
      </c>
      <c r="D3598">
        <f>IF(A3598="","",Ввод!$B$4-SUMIF(Оплаты!$A$6:$A$505,"&lt;"&amp;A3598,Оплаты!$B$6:$B$505))</f>
        <v/>
      </c>
      <c r="E3598">
        <f>IF(A3598="","",IF(SUMPRODUCT((Ввод!$F$12:$F$31&lt;&gt;"")*(Ввод!$F$12:$F$31&lt;=A3598)*(Ввод!$G$12:$G$31&gt;=A3598))&gt;0,1,0))</f>
        <v/>
      </c>
      <c r="F3598">
        <f>IF(OR(A3598="",B3598=""),"",IF(E3598=1,0,D3598*B3598/100/C3598))</f>
        <v/>
      </c>
      <c r="G3598">
        <f>IF(A3598="","",IF(OR(B3598&lt;&gt;B3597,C3598&lt;&gt;C3597,D3598&lt;&gt;D3597,E3598&lt;&gt;E3597),G3597+1,G3597))</f>
        <v/>
      </c>
    </row>
    <row r="3599">
      <c r="A3599" s="14">
        <f>IF(OR(NOT(ISNUMBER(Ввод!$B$5)),NOT(ISNUMBER(Ввод!$B$6))),"",IF(Ввод!$B$5+3597&gt;Ввод!$B$6,"",Ввод!$B$5+3597))</f>
        <v/>
      </c>
      <c r="B3599">
        <f>IF(A3599="","",IFERROR(INDEX(Ввод!$B$12:$B$71,MATCH(A3599,Ввод!$D$12:$D$71,1)),""))</f>
        <v/>
      </c>
      <c r="C3599">
        <f>IF(A3599="","",DATE(YEAR(A3599),12,31)-DATE(YEAR(A3599),1,1)+1)</f>
        <v/>
      </c>
      <c r="D3599">
        <f>IF(A3599="","",Ввод!$B$4-SUMIF(Оплаты!$A$6:$A$505,"&lt;"&amp;A3599,Оплаты!$B$6:$B$505))</f>
        <v/>
      </c>
      <c r="E3599">
        <f>IF(A3599="","",IF(SUMPRODUCT((Ввод!$F$12:$F$31&lt;&gt;"")*(Ввод!$F$12:$F$31&lt;=A3599)*(Ввод!$G$12:$G$31&gt;=A3599))&gt;0,1,0))</f>
        <v/>
      </c>
      <c r="F3599">
        <f>IF(OR(A3599="",B3599=""),"",IF(E3599=1,0,D3599*B3599/100/C3599))</f>
        <v/>
      </c>
      <c r="G3599">
        <f>IF(A3599="","",IF(OR(B3599&lt;&gt;B3598,C3599&lt;&gt;C3598,D3599&lt;&gt;D3598,E3599&lt;&gt;E3598),G3598+1,G3598))</f>
        <v/>
      </c>
    </row>
    <row r="3600">
      <c r="A3600" s="14">
        <f>IF(OR(NOT(ISNUMBER(Ввод!$B$5)),NOT(ISNUMBER(Ввод!$B$6))),"",IF(Ввод!$B$5+3598&gt;Ввод!$B$6,"",Ввод!$B$5+3598))</f>
        <v/>
      </c>
      <c r="B3600">
        <f>IF(A3600="","",IFERROR(INDEX(Ввод!$B$12:$B$71,MATCH(A3600,Ввод!$D$12:$D$71,1)),""))</f>
        <v/>
      </c>
      <c r="C3600">
        <f>IF(A3600="","",DATE(YEAR(A3600),12,31)-DATE(YEAR(A3600),1,1)+1)</f>
        <v/>
      </c>
      <c r="D3600">
        <f>IF(A3600="","",Ввод!$B$4-SUMIF(Оплаты!$A$6:$A$505,"&lt;"&amp;A3600,Оплаты!$B$6:$B$505))</f>
        <v/>
      </c>
      <c r="E3600">
        <f>IF(A3600="","",IF(SUMPRODUCT((Ввод!$F$12:$F$31&lt;&gt;"")*(Ввод!$F$12:$F$31&lt;=A3600)*(Ввод!$G$12:$G$31&gt;=A3600))&gt;0,1,0))</f>
        <v/>
      </c>
      <c r="F3600">
        <f>IF(OR(A3600="",B3600=""),"",IF(E3600=1,0,D3600*B3600/100/C3600))</f>
        <v/>
      </c>
      <c r="G3600">
        <f>IF(A3600="","",IF(OR(B3600&lt;&gt;B3599,C3600&lt;&gt;C3599,D3600&lt;&gt;D3599,E3600&lt;&gt;E3599),G3599+1,G3599))</f>
        <v/>
      </c>
    </row>
    <row r="3601">
      <c r="A3601" s="14">
        <f>IF(OR(NOT(ISNUMBER(Ввод!$B$5)),NOT(ISNUMBER(Ввод!$B$6))),"",IF(Ввод!$B$5+3599&gt;Ввод!$B$6,"",Ввод!$B$5+3599))</f>
        <v/>
      </c>
      <c r="B3601">
        <f>IF(A3601="","",IFERROR(INDEX(Ввод!$B$12:$B$71,MATCH(A3601,Ввод!$D$12:$D$71,1)),""))</f>
        <v/>
      </c>
      <c r="C3601">
        <f>IF(A3601="","",DATE(YEAR(A3601),12,31)-DATE(YEAR(A3601),1,1)+1)</f>
        <v/>
      </c>
      <c r="D3601">
        <f>IF(A3601="","",Ввод!$B$4-SUMIF(Оплаты!$A$6:$A$505,"&lt;"&amp;A3601,Оплаты!$B$6:$B$505))</f>
        <v/>
      </c>
      <c r="E3601">
        <f>IF(A3601="","",IF(SUMPRODUCT((Ввод!$F$12:$F$31&lt;&gt;"")*(Ввод!$F$12:$F$31&lt;=A3601)*(Ввод!$G$12:$G$31&gt;=A3601))&gt;0,1,0))</f>
        <v/>
      </c>
      <c r="F3601">
        <f>IF(OR(A3601="",B3601=""),"",IF(E3601=1,0,D3601*B3601/100/C3601))</f>
        <v/>
      </c>
      <c r="G3601">
        <f>IF(A3601="","",IF(OR(B3601&lt;&gt;B3600,C3601&lt;&gt;C3600,D3601&lt;&gt;D3600,E3601&lt;&gt;E3600),G3600+1,G3600))</f>
        <v/>
      </c>
    </row>
    <row r="3602">
      <c r="A3602" s="14">
        <f>IF(OR(NOT(ISNUMBER(Ввод!$B$5)),NOT(ISNUMBER(Ввод!$B$6))),"",IF(Ввод!$B$5+3600&gt;Ввод!$B$6,"",Ввод!$B$5+3600))</f>
        <v/>
      </c>
      <c r="B3602">
        <f>IF(A3602="","",IFERROR(INDEX(Ввод!$B$12:$B$71,MATCH(A3602,Ввод!$D$12:$D$71,1)),""))</f>
        <v/>
      </c>
      <c r="C3602">
        <f>IF(A3602="","",DATE(YEAR(A3602),12,31)-DATE(YEAR(A3602),1,1)+1)</f>
        <v/>
      </c>
      <c r="D3602">
        <f>IF(A3602="","",Ввод!$B$4-SUMIF(Оплаты!$A$6:$A$505,"&lt;"&amp;A3602,Оплаты!$B$6:$B$505))</f>
        <v/>
      </c>
      <c r="E3602">
        <f>IF(A3602="","",IF(SUMPRODUCT((Ввод!$F$12:$F$31&lt;&gt;"")*(Ввод!$F$12:$F$31&lt;=A3602)*(Ввод!$G$12:$G$31&gt;=A3602))&gt;0,1,0))</f>
        <v/>
      </c>
      <c r="F3602">
        <f>IF(OR(A3602="",B3602=""),"",IF(E3602=1,0,D3602*B3602/100/C3602))</f>
        <v/>
      </c>
      <c r="G3602">
        <f>IF(A3602="","",IF(OR(B3602&lt;&gt;B3601,C3602&lt;&gt;C3601,D3602&lt;&gt;D3601,E3602&lt;&gt;E3601),G3601+1,G3601))</f>
        <v/>
      </c>
    </row>
    <row r="3603">
      <c r="A3603" s="14">
        <f>IF(OR(NOT(ISNUMBER(Ввод!$B$5)),NOT(ISNUMBER(Ввод!$B$6))),"",IF(Ввод!$B$5+3601&gt;Ввод!$B$6,"",Ввод!$B$5+3601))</f>
        <v/>
      </c>
      <c r="B3603">
        <f>IF(A3603="","",IFERROR(INDEX(Ввод!$B$12:$B$71,MATCH(A3603,Ввод!$D$12:$D$71,1)),""))</f>
        <v/>
      </c>
      <c r="C3603">
        <f>IF(A3603="","",DATE(YEAR(A3603),12,31)-DATE(YEAR(A3603),1,1)+1)</f>
        <v/>
      </c>
      <c r="D3603">
        <f>IF(A3603="","",Ввод!$B$4-SUMIF(Оплаты!$A$6:$A$505,"&lt;"&amp;A3603,Оплаты!$B$6:$B$505))</f>
        <v/>
      </c>
      <c r="E3603">
        <f>IF(A3603="","",IF(SUMPRODUCT((Ввод!$F$12:$F$31&lt;&gt;"")*(Ввод!$F$12:$F$31&lt;=A3603)*(Ввод!$G$12:$G$31&gt;=A3603))&gt;0,1,0))</f>
        <v/>
      </c>
      <c r="F3603">
        <f>IF(OR(A3603="",B3603=""),"",IF(E3603=1,0,D3603*B3603/100/C3603))</f>
        <v/>
      </c>
      <c r="G3603">
        <f>IF(A3603="","",IF(OR(B3603&lt;&gt;B3602,C3603&lt;&gt;C3602,D3603&lt;&gt;D3602,E3603&lt;&gt;E3602),G3602+1,G3602))</f>
        <v/>
      </c>
    </row>
    <row r="3604">
      <c r="A3604" s="14">
        <f>IF(OR(NOT(ISNUMBER(Ввод!$B$5)),NOT(ISNUMBER(Ввод!$B$6))),"",IF(Ввод!$B$5+3602&gt;Ввод!$B$6,"",Ввод!$B$5+3602))</f>
        <v/>
      </c>
      <c r="B3604">
        <f>IF(A3604="","",IFERROR(INDEX(Ввод!$B$12:$B$71,MATCH(A3604,Ввод!$D$12:$D$71,1)),""))</f>
        <v/>
      </c>
      <c r="C3604">
        <f>IF(A3604="","",DATE(YEAR(A3604),12,31)-DATE(YEAR(A3604),1,1)+1)</f>
        <v/>
      </c>
      <c r="D3604">
        <f>IF(A3604="","",Ввод!$B$4-SUMIF(Оплаты!$A$6:$A$505,"&lt;"&amp;A3604,Оплаты!$B$6:$B$505))</f>
        <v/>
      </c>
      <c r="E3604">
        <f>IF(A3604="","",IF(SUMPRODUCT((Ввод!$F$12:$F$31&lt;&gt;"")*(Ввод!$F$12:$F$31&lt;=A3604)*(Ввод!$G$12:$G$31&gt;=A3604))&gt;0,1,0))</f>
        <v/>
      </c>
      <c r="F3604">
        <f>IF(OR(A3604="",B3604=""),"",IF(E3604=1,0,D3604*B3604/100/C3604))</f>
        <v/>
      </c>
      <c r="G3604">
        <f>IF(A3604="","",IF(OR(B3604&lt;&gt;B3603,C3604&lt;&gt;C3603,D3604&lt;&gt;D3603,E3604&lt;&gt;E3603),G3603+1,G3603))</f>
        <v/>
      </c>
    </row>
    <row r="3605">
      <c r="A3605" s="14">
        <f>IF(OR(NOT(ISNUMBER(Ввод!$B$5)),NOT(ISNUMBER(Ввод!$B$6))),"",IF(Ввод!$B$5+3603&gt;Ввод!$B$6,"",Ввод!$B$5+3603))</f>
        <v/>
      </c>
      <c r="B3605">
        <f>IF(A3605="","",IFERROR(INDEX(Ввод!$B$12:$B$71,MATCH(A3605,Ввод!$D$12:$D$71,1)),""))</f>
        <v/>
      </c>
      <c r="C3605">
        <f>IF(A3605="","",DATE(YEAR(A3605),12,31)-DATE(YEAR(A3605),1,1)+1)</f>
        <v/>
      </c>
      <c r="D3605">
        <f>IF(A3605="","",Ввод!$B$4-SUMIF(Оплаты!$A$6:$A$505,"&lt;"&amp;A3605,Оплаты!$B$6:$B$505))</f>
        <v/>
      </c>
      <c r="E3605">
        <f>IF(A3605="","",IF(SUMPRODUCT((Ввод!$F$12:$F$31&lt;&gt;"")*(Ввод!$F$12:$F$31&lt;=A3605)*(Ввод!$G$12:$G$31&gt;=A3605))&gt;0,1,0))</f>
        <v/>
      </c>
      <c r="F3605">
        <f>IF(OR(A3605="",B3605=""),"",IF(E3605=1,0,D3605*B3605/100/C3605))</f>
        <v/>
      </c>
      <c r="G3605">
        <f>IF(A3605="","",IF(OR(B3605&lt;&gt;B3604,C3605&lt;&gt;C3604,D3605&lt;&gt;D3604,E3605&lt;&gt;E3604),G3604+1,G3604))</f>
        <v/>
      </c>
    </row>
    <row r="3606">
      <c r="A3606" s="14">
        <f>IF(OR(NOT(ISNUMBER(Ввод!$B$5)),NOT(ISNUMBER(Ввод!$B$6))),"",IF(Ввод!$B$5+3604&gt;Ввод!$B$6,"",Ввод!$B$5+3604))</f>
        <v/>
      </c>
      <c r="B3606">
        <f>IF(A3606="","",IFERROR(INDEX(Ввод!$B$12:$B$71,MATCH(A3606,Ввод!$D$12:$D$71,1)),""))</f>
        <v/>
      </c>
      <c r="C3606">
        <f>IF(A3606="","",DATE(YEAR(A3606),12,31)-DATE(YEAR(A3606),1,1)+1)</f>
        <v/>
      </c>
      <c r="D3606">
        <f>IF(A3606="","",Ввод!$B$4-SUMIF(Оплаты!$A$6:$A$505,"&lt;"&amp;A3606,Оплаты!$B$6:$B$505))</f>
        <v/>
      </c>
      <c r="E3606">
        <f>IF(A3606="","",IF(SUMPRODUCT((Ввод!$F$12:$F$31&lt;&gt;"")*(Ввод!$F$12:$F$31&lt;=A3606)*(Ввод!$G$12:$G$31&gt;=A3606))&gt;0,1,0))</f>
        <v/>
      </c>
      <c r="F3606">
        <f>IF(OR(A3606="",B3606=""),"",IF(E3606=1,0,D3606*B3606/100/C3606))</f>
        <v/>
      </c>
      <c r="G3606">
        <f>IF(A3606="","",IF(OR(B3606&lt;&gt;B3605,C3606&lt;&gt;C3605,D3606&lt;&gt;D3605,E3606&lt;&gt;E3605),G3605+1,G3605))</f>
        <v/>
      </c>
    </row>
    <row r="3607">
      <c r="A3607" s="14">
        <f>IF(OR(NOT(ISNUMBER(Ввод!$B$5)),NOT(ISNUMBER(Ввод!$B$6))),"",IF(Ввод!$B$5+3605&gt;Ввод!$B$6,"",Ввод!$B$5+3605))</f>
        <v/>
      </c>
      <c r="B3607">
        <f>IF(A3607="","",IFERROR(INDEX(Ввод!$B$12:$B$71,MATCH(A3607,Ввод!$D$12:$D$71,1)),""))</f>
        <v/>
      </c>
      <c r="C3607">
        <f>IF(A3607="","",DATE(YEAR(A3607),12,31)-DATE(YEAR(A3607),1,1)+1)</f>
        <v/>
      </c>
      <c r="D3607">
        <f>IF(A3607="","",Ввод!$B$4-SUMIF(Оплаты!$A$6:$A$505,"&lt;"&amp;A3607,Оплаты!$B$6:$B$505))</f>
        <v/>
      </c>
      <c r="E3607">
        <f>IF(A3607="","",IF(SUMPRODUCT((Ввод!$F$12:$F$31&lt;&gt;"")*(Ввод!$F$12:$F$31&lt;=A3607)*(Ввод!$G$12:$G$31&gt;=A3607))&gt;0,1,0))</f>
        <v/>
      </c>
      <c r="F3607">
        <f>IF(OR(A3607="",B3607=""),"",IF(E3607=1,0,D3607*B3607/100/C3607))</f>
        <v/>
      </c>
      <c r="G3607">
        <f>IF(A3607="","",IF(OR(B3607&lt;&gt;B3606,C3607&lt;&gt;C3606,D3607&lt;&gt;D3606,E3607&lt;&gt;E3606),G3606+1,G3606))</f>
        <v/>
      </c>
    </row>
    <row r="3608">
      <c r="A3608" s="14">
        <f>IF(OR(NOT(ISNUMBER(Ввод!$B$5)),NOT(ISNUMBER(Ввод!$B$6))),"",IF(Ввод!$B$5+3606&gt;Ввод!$B$6,"",Ввод!$B$5+3606))</f>
        <v/>
      </c>
      <c r="B3608">
        <f>IF(A3608="","",IFERROR(INDEX(Ввод!$B$12:$B$71,MATCH(A3608,Ввод!$D$12:$D$71,1)),""))</f>
        <v/>
      </c>
      <c r="C3608">
        <f>IF(A3608="","",DATE(YEAR(A3608),12,31)-DATE(YEAR(A3608),1,1)+1)</f>
        <v/>
      </c>
      <c r="D3608">
        <f>IF(A3608="","",Ввод!$B$4-SUMIF(Оплаты!$A$6:$A$505,"&lt;"&amp;A3608,Оплаты!$B$6:$B$505))</f>
        <v/>
      </c>
      <c r="E3608">
        <f>IF(A3608="","",IF(SUMPRODUCT((Ввод!$F$12:$F$31&lt;&gt;"")*(Ввод!$F$12:$F$31&lt;=A3608)*(Ввод!$G$12:$G$31&gt;=A3608))&gt;0,1,0))</f>
        <v/>
      </c>
      <c r="F3608">
        <f>IF(OR(A3608="",B3608=""),"",IF(E3608=1,0,D3608*B3608/100/C3608))</f>
        <v/>
      </c>
      <c r="G3608">
        <f>IF(A3608="","",IF(OR(B3608&lt;&gt;B3607,C3608&lt;&gt;C3607,D3608&lt;&gt;D3607,E3608&lt;&gt;E3607),G3607+1,G3607))</f>
        <v/>
      </c>
    </row>
    <row r="3609">
      <c r="A3609" s="14">
        <f>IF(OR(NOT(ISNUMBER(Ввод!$B$5)),NOT(ISNUMBER(Ввод!$B$6))),"",IF(Ввод!$B$5+3607&gt;Ввод!$B$6,"",Ввод!$B$5+3607))</f>
        <v/>
      </c>
      <c r="B3609">
        <f>IF(A3609="","",IFERROR(INDEX(Ввод!$B$12:$B$71,MATCH(A3609,Ввод!$D$12:$D$71,1)),""))</f>
        <v/>
      </c>
      <c r="C3609">
        <f>IF(A3609="","",DATE(YEAR(A3609),12,31)-DATE(YEAR(A3609),1,1)+1)</f>
        <v/>
      </c>
      <c r="D3609">
        <f>IF(A3609="","",Ввод!$B$4-SUMIF(Оплаты!$A$6:$A$505,"&lt;"&amp;A3609,Оплаты!$B$6:$B$505))</f>
        <v/>
      </c>
      <c r="E3609">
        <f>IF(A3609="","",IF(SUMPRODUCT((Ввод!$F$12:$F$31&lt;&gt;"")*(Ввод!$F$12:$F$31&lt;=A3609)*(Ввод!$G$12:$G$31&gt;=A3609))&gt;0,1,0))</f>
        <v/>
      </c>
      <c r="F3609">
        <f>IF(OR(A3609="",B3609=""),"",IF(E3609=1,0,D3609*B3609/100/C3609))</f>
        <v/>
      </c>
      <c r="G3609">
        <f>IF(A3609="","",IF(OR(B3609&lt;&gt;B3608,C3609&lt;&gt;C3608,D3609&lt;&gt;D3608,E3609&lt;&gt;E3608),G3608+1,G3608))</f>
        <v/>
      </c>
    </row>
    <row r="3610">
      <c r="A3610" s="14">
        <f>IF(OR(NOT(ISNUMBER(Ввод!$B$5)),NOT(ISNUMBER(Ввод!$B$6))),"",IF(Ввод!$B$5+3608&gt;Ввод!$B$6,"",Ввод!$B$5+3608))</f>
        <v/>
      </c>
      <c r="B3610">
        <f>IF(A3610="","",IFERROR(INDEX(Ввод!$B$12:$B$71,MATCH(A3610,Ввод!$D$12:$D$71,1)),""))</f>
        <v/>
      </c>
      <c r="C3610">
        <f>IF(A3610="","",DATE(YEAR(A3610),12,31)-DATE(YEAR(A3610),1,1)+1)</f>
        <v/>
      </c>
      <c r="D3610">
        <f>IF(A3610="","",Ввод!$B$4-SUMIF(Оплаты!$A$6:$A$505,"&lt;"&amp;A3610,Оплаты!$B$6:$B$505))</f>
        <v/>
      </c>
      <c r="E3610">
        <f>IF(A3610="","",IF(SUMPRODUCT((Ввод!$F$12:$F$31&lt;&gt;"")*(Ввод!$F$12:$F$31&lt;=A3610)*(Ввод!$G$12:$G$31&gt;=A3610))&gt;0,1,0))</f>
        <v/>
      </c>
      <c r="F3610">
        <f>IF(OR(A3610="",B3610=""),"",IF(E3610=1,0,D3610*B3610/100/C3610))</f>
        <v/>
      </c>
      <c r="G3610">
        <f>IF(A3610="","",IF(OR(B3610&lt;&gt;B3609,C3610&lt;&gt;C3609,D3610&lt;&gt;D3609,E3610&lt;&gt;E3609),G3609+1,G3609))</f>
        <v/>
      </c>
    </row>
    <row r="3611">
      <c r="A3611" s="14">
        <f>IF(OR(NOT(ISNUMBER(Ввод!$B$5)),NOT(ISNUMBER(Ввод!$B$6))),"",IF(Ввод!$B$5+3609&gt;Ввод!$B$6,"",Ввод!$B$5+3609))</f>
        <v/>
      </c>
      <c r="B3611">
        <f>IF(A3611="","",IFERROR(INDEX(Ввод!$B$12:$B$71,MATCH(A3611,Ввод!$D$12:$D$71,1)),""))</f>
        <v/>
      </c>
      <c r="C3611">
        <f>IF(A3611="","",DATE(YEAR(A3611),12,31)-DATE(YEAR(A3611),1,1)+1)</f>
        <v/>
      </c>
      <c r="D3611">
        <f>IF(A3611="","",Ввод!$B$4-SUMIF(Оплаты!$A$6:$A$505,"&lt;"&amp;A3611,Оплаты!$B$6:$B$505))</f>
        <v/>
      </c>
      <c r="E3611">
        <f>IF(A3611="","",IF(SUMPRODUCT((Ввод!$F$12:$F$31&lt;&gt;"")*(Ввод!$F$12:$F$31&lt;=A3611)*(Ввод!$G$12:$G$31&gt;=A3611))&gt;0,1,0))</f>
        <v/>
      </c>
      <c r="F3611">
        <f>IF(OR(A3611="",B3611=""),"",IF(E3611=1,0,D3611*B3611/100/C3611))</f>
        <v/>
      </c>
      <c r="G3611">
        <f>IF(A3611="","",IF(OR(B3611&lt;&gt;B3610,C3611&lt;&gt;C3610,D3611&lt;&gt;D3610,E3611&lt;&gt;E3610),G3610+1,G3610))</f>
        <v/>
      </c>
    </row>
    <row r="3612">
      <c r="A3612" s="14">
        <f>IF(OR(NOT(ISNUMBER(Ввод!$B$5)),NOT(ISNUMBER(Ввод!$B$6))),"",IF(Ввод!$B$5+3610&gt;Ввод!$B$6,"",Ввод!$B$5+3610))</f>
        <v/>
      </c>
      <c r="B3612">
        <f>IF(A3612="","",IFERROR(INDEX(Ввод!$B$12:$B$71,MATCH(A3612,Ввод!$D$12:$D$71,1)),""))</f>
        <v/>
      </c>
      <c r="C3612">
        <f>IF(A3612="","",DATE(YEAR(A3612),12,31)-DATE(YEAR(A3612),1,1)+1)</f>
        <v/>
      </c>
      <c r="D3612">
        <f>IF(A3612="","",Ввод!$B$4-SUMIF(Оплаты!$A$6:$A$505,"&lt;"&amp;A3612,Оплаты!$B$6:$B$505))</f>
        <v/>
      </c>
      <c r="E3612">
        <f>IF(A3612="","",IF(SUMPRODUCT((Ввод!$F$12:$F$31&lt;&gt;"")*(Ввод!$F$12:$F$31&lt;=A3612)*(Ввод!$G$12:$G$31&gt;=A3612))&gt;0,1,0))</f>
        <v/>
      </c>
      <c r="F3612">
        <f>IF(OR(A3612="",B3612=""),"",IF(E3612=1,0,D3612*B3612/100/C3612))</f>
        <v/>
      </c>
      <c r="G3612">
        <f>IF(A3612="","",IF(OR(B3612&lt;&gt;B3611,C3612&lt;&gt;C3611,D3612&lt;&gt;D3611,E3612&lt;&gt;E3611),G3611+1,G3611))</f>
        <v/>
      </c>
    </row>
    <row r="3613">
      <c r="A3613" s="14">
        <f>IF(OR(NOT(ISNUMBER(Ввод!$B$5)),NOT(ISNUMBER(Ввод!$B$6))),"",IF(Ввод!$B$5+3611&gt;Ввод!$B$6,"",Ввод!$B$5+3611))</f>
        <v/>
      </c>
      <c r="B3613">
        <f>IF(A3613="","",IFERROR(INDEX(Ввод!$B$12:$B$71,MATCH(A3613,Ввод!$D$12:$D$71,1)),""))</f>
        <v/>
      </c>
      <c r="C3613">
        <f>IF(A3613="","",DATE(YEAR(A3613),12,31)-DATE(YEAR(A3613),1,1)+1)</f>
        <v/>
      </c>
      <c r="D3613">
        <f>IF(A3613="","",Ввод!$B$4-SUMIF(Оплаты!$A$6:$A$505,"&lt;"&amp;A3613,Оплаты!$B$6:$B$505))</f>
        <v/>
      </c>
      <c r="E3613">
        <f>IF(A3613="","",IF(SUMPRODUCT((Ввод!$F$12:$F$31&lt;&gt;"")*(Ввод!$F$12:$F$31&lt;=A3613)*(Ввод!$G$12:$G$31&gt;=A3613))&gt;0,1,0))</f>
        <v/>
      </c>
      <c r="F3613">
        <f>IF(OR(A3613="",B3613=""),"",IF(E3613=1,0,D3613*B3613/100/C3613))</f>
        <v/>
      </c>
      <c r="G3613">
        <f>IF(A3613="","",IF(OR(B3613&lt;&gt;B3612,C3613&lt;&gt;C3612,D3613&lt;&gt;D3612,E3613&lt;&gt;E3612),G3612+1,G3612))</f>
        <v/>
      </c>
    </row>
    <row r="3614">
      <c r="A3614" s="14">
        <f>IF(OR(NOT(ISNUMBER(Ввод!$B$5)),NOT(ISNUMBER(Ввод!$B$6))),"",IF(Ввод!$B$5+3612&gt;Ввод!$B$6,"",Ввод!$B$5+3612))</f>
        <v/>
      </c>
      <c r="B3614">
        <f>IF(A3614="","",IFERROR(INDEX(Ввод!$B$12:$B$71,MATCH(A3614,Ввод!$D$12:$D$71,1)),""))</f>
        <v/>
      </c>
      <c r="C3614">
        <f>IF(A3614="","",DATE(YEAR(A3614),12,31)-DATE(YEAR(A3614),1,1)+1)</f>
        <v/>
      </c>
      <c r="D3614">
        <f>IF(A3614="","",Ввод!$B$4-SUMIF(Оплаты!$A$6:$A$505,"&lt;"&amp;A3614,Оплаты!$B$6:$B$505))</f>
        <v/>
      </c>
      <c r="E3614">
        <f>IF(A3614="","",IF(SUMPRODUCT((Ввод!$F$12:$F$31&lt;&gt;"")*(Ввод!$F$12:$F$31&lt;=A3614)*(Ввод!$G$12:$G$31&gt;=A3614))&gt;0,1,0))</f>
        <v/>
      </c>
      <c r="F3614">
        <f>IF(OR(A3614="",B3614=""),"",IF(E3614=1,0,D3614*B3614/100/C3614))</f>
        <v/>
      </c>
      <c r="G3614">
        <f>IF(A3614="","",IF(OR(B3614&lt;&gt;B3613,C3614&lt;&gt;C3613,D3614&lt;&gt;D3613,E3614&lt;&gt;E3613),G3613+1,G3613))</f>
        <v/>
      </c>
    </row>
    <row r="3615">
      <c r="A3615" s="14">
        <f>IF(OR(NOT(ISNUMBER(Ввод!$B$5)),NOT(ISNUMBER(Ввод!$B$6))),"",IF(Ввод!$B$5+3613&gt;Ввод!$B$6,"",Ввод!$B$5+3613))</f>
        <v/>
      </c>
      <c r="B3615">
        <f>IF(A3615="","",IFERROR(INDEX(Ввод!$B$12:$B$71,MATCH(A3615,Ввод!$D$12:$D$71,1)),""))</f>
        <v/>
      </c>
      <c r="C3615">
        <f>IF(A3615="","",DATE(YEAR(A3615),12,31)-DATE(YEAR(A3615),1,1)+1)</f>
        <v/>
      </c>
      <c r="D3615">
        <f>IF(A3615="","",Ввод!$B$4-SUMIF(Оплаты!$A$6:$A$505,"&lt;"&amp;A3615,Оплаты!$B$6:$B$505))</f>
        <v/>
      </c>
      <c r="E3615">
        <f>IF(A3615="","",IF(SUMPRODUCT((Ввод!$F$12:$F$31&lt;&gt;"")*(Ввод!$F$12:$F$31&lt;=A3615)*(Ввод!$G$12:$G$31&gt;=A3615))&gt;0,1,0))</f>
        <v/>
      </c>
      <c r="F3615">
        <f>IF(OR(A3615="",B3615=""),"",IF(E3615=1,0,D3615*B3615/100/C3615))</f>
        <v/>
      </c>
      <c r="G3615">
        <f>IF(A3615="","",IF(OR(B3615&lt;&gt;B3614,C3615&lt;&gt;C3614,D3615&lt;&gt;D3614,E3615&lt;&gt;E3614),G3614+1,G3614))</f>
        <v/>
      </c>
    </row>
    <row r="3616">
      <c r="A3616" s="14">
        <f>IF(OR(NOT(ISNUMBER(Ввод!$B$5)),NOT(ISNUMBER(Ввод!$B$6))),"",IF(Ввод!$B$5+3614&gt;Ввод!$B$6,"",Ввод!$B$5+3614))</f>
        <v/>
      </c>
      <c r="B3616">
        <f>IF(A3616="","",IFERROR(INDEX(Ввод!$B$12:$B$71,MATCH(A3616,Ввод!$D$12:$D$71,1)),""))</f>
        <v/>
      </c>
      <c r="C3616">
        <f>IF(A3616="","",DATE(YEAR(A3616),12,31)-DATE(YEAR(A3616),1,1)+1)</f>
        <v/>
      </c>
      <c r="D3616">
        <f>IF(A3616="","",Ввод!$B$4-SUMIF(Оплаты!$A$6:$A$505,"&lt;"&amp;A3616,Оплаты!$B$6:$B$505))</f>
        <v/>
      </c>
      <c r="E3616">
        <f>IF(A3616="","",IF(SUMPRODUCT((Ввод!$F$12:$F$31&lt;&gt;"")*(Ввод!$F$12:$F$31&lt;=A3616)*(Ввод!$G$12:$G$31&gt;=A3616))&gt;0,1,0))</f>
        <v/>
      </c>
      <c r="F3616">
        <f>IF(OR(A3616="",B3616=""),"",IF(E3616=1,0,D3616*B3616/100/C3616))</f>
        <v/>
      </c>
      <c r="G3616">
        <f>IF(A3616="","",IF(OR(B3616&lt;&gt;B3615,C3616&lt;&gt;C3615,D3616&lt;&gt;D3615,E3616&lt;&gt;E3615),G3615+1,G3615))</f>
        <v/>
      </c>
    </row>
    <row r="3617">
      <c r="A3617" s="14">
        <f>IF(OR(NOT(ISNUMBER(Ввод!$B$5)),NOT(ISNUMBER(Ввод!$B$6))),"",IF(Ввод!$B$5+3615&gt;Ввод!$B$6,"",Ввод!$B$5+3615))</f>
        <v/>
      </c>
      <c r="B3617">
        <f>IF(A3617="","",IFERROR(INDEX(Ввод!$B$12:$B$71,MATCH(A3617,Ввод!$D$12:$D$71,1)),""))</f>
        <v/>
      </c>
      <c r="C3617">
        <f>IF(A3617="","",DATE(YEAR(A3617),12,31)-DATE(YEAR(A3617),1,1)+1)</f>
        <v/>
      </c>
      <c r="D3617">
        <f>IF(A3617="","",Ввод!$B$4-SUMIF(Оплаты!$A$6:$A$505,"&lt;"&amp;A3617,Оплаты!$B$6:$B$505))</f>
        <v/>
      </c>
      <c r="E3617">
        <f>IF(A3617="","",IF(SUMPRODUCT((Ввод!$F$12:$F$31&lt;&gt;"")*(Ввод!$F$12:$F$31&lt;=A3617)*(Ввод!$G$12:$G$31&gt;=A3617))&gt;0,1,0))</f>
        <v/>
      </c>
      <c r="F3617">
        <f>IF(OR(A3617="",B3617=""),"",IF(E3617=1,0,D3617*B3617/100/C3617))</f>
        <v/>
      </c>
      <c r="G3617">
        <f>IF(A3617="","",IF(OR(B3617&lt;&gt;B3616,C3617&lt;&gt;C3616,D3617&lt;&gt;D3616,E3617&lt;&gt;E3616),G3616+1,G3616))</f>
        <v/>
      </c>
    </row>
    <row r="3618">
      <c r="A3618" s="14">
        <f>IF(OR(NOT(ISNUMBER(Ввод!$B$5)),NOT(ISNUMBER(Ввод!$B$6))),"",IF(Ввод!$B$5+3616&gt;Ввод!$B$6,"",Ввод!$B$5+3616))</f>
        <v/>
      </c>
      <c r="B3618">
        <f>IF(A3618="","",IFERROR(INDEX(Ввод!$B$12:$B$71,MATCH(A3618,Ввод!$D$12:$D$71,1)),""))</f>
        <v/>
      </c>
      <c r="C3618">
        <f>IF(A3618="","",DATE(YEAR(A3618),12,31)-DATE(YEAR(A3618),1,1)+1)</f>
        <v/>
      </c>
      <c r="D3618">
        <f>IF(A3618="","",Ввод!$B$4-SUMIF(Оплаты!$A$6:$A$505,"&lt;"&amp;A3618,Оплаты!$B$6:$B$505))</f>
        <v/>
      </c>
      <c r="E3618">
        <f>IF(A3618="","",IF(SUMPRODUCT((Ввод!$F$12:$F$31&lt;&gt;"")*(Ввод!$F$12:$F$31&lt;=A3618)*(Ввод!$G$12:$G$31&gt;=A3618))&gt;0,1,0))</f>
        <v/>
      </c>
      <c r="F3618">
        <f>IF(OR(A3618="",B3618=""),"",IF(E3618=1,0,D3618*B3618/100/C3618))</f>
        <v/>
      </c>
      <c r="G3618">
        <f>IF(A3618="","",IF(OR(B3618&lt;&gt;B3617,C3618&lt;&gt;C3617,D3618&lt;&gt;D3617,E3618&lt;&gt;E3617),G3617+1,G3617))</f>
        <v/>
      </c>
    </row>
    <row r="3619">
      <c r="A3619" s="14">
        <f>IF(OR(NOT(ISNUMBER(Ввод!$B$5)),NOT(ISNUMBER(Ввод!$B$6))),"",IF(Ввод!$B$5+3617&gt;Ввод!$B$6,"",Ввод!$B$5+3617))</f>
        <v/>
      </c>
      <c r="B3619">
        <f>IF(A3619="","",IFERROR(INDEX(Ввод!$B$12:$B$71,MATCH(A3619,Ввод!$D$12:$D$71,1)),""))</f>
        <v/>
      </c>
      <c r="C3619">
        <f>IF(A3619="","",DATE(YEAR(A3619),12,31)-DATE(YEAR(A3619),1,1)+1)</f>
        <v/>
      </c>
      <c r="D3619">
        <f>IF(A3619="","",Ввод!$B$4-SUMIF(Оплаты!$A$6:$A$505,"&lt;"&amp;A3619,Оплаты!$B$6:$B$505))</f>
        <v/>
      </c>
      <c r="E3619">
        <f>IF(A3619="","",IF(SUMPRODUCT((Ввод!$F$12:$F$31&lt;&gt;"")*(Ввод!$F$12:$F$31&lt;=A3619)*(Ввод!$G$12:$G$31&gt;=A3619))&gt;0,1,0))</f>
        <v/>
      </c>
      <c r="F3619">
        <f>IF(OR(A3619="",B3619=""),"",IF(E3619=1,0,D3619*B3619/100/C3619))</f>
        <v/>
      </c>
      <c r="G3619">
        <f>IF(A3619="","",IF(OR(B3619&lt;&gt;B3618,C3619&lt;&gt;C3618,D3619&lt;&gt;D3618,E3619&lt;&gt;E3618),G3618+1,G3618))</f>
        <v/>
      </c>
    </row>
    <row r="3620">
      <c r="A3620" s="14">
        <f>IF(OR(NOT(ISNUMBER(Ввод!$B$5)),NOT(ISNUMBER(Ввод!$B$6))),"",IF(Ввод!$B$5+3618&gt;Ввод!$B$6,"",Ввод!$B$5+3618))</f>
        <v/>
      </c>
      <c r="B3620">
        <f>IF(A3620="","",IFERROR(INDEX(Ввод!$B$12:$B$71,MATCH(A3620,Ввод!$D$12:$D$71,1)),""))</f>
        <v/>
      </c>
      <c r="C3620">
        <f>IF(A3620="","",DATE(YEAR(A3620),12,31)-DATE(YEAR(A3620),1,1)+1)</f>
        <v/>
      </c>
      <c r="D3620">
        <f>IF(A3620="","",Ввод!$B$4-SUMIF(Оплаты!$A$6:$A$505,"&lt;"&amp;A3620,Оплаты!$B$6:$B$505))</f>
        <v/>
      </c>
      <c r="E3620">
        <f>IF(A3620="","",IF(SUMPRODUCT((Ввод!$F$12:$F$31&lt;&gt;"")*(Ввод!$F$12:$F$31&lt;=A3620)*(Ввод!$G$12:$G$31&gt;=A3620))&gt;0,1,0))</f>
        <v/>
      </c>
      <c r="F3620">
        <f>IF(OR(A3620="",B3620=""),"",IF(E3620=1,0,D3620*B3620/100/C3620))</f>
        <v/>
      </c>
      <c r="G3620">
        <f>IF(A3620="","",IF(OR(B3620&lt;&gt;B3619,C3620&lt;&gt;C3619,D3620&lt;&gt;D3619,E3620&lt;&gt;E3619),G3619+1,G3619))</f>
        <v/>
      </c>
    </row>
    <row r="3621">
      <c r="A3621" s="14">
        <f>IF(OR(NOT(ISNUMBER(Ввод!$B$5)),NOT(ISNUMBER(Ввод!$B$6))),"",IF(Ввод!$B$5+3619&gt;Ввод!$B$6,"",Ввод!$B$5+3619))</f>
        <v/>
      </c>
      <c r="B3621">
        <f>IF(A3621="","",IFERROR(INDEX(Ввод!$B$12:$B$71,MATCH(A3621,Ввод!$D$12:$D$71,1)),""))</f>
        <v/>
      </c>
      <c r="C3621">
        <f>IF(A3621="","",DATE(YEAR(A3621),12,31)-DATE(YEAR(A3621),1,1)+1)</f>
        <v/>
      </c>
      <c r="D3621">
        <f>IF(A3621="","",Ввод!$B$4-SUMIF(Оплаты!$A$6:$A$505,"&lt;"&amp;A3621,Оплаты!$B$6:$B$505))</f>
        <v/>
      </c>
      <c r="E3621">
        <f>IF(A3621="","",IF(SUMPRODUCT((Ввод!$F$12:$F$31&lt;&gt;"")*(Ввод!$F$12:$F$31&lt;=A3621)*(Ввод!$G$12:$G$31&gt;=A3621))&gt;0,1,0))</f>
        <v/>
      </c>
      <c r="F3621">
        <f>IF(OR(A3621="",B3621=""),"",IF(E3621=1,0,D3621*B3621/100/C3621))</f>
        <v/>
      </c>
      <c r="G3621">
        <f>IF(A3621="","",IF(OR(B3621&lt;&gt;B3620,C3621&lt;&gt;C3620,D3621&lt;&gt;D3620,E3621&lt;&gt;E3620),G3620+1,G3620))</f>
        <v/>
      </c>
    </row>
    <row r="3622">
      <c r="A3622" s="14">
        <f>IF(OR(NOT(ISNUMBER(Ввод!$B$5)),NOT(ISNUMBER(Ввод!$B$6))),"",IF(Ввод!$B$5+3620&gt;Ввод!$B$6,"",Ввод!$B$5+3620))</f>
        <v/>
      </c>
      <c r="B3622">
        <f>IF(A3622="","",IFERROR(INDEX(Ввод!$B$12:$B$71,MATCH(A3622,Ввод!$D$12:$D$71,1)),""))</f>
        <v/>
      </c>
      <c r="C3622">
        <f>IF(A3622="","",DATE(YEAR(A3622),12,31)-DATE(YEAR(A3622),1,1)+1)</f>
        <v/>
      </c>
      <c r="D3622">
        <f>IF(A3622="","",Ввод!$B$4-SUMIF(Оплаты!$A$6:$A$505,"&lt;"&amp;A3622,Оплаты!$B$6:$B$505))</f>
        <v/>
      </c>
      <c r="E3622">
        <f>IF(A3622="","",IF(SUMPRODUCT((Ввод!$F$12:$F$31&lt;&gt;"")*(Ввод!$F$12:$F$31&lt;=A3622)*(Ввод!$G$12:$G$31&gt;=A3622))&gt;0,1,0))</f>
        <v/>
      </c>
      <c r="F3622">
        <f>IF(OR(A3622="",B3622=""),"",IF(E3622=1,0,D3622*B3622/100/C3622))</f>
        <v/>
      </c>
      <c r="G3622">
        <f>IF(A3622="","",IF(OR(B3622&lt;&gt;B3621,C3622&lt;&gt;C3621,D3622&lt;&gt;D3621,E3622&lt;&gt;E3621),G3621+1,G3621))</f>
        <v/>
      </c>
    </row>
    <row r="3623">
      <c r="A3623" s="14">
        <f>IF(OR(NOT(ISNUMBER(Ввод!$B$5)),NOT(ISNUMBER(Ввод!$B$6))),"",IF(Ввод!$B$5+3621&gt;Ввод!$B$6,"",Ввод!$B$5+3621))</f>
        <v/>
      </c>
      <c r="B3623">
        <f>IF(A3623="","",IFERROR(INDEX(Ввод!$B$12:$B$71,MATCH(A3623,Ввод!$D$12:$D$71,1)),""))</f>
        <v/>
      </c>
      <c r="C3623">
        <f>IF(A3623="","",DATE(YEAR(A3623),12,31)-DATE(YEAR(A3623),1,1)+1)</f>
        <v/>
      </c>
      <c r="D3623">
        <f>IF(A3623="","",Ввод!$B$4-SUMIF(Оплаты!$A$6:$A$505,"&lt;"&amp;A3623,Оплаты!$B$6:$B$505))</f>
        <v/>
      </c>
      <c r="E3623">
        <f>IF(A3623="","",IF(SUMPRODUCT((Ввод!$F$12:$F$31&lt;&gt;"")*(Ввод!$F$12:$F$31&lt;=A3623)*(Ввод!$G$12:$G$31&gt;=A3623))&gt;0,1,0))</f>
        <v/>
      </c>
      <c r="F3623">
        <f>IF(OR(A3623="",B3623=""),"",IF(E3623=1,0,D3623*B3623/100/C3623))</f>
        <v/>
      </c>
      <c r="G3623">
        <f>IF(A3623="","",IF(OR(B3623&lt;&gt;B3622,C3623&lt;&gt;C3622,D3623&lt;&gt;D3622,E3623&lt;&gt;E3622),G3622+1,G3622))</f>
        <v/>
      </c>
    </row>
    <row r="3624">
      <c r="A3624" s="14">
        <f>IF(OR(NOT(ISNUMBER(Ввод!$B$5)),NOT(ISNUMBER(Ввод!$B$6))),"",IF(Ввод!$B$5+3622&gt;Ввод!$B$6,"",Ввод!$B$5+3622))</f>
        <v/>
      </c>
      <c r="B3624">
        <f>IF(A3624="","",IFERROR(INDEX(Ввод!$B$12:$B$71,MATCH(A3624,Ввод!$D$12:$D$71,1)),""))</f>
        <v/>
      </c>
      <c r="C3624">
        <f>IF(A3624="","",DATE(YEAR(A3624),12,31)-DATE(YEAR(A3624),1,1)+1)</f>
        <v/>
      </c>
      <c r="D3624">
        <f>IF(A3624="","",Ввод!$B$4-SUMIF(Оплаты!$A$6:$A$505,"&lt;"&amp;A3624,Оплаты!$B$6:$B$505))</f>
        <v/>
      </c>
      <c r="E3624">
        <f>IF(A3624="","",IF(SUMPRODUCT((Ввод!$F$12:$F$31&lt;&gt;"")*(Ввод!$F$12:$F$31&lt;=A3624)*(Ввод!$G$12:$G$31&gt;=A3624))&gt;0,1,0))</f>
        <v/>
      </c>
      <c r="F3624">
        <f>IF(OR(A3624="",B3624=""),"",IF(E3624=1,0,D3624*B3624/100/C3624))</f>
        <v/>
      </c>
      <c r="G3624">
        <f>IF(A3624="","",IF(OR(B3624&lt;&gt;B3623,C3624&lt;&gt;C3623,D3624&lt;&gt;D3623,E3624&lt;&gt;E3623),G3623+1,G3623))</f>
        <v/>
      </c>
    </row>
    <row r="3625">
      <c r="A3625" s="14">
        <f>IF(OR(NOT(ISNUMBER(Ввод!$B$5)),NOT(ISNUMBER(Ввод!$B$6))),"",IF(Ввод!$B$5+3623&gt;Ввод!$B$6,"",Ввод!$B$5+3623))</f>
        <v/>
      </c>
      <c r="B3625">
        <f>IF(A3625="","",IFERROR(INDEX(Ввод!$B$12:$B$71,MATCH(A3625,Ввод!$D$12:$D$71,1)),""))</f>
        <v/>
      </c>
      <c r="C3625">
        <f>IF(A3625="","",DATE(YEAR(A3625),12,31)-DATE(YEAR(A3625),1,1)+1)</f>
        <v/>
      </c>
      <c r="D3625">
        <f>IF(A3625="","",Ввод!$B$4-SUMIF(Оплаты!$A$6:$A$505,"&lt;"&amp;A3625,Оплаты!$B$6:$B$505))</f>
        <v/>
      </c>
      <c r="E3625">
        <f>IF(A3625="","",IF(SUMPRODUCT((Ввод!$F$12:$F$31&lt;&gt;"")*(Ввод!$F$12:$F$31&lt;=A3625)*(Ввод!$G$12:$G$31&gt;=A3625))&gt;0,1,0))</f>
        <v/>
      </c>
      <c r="F3625">
        <f>IF(OR(A3625="",B3625=""),"",IF(E3625=1,0,D3625*B3625/100/C3625))</f>
        <v/>
      </c>
      <c r="G3625">
        <f>IF(A3625="","",IF(OR(B3625&lt;&gt;B3624,C3625&lt;&gt;C3624,D3625&lt;&gt;D3624,E3625&lt;&gt;E3624),G3624+1,G3624))</f>
        <v/>
      </c>
    </row>
    <row r="3626">
      <c r="A3626" s="14">
        <f>IF(OR(NOT(ISNUMBER(Ввод!$B$5)),NOT(ISNUMBER(Ввод!$B$6))),"",IF(Ввод!$B$5+3624&gt;Ввод!$B$6,"",Ввод!$B$5+3624))</f>
        <v/>
      </c>
      <c r="B3626">
        <f>IF(A3626="","",IFERROR(INDEX(Ввод!$B$12:$B$71,MATCH(A3626,Ввод!$D$12:$D$71,1)),""))</f>
        <v/>
      </c>
      <c r="C3626">
        <f>IF(A3626="","",DATE(YEAR(A3626),12,31)-DATE(YEAR(A3626),1,1)+1)</f>
        <v/>
      </c>
      <c r="D3626">
        <f>IF(A3626="","",Ввод!$B$4-SUMIF(Оплаты!$A$6:$A$505,"&lt;"&amp;A3626,Оплаты!$B$6:$B$505))</f>
        <v/>
      </c>
      <c r="E3626">
        <f>IF(A3626="","",IF(SUMPRODUCT((Ввод!$F$12:$F$31&lt;&gt;"")*(Ввод!$F$12:$F$31&lt;=A3626)*(Ввод!$G$12:$G$31&gt;=A3626))&gt;0,1,0))</f>
        <v/>
      </c>
      <c r="F3626">
        <f>IF(OR(A3626="",B3626=""),"",IF(E3626=1,0,D3626*B3626/100/C3626))</f>
        <v/>
      </c>
      <c r="G3626">
        <f>IF(A3626="","",IF(OR(B3626&lt;&gt;B3625,C3626&lt;&gt;C3625,D3626&lt;&gt;D3625,E3626&lt;&gt;E3625),G3625+1,G3625))</f>
        <v/>
      </c>
    </row>
    <row r="3627">
      <c r="A3627" s="14">
        <f>IF(OR(NOT(ISNUMBER(Ввод!$B$5)),NOT(ISNUMBER(Ввод!$B$6))),"",IF(Ввод!$B$5+3625&gt;Ввод!$B$6,"",Ввод!$B$5+3625))</f>
        <v/>
      </c>
      <c r="B3627">
        <f>IF(A3627="","",IFERROR(INDEX(Ввод!$B$12:$B$71,MATCH(A3627,Ввод!$D$12:$D$71,1)),""))</f>
        <v/>
      </c>
      <c r="C3627">
        <f>IF(A3627="","",DATE(YEAR(A3627),12,31)-DATE(YEAR(A3627),1,1)+1)</f>
        <v/>
      </c>
      <c r="D3627">
        <f>IF(A3627="","",Ввод!$B$4-SUMIF(Оплаты!$A$6:$A$505,"&lt;"&amp;A3627,Оплаты!$B$6:$B$505))</f>
        <v/>
      </c>
      <c r="E3627">
        <f>IF(A3627="","",IF(SUMPRODUCT((Ввод!$F$12:$F$31&lt;&gt;"")*(Ввод!$F$12:$F$31&lt;=A3627)*(Ввод!$G$12:$G$31&gt;=A3627))&gt;0,1,0))</f>
        <v/>
      </c>
      <c r="F3627">
        <f>IF(OR(A3627="",B3627=""),"",IF(E3627=1,0,D3627*B3627/100/C3627))</f>
        <v/>
      </c>
      <c r="G3627">
        <f>IF(A3627="","",IF(OR(B3627&lt;&gt;B3626,C3627&lt;&gt;C3626,D3627&lt;&gt;D3626,E3627&lt;&gt;E3626),G3626+1,G3626))</f>
        <v/>
      </c>
    </row>
    <row r="3628">
      <c r="A3628" s="14">
        <f>IF(OR(NOT(ISNUMBER(Ввод!$B$5)),NOT(ISNUMBER(Ввод!$B$6))),"",IF(Ввод!$B$5+3626&gt;Ввод!$B$6,"",Ввод!$B$5+3626))</f>
        <v/>
      </c>
      <c r="B3628">
        <f>IF(A3628="","",IFERROR(INDEX(Ввод!$B$12:$B$71,MATCH(A3628,Ввод!$D$12:$D$71,1)),""))</f>
        <v/>
      </c>
      <c r="C3628">
        <f>IF(A3628="","",DATE(YEAR(A3628),12,31)-DATE(YEAR(A3628),1,1)+1)</f>
        <v/>
      </c>
      <c r="D3628">
        <f>IF(A3628="","",Ввод!$B$4-SUMIF(Оплаты!$A$6:$A$505,"&lt;"&amp;A3628,Оплаты!$B$6:$B$505))</f>
        <v/>
      </c>
      <c r="E3628">
        <f>IF(A3628="","",IF(SUMPRODUCT((Ввод!$F$12:$F$31&lt;&gt;"")*(Ввод!$F$12:$F$31&lt;=A3628)*(Ввод!$G$12:$G$31&gt;=A3628))&gt;0,1,0))</f>
        <v/>
      </c>
      <c r="F3628">
        <f>IF(OR(A3628="",B3628=""),"",IF(E3628=1,0,D3628*B3628/100/C3628))</f>
        <v/>
      </c>
      <c r="G3628">
        <f>IF(A3628="","",IF(OR(B3628&lt;&gt;B3627,C3628&lt;&gt;C3627,D3628&lt;&gt;D3627,E3628&lt;&gt;E3627),G3627+1,G3627))</f>
        <v/>
      </c>
    </row>
    <row r="3629">
      <c r="A3629" s="14">
        <f>IF(OR(NOT(ISNUMBER(Ввод!$B$5)),NOT(ISNUMBER(Ввод!$B$6))),"",IF(Ввод!$B$5+3627&gt;Ввод!$B$6,"",Ввод!$B$5+3627))</f>
        <v/>
      </c>
      <c r="B3629">
        <f>IF(A3629="","",IFERROR(INDEX(Ввод!$B$12:$B$71,MATCH(A3629,Ввод!$D$12:$D$71,1)),""))</f>
        <v/>
      </c>
      <c r="C3629">
        <f>IF(A3629="","",DATE(YEAR(A3629),12,31)-DATE(YEAR(A3629),1,1)+1)</f>
        <v/>
      </c>
      <c r="D3629">
        <f>IF(A3629="","",Ввод!$B$4-SUMIF(Оплаты!$A$6:$A$505,"&lt;"&amp;A3629,Оплаты!$B$6:$B$505))</f>
        <v/>
      </c>
      <c r="E3629">
        <f>IF(A3629="","",IF(SUMPRODUCT((Ввод!$F$12:$F$31&lt;&gt;"")*(Ввод!$F$12:$F$31&lt;=A3629)*(Ввод!$G$12:$G$31&gt;=A3629))&gt;0,1,0))</f>
        <v/>
      </c>
      <c r="F3629">
        <f>IF(OR(A3629="",B3629=""),"",IF(E3629=1,0,D3629*B3629/100/C3629))</f>
        <v/>
      </c>
      <c r="G3629">
        <f>IF(A3629="","",IF(OR(B3629&lt;&gt;B3628,C3629&lt;&gt;C3628,D3629&lt;&gt;D3628,E3629&lt;&gt;E3628),G3628+1,G3628))</f>
        <v/>
      </c>
    </row>
    <row r="3630">
      <c r="A3630" s="14">
        <f>IF(OR(NOT(ISNUMBER(Ввод!$B$5)),NOT(ISNUMBER(Ввод!$B$6))),"",IF(Ввод!$B$5+3628&gt;Ввод!$B$6,"",Ввод!$B$5+3628))</f>
        <v/>
      </c>
      <c r="B3630">
        <f>IF(A3630="","",IFERROR(INDEX(Ввод!$B$12:$B$71,MATCH(A3630,Ввод!$D$12:$D$71,1)),""))</f>
        <v/>
      </c>
      <c r="C3630">
        <f>IF(A3630="","",DATE(YEAR(A3630),12,31)-DATE(YEAR(A3630),1,1)+1)</f>
        <v/>
      </c>
      <c r="D3630">
        <f>IF(A3630="","",Ввод!$B$4-SUMIF(Оплаты!$A$6:$A$505,"&lt;"&amp;A3630,Оплаты!$B$6:$B$505))</f>
        <v/>
      </c>
      <c r="E3630">
        <f>IF(A3630="","",IF(SUMPRODUCT((Ввод!$F$12:$F$31&lt;&gt;"")*(Ввод!$F$12:$F$31&lt;=A3630)*(Ввод!$G$12:$G$31&gt;=A3630))&gt;0,1,0))</f>
        <v/>
      </c>
      <c r="F3630">
        <f>IF(OR(A3630="",B3630=""),"",IF(E3630=1,0,D3630*B3630/100/C3630))</f>
        <v/>
      </c>
      <c r="G3630">
        <f>IF(A3630="","",IF(OR(B3630&lt;&gt;B3629,C3630&lt;&gt;C3629,D3630&lt;&gt;D3629,E3630&lt;&gt;E3629),G3629+1,G3629))</f>
        <v/>
      </c>
    </row>
    <row r="3631">
      <c r="A3631" s="14">
        <f>IF(OR(NOT(ISNUMBER(Ввод!$B$5)),NOT(ISNUMBER(Ввод!$B$6))),"",IF(Ввод!$B$5+3629&gt;Ввод!$B$6,"",Ввод!$B$5+3629))</f>
        <v/>
      </c>
      <c r="B3631">
        <f>IF(A3631="","",IFERROR(INDEX(Ввод!$B$12:$B$71,MATCH(A3631,Ввод!$D$12:$D$71,1)),""))</f>
        <v/>
      </c>
      <c r="C3631">
        <f>IF(A3631="","",DATE(YEAR(A3631),12,31)-DATE(YEAR(A3631),1,1)+1)</f>
        <v/>
      </c>
      <c r="D3631">
        <f>IF(A3631="","",Ввод!$B$4-SUMIF(Оплаты!$A$6:$A$505,"&lt;"&amp;A3631,Оплаты!$B$6:$B$505))</f>
        <v/>
      </c>
      <c r="E3631">
        <f>IF(A3631="","",IF(SUMPRODUCT((Ввод!$F$12:$F$31&lt;&gt;"")*(Ввод!$F$12:$F$31&lt;=A3631)*(Ввод!$G$12:$G$31&gt;=A3631))&gt;0,1,0))</f>
        <v/>
      </c>
      <c r="F3631">
        <f>IF(OR(A3631="",B3631=""),"",IF(E3631=1,0,D3631*B3631/100/C3631))</f>
        <v/>
      </c>
      <c r="G3631">
        <f>IF(A3631="","",IF(OR(B3631&lt;&gt;B3630,C3631&lt;&gt;C3630,D3631&lt;&gt;D3630,E3631&lt;&gt;E3630),G3630+1,G3630))</f>
        <v/>
      </c>
    </row>
    <row r="3632">
      <c r="A3632" s="14">
        <f>IF(OR(NOT(ISNUMBER(Ввод!$B$5)),NOT(ISNUMBER(Ввод!$B$6))),"",IF(Ввод!$B$5+3630&gt;Ввод!$B$6,"",Ввод!$B$5+3630))</f>
        <v/>
      </c>
      <c r="B3632">
        <f>IF(A3632="","",IFERROR(INDEX(Ввод!$B$12:$B$71,MATCH(A3632,Ввод!$D$12:$D$71,1)),""))</f>
        <v/>
      </c>
      <c r="C3632">
        <f>IF(A3632="","",DATE(YEAR(A3632),12,31)-DATE(YEAR(A3632),1,1)+1)</f>
        <v/>
      </c>
      <c r="D3632">
        <f>IF(A3632="","",Ввод!$B$4-SUMIF(Оплаты!$A$6:$A$505,"&lt;"&amp;A3632,Оплаты!$B$6:$B$505))</f>
        <v/>
      </c>
      <c r="E3632">
        <f>IF(A3632="","",IF(SUMPRODUCT((Ввод!$F$12:$F$31&lt;&gt;"")*(Ввод!$F$12:$F$31&lt;=A3632)*(Ввод!$G$12:$G$31&gt;=A3632))&gt;0,1,0))</f>
        <v/>
      </c>
      <c r="F3632">
        <f>IF(OR(A3632="",B3632=""),"",IF(E3632=1,0,D3632*B3632/100/C3632))</f>
        <v/>
      </c>
      <c r="G3632">
        <f>IF(A3632="","",IF(OR(B3632&lt;&gt;B3631,C3632&lt;&gt;C3631,D3632&lt;&gt;D3631,E3632&lt;&gt;E3631),G3631+1,G3631))</f>
        <v/>
      </c>
    </row>
    <row r="3633">
      <c r="A3633" s="14">
        <f>IF(OR(NOT(ISNUMBER(Ввод!$B$5)),NOT(ISNUMBER(Ввод!$B$6))),"",IF(Ввод!$B$5+3631&gt;Ввод!$B$6,"",Ввод!$B$5+3631))</f>
        <v/>
      </c>
      <c r="B3633">
        <f>IF(A3633="","",IFERROR(INDEX(Ввод!$B$12:$B$71,MATCH(A3633,Ввод!$D$12:$D$71,1)),""))</f>
        <v/>
      </c>
      <c r="C3633">
        <f>IF(A3633="","",DATE(YEAR(A3633),12,31)-DATE(YEAR(A3633),1,1)+1)</f>
        <v/>
      </c>
      <c r="D3633">
        <f>IF(A3633="","",Ввод!$B$4-SUMIF(Оплаты!$A$6:$A$505,"&lt;"&amp;A3633,Оплаты!$B$6:$B$505))</f>
        <v/>
      </c>
      <c r="E3633">
        <f>IF(A3633="","",IF(SUMPRODUCT((Ввод!$F$12:$F$31&lt;&gt;"")*(Ввод!$F$12:$F$31&lt;=A3633)*(Ввод!$G$12:$G$31&gt;=A3633))&gt;0,1,0))</f>
        <v/>
      </c>
      <c r="F3633">
        <f>IF(OR(A3633="",B3633=""),"",IF(E3633=1,0,D3633*B3633/100/C3633))</f>
        <v/>
      </c>
      <c r="G3633">
        <f>IF(A3633="","",IF(OR(B3633&lt;&gt;B3632,C3633&lt;&gt;C3632,D3633&lt;&gt;D3632,E3633&lt;&gt;E3632),G3632+1,G3632))</f>
        <v/>
      </c>
    </row>
    <row r="3634">
      <c r="A3634" s="14">
        <f>IF(OR(NOT(ISNUMBER(Ввод!$B$5)),NOT(ISNUMBER(Ввод!$B$6))),"",IF(Ввод!$B$5+3632&gt;Ввод!$B$6,"",Ввод!$B$5+3632))</f>
        <v/>
      </c>
      <c r="B3634">
        <f>IF(A3634="","",IFERROR(INDEX(Ввод!$B$12:$B$71,MATCH(A3634,Ввод!$D$12:$D$71,1)),""))</f>
        <v/>
      </c>
      <c r="C3634">
        <f>IF(A3634="","",DATE(YEAR(A3634),12,31)-DATE(YEAR(A3634),1,1)+1)</f>
        <v/>
      </c>
      <c r="D3634">
        <f>IF(A3634="","",Ввод!$B$4-SUMIF(Оплаты!$A$6:$A$505,"&lt;"&amp;A3634,Оплаты!$B$6:$B$505))</f>
        <v/>
      </c>
      <c r="E3634">
        <f>IF(A3634="","",IF(SUMPRODUCT((Ввод!$F$12:$F$31&lt;&gt;"")*(Ввод!$F$12:$F$31&lt;=A3634)*(Ввод!$G$12:$G$31&gt;=A3634))&gt;0,1,0))</f>
        <v/>
      </c>
      <c r="F3634">
        <f>IF(OR(A3634="",B3634=""),"",IF(E3634=1,0,D3634*B3634/100/C3634))</f>
        <v/>
      </c>
      <c r="G3634">
        <f>IF(A3634="","",IF(OR(B3634&lt;&gt;B3633,C3634&lt;&gt;C3633,D3634&lt;&gt;D3633,E3634&lt;&gt;E3633),G3633+1,G3633))</f>
        <v/>
      </c>
    </row>
    <row r="3635">
      <c r="A3635" s="14">
        <f>IF(OR(NOT(ISNUMBER(Ввод!$B$5)),NOT(ISNUMBER(Ввод!$B$6))),"",IF(Ввод!$B$5+3633&gt;Ввод!$B$6,"",Ввод!$B$5+3633))</f>
        <v/>
      </c>
      <c r="B3635">
        <f>IF(A3635="","",IFERROR(INDEX(Ввод!$B$12:$B$71,MATCH(A3635,Ввод!$D$12:$D$71,1)),""))</f>
        <v/>
      </c>
      <c r="C3635">
        <f>IF(A3635="","",DATE(YEAR(A3635),12,31)-DATE(YEAR(A3635),1,1)+1)</f>
        <v/>
      </c>
      <c r="D3635">
        <f>IF(A3635="","",Ввод!$B$4-SUMIF(Оплаты!$A$6:$A$505,"&lt;"&amp;A3635,Оплаты!$B$6:$B$505))</f>
        <v/>
      </c>
      <c r="E3635">
        <f>IF(A3635="","",IF(SUMPRODUCT((Ввод!$F$12:$F$31&lt;&gt;"")*(Ввод!$F$12:$F$31&lt;=A3635)*(Ввод!$G$12:$G$31&gt;=A3635))&gt;0,1,0))</f>
        <v/>
      </c>
      <c r="F3635">
        <f>IF(OR(A3635="",B3635=""),"",IF(E3635=1,0,D3635*B3635/100/C3635))</f>
        <v/>
      </c>
      <c r="G3635">
        <f>IF(A3635="","",IF(OR(B3635&lt;&gt;B3634,C3635&lt;&gt;C3634,D3635&lt;&gt;D3634,E3635&lt;&gt;E3634),G3634+1,G3634))</f>
        <v/>
      </c>
    </row>
    <row r="3636">
      <c r="A3636" s="14">
        <f>IF(OR(NOT(ISNUMBER(Ввод!$B$5)),NOT(ISNUMBER(Ввод!$B$6))),"",IF(Ввод!$B$5+3634&gt;Ввод!$B$6,"",Ввод!$B$5+3634))</f>
        <v/>
      </c>
      <c r="B3636">
        <f>IF(A3636="","",IFERROR(INDEX(Ввод!$B$12:$B$71,MATCH(A3636,Ввод!$D$12:$D$71,1)),""))</f>
        <v/>
      </c>
      <c r="C3636">
        <f>IF(A3636="","",DATE(YEAR(A3636),12,31)-DATE(YEAR(A3636),1,1)+1)</f>
        <v/>
      </c>
      <c r="D3636">
        <f>IF(A3636="","",Ввод!$B$4-SUMIF(Оплаты!$A$6:$A$505,"&lt;"&amp;A3636,Оплаты!$B$6:$B$505))</f>
        <v/>
      </c>
      <c r="E3636">
        <f>IF(A3636="","",IF(SUMPRODUCT((Ввод!$F$12:$F$31&lt;&gt;"")*(Ввод!$F$12:$F$31&lt;=A3636)*(Ввод!$G$12:$G$31&gt;=A3636))&gt;0,1,0))</f>
        <v/>
      </c>
      <c r="F3636">
        <f>IF(OR(A3636="",B3636=""),"",IF(E3636=1,0,D3636*B3636/100/C3636))</f>
        <v/>
      </c>
      <c r="G3636">
        <f>IF(A3636="","",IF(OR(B3636&lt;&gt;B3635,C3636&lt;&gt;C3635,D3636&lt;&gt;D3635,E3636&lt;&gt;E3635),G3635+1,G3635))</f>
        <v/>
      </c>
    </row>
    <row r="3637">
      <c r="A3637" s="14">
        <f>IF(OR(NOT(ISNUMBER(Ввод!$B$5)),NOT(ISNUMBER(Ввод!$B$6))),"",IF(Ввод!$B$5+3635&gt;Ввод!$B$6,"",Ввод!$B$5+3635))</f>
        <v/>
      </c>
      <c r="B3637">
        <f>IF(A3637="","",IFERROR(INDEX(Ввод!$B$12:$B$71,MATCH(A3637,Ввод!$D$12:$D$71,1)),""))</f>
        <v/>
      </c>
      <c r="C3637">
        <f>IF(A3637="","",DATE(YEAR(A3637),12,31)-DATE(YEAR(A3637),1,1)+1)</f>
        <v/>
      </c>
      <c r="D3637">
        <f>IF(A3637="","",Ввод!$B$4-SUMIF(Оплаты!$A$6:$A$505,"&lt;"&amp;A3637,Оплаты!$B$6:$B$505))</f>
        <v/>
      </c>
      <c r="E3637">
        <f>IF(A3637="","",IF(SUMPRODUCT((Ввод!$F$12:$F$31&lt;&gt;"")*(Ввод!$F$12:$F$31&lt;=A3637)*(Ввод!$G$12:$G$31&gt;=A3637))&gt;0,1,0))</f>
        <v/>
      </c>
      <c r="F3637">
        <f>IF(OR(A3637="",B3637=""),"",IF(E3637=1,0,D3637*B3637/100/C3637))</f>
        <v/>
      </c>
      <c r="G3637">
        <f>IF(A3637="","",IF(OR(B3637&lt;&gt;B3636,C3637&lt;&gt;C3636,D3637&lt;&gt;D3636,E3637&lt;&gt;E3636),G3636+1,G3636))</f>
        <v/>
      </c>
    </row>
    <row r="3638">
      <c r="A3638" s="14">
        <f>IF(OR(NOT(ISNUMBER(Ввод!$B$5)),NOT(ISNUMBER(Ввод!$B$6))),"",IF(Ввод!$B$5+3636&gt;Ввод!$B$6,"",Ввод!$B$5+3636))</f>
        <v/>
      </c>
      <c r="B3638">
        <f>IF(A3638="","",IFERROR(INDEX(Ввод!$B$12:$B$71,MATCH(A3638,Ввод!$D$12:$D$71,1)),""))</f>
        <v/>
      </c>
      <c r="C3638">
        <f>IF(A3638="","",DATE(YEAR(A3638),12,31)-DATE(YEAR(A3638),1,1)+1)</f>
        <v/>
      </c>
      <c r="D3638">
        <f>IF(A3638="","",Ввод!$B$4-SUMIF(Оплаты!$A$6:$A$505,"&lt;"&amp;A3638,Оплаты!$B$6:$B$505))</f>
        <v/>
      </c>
      <c r="E3638">
        <f>IF(A3638="","",IF(SUMPRODUCT((Ввод!$F$12:$F$31&lt;&gt;"")*(Ввод!$F$12:$F$31&lt;=A3638)*(Ввод!$G$12:$G$31&gt;=A3638))&gt;0,1,0))</f>
        <v/>
      </c>
      <c r="F3638">
        <f>IF(OR(A3638="",B3638=""),"",IF(E3638=1,0,D3638*B3638/100/C3638))</f>
        <v/>
      </c>
      <c r="G3638">
        <f>IF(A3638="","",IF(OR(B3638&lt;&gt;B3637,C3638&lt;&gt;C3637,D3638&lt;&gt;D3637,E3638&lt;&gt;E3637),G3637+1,G3637))</f>
        <v/>
      </c>
    </row>
    <row r="3639">
      <c r="A3639" s="14">
        <f>IF(OR(NOT(ISNUMBER(Ввод!$B$5)),NOT(ISNUMBER(Ввод!$B$6))),"",IF(Ввод!$B$5+3637&gt;Ввод!$B$6,"",Ввод!$B$5+3637))</f>
        <v/>
      </c>
      <c r="B3639">
        <f>IF(A3639="","",IFERROR(INDEX(Ввод!$B$12:$B$71,MATCH(A3639,Ввод!$D$12:$D$71,1)),""))</f>
        <v/>
      </c>
      <c r="C3639">
        <f>IF(A3639="","",DATE(YEAR(A3639),12,31)-DATE(YEAR(A3639),1,1)+1)</f>
        <v/>
      </c>
      <c r="D3639">
        <f>IF(A3639="","",Ввод!$B$4-SUMIF(Оплаты!$A$6:$A$505,"&lt;"&amp;A3639,Оплаты!$B$6:$B$505))</f>
        <v/>
      </c>
      <c r="E3639">
        <f>IF(A3639="","",IF(SUMPRODUCT((Ввод!$F$12:$F$31&lt;&gt;"")*(Ввод!$F$12:$F$31&lt;=A3639)*(Ввод!$G$12:$G$31&gt;=A3639))&gt;0,1,0))</f>
        <v/>
      </c>
      <c r="F3639">
        <f>IF(OR(A3639="",B3639=""),"",IF(E3639=1,0,D3639*B3639/100/C3639))</f>
        <v/>
      </c>
      <c r="G3639">
        <f>IF(A3639="","",IF(OR(B3639&lt;&gt;B3638,C3639&lt;&gt;C3638,D3639&lt;&gt;D3638,E3639&lt;&gt;E3638),G3638+1,G3638))</f>
        <v/>
      </c>
    </row>
    <row r="3640">
      <c r="A3640" s="14">
        <f>IF(OR(NOT(ISNUMBER(Ввод!$B$5)),NOT(ISNUMBER(Ввод!$B$6))),"",IF(Ввод!$B$5+3638&gt;Ввод!$B$6,"",Ввод!$B$5+3638))</f>
        <v/>
      </c>
      <c r="B3640">
        <f>IF(A3640="","",IFERROR(INDEX(Ввод!$B$12:$B$71,MATCH(A3640,Ввод!$D$12:$D$71,1)),""))</f>
        <v/>
      </c>
      <c r="C3640">
        <f>IF(A3640="","",DATE(YEAR(A3640),12,31)-DATE(YEAR(A3640),1,1)+1)</f>
        <v/>
      </c>
      <c r="D3640">
        <f>IF(A3640="","",Ввод!$B$4-SUMIF(Оплаты!$A$6:$A$505,"&lt;"&amp;A3640,Оплаты!$B$6:$B$505))</f>
        <v/>
      </c>
      <c r="E3640">
        <f>IF(A3640="","",IF(SUMPRODUCT((Ввод!$F$12:$F$31&lt;&gt;"")*(Ввод!$F$12:$F$31&lt;=A3640)*(Ввод!$G$12:$G$31&gt;=A3640))&gt;0,1,0))</f>
        <v/>
      </c>
      <c r="F3640">
        <f>IF(OR(A3640="",B3640=""),"",IF(E3640=1,0,D3640*B3640/100/C3640))</f>
        <v/>
      </c>
      <c r="G3640">
        <f>IF(A3640="","",IF(OR(B3640&lt;&gt;B3639,C3640&lt;&gt;C3639,D3640&lt;&gt;D3639,E3640&lt;&gt;E3639),G3639+1,G3639))</f>
        <v/>
      </c>
    </row>
    <row r="3641">
      <c r="A3641" s="14">
        <f>IF(OR(NOT(ISNUMBER(Ввод!$B$5)),NOT(ISNUMBER(Ввод!$B$6))),"",IF(Ввод!$B$5+3639&gt;Ввод!$B$6,"",Ввод!$B$5+3639))</f>
        <v/>
      </c>
      <c r="B3641">
        <f>IF(A3641="","",IFERROR(INDEX(Ввод!$B$12:$B$71,MATCH(A3641,Ввод!$D$12:$D$71,1)),""))</f>
        <v/>
      </c>
      <c r="C3641">
        <f>IF(A3641="","",DATE(YEAR(A3641),12,31)-DATE(YEAR(A3641),1,1)+1)</f>
        <v/>
      </c>
      <c r="D3641">
        <f>IF(A3641="","",Ввод!$B$4-SUMIF(Оплаты!$A$6:$A$505,"&lt;"&amp;A3641,Оплаты!$B$6:$B$505))</f>
        <v/>
      </c>
      <c r="E3641">
        <f>IF(A3641="","",IF(SUMPRODUCT((Ввод!$F$12:$F$31&lt;&gt;"")*(Ввод!$F$12:$F$31&lt;=A3641)*(Ввод!$G$12:$G$31&gt;=A3641))&gt;0,1,0))</f>
        <v/>
      </c>
      <c r="F3641">
        <f>IF(OR(A3641="",B3641=""),"",IF(E3641=1,0,D3641*B3641/100/C3641))</f>
        <v/>
      </c>
      <c r="G3641">
        <f>IF(A3641="","",IF(OR(B3641&lt;&gt;B3640,C3641&lt;&gt;C3640,D3641&lt;&gt;D3640,E3641&lt;&gt;E3640),G3640+1,G3640))</f>
        <v/>
      </c>
    </row>
    <row r="3642">
      <c r="A3642" s="14">
        <f>IF(OR(NOT(ISNUMBER(Ввод!$B$5)),NOT(ISNUMBER(Ввод!$B$6))),"",IF(Ввод!$B$5+3640&gt;Ввод!$B$6,"",Ввод!$B$5+3640))</f>
        <v/>
      </c>
      <c r="B3642">
        <f>IF(A3642="","",IFERROR(INDEX(Ввод!$B$12:$B$71,MATCH(A3642,Ввод!$D$12:$D$71,1)),""))</f>
        <v/>
      </c>
      <c r="C3642">
        <f>IF(A3642="","",DATE(YEAR(A3642),12,31)-DATE(YEAR(A3642),1,1)+1)</f>
        <v/>
      </c>
      <c r="D3642">
        <f>IF(A3642="","",Ввод!$B$4-SUMIF(Оплаты!$A$6:$A$505,"&lt;"&amp;A3642,Оплаты!$B$6:$B$505))</f>
        <v/>
      </c>
      <c r="E3642">
        <f>IF(A3642="","",IF(SUMPRODUCT((Ввод!$F$12:$F$31&lt;&gt;"")*(Ввод!$F$12:$F$31&lt;=A3642)*(Ввод!$G$12:$G$31&gt;=A3642))&gt;0,1,0))</f>
        <v/>
      </c>
      <c r="F3642">
        <f>IF(OR(A3642="",B3642=""),"",IF(E3642=1,0,D3642*B3642/100/C3642))</f>
        <v/>
      </c>
      <c r="G3642">
        <f>IF(A3642="","",IF(OR(B3642&lt;&gt;B3641,C3642&lt;&gt;C3641,D3642&lt;&gt;D3641,E3642&lt;&gt;E3641),G3641+1,G3641))</f>
        <v/>
      </c>
    </row>
    <row r="3643">
      <c r="A3643" s="14">
        <f>IF(OR(NOT(ISNUMBER(Ввод!$B$5)),NOT(ISNUMBER(Ввод!$B$6))),"",IF(Ввод!$B$5+3641&gt;Ввод!$B$6,"",Ввод!$B$5+3641))</f>
        <v/>
      </c>
      <c r="B3643">
        <f>IF(A3643="","",IFERROR(INDEX(Ввод!$B$12:$B$71,MATCH(A3643,Ввод!$D$12:$D$71,1)),""))</f>
        <v/>
      </c>
      <c r="C3643">
        <f>IF(A3643="","",DATE(YEAR(A3643),12,31)-DATE(YEAR(A3643),1,1)+1)</f>
        <v/>
      </c>
      <c r="D3643">
        <f>IF(A3643="","",Ввод!$B$4-SUMIF(Оплаты!$A$6:$A$505,"&lt;"&amp;A3643,Оплаты!$B$6:$B$505))</f>
        <v/>
      </c>
      <c r="E3643">
        <f>IF(A3643="","",IF(SUMPRODUCT((Ввод!$F$12:$F$31&lt;&gt;"")*(Ввод!$F$12:$F$31&lt;=A3643)*(Ввод!$G$12:$G$31&gt;=A3643))&gt;0,1,0))</f>
        <v/>
      </c>
      <c r="F3643">
        <f>IF(OR(A3643="",B3643=""),"",IF(E3643=1,0,D3643*B3643/100/C3643))</f>
        <v/>
      </c>
      <c r="G3643">
        <f>IF(A3643="","",IF(OR(B3643&lt;&gt;B3642,C3643&lt;&gt;C3642,D3643&lt;&gt;D3642,E3643&lt;&gt;E3642),G3642+1,G3642))</f>
        <v/>
      </c>
    </row>
    <row r="3644">
      <c r="A3644" s="14">
        <f>IF(OR(NOT(ISNUMBER(Ввод!$B$5)),NOT(ISNUMBER(Ввод!$B$6))),"",IF(Ввод!$B$5+3642&gt;Ввод!$B$6,"",Ввод!$B$5+3642))</f>
        <v/>
      </c>
      <c r="B3644">
        <f>IF(A3644="","",IFERROR(INDEX(Ввод!$B$12:$B$71,MATCH(A3644,Ввод!$D$12:$D$71,1)),""))</f>
        <v/>
      </c>
      <c r="C3644">
        <f>IF(A3644="","",DATE(YEAR(A3644),12,31)-DATE(YEAR(A3644),1,1)+1)</f>
        <v/>
      </c>
      <c r="D3644">
        <f>IF(A3644="","",Ввод!$B$4-SUMIF(Оплаты!$A$6:$A$505,"&lt;"&amp;A3644,Оплаты!$B$6:$B$505))</f>
        <v/>
      </c>
      <c r="E3644">
        <f>IF(A3644="","",IF(SUMPRODUCT((Ввод!$F$12:$F$31&lt;&gt;"")*(Ввод!$F$12:$F$31&lt;=A3644)*(Ввод!$G$12:$G$31&gt;=A3644))&gt;0,1,0))</f>
        <v/>
      </c>
      <c r="F3644">
        <f>IF(OR(A3644="",B3644=""),"",IF(E3644=1,0,D3644*B3644/100/C3644))</f>
        <v/>
      </c>
      <c r="G3644">
        <f>IF(A3644="","",IF(OR(B3644&lt;&gt;B3643,C3644&lt;&gt;C3643,D3644&lt;&gt;D3643,E3644&lt;&gt;E3643),G3643+1,G3643))</f>
        <v/>
      </c>
    </row>
    <row r="3645">
      <c r="A3645" s="14">
        <f>IF(OR(NOT(ISNUMBER(Ввод!$B$5)),NOT(ISNUMBER(Ввод!$B$6))),"",IF(Ввод!$B$5+3643&gt;Ввод!$B$6,"",Ввод!$B$5+3643))</f>
        <v/>
      </c>
      <c r="B3645">
        <f>IF(A3645="","",IFERROR(INDEX(Ввод!$B$12:$B$71,MATCH(A3645,Ввод!$D$12:$D$71,1)),""))</f>
        <v/>
      </c>
      <c r="C3645">
        <f>IF(A3645="","",DATE(YEAR(A3645),12,31)-DATE(YEAR(A3645),1,1)+1)</f>
        <v/>
      </c>
      <c r="D3645">
        <f>IF(A3645="","",Ввод!$B$4-SUMIF(Оплаты!$A$6:$A$505,"&lt;"&amp;A3645,Оплаты!$B$6:$B$505))</f>
        <v/>
      </c>
      <c r="E3645">
        <f>IF(A3645="","",IF(SUMPRODUCT((Ввод!$F$12:$F$31&lt;&gt;"")*(Ввод!$F$12:$F$31&lt;=A3645)*(Ввод!$G$12:$G$31&gt;=A3645))&gt;0,1,0))</f>
        <v/>
      </c>
      <c r="F3645">
        <f>IF(OR(A3645="",B3645=""),"",IF(E3645=1,0,D3645*B3645/100/C3645))</f>
        <v/>
      </c>
      <c r="G3645">
        <f>IF(A3645="","",IF(OR(B3645&lt;&gt;B3644,C3645&lt;&gt;C3644,D3645&lt;&gt;D3644,E3645&lt;&gt;E3644),G3644+1,G3644))</f>
        <v/>
      </c>
    </row>
    <row r="3646">
      <c r="A3646" s="14">
        <f>IF(OR(NOT(ISNUMBER(Ввод!$B$5)),NOT(ISNUMBER(Ввод!$B$6))),"",IF(Ввод!$B$5+3644&gt;Ввод!$B$6,"",Ввод!$B$5+3644))</f>
        <v/>
      </c>
      <c r="B3646">
        <f>IF(A3646="","",IFERROR(INDEX(Ввод!$B$12:$B$71,MATCH(A3646,Ввод!$D$12:$D$71,1)),""))</f>
        <v/>
      </c>
      <c r="C3646">
        <f>IF(A3646="","",DATE(YEAR(A3646),12,31)-DATE(YEAR(A3646),1,1)+1)</f>
        <v/>
      </c>
      <c r="D3646">
        <f>IF(A3646="","",Ввод!$B$4-SUMIF(Оплаты!$A$6:$A$505,"&lt;"&amp;A3646,Оплаты!$B$6:$B$505))</f>
        <v/>
      </c>
      <c r="E3646">
        <f>IF(A3646="","",IF(SUMPRODUCT((Ввод!$F$12:$F$31&lt;&gt;"")*(Ввод!$F$12:$F$31&lt;=A3646)*(Ввод!$G$12:$G$31&gt;=A3646))&gt;0,1,0))</f>
        <v/>
      </c>
      <c r="F3646">
        <f>IF(OR(A3646="",B3646=""),"",IF(E3646=1,0,D3646*B3646/100/C3646))</f>
        <v/>
      </c>
      <c r="G3646">
        <f>IF(A3646="","",IF(OR(B3646&lt;&gt;B3645,C3646&lt;&gt;C3645,D3646&lt;&gt;D3645,E3646&lt;&gt;E3645),G3645+1,G3645))</f>
        <v/>
      </c>
    </row>
    <row r="3647">
      <c r="A3647" s="14">
        <f>IF(OR(NOT(ISNUMBER(Ввод!$B$5)),NOT(ISNUMBER(Ввод!$B$6))),"",IF(Ввод!$B$5+3645&gt;Ввод!$B$6,"",Ввод!$B$5+3645))</f>
        <v/>
      </c>
      <c r="B3647">
        <f>IF(A3647="","",IFERROR(INDEX(Ввод!$B$12:$B$71,MATCH(A3647,Ввод!$D$12:$D$71,1)),""))</f>
        <v/>
      </c>
      <c r="C3647">
        <f>IF(A3647="","",DATE(YEAR(A3647),12,31)-DATE(YEAR(A3647),1,1)+1)</f>
        <v/>
      </c>
      <c r="D3647">
        <f>IF(A3647="","",Ввод!$B$4-SUMIF(Оплаты!$A$6:$A$505,"&lt;"&amp;A3647,Оплаты!$B$6:$B$505))</f>
        <v/>
      </c>
      <c r="E3647">
        <f>IF(A3647="","",IF(SUMPRODUCT((Ввод!$F$12:$F$31&lt;&gt;"")*(Ввод!$F$12:$F$31&lt;=A3647)*(Ввод!$G$12:$G$31&gt;=A3647))&gt;0,1,0))</f>
        <v/>
      </c>
      <c r="F3647">
        <f>IF(OR(A3647="",B3647=""),"",IF(E3647=1,0,D3647*B3647/100/C3647))</f>
        <v/>
      </c>
      <c r="G3647">
        <f>IF(A3647="","",IF(OR(B3647&lt;&gt;B3646,C3647&lt;&gt;C3646,D3647&lt;&gt;D3646,E3647&lt;&gt;E3646),G3646+1,G3646))</f>
        <v/>
      </c>
    </row>
    <row r="3648">
      <c r="A3648" s="14">
        <f>IF(OR(NOT(ISNUMBER(Ввод!$B$5)),NOT(ISNUMBER(Ввод!$B$6))),"",IF(Ввод!$B$5+3646&gt;Ввод!$B$6,"",Ввод!$B$5+3646))</f>
        <v/>
      </c>
      <c r="B3648">
        <f>IF(A3648="","",IFERROR(INDEX(Ввод!$B$12:$B$71,MATCH(A3648,Ввод!$D$12:$D$71,1)),""))</f>
        <v/>
      </c>
      <c r="C3648">
        <f>IF(A3648="","",DATE(YEAR(A3648),12,31)-DATE(YEAR(A3648),1,1)+1)</f>
        <v/>
      </c>
      <c r="D3648">
        <f>IF(A3648="","",Ввод!$B$4-SUMIF(Оплаты!$A$6:$A$505,"&lt;"&amp;A3648,Оплаты!$B$6:$B$505))</f>
        <v/>
      </c>
      <c r="E3648">
        <f>IF(A3648="","",IF(SUMPRODUCT((Ввод!$F$12:$F$31&lt;&gt;"")*(Ввод!$F$12:$F$31&lt;=A3648)*(Ввод!$G$12:$G$31&gt;=A3648))&gt;0,1,0))</f>
        <v/>
      </c>
      <c r="F3648">
        <f>IF(OR(A3648="",B3648=""),"",IF(E3648=1,0,D3648*B3648/100/C3648))</f>
        <v/>
      </c>
      <c r="G3648">
        <f>IF(A3648="","",IF(OR(B3648&lt;&gt;B3647,C3648&lt;&gt;C3647,D3648&lt;&gt;D3647,E3648&lt;&gt;E3647),G3647+1,G3647))</f>
        <v/>
      </c>
    </row>
    <row r="3649">
      <c r="A3649" s="14">
        <f>IF(OR(NOT(ISNUMBER(Ввод!$B$5)),NOT(ISNUMBER(Ввод!$B$6))),"",IF(Ввод!$B$5+3647&gt;Ввод!$B$6,"",Ввод!$B$5+3647))</f>
        <v/>
      </c>
      <c r="B3649">
        <f>IF(A3649="","",IFERROR(INDEX(Ввод!$B$12:$B$71,MATCH(A3649,Ввод!$D$12:$D$71,1)),""))</f>
        <v/>
      </c>
      <c r="C3649">
        <f>IF(A3649="","",DATE(YEAR(A3649),12,31)-DATE(YEAR(A3649),1,1)+1)</f>
        <v/>
      </c>
      <c r="D3649">
        <f>IF(A3649="","",Ввод!$B$4-SUMIF(Оплаты!$A$6:$A$505,"&lt;"&amp;A3649,Оплаты!$B$6:$B$505))</f>
        <v/>
      </c>
      <c r="E3649">
        <f>IF(A3649="","",IF(SUMPRODUCT((Ввод!$F$12:$F$31&lt;&gt;"")*(Ввод!$F$12:$F$31&lt;=A3649)*(Ввод!$G$12:$G$31&gt;=A3649))&gt;0,1,0))</f>
        <v/>
      </c>
      <c r="F3649">
        <f>IF(OR(A3649="",B3649=""),"",IF(E3649=1,0,D3649*B3649/100/C3649))</f>
        <v/>
      </c>
      <c r="G3649">
        <f>IF(A3649="","",IF(OR(B3649&lt;&gt;B3648,C3649&lt;&gt;C3648,D3649&lt;&gt;D3648,E3649&lt;&gt;E3648),G3648+1,G3648))</f>
        <v/>
      </c>
    </row>
    <row r="3650">
      <c r="A3650" s="14">
        <f>IF(OR(NOT(ISNUMBER(Ввод!$B$5)),NOT(ISNUMBER(Ввод!$B$6))),"",IF(Ввод!$B$5+3648&gt;Ввод!$B$6,"",Ввод!$B$5+3648))</f>
        <v/>
      </c>
      <c r="B3650">
        <f>IF(A3650="","",IFERROR(INDEX(Ввод!$B$12:$B$71,MATCH(A3650,Ввод!$D$12:$D$71,1)),""))</f>
        <v/>
      </c>
      <c r="C3650">
        <f>IF(A3650="","",DATE(YEAR(A3650),12,31)-DATE(YEAR(A3650),1,1)+1)</f>
        <v/>
      </c>
      <c r="D3650">
        <f>IF(A3650="","",Ввод!$B$4-SUMIF(Оплаты!$A$6:$A$505,"&lt;"&amp;A3650,Оплаты!$B$6:$B$505))</f>
        <v/>
      </c>
      <c r="E3650">
        <f>IF(A3650="","",IF(SUMPRODUCT((Ввод!$F$12:$F$31&lt;&gt;"")*(Ввод!$F$12:$F$31&lt;=A3650)*(Ввод!$G$12:$G$31&gt;=A3650))&gt;0,1,0))</f>
        <v/>
      </c>
      <c r="F3650">
        <f>IF(OR(A3650="",B3650=""),"",IF(E3650=1,0,D3650*B3650/100/C3650))</f>
        <v/>
      </c>
      <c r="G3650">
        <f>IF(A3650="","",IF(OR(B3650&lt;&gt;B3649,C3650&lt;&gt;C3649,D3650&lt;&gt;D3649,E3650&lt;&gt;E3649),G3649+1,G3649))</f>
        <v/>
      </c>
    </row>
    <row r="3651">
      <c r="A3651" s="14">
        <f>IF(OR(NOT(ISNUMBER(Ввод!$B$5)),NOT(ISNUMBER(Ввод!$B$6))),"",IF(Ввод!$B$5+3649&gt;Ввод!$B$6,"",Ввод!$B$5+3649))</f>
        <v/>
      </c>
      <c r="B3651">
        <f>IF(A3651="","",IFERROR(INDEX(Ввод!$B$12:$B$71,MATCH(A3651,Ввод!$D$12:$D$71,1)),""))</f>
        <v/>
      </c>
      <c r="C3651">
        <f>IF(A3651="","",DATE(YEAR(A3651),12,31)-DATE(YEAR(A3651),1,1)+1)</f>
        <v/>
      </c>
      <c r="D3651">
        <f>IF(A3651="","",Ввод!$B$4-SUMIF(Оплаты!$A$6:$A$505,"&lt;"&amp;A3651,Оплаты!$B$6:$B$505))</f>
        <v/>
      </c>
      <c r="E3651">
        <f>IF(A3651="","",IF(SUMPRODUCT((Ввод!$F$12:$F$31&lt;&gt;"")*(Ввод!$F$12:$F$31&lt;=A3651)*(Ввод!$G$12:$G$31&gt;=A3651))&gt;0,1,0))</f>
        <v/>
      </c>
      <c r="F3651">
        <f>IF(OR(A3651="",B3651=""),"",IF(E3651=1,0,D3651*B3651/100/C3651))</f>
        <v/>
      </c>
      <c r="G3651">
        <f>IF(A3651="","",IF(OR(B3651&lt;&gt;B3650,C3651&lt;&gt;C3650,D3651&lt;&gt;D3650,E3651&lt;&gt;E3650),G3650+1,G3650))</f>
        <v/>
      </c>
    </row>
    <row r="3652">
      <c r="A3652" s="14">
        <f>IF(OR(NOT(ISNUMBER(Ввод!$B$5)),NOT(ISNUMBER(Ввод!$B$6))),"",IF(Ввод!$B$5+3650&gt;Ввод!$B$6,"",Ввод!$B$5+3650))</f>
        <v/>
      </c>
      <c r="B3652">
        <f>IF(A3652="","",IFERROR(INDEX(Ввод!$B$12:$B$71,MATCH(A3652,Ввод!$D$12:$D$71,1)),""))</f>
        <v/>
      </c>
      <c r="C3652">
        <f>IF(A3652="","",DATE(YEAR(A3652),12,31)-DATE(YEAR(A3652),1,1)+1)</f>
        <v/>
      </c>
      <c r="D3652">
        <f>IF(A3652="","",Ввод!$B$4-SUMIF(Оплаты!$A$6:$A$505,"&lt;"&amp;A3652,Оплаты!$B$6:$B$505))</f>
        <v/>
      </c>
      <c r="E3652">
        <f>IF(A3652="","",IF(SUMPRODUCT((Ввод!$F$12:$F$31&lt;&gt;"")*(Ввод!$F$12:$F$31&lt;=A3652)*(Ввод!$G$12:$G$31&gt;=A3652))&gt;0,1,0))</f>
        <v/>
      </c>
      <c r="F3652">
        <f>IF(OR(A3652="",B3652=""),"",IF(E3652=1,0,D3652*B3652/100/C3652))</f>
        <v/>
      </c>
      <c r="G3652">
        <f>IF(A3652="","",IF(OR(B3652&lt;&gt;B3651,C3652&lt;&gt;C3651,D3652&lt;&gt;D3651,E3652&lt;&gt;E3651),G3651+1,G3651))</f>
        <v/>
      </c>
    </row>
    <row r="3653">
      <c r="A3653" s="14">
        <f>IF(OR(NOT(ISNUMBER(Ввод!$B$5)),NOT(ISNUMBER(Ввод!$B$6))),"",IF(Ввод!$B$5+3651&gt;Ввод!$B$6,"",Ввод!$B$5+3651))</f>
        <v/>
      </c>
      <c r="B3653">
        <f>IF(A3653="","",IFERROR(INDEX(Ввод!$B$12:$B$71,MATCH(A3653,Ввод!$D$12:$D$71,1)),""))</f>
        <v/>
      </c>
      <c r="C3653">
        <f>IF(A3653="","",DATE(YEAR(A3653),12,31)-DATE(YEAR(A3653),1,1)+1)</f>
        <v/>
      </c>
      <c r="D3653">
        <f>IF(A3653="","",Ввод!$B$4-SUMIF(Оплаты!$A$6:$A$505,"&lt;"&amp;A3653,Оплаты!$B$6:$B$505))</f>
        <v/>
      </c>
      <c r="E3653">
        <f>IF(A3653="","",IF(SUMPRODUCT((Ввод!$F$12:$F$31&lt;&gt;"")*(Ввод!$F$12:$F$31&lt;=A3653)*(Ввод!$G$12:$G$31&gt;=A3653))&gt;0,1,0))</f>
        <v/>
      </c>
      <c r="F3653">
        <f>IF(OR(A3653="",B3653=""),"",IF(E3653=1,0,D3653*B3653/100/C3653))</f>
        <v/>
      </c>
      <c r="G3653">
        <f>IF(A3653="","",IF(OR(B3653&lt;&gt;B3652,C3653&lt;&gt;C3652,D3653&lt;&gt;D3652,E3653&lt;&gt;E3652),G3652+1,G3652))</f>
        <v/>
      </c>
    </row>
    <row r="3654">
      <c r="A3654" s="14">
        <f>IF(OR(NOT(ISNUMBER(Ввод!$B$5)),NOT(ISNUMBER(Ввод!$B$6))),"",IF(Ввод!$B$5+3652&gt;Ввод!$B$6,"",Ввод!$B$5+3652))</f>
        <v/>
      </c>
      <c r="B3654">
        <f>IF(A3654="","",IFERROR(INDEX(Ввод!$B$12:$B$71,MATCH(A3654,Ввод!$D$12:$D$71,1)),""))</f>
        <v/>
      </c>
      <c r="C3654">
        <f>IF(A3654="","",DATE(YEAR(A3654),12,31)-DATE(YEAR(A3654),1,1)+1)</f>
        <v/>
      </c>
      <c r="D3654">
        <f>IF(A3654="","",Ввод!$B$4-SUMIF(Оплаты!$A$6:$A$505,"&lt;"&amp;A3654,Оплаты!$B$6:$B$505))</f>
        <v/>
      </c>
      <c r="E3654">
        <f>IF(A3654="","",IF(SUMPRODUCT((Ввод!$F$12:$F$31&lt;&gt;"")*(Ввод!$F$12:$F$31&lt;=A3654)*(Ввод!$G$12:$G$31&gt;=A3654))&gt;0,1,0))</f>
        <v/>
      </c>
      <c r="F3654">
        <f>IF(OR(A3654="",B3654=""),"",IF(E3654=1,0,D3654*B3654/100/C3654))</f>
        <v/>
      </c>
      <c r="G3654">
        <f>IF(A3654="","",IF(OR(B3654&lt;&gt;B3653,C3654&lt;&gt;C3653,D3654&lt;&gt;D3653,E3654&lt;&gt;E3653),G3653+1,G3653))</f>
        <v/>
      </c>
    </row>
    <row r="3655">
      <c r="A3655" s="14">
        <f>IF(OR(NOT(ISNUMBER(Ввод!$B$5)),NOT(ISNUMBER(Ввод!$B$6))),"",IF(Ввод!$B$5+3653&gt;Ввод!$B$6,"",Ввод!$B$5+3653))</f>
        <v/>
      </c>
      <c r="B3655">
        <f>IF(A3655="","",IFERROR(INDEX(Ввод!$B$12:$B$71,MATCH(A3655,Ввод!$D$12:$D$71,1)),""))</f>
        <v/>
      </c>
      <c r="C3655">
        <f>IF(A3655="","",DATE(YEAR(A3655),12,31)-DATE(YEAR(A3655),1,1)+1)</f>
        <v/>
      </c>
      <c r="D3655">
        <f>IF(A3655="","",Ввод!$B$4-SUMIF(Оплаты!$A$6:$A$505,"&lt;"&amp;A3655,Оплаты!$B$6:$B$505))</f>
        <v/>
      </c>
      <c r="E3655">
        <f>IF(A3655="","",IF(SUMPRODUCT((Ввод!$F$12:$F$31&lt;&gt;"")*(Ввод!$F$12:$F$31&lt;=A3655)*(Ввод!$G$12:$G$31&gt;=A3655))&gt;0,1,0))</f>
        <v/>
      </c>
      <c r="F3655">
        <f>IF(OR(A3655="",B3655=""),"",IF(E3655=1,0,D3655*B3655/100/C3655))</f>
        <v/>
      </c>
      <c r="G3655">
        <f>IF(A3655="","",IF(OR(B3655&lt;&gt;B3654,C3655&lt;&gt;C3654,D3655&lt;&gt;D3654,E3655&lt;&gt;E3654),G3654+1,G3654))</f>
        <v/>
      </c>
    </row>
    <row r="3656">
      <c r="A3656" s="14">
        <f>IF(OR(NOT(ISNUMBER(Ввод!$B$5)),NOT(ISNUMBER(Ввод!$B$6))),"",IF(Ввод!$B$5+3654&gt;Ввод!$B$6,"",Ввод!$B$5+3654))</f>
        <v/>
      </c>
      <c r="B3656">
        <f>IF(A3656="","",IFERROR(INDEX(Ввод!$B$12:$B$71,MATCH(A3656,Ввод!$D$12:$D$71,1)),""))</f>
        <v/>
      </c>
      <c r="C3656">
        <f>IF(A3656="","",DATE(YEAR(A3656),12,31)-DATE(YEAR(A3656),1,1)+1)</f>
        <v/>
      </c>
      <c r="D3656">
        <f>IF(A3656="","",Ввод!$B$4-SUMIF(Оплаты!$A$6:$A$505,"&lt;"&amp;A3656,Оплаты!$B$6:$B$505))</f>
        <v/>
      </c>
      <c r="E3656">
        <f>IF(A3656="","",IF(SUMPRODUCT((Ввод!$F$12:$F$31&lt;&gt;"")*(Ввод!$F$12:$F$31&lt;=A3656)*(Ввод!$G$12:$G$31&gt;=A3656))&gt;0,1,0))</f>
        <v/>
      </c>
      <c r="F3656">
        <f>IF(OR(A3656="",B3656=""),"",IF(E3656=1,0,D3656*B3656/100/C3656))</f>
        <v/>
      </c>
      <c r="G3656">
        <f>IF(A3656="","",IF(OR(B3656&lt;&gt;B3655,C3656&lt;&gt;C3655,D3656&lt;&gt;D3655,E3656&lt;&gt;E3655),G3655+1,G3655))</f>
        <v/>
      </c>
    </row>
    <row r="3657">
      <c r="A3657" s="14">
        <f>IF(OR(NOT(ISNUMBER(Ввод!$B$5)),NOT(ISNUMBER(Ввод!$B$6))),"",IF(Ввод!$B$5+3655&gt;Ввод!$B$6,"",Ввод!$B$5+3655))</f>
        <v/>
      </c>
      <c r="B3657">
        <f>IF(A3657="","",IFERROR(INDEX(Ввод!$B$12:$B$71,MATCH(A3657,Ввод!$D$12:$D$71,1)),""))</f>
        <v/>
      </c>
      <c r="C3657">
        <f>IF(A3657="","",DATE(YEAR(A3657),12,31)-DATE(YEAR(A3657),1,1)+1)</f>
        <v/>
      </c>
      <c r="D3657">
        <f>IF(A3657="","",Ввод!$B$4-SUMIF(Оплаты!$A$6:$A$505,"&lt;"&amp;A3657,Оплаты!$B$6:$B$505))</f>
        <v/>
      </c>
      <c r="E3657">
        <f>IF(A3657="","",IF(SUMPRODUCT((Ввод!$F$12:$F$31&lt;&gt;"")*(Ввод!$F$12:$F$31&lt;=A3657)*(Ввод!$G$12:$G$31&gt;=A3657))&gt;0,1,0))</f>
        <v/>
      </c>
      <c r="F3657">
        <f>IF(OR(A3657="",B3657=""),"",IF(E3657=1,0,D3657*B3657/100/C3657))</f>
        <v/>
      </c>
      <c r="G3657">
        <f>IF(A3657="","",IF(OR(B3657&lt;&gt;B3656,C3657&lt;&gt;C3656,D3657&lt;&gt;D3656,E3657&lt;&gt;E3656),G3656+1,G3656))</f>
        <v/>
      </c>
    </row>
    <row r="3658">
      <c r="A3658" s="14">
        <f>IF(OR(NOT(ISNUMBER(Ввод!$B$5)),NOT(ISNUMBER(Ввод!$B$6))),"",IF(Ввод!$B$5+3656&gt;Ввод!$B$6,"",Ввод!$B$5+3656))</f>
        <v/>
      </c>
      <c r="B3658">
        <f>IF(A3658="","",IFERROR(INDEX(Ввод!$B$12:$B$71,MATCH(A3658,Ввод!$D$12:$D$71,1)),""))</f>
        <v/>
      </c>
      <c r="C3658">
        <f>IF(A3658="","",DATE(YEAR(A3658),12,31)-DATE(YEAR(A3658),1,1)+1)</f>
        <v/>
      </c>
      <c r="D3658">
        <f>IF(A3658="","",Ввод!$B$4-SUMIF(Оплаты!$A$6:$A$505,"&lt;"&amp;A3658,Оплаты!$B$6:$B$505))</f>
        <v/>
      </c>
      <c r="E3658">
        <f>IF(A3658="","",IF(SUMPRODUCT((Ввод!$F$12:$F$31&lt;&gt;"")*(Ввод!$F$12:$F$31&lt;=A3658)*(Ввод!$G$12:$G$31&gt;=A3658))&gt;0,1,0))</f>
        <v/>
      </c>
      <c r="F3658">
        <f>IF(OR(A3658="",B3658=""),"",IF(E3658=1,0,D3658*B3658/100/C3658))</f>
        <v/>
      </c>
      <c r="G3658">
        <f>IF(A3658="","",IF(OR(B3658&lt;&gt;B3657,C3658&lt;&gt;C3657,D3658&lt;&gt;D3657,E3658&lt;&gt;E3657),G3657+1,G3657))</f>
        <v/>
      </c>
    </row>
    <row r="3659">
      <c r="A3659" s="14">
        <f>IF(OR(NOT(ISNUMBER(Ввод!$B$5)),NOT(ISNUMBER(Ввод!$B$6))),"",IF(Ввод!$B$5+3657&gt;Ввод!$B$6,"",Ввод!$B$5+3657))</f>
        <v/>
      </c>
      <c r="B3659">
        <f>IF(A3659="","",IFERROR(INDEX(Ввод!$B$12:$B$71,MATCH(A3659,Ввод!$D$12:$D$71,1)),""))</f>
        <v/>
      </c>
      <c r="C3659">
        <f>IF(A3659="","",DATE(YEAR(A3659),12,31)-DATE(YEAR(A3659),1,1)+1)</f>
        <v/>
      </c>
      <c r="D3659">
        <f>IF(A3659="","",Ввод!$B$4-SUMIF(Оплаты!$A$6:$A$505,"&lt;"&amp;A3659,Оплаты!$B$6:$B$505))</f>
        <v/>
      </c>
      <c r="E3659">
        <f>IF(A3659="","",IF(SUMPRODUCT((Ввод!$F$12:$F$31&lt;&gt;"")*(Ввод!$F$12:$F$31&lt;=A3659)*(Ввод!$G$12:$G$31&gt;=A3659))&gt;0,1,0))</f>
        <v/>
      </c>
      <c r="F3659">
        <f>IF(OR(A3659="",B3659=""),"",IF(E3659=1,0,D3659*B3659/100/C3659))</f>
        <v/>
      </c>
      <c r="G3659">
        <f>IF(A3659="","",IF(OR(B3659&lt;&gt;B3658,C3659&lt;&gt;C3658,D3659&lt;&gt;D3658,E3659&lt;&gt;E3658),G3658+1,G3658))</f>
        <v/>
      </c>
    </row>
    <row r="3660">
      <c r="A3660" s="14">
        <f>IF(OR(NOT(ISNUMBER(Ввод!$B$5)),NOT(ISNUMBER(Ввод!$B$6))),"",IF(Ввод!$B$5+3658&gt;Ввод!$B$6,"",Ввод!$B$5+3658))</f>
        <v/>
      </c>
      <c r="B3660">
        <f>IF(A3660="","",IFERROR(INDEX(Ввод!$B$12:$B$71,MATCH(A3660,Ввод!$D$12:$D$71,1)),""))</f>
        <v/>
      </c>
      <c r="C3660">
        <f>IF(A3660="","",DATE(YEAR(A3660),12,31)-DATE(YEAR(A3660),1,1)+1)</f>
        <v/>
      </c>
      <c r="D3660">
        <f>IF(A3660="","",Ввод!$B$4-SUMIF(Оплаты!$A$6:$A$505,"&lt;"&amp;A3660,Оплаты!$B$6:$B$505))</f>
        <v/>
      </c>
      <c r="E3660">
        <f>IF(A3660="","",IF(SUMPRODUCT((Ввод!$F$12:$F$31&lt;&gt;"")*(Ввод!$F$12:$F$31&lt;=A3660)*(Ввод!$G$12:$G$31&gt;=A3660))&gt;0,1,0))</f>
        <v/>
      </c>
      <c r="F3660">
        <f>IF(OR(A3660="",B3660=""),"",IF(E3660=1,0,D3660*B3660/100/C3660))</f>
        <v/>
      </c>
      <c r="G3660">
        <f>IF(A3660="","",IF(OR(B3660&lt;&gt;B3659,C3660&lt;&gt;C3659,D3660&lt;&gt;D3659,E3660&lt;&gt;E3659),G3659+1,G3659))</f>
        <v/>
      </c>
    </row>
    <row r="3661">
      <c r="A3661" s="14">
        <f>IF(OR(NOT(ISNUMBER(Ввод!$B$5)),NOT(ISNUMBER(Ввод!$B$6))),"",IF(Ввод!$B$5+3659&gt;Ввод!$B$6,"",Ввод!$B$5+3659))</f>
        <v/>
      </c>
      <c r="B3661">
        <f>IF(A3661="","",IFERROR(INDEX(Ввод!$B$12:$B$71,MATCH(A3661,Ввод!$D$12:$D$71,1)),""))</f>
        <v/>
      </c>
      <c r="C3661">
        <f>IF(A3661="","",DATE(YEAR(A3661),12,31)-DATE(YEAR(A3661),1,1)+1)</f>
        <v/>
      </c>
      <c r="D3661">
        <f>IF(A3661="","",Ввод!$B$4-SUMIF(Оплаты!$A$6:$A$505,"&lt;"&amp;A3661,Оплаты!$B$6:$B$505))</f>
        <v/>
      </c>
      <c r="E3661">
        <f>IF(A3661="","",IF(SUMPRODUCT((Ввод!$F$12:$F$31&lt;&gt;"")*(Ввод!$F$12:$F$31&lt;=A3661)*(Ввод!$G$12:$G$31&gt;=A3661))&gt;0,1,0))</f>
        <v/>
      </c>
      <c r="F3661">
        <f>IF(OR(A3661="",B3661=""),"",IF(E3661=1,0,D3661*B3661/100/C3661))</f>
        <v/>
      </c>
      <c r="G3661">
        <f>IF(A3661="","",IF(OR(B3661&lt;&gt;B3660,C3661&lt;&gt;C3660,D3661&lt;&gt;D3660,E3661&lt;&gt;E3660),G3660+1,G3660))</f>
        <v/>
      </c>
    </row>
    <row r="3662">
      <c r="A3662" s="14">
        <f>IF(OR(NOT(ISNUMBER(Ввод!$B$5)),NOT(ISNUMBER(Ввод!$B$6))),"",IF(Ввод!$B$5+3660&gt;Ввод!$B$6,"",Ввод!$B$5+3660))</f>
        <v/>
      </c>
      <c r="B3662">
        <f>IF(A3662="","",IFERROR(INDEX(Ввод!$B$12:$B$71,MATCH(A3662,Ввод!$D$12:$D$71,1)),""))</f>
        <v/>
      </c>
      <c r="C3662">
        <f>IF(A3662="","",DATE(YEAR(A3662),12,31)-DATE(YEAR(A3662),1,1)+1)</f>
        <v/>
      </c>
      <c r="D3662">
        <f>IF(A3662="","",Ввод!$B$4-SUMIF(Оплаты!$A$6:$A$505,"&lt;"&amp;A3662,Оплаты!$B$6:$B$505))</f>
        <v/>
      </c>
      <c r="E3662">
        <f>IF(A3662="","",IF(SUMPRODUCT((Ввод!$F$12:$F$31&lt;&gt;"")*(Ввод!$F$12:$F$31&lt;=A3662)*(Ввод!$G$12:$G$31&gt;=A3662))&gt;0,1,0))</f>
        <v/>
      </c>
      <c r="F3662">
        <f>IF(OR(A3662="",B3662=""),"",IF(E3662=1,0,D3662*B3662/100/C3662))</f>
        <v/>
      </c>
      <c r="G3662">
        <f>IF(A3662="","",IF(OR(B3662&lt;&gt;B3661,C3662&lt;&gt;C3661,D3662&lt;&gt;D3661,E3662&lt;&gt;E3661),G3661+1,G3661))</f>
        <v/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2026-09-27T00:00:00Z</dcterms:modified>
  <cp:lastModifiedBy>build_s1_candidate.py</cp:lastModifiedBy>
</cp:coreProperties>
</file>