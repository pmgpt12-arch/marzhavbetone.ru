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ъёмов" sheetId="1" state="visible" r:id="rId1"/>
    <sheet xmlns:r="http://schemas.openxmlformats.org/officeDocument/2006/relationships" name="Реестр замечаний" sheetId="2" state="visible" r:id="rId2"/>
    <sheet xmlns:r="http://schemas.openxmlformats.org/officeDocument/2006/relationships" name="Реестр передачи" sheetId="3" state="visible" r:id="rId3"/>
    <sheet xmlns:r="http://schemas.openxmlformats.org/officeDocument/2006/relationships" name="Взаиморасчёты" sheetId="4" state="visible" r:id="rId4"/>
    <sheet xmlns:r="http://schemas.openxmlformats.org/officeDocument/2006/relationships" name="Реестр приложени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40" customWidth="1" min="4" max="4"/>
    <col width="8" customWidth="1" min="5" max="5"/>
    <col width="10" customWidth="1" min="6" max="6"/>
    <col width="34" customWidth="1" min="7" max="7"/>
    <col width="14" customWidth="1" min="8" max="8"/>
    <col width="14" customWidth="1" min="9" max="9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Журнал объёмов: основание для КС-2</t>
        </is>
      </c>
    </row>
    <row r="2">
      <c r="A2" s="2" t="inlineStr">
        <is>
          <t>Одна строка — объём по позиции за день или смену с основанием. Свод справа сравнивает накопленный объём с КС-2. Строк 500.</t>
        </is>
      </c>
    </row>
    <row r="3">
      <c r="K3" s="3" t="inlineStr">
        <is>
          <t>Свод по позициям (сверка с КС-2)</t>
        </is>
      </c>
    </row>
    <row r="4">
      <c r="A4" s="4" t="inlineStr">
        <is>
          <t>№</t>
        </is>
      </c>
      <c r="B4" s="4" t="inlineStr">
        <is>
          <t>Дата</t>
        </is>
      </c>
      <c r="C4" s="4" t="inlineStr">
        <is>
          <t>№ позиции по смете</t>
        </is>
      </c>
      <c r="D4" s="4" t="inlineStr">
        <is>
          <t>Наименование работ</t>
        </is>
      </c>
      <c r="E4" s="4" t="inlineStr">
        <is>
          <t>Ед. изм.</t>
        </is>
      </c>
      <c r="F4" s="4" t="inlineStr">
        <is>
          <t>Объём</t>
        </is>
      </c>
      <c r="G4" s="4" t="inlineStr">
        <is>
          <t>Основание (журнал работ, исп. схема, акт)</t>
        </is>
      </c>
      <c r="H4" s="4" t="inlineStr">
        <is>
          <t>Отчётный период КС-2 (месяц.год)</t>
        </is>
      </c>
      <c r="I4" s="4" t="inlineStr">
        <is>
          <t>Подтверждено заказчиком (Да/Нет)</t>
        </is>
      </c>
      <c r="K4" s="4" t="inlineStr">
        <is>
          <t>№ позиции</t>
        </is>
      </c>
      <c r="L4" s="4" t="inlineStr">
        <is>
          <t>Объём по журналу</t>
        </is>
      </c>
      <c r="M4" s="4" t="inlineStr">
        <is>
          <t>Объём в КС-2</t>
        </is>
      </c>
      <c r="N4" s="4" t="inlineStr">
        <is>
          <t>Расхождение</t>
        </is>
      </c>
    </row>
    <row r="5">
      <c r="A5" s="5" t="n">
        <v>1</v>
      </c>
      <c r="B5" s="6" t="n"/>
      <c r="C5" s="7" t="n"/>
      <c r="D5" s="7" t="n"/>
      <c r="E5" s="7" t="n"/>
      <c r="F5" s="7" t="n"/>
      <c r="G5" s="7" t="n"/>
      <c r="H5" s="7" t="n"/>
      <c r="I5" s="7" t="n"/>
      <c r="K5" s="7" t="n"/>
      <c r="L5" s="5">
        <f>IF(K5="","",SUMIF($C$5:$C$504,K5,$F$5:$F$504))</f>
        <v/>
      </c>
      <c r="M5" s="7" t="n"/>
      <c r="N5" s="5">
        <f>IF(OR(K5="",M5=""),"",ROUND(L5-M5,4))</f>
        <v/>
      </c>
    </row>
    <row r="6">
      <c r="A6" s="5" t="n">
        <v>2</v>
      </c>
      <c r="B6" s="6" t="n"/>
      <c r="C6" s="7" t="n"/>
      <c r="D6" s="7" t="n"/>
      <c r="E6" s="7" t="n"/>
      <c r="F6" s="7" t="n"/>
      <c r="G6" s="7" t="n"/>
      <c r="H6" s="7" t="n"/>
      <c r="I6" s="7" t="n"/>
      <c r="K6" s="7" t="n"/>
      <c r="L6" s="5">
        <f>IF(K6="","",SUMIF($C$5:$C$504,K6,$F$5:$F$504))</f>
        <v/>
      </c>
      <c r="M6" s="7" t="n"/>
      <c r="N6" s="5">
        <f>IF(OR(K6="",M6=""),"",ROUND(L6-M6,4))</f>
        <v/>
      </c>
    </row>
    <row r="7">
      <c r="A7" s="5" t="n">
        <v>3</v>
      </c>
      <c r="B7" s="6" t="n"/>
      <c r="C7" s="7" t="n"/>
      <c r="D7" s="7" t="n"/>
      <c r="E7" s="7" t="n"/>
      <c r="F7" s="7" t="n"/>
      <c r="G7" s="7" t="n"/>
      <c r="H7" s="7" t="n"/>
      <c r="I7" s="7" t="n"/>
      <c r="K7" s="7" t="n"/>
      <c r="L7" s="5">
        <f>IF(K7="","",SUMIF($C$5:$C$504,K7,$F$5:$F$504))</f>
        <v/>
      </c>
      <c r="M7" s="7" t="n"/>
      <c r="N7" s="5">
        <f>IF(OR(K7="",M7=""),"",ROUND(L7-M7,4))</f>
        <v/>
      </c>
    </row>
    <row r="8">
      <c r="A8" s="5" t="n">
        <v>4</v>
      </c>
      <c r="B8" s="6" t="n"/>
      <c r="C8" s="7" t="n"/>
      <c r="D8" s="7" t="n"/>
      <c r="E8" s="7" t="n"/>
      <c r="F8" s="7" t="n"/>
      <c r="G8" s="7" t="n"/>
      <c r="H8" s="7" t="n"/>
      <c r="I8" s="7" t="n"/>
      <c r="K8" s="7" t="n"/>
      <c r="L8" s="5">
        <f>IF(K8="","",SUMIF($C$5:$C$504,K8,$F$5:$F$504))</f>
        <v/>
      </c>
      <c r="M8" s="7" t="n"/>
      <c r="N8" s="5">
        <f>IF(OR(K8="",M8=""),"",ROUND(L8-M8,4))</f>
        <v/>
      </c>
    </row>
    <row r="9">
      <c r="A9" s="5" t="n">
        <v>5</v>
      </c>
      <c r="B9" s="6" t="n"/>
      <c r="C9" s="7" t="n"/>
      <c r="D9" s="7" t="n"/>
      <c r="E9" s="7" t="n"/>
      <c r="F9" s="7" t="n"/>
      <c r="G9" s="7" t="n"/>
      <c r="H9" s="7" t="n"/>
      <c r="I9" s="7" t="n"/>
      <c r="K9" s="7" t="n"/>
      <c r="L9" s="5">
        <f>IF(K9="","",SUMIF($C$5:$C$504,K9,$F$5:$F$504))</f>
        <v/>
      </c>
      <c r="M9" s="7" t="n"/>
      <c r="N9" s="5">
        <f>IF(OR(K9="",M9=""),"",ROUND(L9-M9,4))</f>
        <v/>
      </c>
    </row>
    <row r="10">
      <c r="A10" s="5" t="n">
        <v>6</v>
      </c>
      <c r="B10" s="6" t="n"/>
      <c r="C10" s="7" t="n"/>
      <c r="D10" s="7" t="n"/>
      <c r="E10" s="7" t="n"/>
      <c r="F10" s="7" t="n"/>
      <c r="G10" s="7" t="n"/>
      <c r="H10" s="7" t="n"/>
      <c r="I10" s="7" t="n"/>
      <c r="K10" s="7" t="n"/>
      <c r="L10" s="5">
        <f>IF(K10="","",SUMIF($C$5:$C$504,K10,$F$5:$F$504))</f>
        <v/>
      </c>
      <c r="M10" s="7" t="n"/>
      <c r="N10" s="5">
        <f>IF(OR(K10="",M10=""),"",ROUND(L10-M10,4))</f>
        <v/>
      </c>
    </row>
    <row r="11">
      <c r="A11" s="5" t="n">
        <v>7</v>
      </c>
      <c r="B11" s="6" t="n"/>
      <c r="C11" s="7" t="n"/>
      <c r="D11" s="7" t="n"/>
      <c r="E11" s="7" t="n"/>
      <c r="F11" s="7" t="n"/>
      <c r="G11" s="7" t="n"/>
      <c r="H11" s="7" t="n"/>
      <c r="I11" s="7" t="n"/>
      <c r="K11" s="7" t="n"/>
      <c r="L11" s="5">
        <f>IF(K11="","",SUMIF($C$5:$C$504,K11,$F$5:$F$504))</f>
        <v/>
      </c>
      <c r="M11" s="7" t="n"/>
      <c r="N11" s="5">
        <f>IF(OR(K11="",M11=""),"",ROUND(L11-M11,4))</f>
        <v/>
      </c>
    </row>
    <row r="12">
      <c r="A12" s="5" t="n">
        <v>8</v>
      </c>
      <c r="B12" s="6" t="n"/>
      <c r="C12" s="7" t="n"/>
      <c r="D12" s="7" t="n"/>
      <c r="E12" s="7" t="n"/>
      <c r="F12" s="7" t="n"/>
      <c r="G12" s="7" t="n"/>
      <c r="H12" s="7" t="n"/>
      <c r="I12" s="7" t="n"/>
      <c r="K12" s="7" t="n"/>
      <c r="L12" s="5">
        <f>IF(K12="","",SUMIF($C$5:$C$504,K12,$F$5:$F$504))</f>
        <v/>
      </c>
      <c r="M12" s="7" t="n"/>
      <c r="N12" s="5">
        <f>IF(OR(K12="",M12=""),"",ROUND(L12-M12,4))</f>
        <v/>
      </c>
    </row>
    <row r="13">
      <c r="A13" s="5" t="n">
        <v>9</v>
      </c>
      <c r="B13" s="6" t="n"/>
      <c r="C13" s="7" t="n"/>
      <c r="D13" s="7" t="n"/>
      <c r="E13" s="7" t="n"/>
      <c r="F13" s="7" t="n"/>
      <c r="G13" s="7" t="n"/>
      <c r="H13" s="7" t="n"/>
      <c r="I13" s="7" t="n"/>
      <c r="K13" s="7" t="n"/>
      <c r="L13" s="5">
        <f>IF(K13="","",SUMIF($C$5:$C$504,K13,$F$5:$F$504))</f>
        <v/>
      </c>
      <c r="M13" s="7" t="n"/>
      <c r="N13" s="5">
        <f>IF(OR(K13="",M13=""),"",ROUND(L13-M13,4))</f>
        <v/>
      </c>
    </row>
    <row r="14">
      <c r="A14" s="5" t="n">
        <v>10</v>
      </c>
      <c r="B14" s="6" t="n"/>
      <c r="C14" s="7" t="n"/>
      <c r="D14" s="7" t="n"/>
      <c r="E14" s="7" t="n"/>
      <c r="F14" s="7" t="n"/>
      <c r="G14" s="7" t="n"/>
      <c r="H14" s="7" t="n"/>
      <c r="I14" s="7" t="n"/>
      <c r="K14" s="7" t="n"/>
      <c r="L14" s="5">
        <f>IF(K14="","",SUMIF($C$5:$C$504,K14,$F$5:$F$504))</f>
        <v/>
      </c>
      <c r="M14" s="7" t="n"/>
      <c r="N14" s="5">
        <f>IF(OR(K14="",M14=""),"",ROUND(L14-M14,4))</f>
        <v/>
      </c>
    </row>
    <row r="15">
      <c r="A15" s="5" t="n">
        <v>11</v>
      </c>
      <c r="B15" s="6" t="n"/>
      <c r="C15" s="7" t="n"/>
      <c r="D15" s="7" t="n"/>
      <c r="E15" s="7" t="n"/>
      <c r="F15" s="7" t="n"/>
      <c r="G15" s="7" t="n"/>
      <c r="H15" s="7" t="n"/>
      <c r="I15" s="7" t="n"/>
      <c r="K15" s="7" t="n"/>
      <c r="L15" s="5">
        <f>IF(K15="","",SUMIF($C$5:$C$504,K15,$F$5:$F$504))</f>
        <v/>
      </c>
      <c r="M15" s="7" t="n"/>
      <c r="N15" s="5">
        <f>IF(OR(K15="",M15=""),"",ROUND(L15-M15,4))</f>
        <v/>
      </c>
    </row>
    <row r="16">
      <c r="A16" s="5" t="n">
        <v>12</v>
      </c>
      <c r="B16" s="6" t="n"/>
      <c r="C16" s="7" t="n"/>
      <c r="D16" s="7" t="n"/>
      <c r="E16" s="7" t="n"/>
      <c r="F16" s="7" t="n"/>
      <c r="G16" s="7" t="n"/>
      <c r="H16" s="7" t="n"/>
      <c r="I16" s="7" t="n"/>
      <c r="K16" s="7" t="n"/>
      <c r="L16" s="5">
        <f>IF(K16="","",SUMIF($C$5:$C$504,K16,$F$5:$F$504))</f>
        <v/>
      </c>
      <c r="M16" s="7" t="n"/>
      <c r="N16" s="5">
        <f>IF(OR(K16="",M16=""),"",ROUND(L16-M16,4))</f>
        <v/>
      </c>
    </row>
    <row r="17">
      <c r="A17" s="5" t="n">
        <v>13</v>
      </c>
      <c r="B17" s="6" t="n"/>
      <c r="C17" s="7" t="n"/>
      <c r="D17" s="7" t="n"/>
      <c r="E17" s="7" t="n"/>
      <c r="F17" s="7" t="n"/>
      <c r="G17" s="7" t="n"/>
      <c r="H17" s="7" t="n"/>
      <c r="I17" s="7" t="n"/>
      <c r="K17" s="7" t="n"/>
      <c r="L17" s="5">
        <f>IF(K17="","",SUMIF($C$5:$C$504,K17,$F$5:$F$504))</f>
        <v/>
      </c>
      <c r="M17" s="7" t="n"/>
      <c r="N17" s="5">
        <f>IF(OR(K17="",M17=""),"",ROUND(L17-M17,4))</f>
        <v/>
      </c>
    </row>
    <row r="18">
      <c r="A18" s="5" t="n">
        <v>14</v>
      </c>
      <c r="B18" s="6" t="n"/>
      <c r="C18" s="7" t="n"/>
      <c r="D18" s="7" t="n"/>
      <c r="E18" s="7" t="n"/>
      <c r="F18" s="7" t="n"/>
      <c r="G18" s="7" t="n"/>
      <c r="H18" s="7" t="n"/>
      <c r="I18" s="7" t="n"/>
      <c r="K18" s="7" t="n"/>
      <c r="L18" s="5">
        <f>IF(K18="","",SUMIF($C$5:$C$504,K18,$F$5:$F$504))</f>
        <v/>
      </c>
      <c r="M18" s="7" t="n"/>
      <c r="N18" s="5">
        <f>IF(OR(K18="",M18=""),"",ROUND(L18-M18,4))</f>
        <v/>
      </c>
    </row>
    <row r="19">
      <c r="A19" s="5" t="n">
        <v>15</v>
      </c>
      <c r="B19" s="6" t="n"/>
      <c r="C19" s="7" t="n"/>
      <c r="D19" s="7" t="n"/>
      <c r="E19" s="7" t="n"/>
      <c r="F19" s="7" t="n"/>
      <c r="G19" s="7" t="n"/>
      <c r="H19" s="7" t="n"/>
      <c r="I19" s="7" t="n"/>
      <c r="K19" s="7" t="n"/>
      <c r="L19" s="5">
        <f>IF(K19="","",SUMIF($C$5:$C$504,K19,$F$5:$F$504))</f>
        <v/>
      </c>
      <c r="M19" s="7" t="n"/>
      <c r="N19" s="5">
        <f>IF(OR(K19="",M19=""),"",ROUND(L19-M19,4))</f>
        <v/>
      </c>
    </row>
    <row r="20">
      <c r="A20" s="5" t="n">
        <v>16</v>
      </c>
      <c r="B20" s="6" t="n"/>
      <c r="C20" s="7" t="n"/>
      <c r="D20" s="7" t="n"/>
      <c r="E20" s="7" t="n"/>
      <c r="F20" s="7" t="n"/>
      <c r="G20" s="7" t="n"/>
      <c r="H20" s="7" t="n"/>
      <c r="I20" s="7" t="n"/>
      <c r="K20" s="7" t="n"/>
      <c r="L20" s="5">
        <f>IF(K20="","",SUMIF($C$5:$C$504,K20,$F$5:$F$504))</f>
        <v/>
      </c>
      <c r="M20" s="7" t="n"/>
      <c r="N20" s="5">
        <f>IF(OR(K20="",M20=""),"",ROUND(L20-M20,4))</f>
        <v/>
      </c>
    </row>
    <row r="21">
      <c r="A21" s="5" t="n">
        <v>17</v>
      </c>
      <c r="B21" s="6" t="n"/>
      <c r="C21" s="7" t="n"/>
      <c r="D21" s="7" t="n"/>
      <c r="E21" s="7" t="n"/>
      <c r="F21" s="7" t="n"/>
      <c r="G21" s="7" t="n"/>
      <c r="H21" s="7" t="n"/>
      <c r="I21" s="7" t="n"/>
      <c r="K21" s="7" t="n"/>
      <c r="L21" s="5">
        <f>IF(K21="","",SUMIF($C$5:$C$504,K21,$F$5:$F$504))</f>
        <v/>
      </c>
      <c r="M21" s="7" t="n"/>
      <c r="N21" s="5">
        <f>IF(OR(K21="",M21=""),"",ROUND(L21-M21,4))</f>
        <v/>
      </c>
    </row>
    <row r="22">
      <c r="A22" s="5" t="n">
        <v>18</v>
      </c>
      <c r="B22" s="6" t="n"/>
      <c r="C22" s="7" t="n"/>
      <c r="D22" s="7" t="n"/>
      <c r="E22" s="7" t="n"/>
      <c r="F22" s="7" t="n"/>
      <c r="G22" s="7" t="n"/>
      <c r="H22" s="7" t="n"/>
      <c r="I22" s="7" t="n"/>
      <c r="K22" s="7" t="n"/>
      <c r="L22" s="5">
        <f>IF(K22="","",SUMIF($C$5:$C$504,K22,$F$5:$F$504))</f>
        <v/>
      </c>
      <c r="M22" s="7" t="n"/>
      <c r="N22" s="5">
        <f>IF(OR(K22="",M22=""),"",ROUND(L22-M22,4))</f>
        <v/>
      </c>
    </row>
    <row r="23">
      <c r="A23" s="5" t="n">
        <v>19</v>
      </c>
      <c r="B23" s="6" t="n"/>
      <c r="C23" s="7" t="n"/>
      <c r="D23" s="7" t="n"/>
      <c r="E23" s="7" t="n"/>
      <c r="F23" s="7" t="n"/>
      <c r="G23" s="7" t="n"/>
      <c r="H23" s="7" t="n"/>
      <c r="I23" s="7" t="n"/>
      <c r="K23" s="7" t="n"/>
      <c r="L23" s="5">
        <f>IF(K23="","",SUMIF($C$5:$C$504,K23,$F$5:$F$504))</f>
        <v/>
      </c>
      <c r="M23" s="7" t="n"/>
      <c r="N23" s="5">
        <f>IF(OR(K23="",M23=""),"",ROUND(L23-M23,4))</f>
        <v/>
      </c>
    </row>
    <row r="24">
      <c r="A24" s="5" t="n">
        <v>20</v>
      </c>
      <c r="B24" s="6" t="n"/>
      <c r="C24" s="7" t="n"/>
      <c r="D24" s="7" t="n"/>
      <c r="E24" s="7" t="n"/>
      <c r="F24" s="7" t="n"/>
      <c r="G24" s="7" t="n"/>
      <c r="H24" s="7" t="n"/>
      <c r="I24" s="7" t="n"/>
      <c r="K24" s="7" t="n"/>
      <c r="L24" s="5">
        <f>IF(K24="","",SUMIF($C$5:$C$504,K24,$F$5:$F$504))</f>
        <v/>
      </c>
      <c r="M24" s="7" t="n"/>
      <c r="N24" s="5">
        <f>IF(OR(K24="",M24=""),"",ROUND(L24-M24,4))</f>
        <v/>
      </c>
    </row>
    <row r="25">
      <c r="A25" s="5" t="n">
        <v>21</v>
      </c>
      <c r="B25" s="6" t="n"/>
      <c r="C25" s="7" t="n"/>
      <c r="D25" s="7" t="n"/>
      <c r="E25" s="7" t="n"/>
      <c r="F25" s="7" t="n"/>
      <c r="G25" s="7" t="n"/>
      <c r="H25" s="7" t="n"/>
      <c r="I25" s="7" t="n"/>
      <c r="K25" s="7" t="n"/>
      <c r="L25" s="5">
        <f>IF(K25="","",SUMIF($C$5:$C$504,K25,$F$5:$F$504))</f>
        <v/>
      </c>
      <c r="M25" s="7" t="n"/>
      <c r="N25" s="5">
        <f>IF(OR(K25="",M25=""),"",ROUND(L25-M25,4))</f>
        <v/>
      </c>
    </row>
    <row r="26">
      <c r="A26" s="5" t="n">
        <v>22</v>
      </c>
      <c r="B26" s="6" t="n"/>
      <c r="C26" s="7" t="n"/>
      <c r="D26" s="7" t="n"/>
      <c r="E26" s="7" t="n"/>
      <c r="F26" s="7" t="n"/>
      <c r="G26" s="7" t="n"/>
      <c r="H26" s="7" t="n"/>
      <c r="I26" s="7" t="n"/>
      <c r="K26" s="7" t="n"/>
      <c r="L26" s="5">
        <f>IF(K26="","",SUMIF($C$5:$C$504,K26,$F$5:$F$504))</f>
        <v/>
      </c>
      <c r="M26" s="7" t="n"/>
      <c r="N26" s="5">
        <f>IF(OR(K26="",M26=""),"",ROUND(L26-M26,4))</f>
        <v/>
      </c>
    </row>
    <row r="27">
      <c r="A27" s="5" t="n">
        <v>23</v>
      </c>
      <c r="B27" s="6" t="n"/>
      <c r="C27" s="7" t="n"/>
      <c r="D27" s="7" t="n"/>
      <c r="E27" s="7" t="n"/>
      <c r="F27" s="7" t="n"/>
      <c r="G27" s="7" t="n"/>
      <c r="H27" s="7" t="n"/>
      <c r="I27" s="7" t="n"/>
      <c r="K27" s="7" t="n"/>
      <c r="L27" s="5">
        <f>IF(K27="","",SUMIF($C$5:$C$504,K27,$F$5:$F$504))</f>
        <v/>
      </c>
      <c r="M27" s="7" t="n"/>
      <c r="N27" s="5">
        <f>IF(OR(K27="",M27=""),"",ROUND(L27-M27,4))</f>
        <v/>
      </c>
    </row>
    <row r="28">
      <c r="A28" s="5" t="n">
        <v>24</v>
      </c>
      <c r="B28" s="6" t="n"/>
      <c r="C28" s="7" t="n"/>
      <c r="D28" s="7" t="n"/>
      <c r="E28" s="7" t="n"/>
      <c r="F28" s="7" t="n"/>
      <c r="G28" s="7" t="n"/>
      <c r="H28" s="7" t="n"/>
      <c r="I28" s="7" t="n"/>
      <c r="K28" s="7" t="n"/>
      <c r="L28" s="5">
        <f>IF(K28="","",SUMIF($C$5:$C$504,K28,$F$5:$F$504))</f>
        <v/>
      </c>
      <c r="M28" s="7" t="n"/>
      <c r="N28" s="5">
        <f>IF(OR(K28="",M28=""),"",ROUND(L28-M28,4))</f>
        <v/>
      </c>
    </row>
    <row r="29">
      <c r="A29" s="5" t="n">
        <v>25</v>
      </c>
      <c r="B29" s="6" t="n"/>
      <c r="C29" s="7" t="n"/>
      <c r="D29" s="7" t="n"/>
      <c r="E29" s="7" t="n"/>
      <c r="F29" s="7" t="n"/>
      <c r="G29" s="7" t="n"/>
      <c r="H29" s="7" t="n"/>
      <c r="I29" s="7" t="n"/>
      <c r="K29" s="7" t="n"/>
      <c r="L29" s="5">
        <f>IF(K29="","",SUMIF($C$5:$C$504,K29,$F$5:$F$504))</f>
        <v/>
      </c>
      <c r="M29" s="7" t="n"/>
      <c r="N29" s="5">
        <f>IF(OR(K29="",M29=""),"",ROUND(L29-M29,4))</f>
        <v/>
      </c>
    </row>
    <row r="30">
      <c r="A30" s="5" t="n">
        <v>26</v>
      </c>
      <c r="B30" s="6" t="n"/>
      <c r="C30" s="7" t="n"/>
      <c r="D30" s="7" t="n"/>
      <c r="E30" s="7" t="n"/>
      <c r="F30" s="7" t="n"/>
      <c r="G30" s="7" t="n"/>
      <c r="H30" s="7" t="n"/>
      <c r="I30" s="7" t="n"/>
      <c r="K30" s="7" t="n"/>
      <c r="L30" s="5">
        <f>IF(K30="","",SUMIF($C$5:$C$504,K30,$F$5:$F$504))</f>
        <v/>
      </c>
      <c r="M30" s="7" t="n"/>
      <c r="N30" s="5">
        <f>IF(OR(K30="",M30=""),"",ROUND(L30-M30,4))</f>
        <v/>
      </c>
    </row>
    <row r="31">
      <c r="A31" s="5" t="n">
        <v>27</v>
      </c>
      <c r="B31" s="6" t="n"/>
      <c r="C31" s="7" t="n"/>
      <c r="D31" s="7" t="n"/>
      <c r="E31" s="7" t="n"/>
      <c r="F31" s="7" t="n"/>
      <c r="G31" s="7" t="n"/>
      <c r="H31" s="7" t="n"/>
      <c r="I31" s="7" t="n"/>
      <c r="K31" s="7" t="n"/>
      <c r="L31" s="5">
        <f>IF(K31="","",SUMIF($C$5:$C$504,K31,$F$5:$F$504))</f>
        <v/>
      </c>
      <c r="M31" s="7" t="n"/>
      <c r="N31" s="5">
        <f>IF(OR(K31="",M31=""),"",ROUND(L31-M31,4))</f>
        <v/>
      </c>
    </row>
    <row r="32">
      <c r="A32" s="5" t="n">
        <v>28</v>
      </c>
      <c r="B32" s="6" t="n"/>
      <c r="C32" s="7" t="n"/>
      <c r="D32" s="7" t="n"/>
      <c r="E32" s="7" t="n"/>
      <c r="F32" s="7" t="n"/>
      <c r="G32" s="7" t="n"/>
      <c r="H32" s="7" t="n"/>
      <c r="I32" s="7" t="n"/>
      <c r="K32" s="7" t="n"/>
      <c r="L32" s="5">
        <f>IF(K32="","",SUMIF($C$5:$C$504,K32,$F$5:$F$504))</f>
        <v/>
      </c>
      <c r="M32" s="7" t="n"/>
      <c r="N32" s="5">
        <f>IF(OR(K32="",M32=""),"",ROUND(L32-M32,4))</f>
        <v/>
      </c>
    </row>
    <row r="33">
      <c r="A33" s="5" t="n">
        <v>29</v>
      </c>
      <c r="B33" s="6" t="n"/>
      <c r="C33" s="7" t="n"/>
      <c r="D33" s="7" t="n"/>
      <c r="E33" s="7" t="n"/>
      <c r="F33" s="7" t="n"/>
      <c r="G33" s="7" t="n"/>
      <c r="H33" s="7" t="n"/>
      <c r="I33" s="7" t="n"/>
      <c r="K33" s="7" t="n"/>
      <c r="L33" s="5">
        <f>IF(K33="","",SUMIF($C$5:$C$504,K33,$F$5:$F$504))</f>
        <v/>
      </c>
      <c r="M33" s="7" t="n"/>
      <c r="N33" s="5">
        <f>IF(OR(K33="",M33=""),"",ROUND(L33-M33,4))</f>
        <v/>
      </c>
    </row>
    <row r="34">
      <c r="A34" s="5" t="n">
        <v>30</v>
      </c>
      <c r="B34" s="6" t="n"/>
      <c r="C34" s="7" t="n"/>
      <c r="D34" s="7" t="n"/>
      <c r="E34" s="7" t="n"/>
      <c r="F34" s="7" t="n"/>
      <c r="G34" s="7" t="n"/>
      <c r="H34" s="7" t="n"/>
      <c r="I34" s="7" t="n"/>
      <c r="K34" s="7" t="n"/>
      <c r="L34" s="5">
        <f>IF(K34="","",SUMIF($C$5:$C$504,K34,$F$5:$F$504))</f>
        <v/>
      </c>
      <c r="M34" s="7" t="n"/>
      <c r="N34" s="5">
        <f>IF(OR(K34="",M34=""),"",ROUND(L34-M34,4))</f>
        <v/>
      </c>
    </row>
    <row r="35">
      <c r="A35" s="5" t="n">
        <v>31</v>
      </c>
      <c r="B35" s="6" t="n"/>
      <c r="C35" s="7" t="n"/>
      <c r="D35" s="7" t="n"/>
      <c r="E35" s="7" t="n"/>
      <c r="F35" s="7" t="n"/>
      <c r="G35" s="7" t="n"/>
      <c r="H35" s="7" t="n"/>
      <c r="I35" s="7" t="n"/>
      <c r="K35" s="7" t="n"/>
      <c r="L35" s="5">
        <f>IF(K35="","",SUMIF($C$5:$C$504,K35,$F$5:$F$504))</f>
        <v/>
      </c>
      <c r="M35" s="7" t="n"/>
      <c r="N35" s="5">
        <f>IF(OR(K35="",M35=""),"",ROUND(L35-M35,4))</f>
        <v/>
      </c>
    </row>
    <row r="36">
      <c r="A36" s="5" t="n">
        <v>32</v>
      </c>
      <c r="B36" s="6" t="n"/>
      <c r="C36" s="7" t="n"/>
      <c r="D36" s="7" t="n"/>
      <c r="E36" s="7" t="n"/>
      <c r="F36" s="7" t="n"/>
      <c r="G36" s="7" t="n"/>
      <c r="H36" s="7" t="n"/>
      <c r="I36" s="7" t="n"/>
      <c r="K36" s="7" t="n"/>
      <c r="L36" s="5">
        <f>IF(K36="","",SUMIF($C$5:$C$504,K36,$F$5:$F$504))</f>
        <v/>
      </c>
      <c r="M36" s="7" t="n"/>
      <c r="N36" s="5">
        <f>IF(OR(K36="",M36=""),"",ROUND(L36-M36,4))</f>
        <v/>
      </c>
    </row>
    <row r="37">
      <c r="A37" s="5" t="n">
        <v>33</v>
      </c>
      <c r="B37" s="6" t="n"/>
      <c r="C37" s="7" t="n"/>
      <c r="D37" s="7" t="n"/>
      <c r="E37" s="7" t="n"/>
      <c r="F37" s="7" t="n"/>
      <c r="G37" s="7" t="n"/>
      <c r="H37" s="7" t="n"/>
      <c r="I37" s="7" t="n"/>
      <c r="K37" s="7" t="n"/>
      <c r="L37" s="5">
        <f>IF(K37="","",SUMIF($C$5:$C$504,K37,$F$5:$F$504))</f>
        <v/>
      </c>
      <c r="M37" s="7" t="n"/>
      <c r="N37" s="5">
        <f>IF(OR(K37="",M37=""),"",ROUND(L37-M37,4))</f>
        <v/>
      </c>
    </row>
    <row r="38">
      <c r="A38" s="5" t="n">
        <v>34</v>
      </c>
      <c r="B38" s="6" t="n"/>
      <c r="C38" s="7" t="n"/>
      <c r="D38" s="7" t="n"/>
      <c r="E38" s="7" t="n"/>
      <c r="F38" s="7" t="n"/>
      <c r="G38" s="7" t="n"/>
      <c r="H38" s="7" t="n"/>
      <c r="I38" s="7" t="n"/>
      <c r="K38" s="7" t="n"/>
      <c r="L38" s="5">
        <f>IF(K38="","",SUMIF($C$5:$C$504,K38,$F$5:$F$504))</f>
        <v/>
      </c>
      <c r="M38" s="7" t="n"/>
      <c r="N38" s="5">
        <f>IF(OR(K38="",M38=""),"",ROUND(L38-M38,4))</f>
        <v/>
      </c>
    </row>
    <row r="39">
      <c r="A39" s="5" t="n">
        <v>35</v>
      </c>
      <c r="B39" s="6" t="n"/>
      <c r="C39" s="7" t="n"/>
      <c r="D39" s="7" t="n"/>
      <c r="E39" s="7" t="n"/>
      <c r="F39" s="7" t="n"/>
      <c r="G39" s="7" t="n"/>
      <c r="H39" s="7" t="n"/>
      <c r="I39" s="7" t="n"/>
      <c r="K39" s="7" t="n"/>
      <c r="L39" s="5">
        <f>IF(K39="","",SUMIF($C$5:$C$504,K39,$F$5:$F$504))</f>
        <v/>
      </c>
      <c r="M39" s="7" t="n"/>
      <c r="N39" s="5">
        <f>IF(OR(K39="",M39=""),"",ROUND(L39-M39,4))</f>
        <v/>
      </c>
    </row>
    <row r="40">
      <c r="A40" s="5" t="n">
        <v>36</v>
      </c>
      <c r="B40" s="6" t="n"/>
      <c r="C40" s="7" t="n"/>
      <c r="D40" s="7" t="n"/>
      <c r="E40" s="7" t="n"/>
      <c r="F40" s="7" t="n"/>
      <c r="G40" s="7" t="n"/>
      <c r="H40" s="7" t="n"/>
      <c r="I40" s="7" t="n"/>
      <c r="K40" s="7" t="n"/>
      <c r="L40" s="5">
        <f>IF(K40="","",SUMIF($C$5:$C$504,K40,$F$5:$F$504))</f>
        <v/>
      </c>
      <c r="M40" s="7" t="n"/>
      <c r="N40" s="5">
        <f>IF(OR(K40="",M40=""),"",ROUND(L40-M40,4))</f>
        <v/>
      </c>
    </row>
    <row r="41">
      <c r="A41" s="5" t="n">
        <v>37</v>
      </c>
      <c r="B41" s="6" t="n"/>
      <c r="C41" s="7" t="n"/>
      <c r="D41" s="7" t="n"/>
      <c r="E41" s="7" t="n"/>
      <c r="F41" s="7" t="n"/>
      <c r="G41" s="7" t="n"/>
      <c r="H41" s="7" t="n"/>
      <c r="I41" s="7" t="n"/>
      <c r="K41" s="7" t="n"/>
      <c r="L41" s="5">
        <f>IF(K41="","",SUMIF($C$5:$C$504,K41,$F$5:$F$504))</f>
        <v/>
      </c>
      <c r="M41" s="7" t="n"/>
      <c r="N41" s="5">
        <f>IF(OR(K41="",M41=""),"",ROUND(L41-M41,4))</f>
        <v/>
      </c>
    </row>
    <row r="42">
      <c r="A42" s="5" t="n">
        <v>38</v>
      </c>
      <c r="B42" s="6" t="n"/>
      <c r="C42" s="7" t="n"/>
      <c r="D42" s="7" t="n"/>
      <c r="E42" s="7" t="n"/>
      <c r="F42" s="7" t="n"/>
      <c r="G42" s="7" t="n"/>
      <c r="H42" s="7" t="n"/>
      <c r="I42" s="7" t="n"/>
      <c r="K42" s="7" t="n"/>
      <c r="L42" s="5">
        <f>IF(K42="","",SUMIF($C$5:$C$504,K42,$F$5:$F$504))</f>
        <v/>
      </c>
      <c r="M42" s="7" t="n"/>
      <c r="N42" s="5">
        <f>IF(OR(K42="",M42=""),"",ROUND(L42-M42,4))</f>
        <v/>
      </c>
    </row>
    <row r="43">
      <c r="A43" s="5" t="n">
        <v>39</v>
      </c>
      <c r="B43" s="6" t="n"/>
      <c r="C43" s="7" t="n"/>
      <c r="D43" s="7" t="n"/>
      <c r="E43" s="7" t="n"/>
      <c r="F43" s="7" t="n"/>
      <c r="G43" s="7" t="n"/>
      <c r="H43" s="7" t="n"/>
      <c r="I43" s="7" t="n"/>
      <c r="K43" s="7" t="n"/>
      <c r="L43" s="5">
        <f>IF(K43="","",SUMIF($C$5:$C$504,K43,$F$5:$F$504))</f>
        <v/>
      </c>
      <c r="M43" s="7" t="n"/>
      <c r="N43" s="5">
        <f>IF(OR(K43="",M43=""),"",ROUND(L43-M43,4))</f>
        <v/>
      </c>
    </row>
    <row r="44">
      <c r="A44" s="5" t="n">
        <v>40</v>
      </c>
      <c r="B44" s="6" t="n"/>
      <c r="C44" s="7" t="n"/>
      <c r="D44" s="7" t="n"/>
      <c r="E44" s="7" t="n"/>
      <c r="F44" s="7" t="n"/>
      <c r="G44" s="7" t="n"/>
      <c r="H44" s="7" t="n"/>
      <c r="I44" s="7" t="n"/>
      <c r="K44" s="7" t="n"/>
      <c r="L44" s="5">
        <f>IF(K44="","",SUMIF($C$5:$C$504,K44,$F$5:$F$504))</f>
        <v/>
      </c>
      <c r="M44" s="7" t="n"/>
      <c r="N44" s="5">
        <f>IF(OR(K44="",M44=""),"",ROUND(L44-M44,4))</f>
        <v/>
      </c>
    </row>
    <row r="45">
      <c r="A45" s="5" t="n">
        <v>41</v>
      </c>
      <c r="B45" s="6" t="n"/>
      <c r="C45" s="7" t="n"/>
      <c r="D45" s="7" t="n"/>
      <c r="E45" s="7" t="n"/>
      <c r="F45" s="7" t="n"/>
      <c r="G45" s="7" t="n"/>
      <c r="H45" s="7" t="n"/>
      <c r="I45" s="7" t="n"/>
      <c r="K45" s="7" t="n"/>
      <c r="L45" s="5">
        <f>IF(K45="","",SUMIF($C$5:$C$504,K45,$F$5:$F$504))</f>
        <v/>
      </c>
      <c r="M45" s="7" t="n"/>
      <c r="N45" s="5">
        <f>IF(OR(K45="",M45=""),"",ROUND(L45-M45,4))</f>
        <v/>
      </c>
    </row>
    <row r="46">
      <c r="A46" s="5" t="n">
        <v>42</v>
      </c>
      <c r="B46" s="6" t="n"/>
      <c r="C46" s="7" t="n"/>
      <c r="D46" s="7" t="n"/>
      <c r="E46" s="7" t="n"/>
      <c r="F46" s="7" t="n"/>
      <c r="G46" s="7" t="n"/>
      <c r="H46" s="7" t="n"/>
      <c r="I46" s="7" t="n"/>
      <c r="K46" s="7" t="n"/>
      <c r="L46" s="5">
        <f>IF(K46="","",SUMIF($C$5:$C$504,K46,$F$5:$F$504))</f>
        <v/>
      </c>
      <c r="M46" s="7" t="n"/>
      <c r="N46" s="5">
        <f>IF(OR(K46="",M46=""),"",ROUND(L46-M46,4))</f>
        <v/>
      </c>
    </row>
    <row r="47">
      <c r="A47" s="5" t="n">
        <v>43</v>
      </c>
      <c r="B47" s="6" t="n"/>
      <c r="C47" s="7" t="n"/>
      <c r="D47" s="7" t="n"/>
      <c r="E47" s="7" t="n"/>
      <c r="F47" s="7" t="n"/>
      <c r="G47" s="7" t="n"/>
      <c r="H47" s="7" t="n"/>
      <c r="I47" s="7" t="n"/>
      <c r="K47" s="7" t="n"/>
      <c r="L47" s="5">
        <f>IF(K47="","",SUMIF($C$5:$C$504,K47,$F$5:$F$504))</f>
        <v/>
      </c>
      <c r="M47" s="7" t="n"/>
      <c r="N47" s="5">
        <f>IF(OR(K47="",M47=""),"",ROUND(L47-M47,4))</f>
        <v/>
      </c>
    </row>
    <row r="48">
      <c r="A48" s="5" t="n">
        <v>44</v>
      </c>
      <c r="B48" s="6" t="n"/>
      <c r="C48" s="7" t="n"/>
      <c r="D48" s="7" t="n"/>
      <c r="E48" s="7" t="n"/>
      <c r="F48" s="7" t="n"/>
      <c r="G48" s="7" t="n"/>
      <c r="H48" s="7" t="n"/>
      <c r="I48" s="7" t="n"/>
      <c r="K48" s="7" t="n"/>
      <c r="L48" s="5">
        <f>IF(K48="","",SUMIF($C$5:$C$504,K48,$F$5:$F$504))</f>
        <v/>
      </c>
      <c r="M48" s="7" t="n"/>
      <c r="N48" s="5">
        <f>IF(OR(K48="",M48=""),"",ROUND(L48-M48,4))</f>
        <v/>
      </c>
    </row>
    <row r="49">
      <c r="A49" s="5" t="n">
        <v>45</v>
      </c>
      <c r="B49" s="6" t="n"/>
      <c r="C49" s="7" t="n"/>
      <c r="D49" s="7" t="n"/>
      <c r="E49" s="7" t="n"/>
      <c r="F49" s="7" t="n"/>
      <c r="G49" s="7" t="n"/>
      <c r="H49" s="7" t="n"/>
      <c r="I49" s="7" t="n"/>
      <c r="K49" s="7" t="n"/>
      <c r="L49" s="5">
        <f>IF(K49="","",SUMIF($C$5:$C$504,K49,$F$5:$F$504))</f>
        <v/>
      </c>
      <c r="M49" s="7" t="n"/>
      <c r="N49" s="5">
        <f>IF(OR(K49="",M49=""),"",ROUND(L49-M49,4))</f>
        <v/>
      </c>
    </row>
    <row r="50">
      <c r="A50" s="5" t="n">
        <v>46</v>
      </c>
      <c r="B50" s="6" t="n"/>
      <c r="C50" s="7" t="n"/>
      <c r="D50" s="7" t="n"/>
      <c r="E50" s="7" t="n"/>
      <c r="F50" s="7" t="n"/>
      <c r="G50" s="7" t="n"/>
      <c r="H50" s="7" t="n"/>
      <c r="I50" s="7" t="n"/>
      <c r="K50" s="7" t="n"/>
      <c r="L50" s="5">
        <f>IF(K50="","",SUMIF($C$5:$C$504,K50,$F$5:$F$504))</f>
        <v/>
      </c>
      <c r="M50" s="7" t="n"/>
      <c r="N50" s="5">
        <f>IF(OR(K50="",M50=""),"",ROUND(L50-M50,4))</f>
        <v/>
      </c>
    </row>
    <row r="51">
      <c r="A51" s="5" t="n">
        <v>47</v>
      </c>
      <c r="B51" s="6" t="n"/>
      <c r="C51" s="7" t="n"/>
      <c r="D51" s="7" t="n"/>
      <c r="E51" s="7" t="n"/>
      <c r="F51" s="7" t="n"/>
      <c r="G51" s="7" t="n"/>
      <c r="H51" s="7" t="n"/>
      <c r="I51" s="7" t="n"/>
      <c r="K51" s="7" t="n"/>
      <c r="L51" s="5">
        <f>IF(K51="","",SUMIF($C$5:$C$504,K51,$F$5:$F$504))</f>
        <v/>
      </c>
      <c r="M51" s="7" t="n"/>
      <c r="N51" s="5">
        <f>IF(OR(K51="",M51=""),"",ROUND(L51-M51,4))</f>
        <v/>
      </c>
    </row>
    <row r="52">
      <c r="A52" s="5" t="n">
        <v>48</v>
      </c>
      <c r="B52" s="6" t="n"/>
      <c r="C52" s="7" t="n"/>
      <c r="D52" s="7" t="n"/>
      <c r="E52" s="7" t="n"/>
      <c r="F52" s="7" t="n"/>
      <c r="G52" s="7" t="n"/>
      <c r="H52" s="7" t="n"/>
      <c r="I52" s="7" t="n"/>
      <c r="K52" s="7" t="n"/>
      <c r="L52" s="5">
        <f>IF(K52="","",SUMIF($C$5:$C$504,K52,$F$5:$F$504))</f>
        <v/>
      </c>
      <c r="M52" s="7" t="n"/>
      <c r="N52" s="5">
        <f>IF(OR(K52="",M52=""),"",ROUND(L52-M52,4))</f>
        <v/>
      </c>
    </row>
    <row r="53">
      <c r="A53" s="5" t="n">
        <v>49</v>
      </c>
      <c r="B53" s="6" t="n"/>
      <c r="C53" s="7" t="n"/>
      <c r="D53" s="7" t="n"/>
      <c r="E53" s="7" t="n"/>
      <c r="F53" s="7" t="n"/>
      <c r="G53" s="7" t="n"/>
      <c r="H53" s="7" t="n"/>
      <c r="I53" s="7" t="n"/>
      <c r="K53" s="7" t="n"/>
      <c r="L53" s="5">
        <f>IF(K53="","",SUMIF($C$5:$C$504,K53,$F$5:$F$504))</f>
        <v/>
      </c>
      <c r="M53" s="7" t="n"/>
      <c r="N53" s="5">
        <f>IF(OR(K53="",M53=""),"",ROUND(L53-M53,4))</f>
        <v/>
      </c>
    </row>
    <row r="54">
      <c r="A54" s="5" t="n">
        <v>50</v>
      </c>
      <c r="B54" s="6" t="n"/>
      <c r="C54" s="7" t="n"/>
      <c r="D54" s="7" t="n"/>
      <c r="E54" s="7" t="n"/>
      <c r="F54" s="7" t="n"/>
      <c r="G54" s="7" t="n"/>
      <c r="H54" s="7" t="n"/>
      <c r="I54" s="7" t="n"/>
      <c r="K54" s="7" t="n"/>
      <c r="L54" s="5">
        <f>IF(K54="","",SUMIF($C$5:$C$504,K54,$F$5:$F$504))</f>
        <v/>
      </c>
      <c r="M54" s="7" t="n"/>
      <c r="N54" s="5">
        <f>IF(OR(K54="",M54=""),"",ROUND(L54-M54,4))</f>
        <v/>
      </c>
    </row>
    <row r="55">
      <c r="A55" s="5" t="n">
        <v>51</v>
      </c>
      <c r="B55" s="6" t="n"/>
      <c r="C55" s="7" t="n"/>
      <c r="D55" s="7" t="n"/>
      <c r="E55" s="7" t="n"/>
      <c r="F55" s="7" t="n"/>
      <c r="G55" s="7" t="n"/>
      <c r="H55" s="7" t="n"/>
      <c r="I55" s="7" t="n"/>
      <c r="K55" s="7" t="n"/>
      <c r="L55" s="5">
        <f>IF(K55="","",SUMIF($C$5:$C$504,K55,$F$5:$F$504))</f>
        <v/>
      </c>
      <c r="M55" s="7" t="n"/>
      <c r="N55" s="5">
        <f>IF(OR(K55="",M55=""),"",ROUND(L55-M55,4))</f>
        <v/>
      </c>
    </row>
    <row r="56">
      <c r="A56" s="5" t="n">
        <v>52</v>
      </c>
      <c r="B56" s="6" t="n"/>
      <c r="C56" s="7" t="n"/>
      <c r="D56" s="7" t="n"/>
      <c r="E56" s="7" t="n"/>
      <c r="F56" s="7" t="n"/>
      <c r="G56" s="7" t="n"/>
      <c r="H56" s="7" t="n"/>
      <c r="I56" s="7" t="n"/>
      <c r="K56" s="7" t="n"/>
      <c r="L56" s="5">
        <f>IF(K56="","",SUMIF($C$5:$C$504,K56,$F$5:$F$504))</f>
        <v/>
      </c>
      <c r="M56" s="7" t="n"/>
      <c r="N56" s="5">
        <f>IF(OR(K56="",M56=""),"",ROUND(L56-M56,4))</f>
        <v/>
      </c>
    </row>
    <row r="57">
      <c r="A57" s="5" t="n">
        <v>53</v>
      </c>
      <c r="B57" s="6" t="n"/>
      <c r="C57" s="7" t="n"/>
      <c r="D57" s="7" t="n"/>
      <c r="E57" s="7" t="n"/>
      <c r="F57" s="7" t="n"/>
      <c r="G57" s="7" t="n"/>
      <c r="H57" s="7" t="n"/>
      <c r="I57" s="7" t="n"/>
      <c r="K57" s="7" t="n"/>
      <c r="L57" s="5">
        <f>IF(K57="","",SUMIF($C$5:$C$504,K57,$F$5:$F$504))</f>
        <v/>
      </c>
      <c r="M57" s="7" t="n"/>
      <c r="N57" s="5">
        <f>IF(OR(K57="",M57=""),"",ROUND(L57-M57,4))</f>
        <v/>
      </c>
    </row>
    <row r="58">
      <c r="A58" s="5" t="n">
        <v>54</v>
      </c>
      <c r="B58" s="6" t="n"/>
      <c r="C58" s="7" t="n"/>
      <c r="D58" s="7" t="n"/>
      <c r="E58" s="7" t="n"/>
      <c r="F58" s="7" t="n"/>
      <c r="G58" s="7" t="n"/>
      <c r="H58" s="7" t="n"/>
      <c r="I58" s="7" t="n"/>
      <c r="K58" s="7" t="n"/>
      <c r="L58" s="5">
        <f>IF(K58="","",SUMIF($C$5:$C$504,K58,$F$5:$F$504))</f>
        <v/>
      </c>
      <c r="M58" s="7" t="n"/>
      <c r="N58" s="5">
        <f>IF(OR(K58="",M58=""),"",ROUND(L58-M58,4))</f>
        <v/>
      </c>
    </row>
    <row r="59">
      <c r="A59" s="5" t="n">
        <v>55</v>
      </c>
      <c r="B59" s="6" t="n"/>
      <c r="C59" s="7" t="n"/>
      <c r="D59" s="7" t="n"/>
      <c r="E59" s="7" t="n"/>
      <c r="F59" s="7" t="n"/>
      <c r="G59" s="7" t="n"/>
      <c r="H59" s="7" t="n"/>
      <c r="I59" s="7" t="n"/>
      <c r="K59" s="7" t="n"/>
      <c r="L59" s="5">
        <f>IF(K59="","",SUMIF($C$5:$C$504,K59,$F$5:$F$504))</f>
        <v/>
      </c>
      <c r="M59" s="7" t="n"/>
      <c r="N59" s="5">
        <f>IF(OR(K59="",M59=""),"",ROUND(L59-M59,4))</f>
        <v/>
      </c>
    </row>
    <row r="60">
      <c r="A60" s="5" t="n">
        <v>56</v>
      </c>
      <c r="B60" s="6" t="n"/>
      <c r="C60" s="7" t="n"/>
      <c r="D60" s="7" t="n"/>
      <c r="E60" s="7" t="n"/>
      <c r="F60" s="7" t="n"/>
      <c r="G60" s="7" t="n"/>
      <c r="H60" s="7" t="n"/>
      <c r="I60" s="7" t="n"/>
      <c r="K60" s="7" t="n"/>
      <c r="L60" s="5">
        <f>IF(K60="","",SUMIF($C$5:$C$504,K60,$F$5:$F$504))</f>
        <v/>
      </c>
      <c r="M60" s="7" t="n"/>
      <c r="N60" s="5">
        <f>IF(OR(K60="",M60=""),"",ROUND(L60-M60,4))</f>
        <v/>
      </c>
    </row>
    <row r="61">
      <c r="A61" s="5" t="n">
        <v>57</v>
      </c>
      <c r="B61" s="6" t="n"/>
      <c r="C61" s="7" t="n"/>
      <c r="D61" s="7" t="n"/>
      <c r="E61" s="7" t="n"/>
      <c r="F61" s="7" t="n"/>
      <c r="G61" s="7" t="n"/>
      <c r="H61" s="7" t="n"/>
      <c r="I61" s="7" t="n"/>
      <c r="K61" s="7" t="n"/>
      <c r="L61" s="5">
        <f>IF(K61="","",SUMIF($C$5:$C$504,K61,$F$5:$F$504))</f>
        <v/>
      </c>
      <c r="M61" s="7" t="n"/>
      <c r="N61" s="5">
        <f>IF(OR(K61="",M61=""),"",ROUND(L61-M61,4))</f>
        <v/>
      </c>
    </row>
    <row r="62">
      <c r="A62" s="5" t="n">
        <v>58</v>
      </c>
      <c r="B62" s="6" t="n"/>
      <c r="C62" s="7" t="n"/>
      <c r="D62" s="7" t="n"/>
      <c r="E62" s="7" t="n"/>
      <c r="F62" s="7" t="n"/>
      <c r="G62" s="7" t="n"/>
      <c r="H62" s="7" t="n"/>
      <c r="I62" s="7" t="n"/>
      <c r="K62" s="7" t="n"/>
      <c r="L62" s="5">
        <f>IF(K62="","",SUMIF($C$5:$C$504,K62,$F$5:$F$504))</f>
        <v/>
      </c>
      <c r="M62" s="7" t="n"/>
      <c r="N62" s="5">
        <f>IF(OR(K62="",M62=""),"",ROUND(L62-M62,4))</f>
        <v/>
      </c>
    </row>
    <row r="63">
      <c r="A63" s="5" t="n">
        <v>59</v>
      </c>
      <c r="B63" s="6" t="n"/>
      <c r="C63" s="7" t="n"/>
      <c r="D63" s="7" t="n"/>
      <c r="E63" s="7" t="n"/>
      <c r="F63" s="7" t="n"/>
      <c r="G63" s="7" t="n"/>
      <c r="H63" s="7" t="n"/>
      <c r="I63" s="7" t="n"/>
      <c r="K63" s="7" t="n"/>
      <c r="L63" s="5">
        <f>IF(K63="","",SUMIF($C$5:$C$504,K63,$F$5:$F$504))</f>
        <v/>
      </c>
      <c r="M63" s="7" t="n"/>
      <c r="N63" s="5">
        <f>IF(OR(K63="",M63=""),"",ROUND(L63-M63,4))</f>
        <v/>
      </c>
    </row>
    <row r="64">
      <c r="A64" s="5" t="n">
        <v>60</v>
      </c>
      <c r="B64" s="6" t="n"/>
      <c r="C64" s="7" t="n"/>
      <c r="D64" s="7" t="n"/>
      <c r="E64" s="7" t="n"/>
      <c r="F64" s="7" t="n"/>
      <c r="G64" s="7" t="n"/>
      <c r="H64" s="7" t="n"/>
      <c r="I64" s="7" t="n"/>
      <c r="K64" s="7" t="n"/>
      <c r="L64" s="5">
        <f>IF(K64="","",SUMIF($C$5:$C$504,K64,$F$5:$F$504))</f>
        <v/>
      </c>
      <c r="M64" s="7" t="n"/>
      <c r="N64" s="5">
        <f>IF(OR(K64="",M64=""),"",ROUND(L64-M64,4))</f>
        <v/>
      </c>
    </row>
    <row r="65">
      <c r="A65" s="5" t="n">
        <v>61</v>
      </c>
      <c r="B65" s="6" t="n"/>
      <c r="C65" s="7" t="n"/>
      <c r="D65" s="7" t="n"/>
      <c r="E65" s="7" t="n"/>
      <c r="F65" s="7" t="n"/>
      <c r="G65" s="7" t="n"/>
      <c r="H65" s="7" t="n"/>
      <c r="I65" s="7" t="n"/>
      <c r="K65" s="7" t="n"/>
      <c r="L65" s="5">
        <f>IF(K65="","",SUMIF($C$5:$C$504,K65,$F$5:$F$504))</f>
        <v/>
      </c>
      <c r="M65" s="7" t="n"/>
      <c r="N65" s="5">
        <f>IF(OR(K65="",M65=""),"",ROUND(L65-M65,4))</f>
        <v/>
      </c>
    </row>
    <row r="66">
      <c r="A66" s="5" t="n">
        <v>62</v>
      </c>
      <c r="B66" s="6" t="n"/>
      <c r="C66" s="7" t="n"/>
      <c r="D66" s="7" t="n"/>
      <c r="E66" s="7" t="n"/>
      <c r="F66" s="7" t="n"/>
      <c r="G66" s="7" t="n"/>
      <c r="H66" s="7" t="n"/>
      <c r="I66" s="7" t="n"/>
      <c r="K66" s="7" t="n"/>
      <c r="L66" s="5">
        <f>IF(K66="","",SUMIF($C$5:$C$504,K66,$F$5:$F$504))</f>
        <v/>
      </c>
      <c r="M66" s="7" t="n"/>
      <c r="N66" s="5">
        <f>IF(OR(K66="",M66=""),"",ROUND(L66-M66,4))</f>
        <v/>
      </c>
    </row>
    <row r="67">
      <c r="A67" s="5" t="n">
        <v>63</v>
      </c>
      <c r="B67" s="6" t="n"/>
      <c r="C67" s="7" t="n"/>
      <c r="D67" s="7" t="n"/>
      <c r="E67" s="7" t="n"/>
      <c r="F67" s="7" t="n"/>
      <c r="G67" s="7" t="n"/>
      <c r="H67" s="7" t="n"/>
      <c r="I67" s="7" t="n"/>
      <c r="K67" s="7" t="n"/>
      <c r="L67" s="5">
        <f>IF(K67="","",SUMIF($C$5:$C$504,K67,$F$5:$F$504))</f>
        <v/>
      </c>
      <c r="M67" s="7" t="n"/>
      <c r="N67" s="5">
        <f>IF(OR(K67="",M67=""),"",ROUND(L67-M67,4))</f>
        <v/>
      </c>
    </row>
    <row r="68">
      <c r="A68" s="5" t="n">
        <v>64</v>
      </c>
      <c r="B68" s="6" t="n"/>
      <c r="C68" s="7" t="n"/>
      <c r="D68" s="7" t="n"/>
      <c r="E68" s="7" t="n"/>
      <c r="F68" s="7" t="n"/>
      <c r="G68" s="7" t="n"/>
      <c r="H68" s="7" t="n"/>
      <c r="I68" s="7" t="n"/>
      <c r="K68" s="7" t="n"/>
      <c r="L68" s="5">
        <f>IF(K68="","",SUMIF($C$5:$C$504,K68,$F$5:$F$504))</f>
        <v/>
      </c>
      <c r="M68" s="7" t="n"/>
      <c r="N68" s="5">
        <f>IF(OR(K68="",M68=""),"",ROUND(L68-M68,4))</f>
        <v/>
      </c>
    </row>
    <row r="69">
      <c r="A69" s="5" t="n">
        <v>65</v>
      </c>
      <c r="B69" s="6" t="n"/>
      <c r="C69" s="7" t="n"/>
      <c r="D69" s="7" t="n"/>
      <c r="E69" s="7" t="n"/>
      <c r="F69" s="7" t="n"/>
      <c r="G69" s="7" t="n"/>
      <c r="H69" s="7" t="n"/>
      <c r="I69" s="7" t="n"/>
      <c r="K69" s="7" t="n"/>
      <c r="L69" s="5">
        <f>IF(K69="","",SUMIF($C$5:$C$504,K69,$F$5:$F$504))</f>
        <v/>
      </c>
      <c r="M69" s="7" t="n"/>
      <c r="N69" s="5">
        <f>IF(OR(K69="",M69=""),"",ROUND(L69-M69,4))</f>
        <v/>
      </c>
    </row>
    <row r="70">
      <c r="A70" s="5" t="n">
        <v>66</v>
      </c>
      <c r="B70" s="6" t="n"/>
      <c r="C70" s="7" t="n"/>
      <c r="D70" s="7" t="n"/>
      <c r="E70" s="7" t="n"/>
      <c r="F70" s="7" t="n"/>
      <c r="G70" s="7" t="n"/>
      <c r="H70" s="7" t="n"/>
      <c r="I70" s="7" t="n"/>
      <c r="K70" s="7" t="n"/>
      <c r="L70" s="5">
        <f>IF(K70="","",SUMIF($C$5:$C$504,K70,$F$5:$F$504))</f>
        <v/>
      </c>
      <c r="M70" s="7" t="n"/>
      <c r="N70" s="5">
        <f>IF(OR(K70="",M70=""),"",ROUND(L70-M70,4))</f>
        <v/>
      </c>
    </row>
    <row r="71">
      <c r="A71" s="5" t="n">
        <v>67</v>
      </c>
      <c r="B71" s="6" t="n"/>
      <c r="C71" s="7" t="n"/>
      <c r="D71" s="7" t="n"/>
      <c r="E71" s="7" t="n"/>
      <c r="F71" s="7" t="n"/>
      <c r="G71" s="7" t="n"/>
      <c r="H71" s="7" t="n"/>
      <c r="I71" s="7" t="n"/>
      <c r="K71" s="7" t="n"/>
      <c r="L71" s="5">
        <f>IF(K71="","",SUMIF($C$5:$C$504,K71,$F$5:$F$504))</f>
        <v/>
      </c>
      <c r="M71" s="7" t="n"/>
      <c r="N71" s="5">
        <f>IF(OR(K71="",M71=""),"",ROUND(L71-M71,4))</f>
        <v/>
      </c>
    </row>
    <row r="72">
      <c r="A72" s="5" t="n">
        <v>68</v>
      </c>
      <c r="B72" s="6" t="n"/>
      <c r="C72" s="7" t="n"/>
      <c r="D72" s="7" t="n"/>
      <c r="E72" s="7" t="n"/>
      <c r="F72" s="7" t="n"/>
      <c r="G72" s="7" t="n"/>
      <c r="H72" s="7" t="n"/>
      <c r="I72" s="7" t="n"/>
      <c r="K72" s="7" t="n"/>
      <c r="L72" s="5">
        <f>IF(K72="","",SUMIF($C$5:$C$504,K72,$F$5:$F$504))</f>
        <v/>
      </c>
      <c r="M72" s="7" t="n"/>
      <c r="N72" s="5">
        <f>IF(OR(K72="",M72=""),"",ROUND(L72-M72,4))</f>
        <v/>
      </c>
    </row>
    <row r="73">
      <c r="A73" s="5" t="n">
        <v>69</v>
      </c>
      <c r="B73" s="6" t="n"/>
      <c r="C73" s="7" t="n"/>
      <c r="D73" s="7" t="n"/>
      <c r="E73" s="7" t="n"/>
      <c r="F73" s="7" t="n"/>
      <c r="G73" s="7" t="n"/>
      <c r="H73" s="7" t="n"/>
      <c r="I73" s="7" t="n"/>
      <c r="K73" s="7" t="n"/>
      <c r="L73" s="5">
        <f>IF(K73="","",SUMIF($C$5:$C$504,K73,$F$5:$F$504))</f>
        <v/>
      </c>
      <c r="M73" s="7" t="n"/>
      <c r="N73" s="5">
        <f>IF(OR(K73="",M73=""),"",ROUND(L73-M73,4))</f>
        <v/>
      </c>
    </row>
    <row r="74">
      <c r="A74" s="5" t="n">
        <v>70</v>
      </c>
      <c r="B74" s="6" t="n"/>
      <c r="C74" s="7" t="n"/>
      <c r="D74" s="7" t="n"/>
      <c r="E74" s="7" t="n"/>
      <c r="F74" s="7" t="n"/>
      <c r="G74" s="7" t="n"/>
      <c r="H74" s="7" t="n"/>
      <c r="I74" s="7" t="n"/>
      <c r="K74" s="7" t="n"/>
      <c r="L74" s="5">
        <f>IF(K74="","",SUMIF($C$5:$C$504,K74,$F$5:$F$504))</f>
        <v/>
      </c>
      <c r="M74" s="7" t="n"/>
      <c r="N74" s="5">
        <f>IF(OR(K74="",M74=""),"",ROUND(L74-M74,4))</f>
        <v/>
      </c>
    </row>
    <row r="75">
      <c r="A75" s="5" t="n">
        <v>71</v>
      </c>
      <c r="B75" s="6" t="n"/>
      <c r="C75" s="7" t="n"/>
      <c r="D75" s="7" t="n"/>
      <c r="E75" s="7" t="n"/>
      <c r="F75" s="7" t="n"/>
      <c r="G75" s="7" t="n"/>
      <c r="H75" s="7" t="n"/>
      <c r="I75" s="7" t="n"/>
      <c r="K75" s="7" t="n"/>
      <c r="L75" s="5">
        <f>IF(K75="","",SUMIF($C$5:$C$504,K75,$F$5:$F$504))</f>
        <v/>
      </c>
      <c r="M75" s="7" t="n"/>
      <c r="N75" s="5">
        <f>IF(OR(K75="",M75=""),"",ROUND(L75-M75,4))</f>
        <v/>
      </c>
    </row>
    <row r="76">
      <c r="A76" s="5" t="n">
        <v>72</v>
      </c>
      <c r="B76" s="6" t="n"/>
      <c r="C76" s="7" t="n"/>
      <c r="D76" s="7" t="n"/>
      <c r="E76" s="7" t="n"/>
      <c r="F76" s="7" t="n"/>
      <c r="G76" s="7" t="n"/>
      <c r="H76" s="7" t="n"/>
      <c r="I76" s="7" t="n"/>
      <c r="K76" s="7" t="n"/>
      <c r="L76" s="5">
        <f>IF(K76="","",SUMIF($C$5:$C$504,K76,$F$5:$F$504))</f>
        <v/>
      </c>
      <c r="M76" s="7" t="n"/>
      <c r="N76" s="5">
        <f>IF(OR(K76="",M76=""),"",ROUND(L76-M76,4))</f>
        <v/>
      </c>
    </row>
    <row r="77">
      <c r="A77" s="5" t="n">
        <v>73</v>
      </c>
      <c r="B77" s="6" t="n"/>
      <c r="C77" s="7" t="n"/>
      <c r="D77" s="7" t="n"/>
      <c r="E77" s="7" t="n"/>
      <c r="F77" s="7" t="n"/>
      <c r="G77" s="7" t="n"/>
      <c r="H77" s="7" t="n"/>
      <c r="I77" s="7" t="n"/>
      <c r="K77" s="7" t="n"/>
      <c r="L77" s="5">
        <f>IF(K77="","",SUMIF($C$5:$C$504,K77,$F$5:$F$504))</f>
        <v/>
      </c>
      <c r="M77" s="7" t="n"/>
      <c r="N77" s="5">
        <f>IF(OR(K77="",M77=""),"",ROUND(L77-M77,4))</f>
        <v/>
      </c>
    </row>
    <row r="78">
      <c r="A78" s="5" t="n">
        <v>74</v>
      </c>
      <c r="B78" s="6" t="n"/>
      <c r="C78" s="7" t="n"/>
      <c r="D78" s="7" t="n"/>
      <c r="E78" s="7" t="n"/>
      <c r="F78" s="7" t="n"/>
      <c r="G78" s="7" t="n"/>
      <c r="H78" s="7" t="n"/>
      <c r="I78" s="7" t="n"/>
      <c r="K78" s="7" t="n"/>
      <c r="L78" s="5">
        <f>IF(K78="","",SUMIF($C$5:$C$504,K78,$F$5:$F$504))</f>
        <v/>
      </c>
      <c r="M78" s="7" t="n"/>
      <c r="N78" s="5">
        <f>IF(OR(K78="",M78=""),"",ROUND(L78-M78,4))</f>
        <v/>
      </c>
    </row>
    <row r="79">
      <c r="A79" s="5" t="n">
        <v>75</v>
      </c>
      <c r="B79" s="6" t="n"/>
      <c r="C79" s="7" t="n"/>
      <c r="D79" s="7" t="n"/>
      <c r="E79" s="7" t="n"/>
      <c r="F79" s="7" t="n"/>
      <c r="G79" s="7" t="n"/>
      <c r="H79" s="7" t="n"/>
      <c r="I79" s="7" t="n"/>
      <c r="K79" s="7" t="n"/>
      <c r="L79" s="5">
        <f>IF(K79="","",SUMIF($C$5:$C$504,K79,$F$5:$F$504))</f>
        <v/>
      </c>
      <c r="M79" s="7" t="n"/>
      <c r="N79" s="5">
        <f>IF(OR(K79="",M79=""),"",ROUND(L79-M79,4))</f>
        <v/>
      </c>
    </row>
    <row r="80">
      <c r="A80" s="5" t="n">
        <v>76</v>
      </c>
      <c r="B80" s="6" t="n"/>
      <c r="C80" s="7" t="n"/>
      <c r="D80" s="7" t="n"/>
      <c r="E80" s="7" t="n"/>
      <c r="F80" s="7" t="n"/>
      <c r="G80" s="7" t="n"/>
      <c r="H80" s="7" t="n"/>
      <c r="I80" s="7" t="n"/>
      <c r="K80" s="7" t="n"/>
      <c r="L80" s="5">
        <f>IF(K80="","",SUMIF($C$5:$C$504,K80,$F$5:$F$504))</f>
        <v/>
      </c>
      <c r="M80" s="7" t="n"/>
      <c r="N80" s="5">
        <f>IF(OR(K80="",M80=""),"",ROUND(L80-M80,4))</f>
        <v/>
      </c>
    </row>
    <row r="81">
      <c r="A81" s="5" t="n">
        <v>77</v>
      </c>
      <c r="B81" s="6" t="n"/>
      <c r="C81" s="7" t="n"/>
      <c r="D81" s="7" t="n"/>
      <c r="E81" s="7" t="n"/>
      <c r="F81" s="7" t="n"/>
      <c r="G81" s="7" t="n"/>
      <c r="H81" s="7" t="n"/>
      <c r="I81" s="7" t="n"/>
      <c r="K81" s="7" t="n"/>
      <c r="L81" s="5">
        <f>IF(K81="","",SUMIF($C$5:$C$504,K81,$F$5:$F$504))</f>
        <v/>
      </c>
      <c r="M81" s="7" t="n"/>
      <c r="N81" s="5">
        <f>IF(OR(K81="",M81=""),"",ROUND(L81-M81,4))</f>
        <v/>
      </c>
    </row>
    <row r="82">
      <c r="A82" s="5" t="n">
        <v>78</v>
      </c>
      <c r="B82" s="6" t="n"/>
      <c r="C82" s="7" t="n"/>
      <c r="D82" s="7" t="n"/>
      <c r="E82" s="7" t="n"/>
      <c r="F82" s="7" t="n"/>
      <c r="G82" s="7" t="n"/>
      <c r="H82" s="7" t="n"/>
      <c r="I82" s="7" t="n"/>
      <c r="K82" s="7" t="n"/>
      <c r="L82" s="5">
        <f>IF(K82="","",SUMIF($C$5:$C$504,K82,$F$5:$F$504))</f>
        <v/>
      </c>
      <c r="M82" s="7" t="n"/>
      <c r="N82" s="5">
        <f>IF(OR(K82="",M82=""),"",ROUND(L82-M82,4))</f>
        <v/>
      </c>
    </row>
    <row r="83">
      <c r="A83" s="5" t="n">
        <v>79</v>
      </c>
      <c r="B83" s="6" t="n"/>
      <c r="C83" s="7" t="n"/>
      <c r="D83" s="7" t="n"/>
      <c r="E83" s="7" t="n"/>
      <c r="F83" s="7" t="n"/>
      <c r="G83" s="7" t="n"/>
      <c r="H83" s="7" t="n"/>
      <c r="I83" s="7" t="n"/>
      <c r="K83" s="7" t="n"/>
      <c r="L83" s="5">
        <f>IF(K83="","",SUMIF($C$5:$C$504,K83,$F$5:$F$504))</f>
        <v/>
      </c>
      <c r="M83" s="7" t="n"/>
      <c r="N83" s="5">
        <f>IF(OR(K83="",M83=""),"",ROUND(L83-M83,4))</f>
        <v/>
      </c>
    </row>
    <row r="84">
      <c r="A84" s="5" t="n">
        <v>80</v>
      </c>
      <c r="B84" s="6" t="n"/>
      <c r="C84" s="7" t="n"/>
      <c r="D84" s="7" t="n"/>
      <c r="E84" s="7" t="n"/>
      <c r="F84" s="7" t="n"/>
      <c r="G84" s="7" t="n"/>
      <c r="H84" s="7" t="n"/>
      <c r="I84" s="7" t="n"/>
      <c r="K84" s="7" t="n"/>
      <c r="L84" s="5">
        <f>IF(K84="","",SUMIF($C$5:$C$504,K84,$F$5:$F$504))</f>
        <v/>
      </c>
      <c r="M84" s="7" t="n"/>
      <c r="N84" s="5">
        <f>IF(OR(K84="",M84=""),"",ROUND(L84-M84,4))</f>
        <v/>
      </c>
    </row>
    <row r="85">
      <c r="A85" s="5" t="n">
        <v>81</v>
      </c>
      <c r="B85" s="6" t="n"/>
      <c r="C85" s="7" t="n"/>
      <c r="D85" s="7" t="n"/>
      <c r="E85" s="7" t="n"/>
      <c r="F85" s="7" t="n"/>
      <c r="G85" s="7" t="n"/>
      <c r="H85" s="7" t="n"/>
      <c r="I85" s="7" t="n"/>
      <c r="K85" s="7" t="n"/>
      <c r="L85" s="5">
        <f>IF(K85="","",SUMIF($C$5:$C$504,K85,$F$5:$F$504))</f>
        <v/>
      </c>
      <c r="M85" s="7" t="n"/>
      <c r="N85" s="5">
        <f>IF(OR(K85="",M85=""),"",ROUND(L85-M85,4))</f>
        <v/>
      </c>
    </row>
    <row r="86">
      <c r="A86" s="5" t="n">
        <v>82</v>
      </c>
      <c r="B86" s="6" t="n"/>
      <c r="C86" s="7" t="n"/>
      <c r="D86" s="7" t="n"/>
      <c r="E86" s="7" t="n"/>
      <c r="F86" s="7" t="n"/>
      <c r="G86" s="7" t="n"/>
      <c r="H86" s="7" t="n"/>
      <c r="I86" s="7" t="n"/>
      <c r="K86" s="7" t="n"/>
      <c r="L86" s="5">
        <f>IF(K86="","",SUMIF($C$5:$C$504,K86,$F$5:$F$504))</f>
        <v/>
      </c>
      <c r="M86" s="7" t="n"/>
      <c r="N86" s="5">
        <f>IF(OR(K86="",M86=""),"",ROUND(L86-M86,4))</f>
        <v/>
      </c>
    </row>
    <row r="87">
      <c r="A87" s="5" t="n">
        <v>83</v>
      </c>
      <c r="B87" s="6" t="n"/>
      <c r="C87" s="7" t="n"/>
      <c r="D87" s="7" t="n"/>
      <c r="E87" s="7" t="n"/>
      <c r="F87" s="7" t="n"/>
      <c r="G87" s="7" t="n"/>
      <c r="H87" s="7" t="n"/>
      <c r="I87" s="7" t="n"/>
      <c r="K87" s="7" t="n"/>
      <c r="L87" s="5">
        <f>IF(K87="","",SUMIF($C$5:$C$504,K87,$F$5:$F$504))</f>
        <v/>
      </c>
      <c r="M87" s="7" t="n"/>
      <c r="N87" s="5">
        <f>IF(OR(K87="",M87=""),"",ROUND(L87-M87,4))</f>
        <v/>
      </c>
    </row>
    <row r="88">
      <c r="A88" s="5" t="n">
        <v>84</v>
      </c>
      <c r="B88" s="6" t="n"/>
      <c r="C88" s="7" t="n"/>
      <c r="D88" s="7" t="n"/>
      <c r="E88" s="7" t="n"/>
      <c r="F88" s="7" t="n"/>
      <c r="G88" s="7" t="n"/>
      <c r="H88" s="7" t="n"/>
      <c r="I88" s="7" t="n"/>
      <c r="K88" s="7" t="n"/>
      <c r="L88" s="5">
        <f>IF(K88="","",SUMIF($C$5:$C$504,K88,$F$5:$F$504))</f>
        <v/>
      </c>
      <c r="M88" s="7" t="n"/>
      <c r="N88" s="5">
        <f>IF(OR(K88="",M88=""),"",ROUND(L88-M88,4))</f>
        <v/>
      </c>
    </row>
    <row r="89">
      <c r="A89" s="5" t="n">
        <v>85</v>
      </c>
      <c r="B89" s="6" t="n"/>
      <c r="C89" s="7" t="n"/>
      <c r="D89" s="7" t="n"/>
      <c r="E89" s="7" t="n"/>
      <c r="F89" s="7" t="n"/>
      <c r="G89" s="7" t="n"/>
      <c r="H89" s="7" t="n"/>
      <c r="I89" s="7" t="n"/>
      <c r="K89" s="7" t="n"/>
      <c r="L89" s="5">
        <f>IF(K89="","",SUMIF($C$5:$C$504,K89,$F$5:$F$504))</f>
        <v/>
      </c>
      <c r="M89" s="7" t="n"/>
      <c r="N89" s="5">
        <f>IF(OR(K89="",M89=""),"",ROUND(L89-M89,4))</f>
        <v/>
      </c>
    </row>
    <row r="90">
      <c r="A90" s="5" t="n">
        <v>86</v>
      </c>
      <c r="B90" s="6" t="n"/>
      <c r="C90" s="7" t="n"/>
      <c r="D90" s="7" t="n"/>
      <c r="E90" s="7" t="n"/>
      <c r="F90" s="7" t="n"/>
      <c r="G90" s="7" t="n"/>
      <c r="H90" s="7" t="n"/>
      <c r="I90" s="7" t="n"/>
      <c r="K90" s="7" t="n"/>
      <c r="L90" s="5">
        <f>IF(K90="","",SUMIF($C$5:$C$504,K90,$F$5:$F$504))</f>
        <v/>
      </c>
      <c r="M90" s="7" t="n"/>
      <c r="N90" s="5">
        <f>IF(OR(K90="",M90=""),"",ROUND(L90-M90,4))</f>
        <v/>
      </c>
    </row>
    <row r="91">
      <c r="A91" s="5" t="n">
        <v>87</v>
      </c>
      <c r="B91" s="6" t="n"/>
      <c r="C91" s="7" t="n"/>
      <c r="D91" s="7" t="n"/>
      <c r="E91" s="7" t="n"/>
      <c r="F91" s="7" t="n"/>
      <c r="G91" s="7" t="n"/>
      <c r="H91" s="7" t="n"/>
      <c r="I91" s="7" t="n"/>
      <c r="K91" s="7" t="n"/>
      <c r="L91" s="5">
        <f>IF(K91="","",SUMIF($C$5:$C$504,K91,$F$5:$F$504))</f>
        <v/>
      </c>
      <c r="M91" s="7" t="n"/>
      <c r="N91" s="5">
        <f>IF(OR(K91="",M91=""),"",ROUND(L91-M91,4))</f>
        <v/>
      </c>
    </row>
    <row r="92">
      <c r="A92" s="5" t="n">
        <v>88</v>
      </c>
      <c r="B92" s="6" t="n"/>
      <c r="C92" s="7" t="n"/>
      <c r="D92" s="7" t="n"/>
      <c r="E92" s="7" t="n"/>
      <c r="F92" s="7" t="n"/>
      <c r="G92" s="7" t="n"/>
      <c r="H92" s="7" t="n"/>
      <c r="I92" s="7" t="n"/>
      <c r="K92" s="7" t="n"/>
      <c r="L92" s="5">
        <f>IF(K92="","",SUMIF($C$5:$C$504,K92,$F$5:$F$504))</f>
        <v/>
      </c>
      <c r="M92" s="7" t="n"/>
      <c r="N92" s="5">
        <f>IF(OR(K92="",M92=""),"",ROUND(L92-M92,4))</f>
        <v/>
      </c>
    </row>
    <row r="93">
      <c r="A93" s="5" t="n">
        <v>89</v>
      </c>
      <c r="B93" s="6" t="n"/>
      <c r="C93" s="7" t="n"/>
      <c r="D93" s="7" t="n"/>
      <c r="E93" s="7" t="n"/>
      <c r="F93" s="7" t="n"/>
      <c r="G93" s="7" t="n"/>
      <c r="H93" s="7" t="n"/>
      <c r="I93" s="7" t="n"/>
      <c r="K93" s="7" t="n"/>
      <c r="L93" s="5">
        <f>IF(K93="","",SUMIF($C$5:$C$504,K93,$F$5:$F$504))</f>
        <v/>
      </c>
      <c r="M93" s="7" t="n"/>
      <c r="N93" s="5">
        <f>IF(OR(K93="",M93=""),"",ROUND(L93-M93,4))</f>
        <v/>
      </c>
    </row>
    <row r="94">
      <c r="A94" s="5" t="n">
        <v>90</v>
      </c>
      <c r="B94" s="6" t="n"/>
      <c r="C94" s="7" t="n"/>
      <c r="D94" s="7" t="n"/>
      <c r="E94" s="7" t="n"/>
      <c r="F94" s="7" t="n"/>
      <c r="G94" s="7" t="n"/>
      <c r="H94" s="7" t="n"/>
      <c r="I94" s="7" t="n"/>
      <c r="K94" s="7" t="n"/>
      <c r="L94" s="5">
        <f>IF(K94="","",SUMIF($C$5:$C$504,K94,$F$5:$F$504))</f>
        <v/>
      </c>
      <c r="M94" s="7" t="n"/>
      <c r="N94" s="5">
        <f>IF(OR(K94="",M94=""),"",ROUND(L94-M94,4))</f>
        <v/>
      </c>
    </row>
    <row r="95">
      <c r="A95" s="5" t="n">
        <v>91</v>
      </c>
      <c r="B95" s="6" t="n"/>
      <c r="C95" s="7" t="n"/>
      <c r="D95" s="7" t="n"/>
      <c r="E95" s="7" t="n"/>
      <c r="F95" s="7" t="n"/>
      <c r="G95" s="7" t="n"/>
      <c r="H95" s="7" t="n"/>
      <c r="I95" s="7" t="n"/>
      <c r="K95" s="7" t="n"/>
      <c r="L95" s="5">
        <f>IF(K95="","",SUMIF($C$5:$C$504,K95,$F$5:$F$504))</f>
        <v/>
      </c>
      <c r="M95" s="7" t="n"/>
      <c r="N95" s="5">
        <f>IF(OR(K95="",M95=""),"",ROUND(L95-M95,4))</f>
        <v/>
      </c>
    </row>
    <row r="96">
      <c r="A96" s="5" t="n">
        <v>92</v>
      </c>
      <c r="B96" s="6" t="n"/>
      <c r="C96" s="7" t="n"/>
      <c r="D96" s="7" t="n"/>
      <c r="E96" s="7" t="n"/>
      <c r="F96" s="7" t="n"/>
      <c r="G96" s="7" t="n"/>
      <c r="H96" s="7" t="n"/>
      <c r="I96" s="7" t="n"/>
      <c r="K96" s="7" t="n"/>
      <c r="L96" s="5">
        <f>IF(K96="","",SUMIF($C$5:$C$504,K96,$F$5:$F$504))</f>
        <v/>
      </c>
      <c r="M96" s="7" t="n"/>
      <c r="N96" s="5">
        <f>IF(OR(K96="",M96=""),"",ROUND(L96-M96,4))</f>
        <v/>
      </c>
    </row>
    <row r="97">
      <c r="A97" s="5" t="n">
        <v>93</v>
      </c>
      <c r="B97" s="6" t="n"/>
      <c r="C97" s="7" t="n"/>
      <c r="D97" s="7" t="n"/>
      <c r="E97" s="7" t="n"/>
      <c r="F97" s="7" t="n"/>
      <c r="G97" s="7" t="n"/>
      <c r="H97" s="7" t="n"/>
      <c r="I97" s="7" t="n"/>
      <c r="K97" s="7" t="n"/>
      <c r="L97" s="5">
        <f>IF(K97="","",SUMIF($C$5:$C$504,K97,$F$5:$F$504))</f>
        <v/>
      </c>
      <c r="M97" s="7" t="n"/>
      <c r="N97" s="5">
        <f>IF(OR(K97="",M97=""),"",ROUND(L97-M97,4))</f>
        <v/>
      </c>
    </row>
    <row r="98">
      <c r="A98" s="5" t="n">
        <v>94</v>
      </c>
      <c r="B98" s="6" t="n"/>
      <c r="C98" s="7" t="n"/>
      <c r="D98" s="7" t="n"/>
      <c r="E98" s="7" t="n"/>
      <c r="F98" s="7" t="n"/>
      <c r="G98" s="7" t="n"/>
      <c r="H98" s="7" t="n"/>
      <c r="I98" s="7" t="n"/>
      <c r="K98" s="7" t="n"/>
      <c r="L98" s="5">
        <f>IF(K98="","",SUMIF($C$5:$C$504,K98,$F$5:$F$504))</f>
        <v/>
      </c>
      <c r="M98" s="7" t="n"/>
      <c r="N98" s="5">
        <f>IF(OR(K98="",M98=""),"",ROUND(L98-M98,4))</f>
        <v/>
      </c>
    </row>
    <row r="99">
      <c r="A99" s="5" t="n">
        <v>95</v>
      </c>
      <c r="B99" s="6" t="n"/>
      <c r="C99" s="7" t="n"/>
      <c r="D99" s="7" t="n"/>
      <c r="E99" s="7" t="n"/>
      <c r="F99" s="7" t="n"/>
      <c r="G99" s="7" t="n"/>
      <c r="H99" s="7" t="n"/>
      <c r="I99" s="7" t="n"/>
      <c r="K99" s="7" t="n"/>
      <c r="L99" s="5">
        <f>IF(K99="","",SUMIF($C$5:$C$504,K99,$F$5:$F$504))</f>
        <v/>
      </c>
      <c r="M99" s="7" t="n"/>
      <c r="N99" s="5">
        <f>IF(OR(K99="",M99=""),"",ROUND(L99-M99,4))</f>
        <v/>
      </c>
    </row>
    <row r="100">
      <c r="A100" s="5" t="n">
        <v>96</v>
      </c>
      <c r="B100" s="6" t="n"/>
      <c r="C100" s="7" t="n"/>
      <c r="D100" s="7" t="n"/>
      <c r="E100" s="7" t="n"/>
      <c r="F100" s="7" t="n"/>
      <c r="G100" s="7" t="n"/>
      <c r="H100" s="7" t="n"/>
      <c r="I100" s="7" t="n"/>
      <c r="K100" s="7" t="n"/>
      <c r="L100" s="5">
        <f>IF(K100="","",SUMIF($C$5:$C$504,K100,$F$5:$F$504))</f>
        <v/>
      </c>
      <c r="M100" s="7" t="n"/>
      <c r="N100" s="5">
        <f>IF(OR(K100="",M100=""),"",ROUND(L100-M100,4))</f>
        <v/>
      </c>
    </row>
    <row r="101">
      <c r="A101" s="5" t="n">
        <v>97</v>
      </c>
      <c r="B101" s="6" t="n"/>
      <c r="C101" s="7" t="n"/>
      <c r="D101" s="7" t="n"/>
      <c r="E101" s="7" t="n"/>
      <c r="F101" s="7" t="n"/>
      <c r="G101" s="7" t="n"/>
      <c r="H101" s="7" t="n"/>
      <c r="I101" s="7" t="n"/>
      <c r="K101" s="7" t="n"/>
      <c r="L101" s="5">
        <f>IF(K101="","",SUMIF($C$5:$C$504,K101,$F$5:$F$504))</f>
        <v/>
      </c>
      <c r="M101" s="7" t="n"/>
      <c r="N101" s="5">
        <f>IF(OR(K101="",M101=""),"",ROUND(L101-M101,4))</f>
        <v/>
      </c>
    </row>
    <row r="102">
      <c r="A102" s="5" t="n">
        <v>98</v>
      </c>
      <c r="B102" s="6" t="n"/>
      <c r="C102" s="7" t="n"/>
      <c r="D102" s="7" t="n"/>
      <c r="E102" s="7" t="n"/>
      <c r="F102" s="7" t="n"/>
      <c r="G102" s="7" t="n"/>
      <c r="H102" s="7" t="n"/>
      <c r="I102" s="7" t="n"/>
      <c r="K102" s="7" t="n"/>
      <c r="L102" s="5">
        <f>IF(K102="","",SUMIF($C$5:$C$504,K102,$F$5:$F$504))</f>
        <v/>
      </c>
      <c r="M102" s="7" t="n"/>
      <c r="N102" s="5">
        <f>IF(OR(K102="",M102=""),"",ROUND(L102-M102,4))</f>
        <v/>
      </c>
    </row>
    <row r="103">
      <c r="A103" s="5" t="n">
        <v>99</v>
      </c>
      <c r="B103" s="6" t="n"/>
      <c r="C103" s="7" t="n"/>
      <c r="D103" s="7" t="n"/>
      <c r="E103" s="7" t="n"/>
      <c r="F103" s="7" t="n"/>
      <c r="G103" s="7" t="n"/>
      <c r="H103" s="7" t="n"/>
      <c r="I103" s="7" t="n"/>
      <c r="K103" s="7" t="n"/>
      <c r="L103" s="5">
        <f>IF(K103="","",SUMIF($C$5:$C$504,K103,$F$5:$F$504))</f>
        <v/>
      </c>
      <c r="M103" s="7" t="n"/>
      <c r="N103" s="5">
        <f>IF(OR(K103="",M103=""),"",ROUND(L103-M103,4))</f>
        <v/>
      </c>
    </row>
    <row r="104">
      <c r="A104" s="5" t="n">
        <v>100</v>
      </c>
      <c r="B104" s="6" t="n"/>
      <c r="C104" s="7" t="n"/>
      <c r="D104" s="7" t="n"/>
      <c r="E104" s="7" t="n"/>
      <c r="F104" s="7" t="n"/>
      <c r="G104" s="7" t="n"/>
      <c r="H104" s="7" t="n"/>
      <c r="I104" s="7" t="n"/>
      <c r="K104" s="7" t="n"/>
      <c r="L104" s="5">
        <f>IF(K104="","",SUMIF($C$5:$C$504,K104,$F$5:$F$504))</f>
        <v/>
      </c>
      <c r="M104" s="7" t="n"/>
      <c r="N104" s="5">
        <f>IF(OR(K104="",M104=""),"",ROUND(L104-M104,4))</f>
        <v/>
      </c>
    </row>
    <row r="105">
      <c r="A105" s="5" t="n">
        <v>101</v>
      </c>
      <c r="B105" s="6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5" t="n">
        <v>102</v>
      </c>
      <c r="B106" s="6" t="n"/>
      <c r="C106" s="7" t="n"/>
      <c r="D106" s="7" t="n"/>
      <c r="E106" s="7" t="n"/>
      <c r="F106" s="7" t="n"/>
      <c r="G106" s="7" t="n"/>
      <c r="H106" s="7" t="n"/>
      <c r="I106" s="7" t="n"/>
      <c r="K106" t="inlineStr">
        <is>
          <t>Позиций с расхождением</t>
        </is>
      </c>
      <c r="N106">
        <f>SUMPRODUCT((N5:N104&lt;&gt;"")*(N5:N104&lt;&gt;0))</f>
        <v/>
      </c>
    </row>
    <row r="107">
      <c r="A107" s="5" t="n">
        <v>103</v>
      </c>
      <c r="B107" s="6" t="n"/>
      <c r="C107" s="7" t="n"/>
      <c r="D107" s="7" t="n"/>
      <c r="E107" s="7" t="n"/>
      <c r="F107" s="7" t="n"/>
      <c r="G107" s="7" t="n"/>
      <c r="H107" s="7" t="n"/>
      <c r="I107" s="7" t="n"/>
      <c r="K107" t="inlineStr">
        <is>
          <t>Записей ниже строки 504 (не учтены — перенесите)</t>
        </is>
      </c>
      <c r="N107">
        <f>COUNTA(A505:I2000)</f>
        <v/>
      </c>
    </row>
    <row r="108">
      <c r="A108" s="5" t="n">
        <v>104</v>
      </c>
      <c r="B108" s="6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5" t="n">
        <v>105</v>
      </c>
      <c r="B109" s="6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5" t="n">
        <v>106</v>
      </c>
      <c r="B110" s="6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5" t="n">
        <v>107</v>
      </c>
      <c r="B111" s="6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5" t="n">
        <v>108</v>
      </c>
      <c r="B112" s="6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5" t="n">
        <v>109</v>
      </c>
      <c r="B113" s="6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5" t="n">
        <v>110</v>
      </c>
      <c r="B114" s="6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5" t="n">
        <v>111</v>
      </c>
      <c r="B115" s="6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5" t="n">
        <v>112</v>
      </c>
      <c r="B116" s="6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5" t="n">
        <v>113</v>
      </c>
      <c r="B117" s="6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5" t="n">
        <v>114</v>
      </c>
      <c r="B118" s="6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5" t="n">
        <v>115</v>
      </c>
      <c r="B119" s="6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5" t="n">
        <v>116</v>
      </c>
      <c r="B120" s="6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5" t="n">
        <v>117</v>
      </c>
      <c r="B121" s="6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5" t="n">
        <v>118</v>
      </c>
      <c r="B122" s="6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5" t="n">
        <v>119</v>
      </c>
      <c r="B123" s="6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5" t="n">
        <v>120</v>
      </c>
      <c r="B124" s="6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5" t="n">
        <v>121</v>
      </c>
      <c r="B125" s="6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5" t="n">
        <v>122</v>
      </c>
      <c r="B126" s="6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5" t="n">
        <v>123</v>
      </c>
      <c r="B127" s="6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5" t="n">
        <v>124</v>
      </c>
      <c r="B128" s="6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5" t="n">
        <v>125</v>
      </c>
      <c r="B129" s="6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5" t="n">
        <v>126</v>
      </c>
      <c r="B130" s="6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5" t="n">
        <v>127</v>
      </c>
      <c r="B131" s="6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5" t="n">
        <v>128</v>
      </c>
      <c r="B132" s="6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5" t="n">
        <v>129</v>
      </c>
      <c r="B133" s="6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5" t="n">
        <v>130</v>
      </c>
      <c r="B134" s="6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5" t="n">
        <v>131</v>
      </c>
      <c r="B135" s="6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5" t="n">
        <v>132</v>
      </c>
      <c r="B136" s="6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5" t="n">
        <v>133</v>
      </c>
      <c r="B137" s="6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5" t="n">
        <v>134</v>
      </c>
      <c r="B138" s="6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5" t="n">
        <v>135</v>
      </c>
      <c r="B139" s="6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5" t="n">
        <v>136</v>
      </c>
      <c r="B140" s="6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5" t="n">
        <v>137</v>
      </c>
      <c r="B141" s="6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5" t="n">
        <v>138</v>
      </c>
      <c r="B142" s="6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5" t="n">
        <v>139</v>
      </c>
      <c r="B143" s="6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5" t="n">
        <v>140</v>
      </c>
      <c r="B144" s="6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5" t="n">
        <v>141</v>
      </c>
      <c r="B145" s="6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5" t="n">
        <v>142</v>
      </c>
      <c r="B146" s="6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5" t="n">
        <v>143</v>
      </c>
      <c r="B147" s="6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5" t="n">
        <v>144</v>
      </c>
      <c r="B148" s="6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5" t="n">
        <v>145</v>
      </c>
      <c r="B149" s="6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5" t="n">
        <v>146</v>
      </c>
      <c r="B150" s="6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5" t="n">
        <v>147</v>
      </c>
      <c r="B151" s="6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5" t="n">
        <v>148</v>
      </c>
      <c r="B152" s="6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5" t="n">
        <v>149</v>
      </c>
      <c r="B153" s="6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5" t="n">
        <v>150</v>
      </c>
      <c r="B154" s="6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5" t="n">
        <v>151</v>
      </c>
      <c r="B155" s="6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5" t="n">
        <v>152</v>
      </c>
      <c r="B156" s="6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5" t="n">
        <v>153</v>
      </c>
      <c r="B157" s="6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5" t="n">
        <v>154</v>
      </c>
      <c r="B158" s="6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5" t="n">
        <v>155</v>
      </c>
      <c r="B159" s="6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5" t="n">
        <v>156</v>
      </c>
      <c r="B160" s="6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5" t="n">
        <v>157</v>
      </c>
      <c r="B161" s="6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5" t="n">
        <v>158</v>
      </c>
      <c r="B162" s="6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5" t="n">
        <v>159</v>
      </c>
      <c r="B163" s="6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5" t="n">
        <v>160</v>
      </c>
      <c r="B164" s="6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5" t="n">
        <v>161</v>
      </c>
      <c r="B165" s="6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5" t="n">
        <v>162</v>
      </c>
      <c r="B166" s="6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5" t="n">
        <v>163</v>
      </c>
      <c r="B167" s="6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5" t="n">
        <v>164</v>
      </c>
      <c r="B168" s="6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5" t="n">
        <v>165</v>
      </c>
      <c r="B169" s="6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5" t="n">
        <v>166</v>
      </c>
      <c r="B170" s="6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5" t="n">
        <v>167</v>
      </c>
      <c r="B171" s="6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5" t="n">
        <v>168</v>
      </c>
      <c r="B172" s="6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5" t="n">
        <v>169</v>
      </c>
      <c r="B173" s="6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5" t="n">
        <v>170</v>
      </c>
      <c r="B174" s="6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5" t="n">
        <v>171</v>
      </c>
      <c r="B175" s="6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5" t="n">
        <v>172</v>
      </c>
      <c r="B176" s="6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n">
        <v>173</v>
      </c>
      <c r="B177" s="6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5" t="n">
        <v>174</v>
      </c>
      <c r="B178" s="6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5" t="n">
        <v>175</v>
      </c>
      <c r="B179" s="6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5" t="n">
        <v>176</v>
      </c>
      <c r="B180" s="6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5" t="n">
        <v>177</v>
      </c>
      <c r="B181" s="6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5" t="n">
        <v>178</v>
      </c>
      <c r="B182" s="6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5" t="n">
        <v>179</v>
      </c>
      <c r="B183" s="6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5" t="n">
        <v>180</v>
      </c>
      <c r="B184" s="6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5" t="n">
        <v>181</v>
      </c>
      <c r="B185" s="6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5" t="n">
        <v>182</v>
      </c>
      <c r="B186" s="6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5" t="n">
        <v>183</v>
      </c>
      <c r="B187" s="6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5" t="n">
        <v>184</v>
      </c>
      <c r="B188" s="6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5" t="n">
        <v>185</v>
      </c>
      <c r="B189" s="6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5" t="n">
        <v>186</v>
      </c>
      <c r="B190" s="6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5" t="n">
        <v>187</v>
      </c>
      <c r="B191" s="6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5" t="n">
        <v>188</v>
      </c>
      <c r="B192" s="6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5" t="n">
        <v>189</v>
      </c>
      <c r="B193" s="6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5" t="n">
        <v>190</v>
      </c>
      <c r="B194" s="6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5" t="n">
        <v>191</v>
      </c>
      <c r="B195" s="6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5" t="n">
        <v>192</v>
      </c>
      <c r="B196" s="6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5" t="n">
        <v>193</v>
      </c>
      <c r="B197" s="6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5" t="n">
        <v>194</v>
      </c>
      <c r="B198" s="6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5" t="n">
        <v>195</v>
      </c>
      <c r="B199" s="6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5" t="n">
        <v>196</v>
      </c>
      <c r="B200" s="6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5" t="n">
        <v>197</v>
      </c>
      <c r="B201" s="6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5" t="n">
        <v>198</v>
      </c>
      <c r="B202" s="6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5" t="n">
        <v>199</v>
      </c>
      <c r="B203" s="6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5" t="n">
        <v>200</v>
      </c>
      <c r="B204" s="6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5" t="n">
        <v>201</v>
      </c>
      <c r="B205" s="6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5" t="n">
        <v>202</v>
      </c>
      <c r="B206" s="6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5" t="n">
        <v>203</v>
      </c>
      <c r="B207" s="6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5" t="n">
        <v>204</v>
      </c>
      <c r="B208" s="6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5" t="n">
        <v>205</v>
      </c>
      <c r="B209" s="6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5" t="n">
        <v>206</v>
      </c>
      <c r="B210" s="6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5" t="n">
        <v>207</v>
      </c>
      <c r="B211" s="6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5" t="n">
        <v>208</v>
      </c>
      <c r="B212" s="6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5" t="n">
        <v>209</v>
      </c>
      <c r="B213" s="6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5" t="n">
        <v>210</v>
      </c>
      <c r="B214" s="6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5" t="n">
        <v>211</v>
      </c>
      <c r="B215" s="6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5" t="n">
        <v>212</v>
      </c>
      <c r="B216" s="6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5" t="n">
        <v>213</v>
      </c>
      <c r="B217" s="6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5" t="n">
        <v>214</v>
      </c>
      <c r="B218" s="6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5" t="n">
        <v>215</v>
      </c>
      <c r="B219" s="6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5" t="n">
        <v>216</v>
      </c>
      <c r="B220" s="6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5" t="n">
        <v>217</v>
      </c>
      <c r="B221" s="6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5" t="n">
        <v>218</v>
      </c>
      <c r="B222" s="6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5" t="n">
        <v>219</v>
      </c>
      <c r="B223" s="6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5" t="n">
        <v>220</v>
      </c>
      <c r="B224" s="6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5" t="n">
        <v>221</v>
      </c>
      <c r="B225" s="6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5" t="n">
        <v>222</v>
      </c>
      <c r="B226" s="6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5" t="n">
        <v>223</v>
      </c>
      <c r="B227" s="6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5" t="n">
        <v>224</v>
      </c>
      <c r="B228" s="6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5" t="n">
        <v>225</v>
      </c>
      <c r="B229" s="6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5" t="n">
        <v>226</v>
      </c>
      <c r="B230" s="6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5" t="n">
        <v>227</v>
      </c>
      <c r="B231" s="6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5" t="n">
        <v>228</v>
      </c>
      <c r="B232" s="6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5" t="n">
        <v>229</v>
      </c>
      <c r="B233" s="6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5" t="n">
        <v>230</v>
      </c>
      <c r="B234" s="6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5" t="n">
        <v>231</v>
      </c>
      <c r="B235" s="6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5" t="n">
        <v>232</v>
      </c>
      <c r="B236" s="6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5" t="n">
        <v>233</v>
      </c>
      <c r="B237" s="6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5" t="n">
        <v>234</v>
      </c>
      <c r="B238" s="6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5" t="n">
        <v>235</v>
      </c>
      <c r="B239" s="6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5" t="n">
        <v>236</v>
      </c>
      <c r="B240" s="6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5" t="n">
        <v>237</v>
      </c>
      <c r="B241" s="6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5" t="n">
        <v>238</v>
      </c>
      <c r="B242" s="6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5" t="n">
        <v>239</v>
      </c>
      <c r="B243" s="6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5" t="n">
        <v>240</v>
      </c>
      <c r="B244" s="6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5" t="n">
        <v>241</v>
      </c>
      <c r="B245" s="6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5" t="n">
        <v>242</v>
      </c>
      <c r="B246" s="6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5" t="n">
        <v>243</v>
      </c>
      <c r="B247" s="6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5" t="n">
        <v>244</v>
      </c>
      <c r="B248" s="6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5" t="n">
        <v>245</v>
      </c>
      <c r="B249" s="6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5" t="n">
        <v>246</v>
      </c>
      <c r="B250" s="6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5" t="n">
        <v>247</v>
      </c>
      <c r="B251" s="6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5" t="n">
        <v>248</v>
      </c>
      <c r="B252" s="6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5" t="n">
        <v>249</v>
      </c>
      <c r="B253" s="6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5" t="n">
        <v>250</v>
      </c>
      <c r="B254" s="6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5" t="n">
        <v>251</v>
      </c>
      <c r="B255" s="6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5" t="n">
        <v>252</v>
      </c>
      <c r="B256" s="6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5" t="n">
        <v>253</v>
      </c>
      <c r="B257" s="6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5" t="n">
        <v>254</v>
      </c>
      <c r="B258" s="6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5" t="n">
        <v>255</v>
      </c>
      <c r="B259" s="6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5" t="n">
        <v>256</v>
      </c>
      <c r="B260" s="6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5" t="n">
        <v>257</v>
      </c>
      <c r="B261" s="6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5" t="n">
        <v>258</v>
      </c>
      <c r="B262" s="6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5" t="n">
        <v>259</v>
      </c>
      <c r="B263" s="6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5" t="n">
        <v>260</v>
      </c>
      <c r="B264" s="6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5" t="n">
        <v>261</v>
      </c>
      <c r="B265" s="6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5" t="n">
        <v>262</v>
      </c>
      <c r="B266" s="6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5" t="n">
        <v>263</v>
      </c>
      <c r="B267" s="6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5" t="n">
        <v>264</v>
      </c>
      <c r="B268" s="6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5" t="n">
        <v>265</v>
      </c>
      <c r="B269" s="6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5" t="n">
        <v>266</v>
      </c>
      <c r="B270" s="6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5" t="n">
        <v>267</v>
      </c>
      <c r="B271" s="6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5" t="n">
        <v>268</v>
      </c>
      <c r="B272" s="6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5" t="n">
        <v>269</v>
      </c>
      <c r="B273" s="6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5" t="n">
        <v>270</v>
      </c>
      <c r="B274" s="6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5" t="n">
        <v>271</v>
      </c>
      <c r="B275" s="6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5" t="n">
        <v>272</v>
      </c>
      <c r="B276" s="6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5" t="n">
        <v>273</v>
      </c>
      <c r="B277" s="6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5" t="n">
        <v>274</v>
      </c>
      <c r="B278" s="6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5" t="n">
        <v>275</v>
      </c>
      <c r="B279" s="6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5" t="n">
        <v>276</v>
      </c>
      <c r="B280" s="6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5" t="n">
        <v>277</v>
      </c>
      <c r="B281" s="6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5" t="n">
        <v>278</v>
      </c>
      <c r="B282" s="6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5" t="n">
        <v>279</v>
      </c>
      <c r="B283" s="6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5" t="n">
        <v>280</v>
      </c>
      <c r="B284" s="6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5" t="n">
        <v>281</v>
      </c>
      <c r="B285" s="6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5" t="n">
        <v>282</v>
      </c>
      <c r="B286" s="6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5" t="n">
        <v>283</v>
      </c>
      <c r="B287" s="6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5" t="n">
        <v>284</v>
      </c>
      <c r="B288" s="6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5" t="n">
        <v>285</v>
      </c>
      <c r="B289" s="6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5" t="n">
        <v>286</v>
      </c>
      <c r="B290" s="6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5" t="n">
        <v>287</v>
      </c>
      <c r="B291" s="6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5" t="n">
        <v>288</v>
      </c>
      <c r="B292" s="6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5" t="n">
        <v>289</v>
      </c>
      <c r="B293" s="6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5" t="n">
        <v>290</v>
      </c>
      <c r="B294" s="6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5" t="n">
        <v>291</v>
      </c>
      <c r="B295" s="6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5" t="n">
        <v>292</v>
      </c>
      <c r="B296" s="6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5" t="n">
        <v>293</v>
      </c>
      <c r="B297" s="6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5" t="n">
        <v>294</v>
      </c>
      <c r="B298" s="6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5" t="n">
        <v>295</v>
      </c>
      <c r="B299" s="6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5" t="n">
        <v>296</v>
      </c>
      <c r="B300" s="6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5" t="n">
        <v>297</v>
      </c>
      <c r="B301" s="6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5" t="n">
        <v>298</v>
      </c>
      <c r="B302" s="6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5" t="n">
        <v>299</v>
      </c>
      <c r="B303" s="6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5" t="n">
        <v>300</v>
      </c>
      <c r="B304" s="6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5" t="n">
        <v>301</v>
      </c>
      <c r="B305" s="6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5" t="n">
        <v>302</v>
      </c>
      <c r="B306" s="6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5" t="n">
        <v>303</v>
      </c>
      <c r="B307" s="6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5" t="n">
        <v>304</v>
      </c>
      <c r="B308" s="6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5" t="n">
        <v>305</v>
      </c>
      <c r="B309" s="6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5" t="n">
        <v>306</v>
      </c>
      <c r="B310" s="6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5" t="n">
        <v>307</v>
      </c>
      <c r="B311" s="6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5" t="n">
        <v>308</v>
      </c>
      <c r="B312" s="6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5" t="n">
        <v>309</v>
      </c>
      <c r="B313" s="6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5" t="n">
        <v>310</v>
      </c>
      <c r="B314" s="6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5" t="n">
        <v>311</v>
      </c>
      <c r="B315" s="6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5" t="n">
        <v>312</v>
      </c>
      <c r="B316" s="6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5" t="n">
        <v>313</v>
      </c>
      <c r="B317" s="6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5" t="n">
        <v>314</v>
      </c>
      <c r="B318" s="6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5" t="n">
        <v>315</v>
      </c>
      <c r="B319" s="6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5" t="n">
        <v>316</v>
      </c>
      <c r="B320" s="6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5" t="n">
        <v>317</v>
      </c>
      <c r="B321" s="6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5" t="n">
        <v>318</v>
      </c>
      <c r="B322" s="6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5" t="n">
        <v>319</v>
      </c>
      <c r="B323" s="6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5" t="n">
        <v>320</v>
      </c>
      <c r="B324" s="6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5" t="n">
        <v>321</v>
      </c>
      <c r="B325" s="6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5" t="n">
        <v>322</v>
      </c>
      <c r="B326" s="6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5" t="n">
        <v>323</v>
      </c>
      <c r="B327" s="6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5" t="n">
        <v>324</v>
      </c>
      <c r="B328" s="6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5" t="n">
        <v>325</v>
      </c>
      <c r="B329" s="6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5" t="n">
        <v>326</v>
      </c>
      <c r="B330" s="6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5" t="n">
        <v>327</v>
      </c>
      <c r="B331" s="6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5" t="n">
        <v>328</v>
      </c>
      <c r="B332" s="6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5" t="n">
        <v>329</v>
      </c>
      <c r="B333" s="6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5" t="n">
        <v>330</v>
      </c>
      <c r="B334" s="6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5" t="n">
        <v>331</v>
      </c>
      <c r="B335" s="6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5" t="n">
        <v>332</v>
      </c>
      <c r="B336" s="6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5" t="n">
        <v>333</v>
      </c>
      <c r="B337" s="6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5" t="n">
        <v>334</v>
      </c>
      <c r="B338" s="6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5" t="n">
        <v>335</v>
      </c>
      <c r="B339" s="6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5" t="n">
        <v>336</v>
      </c>
      <c r="B340" s="6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5" t="n">
        <v>337</v>
      </c>
      <c r="B341" s="6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5" t="n">
        <v>338</v>
      </c>
      <c r="B342" s="6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5" t="n">
        <v>339</v>
      </c>
      <c r="B343" s="6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5" t="n">
        <v>340</v>
      </c>
      <c r="B344" s="6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5" t="n">
        <v>341</v>
      </c>
      <c r="B345" s="6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5" t="n">
        <v>342</v>
      </c>
      <c r="B346" s="6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5" t="n">
        <v>343</v>
      </c>
      <c r="B347" s="6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5" t="n">
        <v>344</v>
      </c>
      <c r="B348" s="6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5" t="n">
        <v>345</v>
      </c>
      <c r="B349" s="6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5" t="n">
        <v>346</v>
      </c>
      <c r="B350" s="6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5" t="n">
        <v>347</v>
      </c>
      <c r="B351" s="6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5" t="n">
        <v>348</v>
      </c>
      <c r="B352" s="6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5" t="n">
        <v>349</v>
      </c>
      <c r="B353" s="6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5" t="n">
        <v>350</v>
      </c>
      <c r="B354" s="6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5" t="n">
        <v>351</v>
      </c>
      <c r="B355" s="6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5" t="n">
        <v>352</v>
      </c>
      <c r="B356" s="6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5" t="n">
        <v>353</v>
      </c>
      <c r="B357" s="6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5" t="n">
        <v>354</v>
      </c>
      <c r="B358" s="6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5" t="n">
        <v>355</v>
      </c>
      <c r="B359" s="6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5" t="n">
        <v>356</v>
      </c>
      <c r="B360" s="6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5" t="n">
        <v>357</v>
      </c>
      <c r="B361" s="6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5" t="n">
        <v>358</v>
      </c>
      <c r="B362" s="6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5" t="n">
        <v>359</v>
      </c>
      <c r="B363" s="6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5" t="n">
        <v>360</v>
      </c>
      <c r="B364" s="6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5" t="n">
        <v>361</v>
      </c>
      <c r="B365" s="6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5" t="n">
        <v>362</v>
      </c>
      <c r="B366" s="6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5" t="n">
        <v>363</v>
      </c>
      <c r="B367" s="6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5" t="n">
        <v>364</v>
      </c>
      <c r="B368" s="6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5" t="n">
        <v>365</v>
      </c>
      <c r="B369" s="6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5" t="n">
        <v>366</v>
      </c>
      <c r="B370" s="6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5" t="n">
        <v>367</v>
      </c>
      <c r="B371" s="6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5" t="n">
        <v>368</v>
      </c>
      <c r="B372" s="6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5" t="n">
        <v>369</v>
      </c>
      <c r="B373" s="6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5" t="n">
        <v>370</v>
      </c>
      <c r="B374" s="6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5" t="n">
        <v>371</v>
      </c>
      <c r="B375" s="6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5" t="n">
        <v>372</v>
      </c>
      <c r="B376" s="6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5" t="n">
        <v>373</v>
      </c>
      <c r="B377" s="6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5" t="n">
        <v>374</v>
      </c>
      <c r="B378" s="6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5" t="n">
        <v>375</v>
      </c>
      <c r="B379" s="6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5" t="n">
        <v>376</v>
      </c>
      <c r="B380" s="6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5" t="n">
        <v>377</v>
      </c>
      <c r="B381" s="6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5" t="n">
        <v>378</v>
      </c>
      <c r="B382" s="6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5" t="n">
        <v>379</v>
      </c>
      <c r="B383" s="6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5" t="n">
        <v>380</v>
      </c>
      <c r="B384" s="6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5" t="n">
        <v>381</v>
      </c>
      <c r="B385" s="6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5" t="n">
        <v>382</v>
      </c>
      <c r="B386" s="6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5" t="n">
        <v>383</v>
      </c>
      <c r="B387" s="6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5" t="n">
        <v>384</v>
      </c>
      <c r="B388" s="6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5" t="n">
        <v>385</v>
      </c>
      <c r="B389" s="6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5" t="n">
        <v>386</v>
      </c>
      <c r="B390" s="6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5" t="n">
        <v>387</v>
      </c>
      <c r="B391" s="6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5" t="n">
        <v>388</v>
      </c>
      <c r="B392" s="6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5" t="n">
        <v>389</v>
      </c>
      <c r="B393" s="6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5" t="n">
        <v>390</v>
      </c>
      <c r="B394" s="6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5" t="n">
        <v>391</v>
      </c>
      <c r="B395" s="6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5" t="n">
        <v>392</v>
      </c>
      <c r="B396" s="6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5" t="n">
        <v>393</v>
      </c>
      <c r="B397" s="6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5" t="n">
        <v>394</v>
      </c>
      <c r="B398" s="6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5" t="n">
        <v>395</v>
      </c>
      <c r="B399" s="6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5" t="n">
        <v>396</v>
      </c>
      <c r="B400" s="6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5" t="n">
        <v>397</v>
      </c>
      <c r="B401" s="6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5" t="n">
        <v>398</v>
      </c>
      <c r="B402" s="6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5" t="n">
        <v>399</v>
      </c>
      <c r="B403" s="6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5" t="n">
        <v>400</v>
      </c>
      <c r="B404" s="6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5" t="n">
        <v>401</v>
      </c>
      <c r="B405" s="6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5" t="n">
        <v>402</v>
      </c>
      <c r="B406" s="6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5" t="n">
        <v>403</v>
      </c>
      <c r="B407" s="6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5" t="n">
        <v>404</v>
      </c>
      <c r="B408" s="6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5" t="n">
        <v>405</v>
      </c>
      <c r="B409" s="6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5" t="n">
        <v>406</v>
      </c>
      <c r="B410" s="6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5" t="n">
        <v>407</v>
      </c>
      <c r="B411" s="6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5" t="n">
        <v>408</v>
      </c>
      <c r="B412" s="6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5" t="n">
        <v>409</v>
      </c>
      <c r="B413" s="6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5" t="n">
        <v>410</v>
      </c>
      <c r="B414" s="6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5" t="n">
        <v>411</v>
      </c>
      <c r="B415" s="6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5" t="n">
        <v>412</v>
      </c>
      <c r="B416" s="6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5" t="n">
        <v>413</v>
      </c>
      <c r="B417" s="6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5" t="n">
        <v>414</v>
      </c>
      <c r="B418" s="6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5" t="n">
        <v>415</v>
      </c>
      <c r="B419" s="6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5" t="n">
        <v>416</v>
      </c>
      <c r="B420" s="6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5" t="n">
        <v>417</v>
      </c>
      <c r="B421" s="6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5" t="n">
        <v>418</v>
      </c>
      <c r="B422" s="6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5" t="n">
        <v>419</v>
      </c>
      <c r="B423" s="6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5" t="n">
        <v>420</v>
      </c>
      <c r="B424" s="6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5" t="n">
        <v>421</v>
      </c>
      <c r="B425" s="6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5" t="n">
        <v>422</v>
      </c>
      <c r="B426" s="6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5" t="n">
        <v>423</v>
      </c>
      <c r="B427" s="6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5" t="n">
        <v>424</v>
      </c>
      <c r="B428" s="6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5" t="n">
        <v>425</v>
      </c>
      <c r="B429" s="6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5" t="n">
        <v>426</v>
      </c>
      <c r="B430" s="6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5" t="n">
        <v>427</v>
      </c>
      <c r="B431" s="6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5" t="n">
        <v>428</v>
      </c>
      <c r="B432" s="6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5" t="n">
        <v>429</v>
      </c>
      <c r="B433" s="6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5" t="n">
        <v>430</v>
      </c>
      <c r="B434" s="6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5" t="n">
        <v>431</v>
      </c>
      <c r="B435" s="6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5" t="n">
        <v>432</v>
      </c>
      <c r="B436" s="6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5" t="n">
        <v>433</v>
      </c>
      <c r="B437" s="6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5" t="n">
        <v>434</v>
      </c>
      <c r="B438" s="6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5" t="n">
        <v>435</v>
      </c>
      <c r="B439" s="6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5" t="n">
        <v>436</v>
      </c>
      <c r="B440" s="6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5" t="n">
        <v>437</v>
      </c>
      <c r="B441" s="6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5" t="n">
        <v>438</v>
      </c>
      <c r="B442" s="6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5" t="n">
        <v>439</v>
      </c>
      <c r="B443" s="6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5" t="n">
        <v>440</v>
      </c>
      <c r="B444" s="6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5" t="n">
        <v>441</v>
      </c>
      <c r="B445" s="6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5" t="n">
        <v>442</v>
      </c>
      <c r="B446" s="6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5" t="n">
        <v>443</v>
      </c>
      <c r="B447" s="6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5" t="n">
        <v>444</v>
      </c>
      <c r="B448" s="6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5" t="n">
        <v>445</v>
      </c>
      <c r="B449" s="6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5" t="n">
        <v>446</v>
      </c>
      <c r="B450" s="6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5" t="n">
        <v>447</v>
      </c>
      <c r="B451" s="6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5" t="n">
        <v>448</v>
      </c>
      <c r="B452" s="6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5" t="n">
        <v>449</v>
      </c>
      <c r="B453" s="6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5" t="n">
        <v>450</v>
      </c>
      <c r="B454" s="6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5" t="n">
        <v>451</v>
      </c>
      <c r="B455" s="6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5" t="n">
        <v>452</v>
      </c>
      <c r="B456" s="6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5" t="n">
        <v>453</v>
      </c>
      <c r="B457" s="6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5" t="n">
        <v>454</v>
      </c>
      <c r="B458" s="6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5" t="n">
        <v>455</v>
      </c>
      <c r="B459" s="6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5" t="n">
        <v>456</v>
      </c>
      <c r="B460" s="6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5" t="n">
        <v>457</v>
      </c>
      <c r="B461" s="6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5" t="n">
        <v>458</v>
      </c>
      <c r="B462" s="6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5" t="n">
        <v>459</v>
      </c>
      <c r="B463" s="6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5" t="n">
        <v>460</v>
      </c>
      <c r="B464" s="6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5" t="n">
        <v>461</v>
      </c>
      <c r="B465" s="6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5" t="n">
        <v>462</v>
      </c>
      <c r="B466" s="6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5" t="n">
        <v>463</v>
      </c>
      <c r="B467" s="6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5" t="n">
        <v>464</v>
      </c>
      <c r="B468" s="6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5" t="n">
        <v>465</v>
      </c>
      <c r="B469" s="6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5" t="n">
        <v>466</v>
      </c>
      <c r="B470" s="6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5" t="n">
        <v>467</v>
      </c>
      <c r="B471" s="6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5" t="n">
        <v>468</v>
      </c>
      <c r="B472" s="6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5" t="n">
        <v>469</v>
      </c>
      <c r="B473" s="6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5" t="n">
        <v>470</v>
      </c>
      <c r="B474" s="6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5" t="n">
        <v>471</v>
      </c>
      <c r="B475" s="6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5" t="n">
        <v>472</v>
      </c>
      <c r="B476" s="6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5" t="n">
        <v>473</v>
      </c>
      <c r="B477" s="6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5" t="n">
        <v>474</v>
      </c>
      <c r="B478" s="6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5" t="n">
        <v>475</v>
      </c>
      <c r="B479" s="6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5" t="n">
        <v>476</v>
      </c>
      <c r="B480" s="6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5" t="n">
        <v>477</v>
      </c>
      <c r="B481" s="6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5" t="n">
        <v>478</v>
      </c>
      <c r="B482" s="6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5" t="n">
        <v>479</v>
      </c>
      <c r="B483" s="6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5" t="n">
        <v>480</v>
      </c>
      <c r="B484" s="6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5" t="n">
        <v>481</v>
      </c>
      <c r="B485" s="6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5" t="n">
        <v>482</v>
      </c>
      <c r="B486" s="6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5" t="n">
        <v>483</v>
      </c>
      <c r="B487" s="6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5" t="n">
        <v>484</v>
      </c>
      <c r="B488" s="6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5" t="n">
        <v>485</v>
      </c>
      <c r="B489" s="6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5" t="n">
        <v>486</v>
      </c>
      <c r="B490" s="6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5" t="n">
        <v>487</v>
      </c>
      <c r="B491" s="6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5" t="n">
        <v>488</v>
      </c>
      <c r="B492" s="6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5" t="n">
        <v>489</v>
      </c>
      <c r="B493" s="6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5" t="n">
        <v>490</v>
      </c>
      <c r="B494" s="6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5" t="n">
        <v>491</v>
      </c>
      <c r="B495" s="6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5" t="n">
        <v>492</v>
      </c>
      <c r="B496" s="6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5" t="n">
        <v>493</v>
      </c>
      <c r="B497" s="6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5" t="n">
        <v>494</v>
      </c>
      <c r="B498" s="6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5" t="n">
        <v>495</v>
      </c>
      <c r="B499" s="6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5" t="n">
        <v>496</v>
      </c>
      <c r="B500" s="6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5" t="n">
        <v>497</v>
      </c>
      <c r="B501" s="6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5" t="n">
        <v>498</v>
      </c>
      <c r="B502" s="6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5" t="n">
        <v>499</v>
      </c>
      <c r="B503" s="6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5" t="n">
        <v>500</v>
      </c>
      <c r="B504" s="6" t="n"/>
      <c r="C504" s="7" t="n"/>
      <c r="D504" s="7" t="n"/>
      <c r="E504" s="7" t="n"/>
      <c r="F504" s="7" t="n"/>
      <c r="G504" s="7" t="n"/>
      <c r="H504" s="7" t="n"/>
      <c r="I504" s="7" t="n"/>
    </row>
  </sheetData>
  <dataValidations count="1">
    <dataValidation sqref="I5:I504" showDropDown="0" showInputMessage="0" showErrorMessage="0" allowBlank="1" errorTitle="Недопустимое значение" error="Выберите значение из списка" type="list">
      <formula1>"Да,Нет"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6" customWidth="1" min="4" max="4"/>
    <col width="40" customWidth="1" min="5" max="5"/>
    <col width="22" customWidth="1" min="6" max="6"/>
    <col width="12" customWidth="1" min="7" max="7"/>
    <col width="12" customWidth="1" min="8" max="8"/>
    <col width="26" customWidth="1" min="9" max="9"/>
    <col width="20" customWidth="1" min="10" max="10"/>
    <col width="28" customWidth="1" min="11" max="11"/>
  </cols>
  <sheetData>
    <row r="1">
      <c r="A1" s="1" t="inlineStr">
        <is>
          <t>Реестр замечаний заказчика</t>
        </is>
      </c>
    </row>
    <row r="2">
      <c r="A2" s="2" t="inlineStr">
        <is>
          <t>Каждое замечание — отдельная строка. Тип определяет порядок работы (файл 10, раздел Б). Статус считается сам.</t>
        </is>
      </c>
    </row>
    <row r="4">
      <c r="A4" s="4" t="inlineStr">
        <is>
          <t>№</t>
        </is>
      </c>
      <c r="B4" s="4" t="inlineStr">
        <is>
          <t>Дата получения</t>
        </is>
      </c>
      <c r="C4" s="4" t="inlineStr">
        <is>
          <t>Документ заказчика (№, дата)</t>
        </is>
      </c>
      <c r="D4" s="4" t="inlineStr">
        <is>
          <t>К какому акту</t>
        </is>
      </c>
      <c r="E4" s="4" t="inlineStr">
        <is>
          <t>Текст замечания</t>
        </is>
      </c>
      <c r="F4" s="4" t="inlineStr">
        <is>
          <t>Тип</t>
        </is>
      </c>
      <c r="G4" s="4" t="inlineStr">
        <is>
          <t>Срок устранения</t>
        </is>
      </c>
      <c r="H4" s="4" t="inlineStr">
        <is>
          <t>Дата устранения</t>
        </is>
      </c>
      <c r="I4" s="4" t="inlineStr">
        <is>
          <t>Подтверждение устранения</t>
        </is>
      </c>
      <c r="J4" s="4" t="inlineStr">
        <is>
          <t>Повторное предъявление (№, дата)</t>
        </is>
      </c>
      <c r="K4" s="4" t="inlineStr">
        <is>
          <t>Статус</t>
        </is>
      </c>
    </row>
    <row r="5">
      <c r="A5" s="5" t="n">
        <v>1</v>
      </c>
      <c r="B5" s="6" t="n"/>
      <c r="C5" s="7" t="n"/>
      <c r="D5" s="7" t="n"/>
      <c r="E5" s="7" t="n"/>
      <c r="F5" s="7" t="n"/>
      <c r="G5" s="6" t="n"/>
      <c r="H5" s="6" t="n"/>
      <c r="I5" s="7" t="n"/>
      <c r="J5" s="7" t="n"/>
      <c r="K5" s="5">
        <f>IF(E5="","",IF(OR(F5="Мотивированный отказ",F5="Спор об объёме или качестве"),"ГРАНИЦА B4: к специалисту",IF(F5="Связано с удержанием или неустойкой","ГРАНИЦА B2: к специалисту",IF(F5="","УКАЖИТЕ ТИП",IF(AND(H5&lt;&gt;"",J5&lt;&gt;""),"ЗАКРЫТО",IF(H5&lt;&gt;"","УСТРАНЕНО, НЕ ПРЕДЪЯВЛЕНО",IF(AND(G5&lt;&gt;"",TODAY()&gt;G5),"ПРОСРОЧЕНО","В РАБОТЕ")))))))</f>
        <v/>
      </c>
    </row>
    <row r="6">
      <c r="A6" s="5" t="n">
        <v>2</v>
      </c>
      <c r="B6" s="6" t="n"/>
      <c r="C6" s="7" t="n"/>
      <c r="D6" s="7" t="n"/>
      <c r="E6" s="7" t="n"/>
      <c r="F6" s="7" t="n"/>
      <c r="G6" s="6" t="n"/>
      <c r="H6" s="6" t="n"/>
      <c r="I6" s="7" t="n"/>
      <c r="J6" s="7" t="n"/>
      <c r="K6" s="5">
        <f>IF(E6="","",IF(OR(F6="Мотивированный отказ",F6="Спор об объёме или качестве"),"ГРАНИЦА B4: к специалисту",IF(F6="Связано с удержанием или неустойкой","ГРАНИЦА B2: к специалисту",IF(F6="","УКАЖИТЕ ТИП",IF(AND(H6&lt;&gt;"",J6&lt;&gt;""),"ЗАКРЫТО",IF(H6&lt;&gt;"","УСТРАНЕНО, НЕ ПРЕДЪЯВЛЕНО",IF(AND(G6&lt;&gt;"",TODAY()&gt;G6),"ПРОСРОЧЕНО","В РАБОТЕ")))))))</f>
        <v/>
      </c>
    </row>
    <row r="7">
      <c r="A7" s="5" t="n">
        <v>3</v>
      </c>
      <c r="B7" s="6" t="n"/>
      <c r="C7" s="7" t="n"/>
      <c r="D7" s="7" t="n"/>
      <c r="E7" s="7" t="n"/>
      <c r="F7" s="7" t="n"/>
      <c r="G7" s="6" t="n"/>
      <c r="H7" s="6" t="n"/>
      <c r="I7" s="7" t="n"/>
      <c r="J7" s="7" t="n"/>
      <c r="K7" s="5">
        <f>IF(E7="","",IF(OR(F7="Мотивированный отказ",F7="Спор об объёме или качестве"),"ГРАНИЦА B4: к специалисту",IF(F7="Связано с удержанием или неустойкой","ГРАНИЦА B2: к специалисту",IF(F7="","УКАЖИТЕ ТИП",IF(AND(H7&lt;&gt;"",J7&lt;&gt;""),"ЗАКРЫТО",IF(H7&lt;&gt;"","УСТРАНЕНО, НЕ ПРЕДЪЯВЛЕНО",IF(AND(G7&lt;&gt;"",TODAY()&gt;G7),"ПРОСРОЧЕНО","В РАБОТЕ")))))))</f>
        <v/>
      </c>
    </row>
    <row r="8">
      <c r="A8" s="5" t="n">
        <v>4</v>
      </c>
      <c r="B8" s="6" t="n"/>
      <c r="C8" s="7" t="n"/>
      <c r="D8" s="7" t="n"/>
      <c r="E8" s="7" t="n"/>
      <c r="F8" s="7" t="n"/>
      <c r="G8" s="6" t="n"/>
      <c r="H8" s="6" t="n"/>
      <c r="I8" s="7" t="n"/>
      <c r="J8" s="7" t="n"/>
      <c r="K8" s="5">
        <f>IF(E8="","",IF(OR(F8="Мотивированный отказ",F8="Спор об объёме или качестве"),"ГРАНИЦА B4: к специалисту",IF(F8="Связано с удержанием или неустойкой","ГРАНИЦА B2: к специалисту",IF(F8="","УКАЖИТЕ ТИП",IF(AND(H8&lt;&gt;"",J8&lt;&gt;""),"ЗАКРЫТО",IF(H8&lt;&gt;"","УСТРАНЕНО, НЕ ПРЕДЪЯВЛЕНО",IF(AND(G8&lt;&gt;"",TODAY()&gt;G8),"ПРОСРОЧЕНО","В РАБОТЕ")))))))</f>
        <v/>
      </c>
    </row>
    <row r="9">
      <c r="A9" s="5" t="n">
        <v>5</v>
      </c>
      <c r="B9" s="6" t="n"/>
      <c r="C9" s="7" t="n"/>
      <c r="D9" s="7" t="n"/>
      <c r="E9" s="7" t="n"/>
      <c r="F9" s="7" t="n"/>
      <c r="G9" s="6" t="n"/>
      <c r="H9" s="6" t="n"/>
      <c r="I9" s="7" t="n"/>
      <c r="J9" s="7" t="n"/>
      <c r="K9" s="5">
        <f>IF(E9="","",IF(OR(F9="Мотивированный отказ",F9="Спор об объёме или качестве"),"ГРАНИЦА B4: к специалисту",IF(F9="Связано с удержанием или неустойкой","ГРАНИЦА B2: к специалисту",IF(F9="","УКАЖИТЕ ТИП",IF(AND(H9&lt;&gt;"",J9&lt;&gt;""),"ЗАКРЫТО",IF(H9&lt;&gt;"","УСТРАНЕНО, НЕ ПРЕДЪЯВЛЕНО",IF(AND(G9&lt;&gt;"",TODAY()&gt;G9),"ПРОСРОЧЕНО","В РАБОТЕ")))))))</f>
        <v/>
      </c>
    </row>
    <row r="10">
      <c r="A10" s="5" t="n">
        <v>6</v>
      </c>
      <c r="B10" s="6" t="n"/>
      <c r="C10" s="7" t="n"/>
      <c r="D10" s="7" t="n"/>
      <c r="E10" s="7" t="n"/>
      <c r="F10" s="7" t="n"/>
      <c r="G10" s="6" t="n"/>
      <c r="H10" s="6" t="n"/>
      <c r="I10" s="7" t="n"/>
      <c r="J10" s="7" t="n"/>
      <c r="K10" s="5">
        <f>IF(E10="","",IF(OR(F10="Мотивированный отказ",F10="Спор об объёме или качестве"),"ГРАНИЦА B4: к специалисту",IF(F10="Связано с удержанием или неустойкой","ГРАНИЦА B2: к специалисту",IF(F10="","УКАЖИТЕ ТИП",IF(AND(H10&lt;&gt;"",J10&lt;&gt;""),"ЗАКРЫТО",IF(H10&lt;&gt;"","УСТРАНЕНО, НЕ ПРЕДЪЯВЛЕНО",IF(AND(G10&lt;&gt;"",TODAY()&gt;G10),"ПРОСРОЧЕНО","В РАБОТЕ")))))))</f>
        <v/>
      </c>
    </row>
    <row r="11">
      <c r="A11" s="5" t="n">
        <v>7</v>
      </c>
      <c r="B11" s="6" t="n"/>
      <c r="C11" s="7" t="n"/>
      <c r="D11" s="7" t="n"/>
      <c r="E11" s="7" t="n"/>
      <c r="F11" s="7" t="n"/>
      <c r="G11" s="6" t="n"/>
      <c r="H11" s="6" t="n"/>
      <c r="I11" s="7" t="n"/>
      <c r="J11" s="7" t="n"/>
      <c r="K11" s="5">
        <f>IF(E11="","",IF(OR(F11="Мотивированный отказ",F11="Спор об объёме или качестве"),"ГРАНИЦА B4: к специалисту",IF(F11="Связано с удержанием или неустойкой","ГРАНИЦА B2: к специалисту",IF(F11="","УКАЖИТЕ ТИП",IF(AND(H11&lt;&gt;"",J11&lt;&gt;""),"ЗАКРЫТО",IF(H11&lt;&gt;"","УСТРАНЕНО, НЕ ПРЕДЪЯВЛЕНО",IF(AND(G11&lt;&gt;"",TODAY()&gt;G11),"ПРОСРОЧЕНО","В РАБОТЕ")))))))</f>
        <v/>
      </c>
    </row>
    <row r="12">
      <c r="A12" s="5" t="n">
        <v>8</v>
      </c>
      <c r="B12" s="6" t="n"/>
      <c r="C12" s="7" t="n"/>
      <c r="D12" s="7" t="n"/>
      <c r="E12" s="7" t="n"/>
      <c r="F12" s="7" t="n"/>
      <c r="G12" s="6" t="n"/>
      <c r="H12" s="6" t="n"/>
      <c r="I12" s="7" t="n"/>
      <c r="J12" s="7" t="n"/>
      <c r="K12" s="5">
        <f>IF(E12="","",IF(OR(F12="Мотивированный отказ",F12="Спор об объёме или качестве"),"ГРАНИЦА B4: к специалисту",IF(F12="Связано с удержанием или неустойкой","ГРАНИЦА B2: к специалисту",IF(F12="","УКАЖИТЕ ТИП",IF(AND(H12&lt;&gt;"",J12&lt;&gt;""),"ЗАКРЫТО",IF(H12&lt;&gt;"","УСТРАНЕНО, НЕ ПРЕДЪЯВЛЕНО",IF(AND(G12&lt;&gt;"",TODAY()&gt;G12),"ПРОСРОЧЕНО","В РАБОТЕ")))))))</f>
        <v/>
      </c>
    </row>
    <row r="13">
      <c r="A13" s="5" t="n">
        <v>9</v>
      </c>
      <c r="B13" s="6" t="n"/>
      <c r="C13" s="7" t="n"/>
      <c r="D13" s="7" t="n"/>
      <c r="E13" s="7" t="n"/>
      <c r="F13" s="7" t="n"/>
      <c r="G13" s="6" t="n"/>
      <c r="H13" s="6" t="n"/>
      <c r="I13" s="7" t="n"/>
      <c r="J13" s="7" t="n"/>
      <c r="K13" s="5">
        <f>IF(E13="","",IF(OR(F13="Мотивированный отказ",F13="Спор об объёме или качестве"),"ГРАНИЦА B4: к специалисту",IF(F13="Связано с удержанием или неустойкой","ГРАНИЦА B2: к специалисту",IF(F13="","УКАЖИТЕ ТИП",IF(AND(H13&lt;&gt;"",J13&lt;&gt;""),"ЗАКРЫТО",IF(H13&lt;&gt;"","УСТРАНЕНО, НЕ ПРЕДЪЯВЛЕНО",IF(AND(G13&lt;&gt;"",TODAY()&gt;G13),"ПРОСРОЧЕНО","В РАБОТЕ")))))))</f>
        <v/>
      </c>
    </row>
    <row r="14">
      <c r="A14" s="5" t="n">
        <v>10</v>
      </c>
      <c r="B14" s="6" t="n"/>
      <c r="C14" s="7" t="n"/>
      <c r="D14" s="7" t="n"/>
      <c r="E14" s="7" t="n"/>
      <c r="F14" s="7" t="n"/>
      <c r="G14" s="6" t="n"/>
      <c r="H14" s="6" t="n"/>
      <c r="I14" s="7" t="n"/>
      <c r="J14" s="7" t="n"/>
      <c r="K14" s="5">
        <f>IF(E14="","",IF(OR(F14="Мотивированный отказ",F14="Спор об объёме или качестве"),"ГРАНИЦА B4: к специалисту",IF(F14="Связано с удержанием или неустойкой","ГРАНИЦА B2: к специалисту",IF(F14="","УКАЖИТЕ ТИП",IF(AND(H14&lt;&gt;"",J14&lt;&gt;""),"ЗАКРЫТО",IF(H14&lt;&gt;"","УСТРАНЕНО, НЕ ПРЕДЪЯВЛЕНО",IF(AND(G14&lt;&gt;"",TODAY()&gt;G14),"ПРОСРОЧЕНО","В РАБОТЕ")))))))</f>
        <v/>
      </c>
    </row>
    <row r="15">
      <c r="A15" s="5" t="n">
        <v>11</v>
      </c>
      <c r="B15" s="6" t="n"/>
      <c r="C15" s="7" t="n"/>
      <c r="D15" s="7" t="n"/>
      <c r="E15" s="7" t="n"/>
      <c r="F15" s="7" t="n"/>
      <c r="G15" s="6" t="n"/>
      <c r="H15" s="6" t="n"/>
      <c r="I15" s="7" t="n"/>
      <c r="J15" s="7" t="n"/>
      <c r="K15" s="5">
        <f>IF(E15="","",IF(OR(F15="Мотивированный отказ",F15="Спор об объёме или качестве"),"ГРАНИЦА B4: к специалисту",IF(F15="Связано с удержанием или неустойкой","ГРАНИЦА B2: к специалисту",IF(F15="","УКАЖИТЕ ТИП",IF(AND(H15&lt;&gt;"",J15&lt;&gt;""),"ЗАКРЫТО",IF(H15&lt;&gt;"","УСТРАНЕНО, НЕ ПРЕДЪЯВЛЕНО",IF(AND(G15&lt;&gt;"",TODAY()&gt;G15),"ПРОСРОЧЕНО","В РАБОТЕ")))))))</f>
        <v/>
      </c>
    </row>
    <row r="16">
      <c r="A16" s="5" t="n">
        <v>12</v>
      </c>
      <c r="B16" s="6" t="n"/>
      <c r="C16" s="7" t="n"/>
      <c r="D16" s="7" t="n"/>
      <c r="E16" s="7" t="n"/>
      <c r="F16" s="7" t="n"/>
      <c r="G16" s="6" t="n"/>
      <c r="H16" s="6" t="n"/>
      <c r="I16" s="7" t="n"/>
      <c r="J16" s="7" t="n"/>
      <c r="K16" s="5">
        <f>IF(E16="","",IF(OR(F16="Мотивированный отказ",F16="Спор об объёме или качестве"),"ГРАНИЦА B4: к специалисту",IF(F16="Связано с удержанием или неустойкой","ГРАНИЦА B2: к специалисту",IF(F16="","УКАЖИТЕ ТИП",IF(AND(H16&lt;&gt;"",J16&lt;&gt;""),"ЗАКРЫТО",IF(H16&lt;&gt;"","УСТРАНЕНО, НЕ ПРЕДЪЯВЛЕНО",IF(AND(G16&lt;&gt;"",TODAY()&gt;G16),"ПРОСРОЧЕНО","В РАБОТЕ")))))))</f>
        <v/>
      </c>
    </row>
    <row r="17">
      <c r="A17" s="5" t="n">
        <v>13</v>
      </c>
      <c r="B17" s="6" t="n"/>
      <c r="C17" s="7" t="n"/>
      <c r="D17" s="7" t="n"/>
      <c r="E17" s="7" t="n"/>
      <c r="F17" s="7" t="n"/>
      <c r="G17" s="6" t="n"/>
      <c r="H17" s="6" t="n"/>
      <c r="I17" s="7" t="n"/>
      <c r="J17" s="7" t="n"/>
      <c r="K17" s="5">
        <f>IF(E17="","",IF(OR(F17="Мотивированный отказ",F17="Спор об объёме или качестве"),"ГРАНИЦА B4: к специалисту",IF(F17="Связано с удержанием или неустойкой","ГРАНИЦА B2: к специалисту",IF(F17="","УКАЖИТЕ ТИП",IF(AND(H17&lt;&gt;"",J17&lt;&gt;""),"ЗАКРЫТО",IF(H17&lt;&gt;"","УСТРАНЕНО, НЕ ПРЕДЪЯВЛЕНО",IF(AND(G17&lt;&gt;"",TODAY()&gt;G17),"ПРОСРОЧЕНО","В РАБОТЕ")))))))</f>
        <v/>
      </c>
    </row>
    <row r="18">
      <c r="A18" s="5" t="n">
        <v>14</v>
      </c>
      <c r="B18" s="6" t="n"/>
      <c r="C18" s="7" t="n"/>
      <c r="D18" s="7" t="n"/>
      <c r="E18" s="7" t="n"/>
      <c r="F18" s="7" t="n"/>
      <c r="G18" s="6" t="n"/>
      <c r="H18" s="6" t="n"/>
      <c r="I18" s="7" t="n"/>
      <c r="J18" s="7" t="n"/>
      <c r="K18" s="5">
        <f>IF(E18="","",IF(OR(F18="Мотивированный отказ",F18="Спор об объёме или качестве"),"ГРАНИЦА B4: к специалисту",IF(F18="Связано с удержанием или неустойкой","ГРАНИЦА B2: к специалисту",IF(F18="","УКАЖИТЕ ТИП",IF(AND(H18&lt;&gt;"",J18&lt;&gt;""),"ЗАКРЫТО",IF(H18&lt;&gt;"","УСТРАНЕНО, НЕ ПРЕДЪЯВЛЕНО",IF(AND(G18&lt;&gt;"",TODAY()&gt;G18),"ПРОСРОЧЕНО","В РАБОТЕ")))))))</f>
        <v/>
      </c>
    </row>
    <row r="19">
      <c r="A19" s="5" t="n">
        <v>15</v>
      </c>
      <c r="B19" s="6" t="n"/>
      <c r="C19" s="7" t="n"/>
      <c r="D19" s="7" t="n"/>
      <c r="E19" s="7" t="n"/>
      <c r="F19" s="7" t="n"/>
      <c r="G19" s="6" t="n"/>
      <c r="H19" s="6" t="n"/>
      <c r="I19" s="7" t="n"/>
      <c r="J19" s="7" t="n"/>
      <c r="K19" s="5">
        <f>IF(E19="","",IF(OR(F19="Мотивированный отказ",F19="Спор об объёме или качестве"),"ГРАНИЦА B4: к специалисту",IF(F19="Связано с удержанием или неустойкой","ГРАНИЦА B2: к специалисту",IF(F19="","УКАЖИТЕ ТИП",IF(AND(H19&lt;&gt;"",J19&lt;&gt;""),"ЗАКРЫТО",IF(H19&lt;&gt;"","УСТРАНЕНО, НЕ ПРЕДЪЯВЛЕНО",IF(AND(G19&lt;&gt;"",TODAY()&gt;G19),"ПРОСРОЧЕНО","В РАБОТЕ")))))))</f>
        <v/>
      </c>
    </row>
    <row r="20">
      <c r="A20" s="5" t="n">
        <v>16</v>
      </c>
      <c r="B20" s="6" t="n"/>
      <c r="C20" s="7" t="n"/>
      <c r="D20" s="7" t="n"/>
      <c r="E20" s="7" t="n"/>
      <c r="F20" s="7" t="n"/>
      <c r="G20" s="6" t="n"/>
      <c r="H20" s="6" t="n"/>
      <c r="I20" s="7" t="n"/>
      <c r="J20" s="7" t="n"/>
      <c r="K20" s="5">
        <f>IF(E20="","",IF(OR(F20="Мотивированный отказ",F20="Спор об объёме или качестве"),"ГРАНИЦА B4: к специалисту",IF(F20="Связано с удержанием или неустойкой","ГРАНИЦА B2: к специалисту",IF(F20="","УКАЖИТЕ ТИП",IF(AND(H20&lt;&gt;"",J20&lt;&gt;""),"ЗАКРЫТО",IF(H20&lt;&gt;"","УСТРАНЕНО, НЕ ПРЕДЪЯВЛЕНО",IF(AND(G20&lt;&gt;"",TODAY()&gt;G20),"ПРОСРОЧЕНО","В РАБОТЕ")))))))</f>
        <v/>
      </c>
    </row>
    <row r="21">
      <c r="A21" s="5" t="n">
        <v>17</v>
      </c>
      <c r="B21" s="6" t="n"/>
      <c r="C21" s="7" t="n"/>
      <c r="D21" s="7" t="n"/>
      <c r="E21" s="7" t="n"/>
      <c r="F21" s="7" t="n"/>
      <c r="G21" s="6" t="n"/>
      <c r="H21" s="6" t="n"/>
      <c r="I21" s="7" t="n"/>
      <c r="J21" s="7" t="n"/>
      <c r="K21" s="5">
        <f>IF(E21="","",IF(OR(F21="Мотивированный отказ",F21="Спор об объёме или качестве"),"ГРАНИЦА B4: к специалисту",IF(F21="Связано с удержанием или неустойкой","ГРАНИЦА B2: к специалисту",IF(F21="","УКАЖИТЕ ТИП",IF(AND(H21&lt;&gt;"",J21&lt;&gt;""),"ЗАКРЫТО",IF(H21&lt;&gt;"","УСТРАНЕНО, НЕ ПРЕДЪЯВЛЕНО",IF(AND(G21&lt;&gt;"",TODAY()&gt;G21),"ПРОСРОЧЕНО","В РАБОТЕ")))))))</f>
        <v/>
      </c>
    </row>
    <row r="22">
      <c r="A22" s="5" t="n">
        <v>18</v>
      </c>
      <c r="B22" s="6" t="n"/>
      <c r="C22" s="7" t="n"/>
      <c r="D22" s="7" t="n"/>
      <c r="E22" s="7" t="n"/>
      <c r="F22" s="7" t="n"/>
      <c r="G22" s="6" t="n"/>
      <c r="H22" s="6" t="n"/>
      <c r="I22" s="7" t="n"/>
      <c r="J22" s="7" t="n"/>
      <c r="K22" s="5">
        <f>IF(E22="","",IF(OR(F22="Мотивированный отказ",F22="Спор об объёме или качестве"),"ГРАНИЦА B4: к специалисту",IF(F22="Связано с удержанием или неустойкой","ГРАНИЦА B2: к специалисту",IF(F22="","УКАЖИТЕ ТИП",IF(AND(H22&lt;&gt;"",J22&lt;&gt;""),"ЗАКРЫТО",IF(H22&lt;&gt;"","УСТРАНЕНО, НЕ ПРЕДЪЯВЛЕНО",IF(AND(G22&lt;&gt;"",TODAY()&gt;G22),"ПРОСРОЧЕНО","В РАБОТЕ")))))))</f>
        <v/>
      </c>
    </row>
    <row r="23">
      <c r="A23" s="5" t="n">
        <v>19</v>
      </c>
      <c r="B23" s="6" t="n"/>
      <c r="C23" s="7" t="n"/>
      <c r="D23" s="7" t="n"/>
      <c r="E23" s="7" t="n"/>
      <c r="F23" s="7" t="n"/>
      <c r="G23" s="6" t="n"/>
      <c r="H23" s="6" t="n"/>
      <c r="I23" s="7" t="n"/>
      <c r="J23" s="7" t="n"/>
      <c r="K23" s="5">
        <f>IF(E23="","",IF(OR(F23="Мотивированный отказ",F23="Спор об объёме или качестве"),"ГРАНИЦА B4: к специалисту",IF(F23="Связано с удержанием или неустойкой","ГРАНИЦА B2: к специалисту",IF(F23="","УКАЖИТЕ ТИП",IF(AND(H23&lt;&gt;"",J23&lt;&gt;""),"ЗАКРЫТО",IF(H23&lt;&gt;"","УСТРАНЕНО, НЕ ПРЕДЪЯВЛЕНО",IF(AND(G23&lt;&gt;"",TODAY()&gt;G23),"ПРОСРОЧЕНО","В РАБОТЕ")))))))</f>
        <v/>
      </c>
    </row>
    <row r="24">
      <c r="A24" s="5" t="n">
        <v>20</v>
      </c>
      <c r="B24" s="6" t="n"/>
      <c r="C24" s="7" t="n"/>
      <c r="D24" s="7" t="n"/>
      <c r="E24" s="7" t="n"/>
      <c r="F24" s="7" t="n"/>
      <c r="G24" s="6" t="n"/>
      <c r="H24" s="6" t="n"/>
      <c r="I24" s="7" t="n"/>
      <c r="J24" s="7" t="n"/>
      <c r="K24" s="5">
        <f>IF(E24="","",IF(OR(F24="Мотивированный отказ",F24="Спор об объёме или качестве"),"ГРАНИЦА B4: к специалисту",IF(F24="Связано с удержанием или неустойкой","ГРАНИЦА B2: к специалисту",IF(F24="","УКАЖИТЕ ТИП",IF(AND(H24&lt;&gt;"",J24&lt;&gt;""),"ЗАКРЫТО",IF(H24&lt;&gt;"","УСТРАНЕНО, НЕ ПРЕДЪЯВЛЕНО",IF(AND(G24&lt;&gt;"",TODAY()&gt;G24),"ПРОСРОЧЕНО","В РАБОТЕ")))))))</f>
        <v/>
      </c>
    </row>
    <row r="25">
      <c r="A25" s="5" t="n">
        <v>21</v>
      </c>
      <c r="B25" s="6" t="n"/>
      <c r="C25" s="7" t="n"/>
      <c r="D25" s="7" t="n"/>
      <c r="E25" s="7" t="n"/>
      <c r="F25" s="7" t="n"/>
      <c r="G25" s="6" t="n"/>
      <c r="H25" s="6" t="n"/>
      <c r="I25" s="7" t="n"/>
      <c r="J25" s="7" t="n"/>
      <c r="K25" s="5">
        <f>IF(E25="","",IF(OR(F25="Мотивированный отказ",F25="Спор об объёме или качестве"),"ГРАНИЦА B4: к специалисту",IF(F25="Связано с удержанием или неустойкой","ГРАНИЦА B2: к специалисту",IF(F25="","УКАЖИТЕ ТИП",IF(AND(H25&lt;&gt;"",J25&lt;&gt;""),"ЗАКРЫТО",IF(H25&lt;&gt;"","УСТРАНЕНО, НЕ ПРЕДЪЯВЛЕНО",IF(AND(G25&lt;&gt;"",TODAY()&gt;G25),"ПРОСРОЧЕНО","В РАБОТЕ")))))))</f>
        <v/>
      </c>
    </row>
    <row r="26">
      <c r="A26" s="5" t="n">
        <v>22</v>
      </c>
      <c r="B26" s="6" t="n"/>
      <c r="C26" s="7" t="n"/>
      <c r="D26" s="7" t="n"/>
      <c r="E26" s="7" t="n"/>
      <c r="F26" s="7" t="n"/>
      <c r="G26" s="6" t="n"/>
      <c r="H26" s="6" t="n"/>
      <c r="I26" s="7" t="n"/>
      <c r="J26" s="7" t="n"/>
      <c r="K26" s="5">
        <f>IF(E26="","",IF(OR(F26="Мотивированный отказ",F26="Спор об объёме или качестве"),"ГРАНИЦА B4: к специалисту",IF(F26="Связано с удержанием или неустойкой","ГРАНИЦА B2: к специалисту",IF(F26="","УКАЖИТЕ ТИП",IF(AND(H26&lt;&gt;"",J26&lt;&gt;""),"ЗАКРЫТО",IF(H26&lt;&gt;"","УСТРАНЕНО, НЕ ПРЕДЪЯВЛЕНО",IF(AND(G26&lt;&gt;"",TODAY()&gt;G26),"ПРОСРОЧЕНО","В РАБОТЕ")))))))</f>
        <v/>
      </c>
    </row>
    <row r="27">
      <c r="A27" s="5" t="n">
        <v>23</v>
      </c>
      <c r="B27" s="6" t="n"/>
      <c r="C27" s="7" t="n"/>
      <c r="D27" s="7" t="n"/>
      <c r="E27" s="7" t="n"/>
      <c r="F27" s="7" t="n"/>
      <c r="G27" s="6" t="n"/>
      <c r="H27" s="6" t="n"/>
      <c r="I27" s="7" t="n"/>
      <c r="J27" s="7" t="n"/>
      <c r="K27" s="5">
        <f>IF(E27="","",IF(OR(F27="Мотивированный отказ",F27="Спор об объёме или качестве"),"ГРАНИЦА B4: к специалисту",IF(F27="Связано с удержанием или неустойкой","ГРАНИЦА B2: к специалисту",IF(F27="","УКАЖИТЕ ТИП",IF(AND(H27&lt;&gt;"",J27&lt;&gt;""),"ЗАКРЫТО",IF(H27&lt;&gt;"","УСТРАНЕНО, НЕ ПРЕДЪЯВЛЕНО",IF(AND(G27&lt;&gt;"",TODAY()&gt;G27),"ПРОСРОЧЕНО","В РАБОТЕ")))))))</f>
        <v/>
      </c>
    </row>
    <row r="28">
      <c r="A28" s="5" t="n">
        <v>24</v>
      </c>
      <c r="B28" s="6" t="n"/>
      <c r="C28" s="7" t="n"/>
      <c r="D28" s="7" t="n"/>
      <c r="E28" s="7" t="n"/>
      <c r="F28" s="7" t="n"/>
      <c r="G28" s="6" t="n"/>
      <c r="H28" s="6" t="n"/>
      <c r="I28" s="7" t="n"/>
      <c r="J28" s="7" t="n"/>
      <c r="K28" s="5">
        <f>IF(E28="","",IF(OR(F28="Мотивированный отказ",F28="Спор об объёме или качестве"),"ГРАНИЦА B4: к специалисту",IF(F28="Связано с удержанием или неустойкой","ГРАНИЦА B2: к специалисту",IF(F28="","УКАЖИТЕ ТИП",IF(AND(H28&lt;&gt;"",J28&lt;&gt;""),"ЗАКРЫТО",IF(H28&lt;&gt;"","УСТРАНЕНО, НЕ ПРЕДЪЯВЛЕНО",IF(AND(G28&lt;&gt;"",TODAY()&gt;G28),"ПРОСРОЧЕНО","В РАБОТЕ")))))))</f>
        <v/>
      </c>
    </row>
    <row r="29">
      <c r="A29" s="5" t="n">
        <v>25</v>
      </c>
      <c r="B29" s="6" t="n"/>
      <c r="C29" s="7" t="n"/>
      <c r="D29" s="7" t="n"/>
      <c r="E29" s="7" t="n"/>
      <c r="F29" s="7" t="n"/>
      <c r="G29" s="6" t="n"/>
      <c r="H29" s="6" t="n"/>
      <c r="I29" s="7" t="n"/>
      <c r="J29" s="7" t="n"/>
      <c r="K29" s="5">
        <f>IF(E29="","",IF(OR(F29="Мотивированный отказ",F29="Спор об объёме или качестве"),"ГРАНИЦА B4: к специалисту",IF(F29="Связано с удержанием или неустойкой","ГРАНИЦА B2: к специалисту",IF(F29="","УКАЖИТЕ ТИП",IF(AND(H29&lt;&gt;"",J29&lt;&gt;""),"ЗАКРЫТО",IF(H29&lt;&gt;"","УСТРАНЕНО, НЕ ПРЕДЪЯВЛЕНО",IF(AND(G29&lt;&gt;"",TODAY()&gt;G29),"ПРОСРОЧЕНО","В РАБОТЕ")))))))</f>
        <v/>
      </c>
    </row>
    <row r="30">
      <c r="A30" s="5" t="n">
        <v>26</v>
      </c>
      <c r="B30" s="6" t="n"/>
      <c r="C30" s="7" t="n"/>
      <c r="D30" s="7" t="n"/>
      <c r="E30" s="7" t="n"/>
      <c r="F30" s="7" t="n"/>
      <c r="G30" s="6" t="n"/>
      <c r="H30" s="6" t="n"/>
      <c r="I30" s="7" t="n"/>
      <c r="J30" s="7" t="n"/>
      <c r="K30" s="5">
        <f>IF(E30="","",IF(OR(F30="Мотивированный отказ",F30="Спор об объёме или качестве"),"ГРАНИЦА B4: к специалисту",IF(F30="Связано с удержанием или неустойкой","ГРАНИЦА B2: к специалисту",IF(F30="","УКАЖИТЕ ТИП",IF(AND(H30&lt;&gt;"",J30&lt;&gt;""),"ЗАКРЫТО",IF(H30&lt;&gt;"","УСТРАНЕНО, НЕ ПРЕДЪЯВЛЕНО",IF(AND(G30&lt;&gt;"",TODAY()&gt;G30),"ПРОСРОЧЕНО","В РАБОТЕ")))))))</f>
        <v/>
      </c>
    </row>
    <row r="31">
      <c r="A31" s="5" t="n">
        <v>27</v>
      </c>
      <c r="B31" s="6" t="n"/>
      <c r="C31" s="7" t="n"/>
      <c r="D31" s="7" t="n"/>
      <c r="E31" s="7" t="n"/>
      <c r="F31" s="7" t="n"/>
      <c r="G31" s="6" t="n"/>
      <c r="H31" s="6" t="n"/>
      <c r="I31" s="7" t="n"/>
      <c r="J31" s="7" t="n"/>
      <c r="K31" s="5">
        <f>IF(E31="","",IF(OR(F31="Мотивированный отказ",F31="Спор об объёме или качестве"),"ГРАНИЦА B4: к специалисту",IF(F31="Связано с удержанием или неустойкой","ГРАНИЦА B2: к специалисту",IF(F31="","УКАЖИТЕ ТИП",IF(AND(H31&lt;&gt;"",J31&lt;&gt;""),"ЗАКРЫТО",IF(H31&lt;&gt;"","УСТРАНЕНО, НЕ ПРЕДЪЯВЛЕНО",IF(AND(G31&lt;&gt;"",TODAY()&gt;G31),"ПРОСРОЧЕНО","В РАБОТЕ")))))))</f>
        <v/>
      </c>
    </row>
    <row r="32">
      <c r="A32" s="5" t="n">
        <v>28</v>
      </c>
      <c r="B32" s="6" t="n"/>
      <c r="C32" s="7" t="n"/>
      <c r="D32" s="7" t="n"/>
      <c r="E32" s="7" t="n"/>
      <c r="F32" s="7" t="n"/>
      <c r="G32" s="6" t="n"/>
      <c r="H32" s="6" t="n"/>
      <c r="I32" s="7" t="n"/>
      <c r="J32" s="7" t="n"/>
      <c r="K32" s="5">
        <f>IF(E32="","",IF(OR(F32="Мотивированный отказ",F32="Спор об объёме или качестве"),"ГРАНИЦА B4: к специалисту",IF(F32="Связано с удержанием или неустойкой","ГРАНИЦА B2: к специалисту",IF(F32="","УКАЖИТЕ ТИП",IF(AND(H32&lt;&gt;"",J32&lt;&gt;""),"ЗАКРЫТО",IF(H32&lt;&gt;"","УСТРАНЕНО, НЕ ПРЕДЪЯВЛЕНО",IF(AND(G32&lt;&gt;"",TODAY()&gt;G32),"ПРОСРОЧЕНО","В РАБОТЕ")))))))</f>
        <v/>
      </c>
    </row>
    <row r="33">
      <c r="A33" s="5" t="n">
        <v>29</v>
      </c>
      <c r="B33" s="6" t="n"/>
      <c r="C33" s="7" t="n"/>
      <c r="D33" s="7" t="n"/>
      <c r="E33" s="7" t="n"/>
      <c r="F33" s="7" t="n"/>
      <c r="G33" s="6" t="n"/>
      <c r="H33" s="6" t="n"/>
      <c r="I33" s="7" t="n"/>
      <c r="J33" s="7" t="n"/>
      <c r="K33" s="5">
        <f>IF(E33="","",IF(OR(F33="Мотивированный отказ",F33="Спор об объёме или качестве"),"ГРАНИЦА B4: к специалисту",IF(F33="Связано с удержанием или неустойкой","ГРАНИЦА B2: к специалисту",IF(F33="","УКАЖИТЕ ТИП",IF(AND(H33&lt;&gt;"",J33&lt;&gt;""),"ЗАКРЫТО",IF(H33&lt;&gt;"","УСТРАНЕНО, НЕ ПРЕДЪЯВЛЕНО",IF(AND(G33&lt;&gt;"",TODAY()&gt;G33),"ПРОСРОЧЕНО","В РАБОТЕ")))))))</f>
        <v/>
      </c>
    </row>
    <row r="34">
      <c r="A34" s="5" t="n">
        <v>30</v>
      </c>
      <c r="B34" s="6" t="n"/>
      <c r="C34" s="7" t="n"/>
      <c r="D34" s="7" t="n"/>
      <c r="E34" s="7" t="n"/>
      <c r="F34" s="7" t="n"/>
      <c r="G34" s="6" t="n"/>
      <c r="H34" s="6" t="n"/>
      <c r="I34" s="7" t="n"/>
      <c r="J34" s="7" t="n"/>
      <c r="K34" s="5">
        <f>IF(E34="","",IF(OR(F34="Мотивированный отказ",F34="Спор об объёме или качестве"),"ГРАНИЦА B4: к специалисту",IF(F34="Связано с удержанием или неустойкой","ГРАНИЦА B2: к специалисту",IF(F34="","УКАЖИТЕ ТИП",IF(AND(H34&lt;&gt;"",J34&lt;&gt;""),"ЗАКРЫТО",IF(H34&lt;&gt;"","УСТРАНЕНО, НЕ ПРЕДЪЯВЛЕНО",IF(AND(G34&lt;&gt;"",TODAY()&gt;G34),"ПРОСРОЧЕНО","В РАБОТЕ")))))))</f>
        <v/>
      </c>
    </row>
    <row r="35">
      <c r="A35" s="5" t="n">
        <v>31</v>
      </c>
      <c r="B35" s="6" t="n"/>
      <c r="C35" s="7" t="n"/>
      <c r="D35" s="7" t="n"/>
      <c r="E35" s="7" t="n"/>
      <c r="F35" s="7" t="n"/>
      <c r="G35" s="6" t="n"/>
      <c r="H35" s="6" t="n"/>
      <c r="I35" s="7" t="n"/>
      <c r="J35" s="7" t="n"/>
      <c r="K35" s="5">
        <f>IF(E35="","",IF(OR(F35="Мотивированный отказ",F35="Спор об объёме или качестве"),"ГРАНИЦА B4: к специалисту",IF(F35="Связано с удержанием или неустойкой","ГРАНИЦА B2: к специалисту",IF(F35="","УКАЖИТЕ ТИП",IF(AND(H35&lt;&gt;"",J35&lt;&gt;""),"ЗАКРЫТО",IF(H35&lt;&gt;"","УСТРАНЕНО, НЕ ПРЕДЪЯВЛЕНО",IF(AND(G35&lt;&gt;"",TODAY()&gt;G35),"ПРОСРОЧЕНО","В РАБОТЕ")))))))</f>
        <v/>
      </c>
    </row>
    <row r="36">
      <c r="A36" s="5" t="n">
        <v>32</v>
      </c>
      <c r="B36" s="6" t="n"/>
      <c r="C36" s="7" t="n"/>
      <c r="D36" s="7" t="n"/>
      <c r="E36" s="7" t="n"/>
      <c r="F36" s="7" t="n"/>
      <c r="G36" s="6" t="n"/>
      <c r="H36" s="6" t="n"/>
      <c r="I36" s="7" t="n"/>
      <c r="J36" s="7" t="n"/>
      <c r="K36" s="5">
        <f>IF(E36="","",IF(OR(F36="Мотивированный отказ",F36="Спор об объёме или качестве"),"ГРАНИЦА B4: к специалисту",IF(F36="Связано с удержанием или неустойкой","ГРАНИЦА B2: к специалисту",IF(F36="","УКАЖИТЕ ТИП",IF(AND(H36&lt;&gt;"",J36&lt;&gt;""),"ЗАКРЫТО",IF(H36&lt;&gt;"","УСТРАНЕНО, НЕ ПРЕДЪЯВЛЕНО",IF(AND(G36&lt;&gt;"",TODAY()&gt;G36),"ПРОСРОЧЕНО","В РАБОТЕ")))))))</f>
        <v/>
      </c>
    </row>
    <row r="37">
      <c r="A37" s="5" t="n">
        <v>33</v>
      </c>
      <c r="B37" s="6" t="n"/>
      <c r="C37" s="7" t="n"/>
      <c r="D37" s="7" t="n"/>
      <c r="E37" s="7" t="n"/>
      <c r="F37" s="7" t="n"/>
      <c r="G37" s="6" t="n"/>
      <c r="H37" s="6" t="n"/>
      <c r="I37" s="7" t="n"/>
      <c r="J37" s="7" t="n"/>
      <c r="K37" s="5">
        <f>IF(E37="","",IF(OR(F37="Мотивированный отказ",F37="Спор об объёме или качестве"),"ГРАНИЦА B4: к специалисту",IF(F37="Связано с удержанием или неустойкой","ГРАНИЦА B2: к специалисту",IF(F37="","УКАЖИТЕ ТИП",IF(AND(H37&lt;&gt;"",J37&lt;&gt;""),"ЗАКРЫТО",IF(H37&lt;&gt;"","УСТРАНЕНО, НЕ ПРЕДЪЯВЛЕНО",IF(AND(G37&lt;&gt;"",TODAY()&gt;G37),"ПРОСРОЧЕНО","В РАБОТЕ")))))))</f>
        <v/>
      </c>
    </row>
    <row r="38">
      <c r="A38" s="5" t="n">
        <v>34</v>
      </c>
      <c r="B38" s="6" t="n"/>
      <c r="C38" s="7" t="n"/>
      <c r="D38" s="7" t="n"/>
      <c r="E38" s="7" t="n"/>
      <c r="F38" s="7" t="n"/>
      <c r="G38" s="6" t="n"/>
      <c r="H38" s="6" t="n"/>
      <c r="I38" s="7" t="n"/>
      <c r="J38" s="7" t="n"/>
      <c r="K38" s="5">
        <f>IF(E38="","",IF(OR(F38="Мотивированный отказ",F38="Спор об объёме или качестве"),"ГРАНИЦА B4: к специалисту",IF(F38="Связано с удержанием или неустойкой","ГРАНИЦА B2: к специалисту",IF(F38="","УКАЖИТЕ ТИП",IF(AND(H38&lt;&gt;"",J38&lt;&gt;""),"ЗАКРЫТО",IF(H38&lt;&gt;"","УСТРАНЕНО, НЕ ПРЕДЪЯВЛЕНО",IF(AND(G38&lt;&gt;"",TODAY()&gt;G38),"ПРОСРОЧЕНО","В РАБОТЕ")))))))</f>
        <v/>
      </c>
    </row>
    <row r="39">
      <c r="A39" s="5" t="n">
        <v>35</v>
      </c>
      <c r="B39" s="6" t="n"/>
      <c r="C39" s="7" t="n"/>
      <c r="D39" s="7" t="n"/>
      <c r="E39" s="7" t="n"/>
      <c r="F39" s="7" t="n"/>
      <c r="G39" s="6" t="n"/>
      <c r="H39" s="6" t="n"/>
      <c r="I39" s="7" t="n"/>
      <c r="J39" s="7" t="n"/>
      <c r="K39" s="5">
        <f>IF(E39="","",IF(OR(F39="Мотивированный отказ",F39="Спор об объёме или качестве"),"ГРАНИЦА B4: к специалисту",IF(F39="Связано с удержанием или неустойкой","ГРАНИЦА B2: к специалисту",IF(F39="","УКАЖИТЕ ТИП",IF(AND(H39&lt;&gt;"",J39&lt;&gt;""),"ЗАКРЫТО",IF(H39&lt;&gt;"","УСТРАНЕНО, НЕ ПРЕДЪЯВЛЕНО",IF(AND(G39&lt;&gt;"",TODAY()&gt;G39),"ПРОСРОЧЕНО","В РАБОТЕ")))))))</f>
        <v/>
      </c>
    </row>
    <row r="40">
      <c r="A40" s="5" t="n">
        <v>36</v>
      </c>
      <c r="B40" s="6" t="n"/>
      <c r="C40" s="7" t="n"/>
      <c r="D40" s="7" t="n"/>
      <c r="E40" s="7" t="n"/>
      <c r="F40" s="7" t="n"/>
      <c r="G40" s="6" t="n"/>
      <c r="H40" s="6" t="n"/>
      <c r="I40" s="7" t="n"/>
      <c r="J40" s="7" t="n"/>
      <c r="K40" s="5">
        <f>IF(E40="","",IF(OR(F40="Мотивированный отказ",F40="Спор об объёме или качестве"),"ГРАНИЦА B4: к специалисту",IF(F40="Связано с удержанием или неустойкой","ГРАНИЦА B2: к специалисту",IF(F40="","УКАЖИТЕ ТИП",IF(AND(H40&lt;&gt;"",J40&lt;&gt;""),"ЗАКРЫТО",IF(H40&lt;&gt;"","УСТРАНЕНО, НЕ ПРЕДЪЯВЛЕНО",IF(AND(G40&lt;&gt;"",TODAY()&gt;G40),"ПРОСРОЧЕНО","В РАБОТЕ")))))))</f>
        <v/>
      </c>
    </row>
    <row r="41">
      <c r="A41" s="5" t="n">
        <v>37</v>
      </c>
      <c r="B41" s="6" t="n"/>
      <c r="C41" s="7" t="n"/>
      <c r="D41" s="7" t="n"/>
      <c r="E41" s="7" t="n"/>
      <c r="F41" s="7" t="n"/>
      <c r="G41" s="6" t="n"/>
      <c r="H41" s="6" t="n"/>
      <c r="I41" s="7" t="n"/>
      <c r="J41" s="7" t="n"/>
      <c r="K41" s="5">
        <f>IF(E41="","",IF(OR(F41="Мотивированный отказ",F41="Спор об объёме или качестве"),"ГРАНИЦА B4: к специалисту",IF(F41="Связано с удержанием или неустойкой","ГРАНИЦА B2: к специалисту",IF(F41="","УКАЖИТЕ ТИП",IF(AND(H41&lt;&gt;"",J41&lt;&gt;""),"ЗАКРЫТО",IF(H41&lt;&gt;"","УСТРАНЕНО, НЕ ПРЕДЪЯВЛЕНО",IF(AND(G41&lt;&gt;"",TODAY()&gt;G41),"ПРОСРОЧЕНО","В РАБОТЕ")))))))</f>
        <v/>
      </c>
    </row>
    <row r="42">
      <c r="A42" s="5" t="n">
        <v>38</v>
      </c>
      <c r="B42" s="6" t="n"/>
      <c r="C42" s="7" t="n"/>
      <c r="D42" s="7" t="n"/>
      <c r="E42" s="7" t="n"/>
      <c r="F42" s="7" t="n"/>
      <c r="G42" s="6" t="n"/>
      <c r="H42" s="6" t="n"/>
      <c r="I42" s="7" t="n"/>
      <c r="J42" s="7" t="n"/>
      <c r="K42" s="5">
        <f>IF(E42="","",IF(OR(F42="Мотивированный отказ",F42="Спор об объёме или качестве"),"ГРАНИЦА B4: к специалисту",IF(F42="Связано с удержанием или неустойкой","ГРАНИЦА B2: к специалисту",IF(F42="","УКАЖИТЕ ТИП",IF(AND(H42&lt;&gt;"",J42&lt;&gt;""),"ЗАКРЫТО",IF(H42&lt;&gt;"","УСТРАНЕНО, НЕ ПРЕДЪЯВЛЕНО",IF(AND(G42&lt;&gt;"",TODAY()&gt;G42),"ПРОСРОЧЕНО","В РАБОТЕ")))))))</f>
        <v/>
      </c>
    </row>
    <row r="43">
      <c r="A43" s="5" t="n">
        <v>39</v>
      </c>
      <c r="B43" s="6" t="n"/>
      <c r="C43" s="7" t="n"/>
      <c r="D43" s="7" t="n"/>
      <c r="E43" s="7" t="n"/>
      <c r="F43" s="7" t="n"/>
      <c r="G43" s="6" t="n"/>
      <c r="H43" s="6" t="n"/>
      <c r="I43" s="7" t="n"/>
      <c r="J43" s="7" t="n"/>
      <c r="K43" s="5">
        <f>IF(E43="","",IF(OR(F43="Мотивированный отказ",F43="Спор об объёме или качестве"),"ГРАНИЦА B4: к специалисту",IF(F43="Связано с удержанием или неустойкой","ГРАНИЦА B2: к специалисту",IF(F43="","УКАЖИТЕ ТИП",IF(AND(H43&lt;&gt;"",J43&lt;&gt;""),"ЗАКРЫТО",IF(H43&lt;&gt;"","УСТРАНЕНО, НЕ ПРЕДЪЯВЛЕНО",IF(AND(G43&lt;&gt;"",TODAY()&gt;G43),"ПРОСРОЧЕНО","В РАБОТЕ")))))))</f>
        <v/>
      </c>
    </row>
    <row r="44">
      <c r="A44" s="5" t="n">
        <v>40</v>
      </c>
      <c r="B44" s="6" t="n"/>
      <c r="C44" s="7" t="n"/>
      <c r="D44" s="7" t="n"/>
      <c r="E44" s="7" t="n"/>
      <c r="F44" s="7" t="n"/>
      <c r="G44" s="6" t="n"/>
      <c r="H44" s="6" t="n"/>
      <c r="I44" s="7" t="n"/>
      <c r="J44" s="7" t="n"/>
      <c r="K44" s="5">
        <f>IF(E44="","",IF(OR(F44="Мотивированный отказ",F44="Спор об объёме или качестве"),"ГРАНИЦА B4: к специалисту",IF(F44="Связано с удержанием или неустойкой","ГРАНИЦА B2: к специалисту",IF(F44="","УКАЖИТЕ ТИП",IF(AND(H44&lt;&gt;"",J44&lt;&gt;""),"ЗАКРЫТО",IF(H44&lt;&gt;"","УСТРАНЕНО, НЕ ПРЕДЪЯВЛЕНО",IF(AND(G44&lt;&gt;"",TODAY()&gt;G44),"ПРОСРОЧЕНО","В РАБОТЕ")))))))</f>
        <v/>
      </c>
    </row>
    <row r="45">
      <c r="A45" s="5" t="n">
        <v>41</v>
      </c>
      <c r="B45" s="6" t="n"/>
      <c r="C45" s="7" t="n"/>
      <c r="D45" s="7" t="n"/>
      <c r="E45" s="7" t="n"/>
      <c r="F45" s="7" t="n"/>
      <c r="G45" s="6" t="n"/>
      <c r="H45" s="6" t="n"/>
      <c r="I45" s="7" t="n"/>
      <c r="J45" s="7" t="n"/>
      <c r="K45" s="5">
        <f>IF(E45="","",IF(OR(F45="Мотивированный отказ",F45="Спор об объёме или качестве"),"ГРАНИЦА B4: к специалисту",IF(F45="Связано с удержанием или неустойкой","ГРАНИЦА B2: к специалисту",IF(F45="","УКАЖИТЕ ТИП",IF(AND(H45&lt;&gt;"",J45&lt;&gt;""),"ЗАКРЫТО",IF(H45&lt;&gt;"","УСТРАНЕНО, НЕ ПРЕДЪЯВЛЕНО",IF(AND(G45&lt;&gt;"",TODAY()&gt;G45),"ПРОСРОЧЕНО","В РАБОТЕ")))))))</f>
        <v/>
      </c>
    </row>
    <row r="46">
      <c r="A46" s="5" t="n">
        <v>42</v>
      </c>
      <c r="B46" s="6" t="n"/>
      <c r="C46" s="7" t="n"/>
      <c r="D46" s="7" t="n"/>
      <c r="E46" s="7" t="n"/>
      <c r="F46" s="7" t="n"/>
      <c r="G46" s="6" t="n"/>
      <c r="H46" s="6" t="n"/>
      <c r="I46" s="7" t="n"/>
      <c r="J46" s="7" t="n"/>
      <c r="K46" s="5">
        <f>IF(E46="","",IF(OR(F46="Мотивированный отказ",F46="Спор об объёме или качестве"),"ГРАНИЦА B4: к специалисту",IF(F46="Связано с удержанием или неустойкой","ГРАНИЦА B2: к специалисту",IF(F46="","УКАЖИТЕ ТИП",IF(AND(H46&lt;&gt;"",J46&lt;&gt;""),"ЗАКРЫТО",IF(H46&lt;&gt;"","УСТРАНЕНО, НЕ ПРЕДЪЯВЛЕНО",IF(AND(G46&lt;&gt;"",TODAY()&gt;G46),"ПРОСРОЧЕНО","В РАБОТЕ")))))))</f>
        <v/>
      </c>
    </row>
    <row r="47">
      <c r="A47" s="5" t="n">
        <v>43</v>
      </c>
      <c r="B47" s="6" t="n"/>
      <c r="C47" s="7" t="n"/>
      <c r="D47" s="7" t="n"/>
      <c r="E47" s="7" t="n"/>
      <c r="F47" s="7" t="n"/>
      <c r="G47" s="6" t="n"/>
      <c r="H47" s="6" t="n"/>
      <c r="I47" s="7" t="n"/>
      <c r="J47" s="7" t="n"/>
      <c r="K47" s="5">
        <f>IF(E47="","",IF(OR(F47="Мотивированный отказ",F47="Спор об объёме или качестве"),"ГРАНИЦА B4: к специалисту",IF(F47="Связано с удержанием или неустойкой","ГРАНИЦА B2: к специалисту",IF(F47="","УКАЖИТЕ ТИП",IF(AND(H47&lt;&gt;"",J47&lt;&gt;""),"ЗАКРЫТО",IF(H47&lt;&gt;"","УСТРАНЕНО, НЕ ПРЕДЪЯВЛЕНО",IF(AND(G47&lt;&gt;"",TODAY()&gt;G47),"ПРОСРОЧЕНО","В РАБОТЕ")))))))</f>
        <v/>
      </c>
    </row>
    <row r="48">
      <c r="A48" s="5" t="n">
        <v>44</v>
      </c>
      <c r="B48" s="6" t="n"/>
      <c r="C48" s="7" t="n"/>
      <c r="D48" s="7" t="n"/>
      <c r="E48" s="7" t="n"/>
      <c r="F48" s="7" t="n"/>
      <c r="G48" s="6" t="n"/>
      <c r="H48" s="6" t="n"/>
      <c r="I48" s="7" t="n"/>
      <c r="J48" s="7" t="n"/>
      <c r="K48" s="5">
        <f>IF(E48="","",IF(OR(F48="Мотивированный отказ",F48="Спор об объёме или качестве"),"ГРАНИЦА B4: к специалисту",IF(F48="Связано с удержанием или неустойкой","ГРАНИЦА B2: к специалисту",IF(F48="","УКАЖИТЕ ТИП",IF(AND(H48&lt;&gt;"",J48&lt;&gt;""),"ЗАКРЫТО",IF(H48&lt;&gt;"","УСТРАНЕНО, НЕ ПРЕДЪЯВЛЕНО",IF(AND(G48&lt;&gt;"",TODAY()&gt;G48),"ПРОСРОЧЕНО","В РАБОТЕ")))))))</f>
        <v/>
      </c>
    </row>
    <row r="49">
      <c r="A49" s="5" t="n">
        <v>45</v>
      </c>
      <c r="B49" s="6" t="n"/>
      <c r="C49" s="7" t="n"/>
      <c r="D49" s="7" t="n"/>
      <c r="E49" s="7" t="n"/>
      <c r="F49" s="7" t="n"/>
      <c r="G49" s="6" t="n"/>
      <c r="H49" s="6" t="n"/>
      <c r="I49" s="7" t="n"/>
      <c r="J49" s="7" t="n"/>
      <c r="K49" s="5">
        <f>IF(E49="","",IF(OR(F49="Мотивированный отказ",F49="Спор об объёме или качестве"),"ГРАНИЦА B4: к специалисту",IF(F49="Связано с удержанием или неустойкой","ГРАНИЦА B2: к специалисту",IF(F49="","УКАЖИТЕ ТИП",IF(AND(H49&lt;&gt;"",J49&lt;&gt;""),"ЗАКРЫТО",IF(H49&lt;&gt;"","УСТРАНЕНО, НЕ ПРЕДЪЯВЛЕНО",IF(AND(G49&lt;&gt;"",TODAY()&gt;G49),"ПРОСРОЧЕНО","В РАБОТЕ")))))))</f>
        <v/>
      </c>
    </row>
    <row r="50">
      <c r="A50" s="5" t="n">
        <v>46</v>
      </c>
      <c r="B50" s="6" t="n"/>
      <c r="C50" s="7" t="n"/>
      <c r="D50" s="7" t="n"/>
      <c r="E50" s="7" t="n"/>
      <c r="F50" s="7" t="n"/>
      <c r="G50" s="6" t="n"/>
      <c r="H50" s="6" t="n"/>
      <c r="I50" s="7" t="n"/>
      <c r="J50" s="7" t="n"/>
      <c r="K50" s="5">
        <f>IF(E50="","",IF(OR(F50="Мотивированный отказ",F50="Спор об объёме или качестве"),"ГРАНИЦА B4: к специалисту",IF(F50="Связано с удержанием или неустойкой","ГРАНИЦА B2: к специалисту",IF(F50="","УКАЖИТЕ ТИП",IF(AND(H50&lt;&gt;"",J50&lt;&gt;""),"ЗАКРЫТО",IF(H50&lt;&gt;"","УСТРАНЕНО, НЕ ПРЕДЪЯВЛЕНО",IF(AND(G50&lt;&gt;"",TODAY()&gt;G50),"ПРОСРОЧЕНО","В РАБОТЕ")))))))</f>
        <v/>
      </c>
    </row>
    <row r="51">
      <c r="A51" s="5" t="n">
        <v>47</v>
      </c>
      <c r="B51" s="6" t="n"/>
      <c r="C51" s="7" t="n"/>
      <c r="D51" s="7" t="n"/>
      <c r="E51" s="7" t="n"/>
      <c r="F51" s="7" t="n"/>
      <c r="G51" s="6" t="n"/>
      <c r="H51" s="6" t="n"/>
      <c r="I51" s="7" t="n"/>
      <c r="J51" s="7" t="n"/>
      <c r="K51" s="5">
        <f>IF(E51="","",IF(OR(F51="Мотивированный отказ",F51="Спор об объёме или качестве"),"ГРАНИЦА B4: к специалисту",IF(F51="Связано с удержанием или неустойкой","ГРАНИЦА B2: к специалисту",IF(F51="","УКАЖИТЕ ТИП",IF(AND(H51&lt;&gt;"",J51&lt;&gt;""),"ЗАКРЫТО",IF(H51&lt;&gt;"","УСТРАНЕНО, НЕ ПРЕДЪЯВЛЕНО",IF(AND(G51&lt;&gt;"",TODAY()&gt;G51),"ПРОСРОЧЕНО","В РАБОТЕ")))))))</f>
        <v/>
      </c>
    </row>
    <row r="52">
      <c r="A52" s="5" t="n">
        <v>48</v>
      </c>
      <c r="B52" s="6" t="n"/>
      <c r="C52" s="7" t="n"/>
      <c r="D52" s="7" t="n"/>
      <c r="E52" s="7" t="n"/>
      <c r="F52" s="7" t="n"/>
      <c r="G52" s="6" t="n"/>
      <c r="H52" s="6" t="n"/>
      <c r="I52" s="7" t="n"/>
      <c r="J52" s="7" t="n"/>
      <c r="K52" s="5">
        <f>IF(E52="","",IF(OR(F52="Мотивированный отказ",F52="Спор об объёме или качестве"),"ГРАНИЦА B4: к специалисту",IF(F52="Связано с удержанием или неустойкой","ГРАНИЦА B2: к специалисту",IF(F52="","УКАЖИТЕ ТИП",IF(AND(H52&lt;&gt;"",J52&lt;&gt;""),"ЗАКРЫТО",IF(H52&lt;&gt;"","УСТРАНЕНО, НЕ ПРЕДЪЯВЛЕНО",IF(AND(G52&lt;&gt;"",TODAY()&gt;G52),"ПРОСРОЧЕНО","В РАБОТЕ")))))))</f>
        <v/>
      </c>
    </row>
    <row r="53">
      <c r="A53" s="5" t="n">
        <v>49</v>
      </c>
      <c r="B53" s="6" t="n"/>
      <c r="C53" s="7" t="n"/>
      <c r="D53" s="7" t="n"/>
      <c r="E53" s="7" t="n"/>
      <c r="F53" s="7" t="n"/>
      <c r="G53" s="6" t="n"/>
      <c r="H53" s="6" t="n"/>
      <c r="I53" s="7" t="n"/>
      <c r="J53" s="7" t="n"/>
      <c r="K53" s="5">
        <f>IF(E53="","",IF(OR(F53="Мотивированный отказ",F53="Спор об объёме или качестве"),"ГРАНИЦА B4: к специалисту",IF(F53="Связано с удержанием или неустойкой","ГРАНИЦА B2: к специалисту",IF(F53="","УКАЖИТЕ ТИП",IF(AND(H53&lt;&gt;"",J53&lt;&gt;""),"ЗАКРЫТО",IF(H53&lt;&gt;"","УСТРАНЕНО, НЕ ПРЕДЪЯВЛЕНО",IF(AND(G53&lt;&gt;"",TODAY()&gt;G53),"ПРОСРОЧЕНО","В РАБОТЕ")))))))</f>
        <v/>
      </c>
    </row>
    <row r="54">
      <c r="A54" s="5" t="n">
        <v>50</v>
      </c>
      <c r="B54" s="6" t="n"/>
      <c r="C54" s="7" t="n"/>
      <c r="D54" s="7" t="n"/>
      <c r="E54" s="7" t="n"/>
      <c r="F54" s="7" t="n"/>
      <c r="G54" s="6" t="n"/>
      <c r="H54" s="6" t="n"/>
      <c r="I54" s="7" t="n"/>
      <c r="J54" s="7" t="n"/>
      <c r="K54" s="5">
        <f>IF(E54="","",IF(OR(F54="Мотивированный отказ",F54="Спор об объёме или качестве"),"ГРАНИЦА B4: к специалисту",IF(F54="Связано с удержанием или неустойкой","ГРАНИЦА B2: к специалисту",IF(F54="","УКАЖИТЕ ТИП",IF(AND(H54&lt;&gt;"",J54&lt;&gt;""),"ЗАКРЫТО",IF(H54&lt;&gt;"","УСТРАНЕНО, НЕ ПРЕДЪЯВЛЕНО",IF(AND(G54&lt;&gt;"",TODAY()&gt;G54),"ПРОСРОЧЕНО","В РАБОТЕ")))))))</f>
        <v/>
      </c>
    </row>
    <row r="55">
      <c r="A55" s="5" t="n">
        <v>51</v>
      </c>
      <c r="B55" s="6" t="n"/>
      <c r="C55" s="7" t="n"/>
      <c r="D55" s="7" t="n"/>
      <c r="E55" s="7" t="n"/>
      <c r="F55" s="7" t="n"/>
      <c r="G55" s="6" t="n"/>
      <c r="H55" s="6" t="n"/>
      <c r="I55" s="7" t="n"/>
      <c r="J55" s="7" t="n"/>
      <c r="K55" s="5">
        <f>IF(E55="","",IF(OR(F55="Мотивированный отказ",F55="Спор об объёме или качестве"),"ГРАНИЦА B4: к специалисту",IF(F55="Связано с удержанием или неустойкой","ГРАНИЦА B2: к специалисту",IF(F55="","УКАЖИТЕ ТИП",IF(AND(H55&lt;&gt;"",J55&lt;&gt;""),"ЗАКРЫТО",IF(H55&lt;&gt;"","УСТРАНЕНО, НЕ ПРЕДЪЯВЛЕНО",IF(AND(G55&lt;&gt;"",TODAY()&gt;G55),"ПРОСРОЧЕНО","В РАБОТЕ")))))))</f>
        <v/>
      </c>
    </row>
    <row r="56">
      <c r="A56" s="5" t="n">
        <v>52</v>
      </c>
      <c r="B56" s="6" t="n"/>
      <c r="C56" s="7" t="n"/>
      <c r="D56" s="7" t="n"/>
      <c r="E56" s="7" t="n"/>
      <c r="F56" s="7" t="n"/>
      <c r="G56" s="6" t="n"/>
      <c r="H56" s="6" t="n"/>
      <c r="I56" s="7" t="n"/>
      <c r="J56" s="7" t="n"/>
      <c r="K56" s="5">
        <f>IF(E56="","",IF(OR(F56="Мотивированный отказ",F56="Спор об объёме или качестве"),"ГРАНИЦА B4: к специалисту",IF(F56="Связано с удержанием или неустойкой","ГРАНИЦА B2: к специалисту",IF(F56="","УКАЖИТЕ ТИП",IF(AND(H56&lt;&gt;"",J56&lt;&gt;""),"ЗАКРЫТО",IF(H56&lt;&gt;"","УСТРАНЕНО, НЕ ПРЕДЪЯВЛЕНО",IF(AND(G56&lt;&gt;"",TODAY()&gt;G56),"ПРОСРОЧЕНО","В РАБОТЕ")))))))</f>
        <v/>
      </c>
    </row>
    <row r="57">
      <c r="A57" s="5" t="n">
        <v>53</v>
      </c>
      <c r="B57" s="6" t="n"/>
      <c r="C57" s="7" t="n"/>
      <c r="D57" s="7" t="n"/>
      <c r="E57" s="7" t="n"/>
      <c r="F57" s="7" t="n"/>
      <c r="G57" s="6" t="n"/>
      <c r="H57" s="6" t="n"/>
      <c r="I57" s="7" t="n"/>
      <c r="J57" s="7" t="n"/>
      <c r="K57" s="5">
        <f>IF(E57="","",IF(OR(F57="Мотивированный отказ",F57="Спор об объёме или качестве"),"ГРАНИЦА B4: к специалисту",IF(F57="Связано с удержанием или неустойкой","ГРАНИЦА B2: к специалисту",IF(F57="","УКАЖИТЕ ТИП",IF(AND(H57&lt;&gt;"",J57&lt;&gt;""),"ЗАКРЫТО",IF(H57&lt;&gt;"","УСТРАНЕНО, НЕ ПРЕДЪЯВЛЕНО",IF(AND(G57&lt;&gt;"",TODAY()&gt;G57),"ПРОСРОЧЕНО","В РАБОТЕ")))))))</f>
        <v/>
      </c>
    </row>
    <row r="58">
      <c r="A58" s="5" t="n">
        <v>54</v>
      </c>
      <c r="B58" s="6" t="n"/>
      <c r="C58" s="7" t="n"/>
      <c r="D58" s="7" t="n"/>
      <c r="E58" s="7" t="n"/>
      <c r="F58" s="7" t="n"/>
      <c r="G58" s="6" t="n"/>
      <c r="H58" s="6" t="n"/>
      <c r="I58" s="7" t="n"/>
      <c r="J58" s="7" t="n"/>
      <c r="K58" s="5">
        <f>IF(E58="","",IF(OR(F58="Мотивированный отказ",F58="Спор об объёме или качестве"),"ГРАНИЦА B4: к специалисту",IF(F58="Связано с удержанием или неустойкой","ГРАНИЦА B2: к специалисту",IF(F58="","УКАЖИТЕ ТИП",IF(AND(H58&lt;&gt;"",J58&lt;&gt;""),"ЗАКРЫТО",IF(H58&lt;&gt;"","УСТРАНЕНО, НЕ ПРЕДЪЯВЛЕНО",IF(AND(G58&lt;&gt;"",TODAY()&gt;G58),"ПРОСРОЧЕНО","В РАБОТЕ")))))))</f>
        <v/>
      </c>
    </row>
    <row r="59">
      <c r="A59" s="5" t="n">
        <v>55</v>
      </c>
      <c r="B59" s="6" t="n"/>
      <c r="C59" s="7" t="n"/>
      <c r="D59" s="7" t="n"/>
      <c r="E59" s="7" t="n"/>
      <c r="F59" s="7" t="n"/>
      <c r="G59" s="6" t="n"/>
      <c r="H59" s="6" t="n"/>
      <c r="I59" s="7" t="n"/>
      <c r="J59" s="7" t="n"/>
      <c r="K59" s="5">
        <f>IF(E59="","",IF(OR(F59="Мотивированный отказ",F59="Спор об объёме или качестве"),"ГРАНИЦА B4: к специалисту",IF(F59="Связано с удержанием или неустойкой","ГРАНИЦА B2: к специалисту",IF(F59="","УКАЖИТЕ ТИП",IF(AND(H59&lt;&gt;"",J59&lt;&gt;""),"ЗАКРЫТО",IF(H59&lt;&gt;"","УСТРАНЕНО, НЕ ПРЕДЪЯВЛЕНО",IF(AND(G59&lt;&gt;"",TODAY()&gt;G59),"ПРОСРОЧЕНО","В РАБОТЕ")))))))</f>
        <v/>
      </c>
    </row>
    <row r="60">
      <c r="A60" s="5" t="n">
        <v>56</v>
      </c>
      <c r="B60" s="6" t="n"/>
      <c r="C60" s="7" t="n"/>
      <c r="D60" s="7" t="n"/>
      <c r="E60" s="7" t="n"/>
      <c r="F60" s="7" t="n"/>
      <c r="G60" s="6" t="n"/>
      <c r="H60" s="6" t="n"/>
      <c r="I60" s="7" t="n"/>
      <c r="J60" s="7" t="n"/>
      <c r="K60" s="5">
        <f>IF(E60="","",IF(OR(F60="Мотивированный отказ",F60="Спор об объёме или качестве"),"ГРАНИЦА B4: к специалисту",IF(F60="Связано с удержанием или неустойкой","ГРАНИЦА B2: к специалисту",IF(F60="","УКАЖИТЕ ТИП",IF(AND(H60&lt;&gt;"",J60&lt;&gt;""),"ЗАКРЫТО",IF(H60&lt;&gt;"","УСТРАНЕНО, НЕ ПРЕДЪЯВЛЕНО",IF(AND(G60&lt;&gt;"",TODAY()&gt;G60),"ПРОСРОЧЕНО","В РАБОТЕ")))))))</f>
        <v/>
      </c>
    </row>
    <row r="61">
      <c r="A61" s="5" t="n">
        <v>57</v>
      </c>
      <c r="B61" s="6" t="n"/>
      <c r="C61" s="7" t="n"/>
      <c r="D61" s="7" t="n"/>
      <c r="E61" s="7" t="n"/>
      <c r="F61" s="7" t="n"/>
      <c r="G61" s="6" t="n"/>
      <c r="H61" s="6" t="n"/>
      <c r="I61" s="7" t="n"/>
      <c r="J61" s="7" t="n"/>
      <c r="K61" s="5">
        <f>IF(E61="","",IF(OR(F61="Мотивированный отказ",F61="Спор об объёме или качестве"),"ГРАНИЦА B4: к специалисту",IF(F61="Связано с удержанием или неустойкой","ГРАНИЦА B2: к специалисту",IF(F61="","УКАЖИТЕ ТИП",IF(AND(H61&lt;&gt;"",J61&lt;&gt;""),"ЗАКРЫТО",IF(H61&lt;&gt;"","УСТРАНЕНО, НЕ ПРЕДЪЯВЛЕНО",IF(AND(G61&lt;&gt;"",TODAY()&gt;G61),"ПРОСРОЧЕНО","В РАБОТЕ")))))))</f>
        <v/>
      </c>
    </row>
    <row r="62">
      <c r="A62" s="5" t="n">
        <v>58</v>
      </c>
      <c r="B62" s="6" t="n"/>
      <c r="C62" s="7" t="n"/>
      <c r="D62" s="7" t="n"/>
      <c r="E62" s="7" t="n"/>
      <c r="F62" s="7" t="n"/>
      <c r="G62" s="6" t="n"/>
      <c r="H62" s="6" t="n"/>
      <c r="I62" s="7" t="n"/>
      <c r="J62" s="7" t="n"/>
      <c r="K62" s="5">
        <f>IF(E62="","",IF(OR(F62="Мотивированный отказ",F62="Спор об объёме или качестве"),"ГРАНИЦА B4: к специалисту",IF(F62="Связано с удержанием или неустойкой","ГРАНИЦА B2: к специалисту",IF(F62="","УКАЖИТЕ ТИП",IF(AND(H62&lt;&gt;"",J62&lt;&gt;""),"ЗАКРЫТО",IF(H62&lt;&gt;"","УСТРАНЕНО, НЕ ПРЕДЪЯВЛЕНО",IF(AND(G62&lt;&gt;"",TODAY()&gt;G62),"ПРОСРОЧЕНО","В РАБОТЕ")))))))</f>
        <v/>
      </c>
    </row>
    <row r="63">
      <c r="A63" s="5" t="n">
        <v>59</v>
      </c>
      <c r="B63" s="6" t="n"/>
      <c r="C63" s="7" t="n"/>
      <c r="D63" s="7" t="n"/>
      <c r="E63" s="7" t="n"/>
      <c r="F63" s="7" t="n"/>
      <c r="G63" s="6" t="n"/>
      <c r="H63" s="6" t="n"/>
      <c r="I63" s="7" t="n"/>
      <c r="J63" s="7" t="n"/>
      <c r="K63" s="5">
        <f>IF(E63="","",IF(OR(F63="Мотивированный отказ",F63="Спор об объёме или качестве"),"ГРАНИЦА B4: к специалисту",IF(F63="Связано с удержанием или неустойкой","ГРАНИЦА B2: к специалисту",IF(F63="","УКАЖИТЕ ТИП",IF(AND(H63&lt;&gt;"",J63&lt;&gt;""),"ЗАКРЫТО",IF(H63&lt;&gt;"","УСТРАНЕНО, НЕ ПРЕДЪЯВЛЕНО",IF(AND(G63&lt;&gt;"",TODAY()&gt;G63),"ПРОСРОЧЕНО","В РАБОТЕ")))))))</f>
        <v/>
      </c>
    </row>
    <row r="64">
      <c r="A64" s="5" t="n">
        <v>60</v>
      </c>
      <c r="B64" s="6" t="n"/>
      <c r="C64" s="7" t="n"/>
      <c r="D64" s="7" t="n"/>
      <c r="E64" s="7" t="n"/>
      <c r="F64" s="7" t="n"/>
      <c r="G64" s="6" t="n"/>
      <c r="H64" s="6" t="n"/>
      <c r="I64" s="7" t="n"/>
      <c r="J64" s="7" t="n"/>
      <c r="K64" s="5">
        <f>IF(E64="","",IF(OR(F64="Мотивированный отказ",F64="Спор об объёме или качестве"),"ГРАНИЦА B4: к специалисту",IF(F64="Связано с удержанием или неустойкой","ГРАНИЦА B2: к специалисту",IF(F64="","УКАЖИТЕ ТИП",IF(AND(H64&lt;&gt;"",J64&lt;&gt;""),"ЗАКРЫТО",IF(H64&lt;&gt;"","УСТРАНЕНО, НЕ ПРЕДЪЯВЛЕНО",IF(AND(G64&lt;&gt;"",TODAY()&gt;G64),"ПРОСРОЧЕНО","В РАБОТЕ")))))))</f>
        <v/>
      </c>
    </row>
    <row r="65">
      <c r="A65" s="5" t="n">
        <v>61</v>
      </c>
      <c r="B65" s="6" t="n"/>
      <c r="C65" s="7" t="n"/>
      <c r="D65" s="7" t="n"/>
      <c r="E65" s="7" t="n"/>
      <c r="F65" s="7" t="n"/>
      <c r="G65" s="6" t="n"/>
      <c r="H65" s="6" t="n"/>
      <c r="I65" s="7" t="n"/>
      <c r="J65" s="7" t="n"/>
      <c r="K65" s="5">
        <f>IF(E65="","",IF(OR(F65="Мотивированный отказ",F65="Спор об объёме или качестве"),"ГРАНИЦА B4: к специалисту",IF(F65="Связано с удержанием или неустойкой","ГРАНИЦА B2: к специалисту",IF(F65="","УКАЖИТЕ ТИП",IF(AND(H65&lt;&gt;"",J65&lt;&gt;""),"ЗАКРЫТО",IF(H65&lt;&gt;"","УСТРАНЕНО, НЕ ПРЕДЪЯВЛЕНО",IF(AND(G65&lt;&gt;"",TODAY()&gt;G65),"ПРОСРОЧЕНО","В РАБОТЕ")))))))</f>
        <v/>
      </c>
    </row>
    <row r="66">
      <c r="A66" s="5" t="n">
        <v>62</v>
      </c>
      <c r="B66" s="6" t="n"/>
      <c r="C66" s="7" t="n"/>
      <c r="D66" s="7" t="n"/>
      <c r="E66" s="7" t="n"/>
      <c r="F66" s="7" t="n"/>
      <c r="G66" s="6" t="n"/>
      <c r="H66" s="6" t="n"/>
      <c r="I66" s="7" t="n"/>
      <c r="J66" s="7" t="n"/>
      <c r="K66" s="5">
        <f>IF(E66="","",IF(OR(F66="Мотивированный отказ",F66="Спор об объёме или качестве"),"ГРАНИЦА B4: к специалисту",IF(F66="Связано с удержанием или неустойкой","ГРАНИЦА B2: к специалисту",IF(F66="","УКАЖИТЕ ТИП",IF(AND(H66&lt;&gt;"",J66&lt;&gt;""),"ЗАКРЫТО",IF(H66&lt;&gt;"","УСТРАНЕНО, НЕ ПРЕДЪЯВЛЕНО",IF(AND(G66&lt;&gt;"",TODAY()&gt;G66),"ПРОСРОЧЕНО","В РАБОТЕ")))))))</f>
        <v/>
      </c>
    </row>
    <row r="67">
      <c r="A67" s="5" t="n">
        <v>63</v>
      </c>
      <c r="B67" s="6" t="n"/>
      <c r="C67" s="7" t="n"/>
      <c r="D67" s="7" t="n"/>
      <c r="E67" s="7" t="n"/>
      <c r="F67" s="7" t="n"/>
      <c r="G67" s="6" t="n"/>
      <c r="H67" s="6" t="n"/>
      <c r="I67" s="7" t="n"/>
      <c r="J67" s="7" t="n"/>
      <c r="K67" s="5">
        <f>IF(E67="","",IF(OR(F67="Мотивированный отказ",F67="Спор об объёме или качестве"),"ГРАНИЦА B4: к специалисту",IF(F67="Связано с удержанием или неустойкой","ГРАНИЦА B2: к специалисту",IF(F67="","УКАЖИТЕ ТИП",IF(AND(H67&lt;&gt;"",J67&lt;&gt;""),"ЗАКРЫТО",IF(H67&lt;&gt;"","УСТРАНЕНО, НЕ ПРЕДЪЯВЛЕНО",IF(AND(G67&lt;&gt;"",TODAY()&gt;G67),"ПРОСРОЧЕНО","В РАБОТЕ")))))))</f>
        <v/>
      </c>
    </row>
    <row r="68">
      <c r="A68" s="5" t="n">
        <v>64</v>
      </c>
      <c r="B68" s="6" t="n"/>
      <c r="C68" s="7" t="n"/>
      <c r="D68" s="7" t="n"/>
      <c r="E68" s="7" t="n"/>
      <c r="F68" s="7" t="n"/>
      <c r="G68" s="6" t="n"/>
      <c r="H68" s="6" t="n"/>
      <c r="I68" s="7" t="n"/>
      <c r="J68" s="7" t="n"/>
      <c r="K68" s="5">
        <f>IF(E68="","",IF(OR(F68="Мотивированный отказ",F68="Спор об объёме или качестве"),"ГРАНИЦА B4: к специалисту",IF(F68="Связано с удержанием или неустойкой","ГРАНИЦА B2: к специалисту",IF(F68="","УКАЖИТЕ ТИП",IF(AND(H68&lt;&gt;"",J68&lt;&gt;""),"ЗАКРЫТО",IF(H68&lt;&gt;"","УСТРАНЕНО, НЕ ПРЕДЪЯВЛЕНО",IF(AND(G68&lt;&gt;"",TODAY()&gt;G68),"ПРОСРОЧЕНО","В РАБОТЕ")))))))</f>
        <v/>
      </c>
    </row>
    <row r="69">
      <c r="A69" s="5" t="n">
        <v>65</v>
      </c>
      <c r="B69" s="6" t="n"/>
      <c r="C69" s="7" t="n"/>
      <c r="D69" s="7" t="n"/>
      <c r="E69" s="7" t="n"/>
      <c r="F69" s="7" t="n"/>
      <c r="G69" s="6" t="n"/>
      <c r="H69" s="6" t="n"/>
      <c r="I69" s="7" t="n"/>
      <c r="J69" s="7" t="n"/>
      <c r="K69" s="5">
        <f>IF(E69="","",IF(OR(F69="Мотивированный отказ",F69="Спор об объёме или качестве"),"ГРАНИЦА B4: к специалисту",IF(F69="Связано с удержанием или неустойкой","ГРАНИЦА B2: к специалисту",IF(F69="","УКАЖИТЕ ТИП",IF(AND(H69&lt;&gt;"",J69&lt;&gt;""),"ЗАКРЫТО",IF(H69&lt;&gt;"","УСТРАНЕНО, НЕ ПРЕДЪЯВЛЕНО",IF(AND(G69&lt;&gt;"",TODAY()&gt;G69),"ПРОСРОЧЕНО","В РАБОТЕ")))))))</f>
        <v/>
      </c>
    </row>
    <row r="70">
      <c r="A70" s="5" t="n">
        <v>66</v>
      </c>
      <c r="B70" s="6" t="n"/>
      <c r="C70" s="7" t="n"/>
      <c r="D70" s="7" t="n"/>
      <c r="E70" s="7" t="n"/>
      <c r="F70" s="7" t="n"/>
      <c r="G70" s="6" t="n"/>
      <c r="H70" s="6" t="n"/>
      <c r="I70" s="7" t="n"/>
      <c r="J70" s="7" t="n"/>
      <c r="K70" s="5">
        <f>IF(E70="","",IF(OR(F70="Мотивированный отказ",F70="Спор об объёме или качестве"),"ГРАНИЦА B4: к специалисту",IF(F70="Связано с удержанием или неустойкой","ГРАНИЦА B2: к специалисту",IF(F70="","УКАЖИТЕ ТИП",IF(AND(H70&lt;&gt;"",J70&lt;&gt;""),"ЗАКРЫТО",IF(H70&lt;&gt;"","УСТРАНЕНО, НЕ ПРЕДЪЯВЛЕНО",IF(AND(G70&lt;&gt;"",TODAY()&gt;G70),"ПРОСРОЧЕНО","В РАБОТЕ")))))))</f>
        <v/>
      </c>
    </row>
    <row r="71">
      <c r="A71" s="5" t="n">
        <v>67</v>
      </c>
      <c r="B71" s="6" t="n"/>
      <c r="C71" s="7" t="n"/>
      <c r="D71" s="7" t="n"/>
      <c r="E71" s="7" t="n"/>
      <c r="F71" s="7" t="n"/>
      <c r="G71" s="6" t="n"/>
      <c r="H71" s="6" t="n"/>
      <c r="I71" s="7" t="n"/>
      <c r="J71" s="7" t="n"/>
      <c r="K71" s="5">
        <f>IF(E71="","",IF(OR(F71="Мотивированный отказ",F71="Спор об объёме или качестве"),"ГРАНИЦА B4: к специалисту",IF(F71="Связано с удержанием или неустойкой","ГРАНИЦА B2: к специалисту",IF(F71="","УКАЖИТЕ ТИП",IF(AND(H71&lt;&gt;"",J71&lt;&gt;""),"ЗАКРЫТО",IF(H71&lt;&gt;"","УСТРАНЕНО, НЕ ПРЕДЪЯВЛЕНО",IF(AND(G71&lt;&gt;"",TODAY()&gt;G71),"ПРОСРОЧЕНО","В РАБОТЕ")))))))</f>
        <v/>
      </c>
    </row>
    <row r="72">
      <c r="A72" s="5" t="n">
        <v>68</v>
      </c>
      <c r="B72" s="6" t="n"/>
      <c r="C72" s="7" t="n"/>
      <c r="D72" s="7" t="n"/>
      <c r="E72" s="7" t="n"/>
      <c r="F72" s="7" t="n"/>
      <c r="G72" s="6" t="n"/>
      <c r="H72" s="6" t="n"/>
      <c r="I72" s="7" t="n"/>
      <c r="J72" s="7" t="n"/>
      <c r="K72" s="5">
        <f>IF(E72="","",IF(OR(F72="Мотивированный отказ",F72="Спор об объёме или качестве"),"ГРАНИЦА B4: к специалисту",IF(F72="Связано с удержанием или неустойкой","ГРАНИЦА B2: к специалисту",IF(F72="","УКАЖИТЕ ТИП",IF(AND(H72&lt;&gt;"",J72&lt;&gt;""),"ЗАКРЫТО",IF(H72&lt;&gt;"","УСТРАНЕНО, НЕ ПРЕДЪЯВЛЕНО",IF(AND(G72&lt;&gt;"",TODAY()&gt;G72),"ПРОСРОЧЕНО","В РАБОТЕ")))))))</f>
        <v/>
      </c>
    </row>
    <row r="73">
      <c r="A73" s="5" t="n">
        <v>69</v>
      </c>
      <c r="B73" s="6" t="n"/>
      <c r="C73" s="7" t="n"/>
      <c r="D73" s="7" t="n"/>
      <c r="E73" s="7" t="n"/>
      <c r="F73" s="7" t="n"/>
      <c r="G73" s="6" t="n"/>
      <c r="H73" s="6" t="n"/>
      <c r="I73" s="7" t="n"/>
      <c r="J73" s="7" t="n"/>
      <c r="K73" s="5">
        <f>IF(E73="","",IF(OR(F73="Мотивированный отказ",F73="Спор об объёме или качестве"),"ГРАНИЦА B4: к специалисту",IF(F73="Связано с удержанием или неустойкой","ГРАНИЦА B2: к специалисту",IF(F73="","УКАЖИТЕ ТИП",IF(AND(H73&lt;&gt;"",J73&lt;&gt;""),"ЗАКРЫТО",IF(H73&lt;&gt;"","УСТРАНЕНО, НЕ ПРЕДЪЯВЛЕНО",IF(AND(G73&lt;&gt;"",TODAY()&gt;G73),"ПРОСРОЧЕНО","В РАБОТЕ")))))))</f>
        <v/>
      </c>
    </row>
    <row r="74">
      <c r="A74" s="5" t="n">
        <v>70</v>
      </c>
      <c r="B74" s="6" t="n"/>
      <c r="C74" s="7" t="n"/>
      <c r="D74" s="7" t="n"/>
      <c r="E74" s="7" t="n"/>
      <c r="F74" s="7" t="n"/>
      <c r="G74" s="6" t="n"/>
      <c r="H74" s="6" t="n"/>
      <c r="I74" s="7" t="n"/>
      <c r="J74" s="7" t="n"/>
      <c r="K74" s="5">
        <f>IF(E74="","",IF(OR(F74="Мотивированный отказ",F74="Спор об объёме или качестве"),"ГРАНИЦА B4: к специалисту",IF(F74="Связано с удержанием или неустойкой","ГРАНИЦА B2: к специалисту",IF(F74="","УКАЖИТЕ ТИП",IF(AND(H74&lt;&gt;"",J74&lt;&gt;""),"ЗАКРЫТО",IF(H74&lt;&gt;"","УСТРАНЕНО, НЕ ПРЕДЪЯВЛЕНО",IF(AND(G74&lt;&gt;"",TODAY()&gt;G74),"ПРОСРОЧЕНО","В РАБОТЕ")))))))</f>
        <v/>
      </c>
    </row>
    <row r="75">
      <c r="A75" s="5" t="n">
        <v>71</v>
      </c>
      <c r="B75" s="6" t="n"/>
      <c r="C75" s="7" t="n"/>
      <c r="D75" s="7" t="n"/>
      <c r="E75" s="7" t="n"/>
      <c r="F75" s="7" t="n"/>
      <c r="G75" s="6" t="n"/>
      <c r="H75" s="6" t="n"/>
      <c r="I75" s="7" t="n"/>
      <c r="J75" s="7" t="n"/>
      <c r="K75" s="5">
        <f>IF(E75="","",IF(OR(F75="Мотивированный отказ",F75="Спор об объёме или качестве"),"ГРАНИЦА B4: к специалисту",IF(F75="Связано с удержанием или неустойкой","ГРАНИЦА B2: к специалисту",IF(F75="","УКАЖИТЕ ТИП",IF(AND(H75&lt;&gt;"",J75&lt;&gt;""),"ЗАКРЫТО",IF(H75&lt;&gt;"","УСТРАНЕНО, НЕ ПРЕДЪЯВЛЕНО",IF(AND(G75&lt;&gt;"",TODAY()&gt;G75),"ПРОСРОЧЕНО","В РАБОТЕ")))))))</f>
        <v/>
      </c>
    </row>
    <row r="76">
      <c r="A76" s="5" t="n">
        <v>72</v>
      </c>
      <c r="B76" s="6" t="n"/>
      <c r="C76" s="7" t="n"/>
      <c r="D76" s="7" t="n"/>
      <c r="E76" s="7" t="n"/>
      <c r="F76" s="7" t="n"/>
      <c r="G76" s="6" t="n"/>
      <c r="H76" s="6" t="n"/>
      <c r="I76" s="7" t="n"/>
      <c r="J76" s="7" t="n"/>
      <c r="K76" s="5">
        <f>IF(E76="","",IF(OR(F76="Мотивированный отказ",F76="Спор об объёме или качестве"),"ГРАНИЦА B4: к специалисту",IF(F76="Связано с удержанием или неустойкой","ГРАНИЦА B2: к специалисту",IF(F76="","УКАЖИТЕ ТИП",IF(AND(H76&lt;&gt;"",J76&lt;&gt;""),"ЗАКРЫТО",IF(H76&lt;&gt;"","УСТРАНЕНО, НЕ ПРЕДЪЯВЛЕНО",IF(AND(G76&lt;&gt;"",TODAY()&gt;G76),"ПРОСРОЧЕНО","В РАБОТЕ")))))))</f>
        <v/>
      </c>
    </row>
    <row r="77">
      <c r="A77" s="5" t="n">
        <v>73</v>
      </c>
      <c r="B77" s="6" t="n"/>
      <c r="C77" s="7" t="n"/>
      <c r="D77" s="7" t="n"/>
      <c r="E77" s="7" t="n"/>
      <c r="F77" s="7" t="n"/>
      <c r="G77" s="6" t="n"/>
      <c r="H77" s="6" t="n"/>
      <c r="I77" s="7" t="n"/>
      <c r="J77" s="7" t="n"/>
      <c r="K77" s="5">
        <f>IF(E77="","",IF(OR(F77="Мотивированный отказ",F77="Спор об объёме или качестве"),"ГРАНИЦА B4: к специалисту",IF(F77="Связано с удержанием или неустойкой","ГРАНИЦА B2: к специалисту",IF(F77="","УКАЖИТЕ ТИП",IF(AND(H77&lt;&gt;"",J77&lt;&gt;""),"ЗАКРЫТО",IF(H77&lt;&gt;"","УСТРАНЕНО, НЕ ПРЕДЪЯВЛЕНО",IF(AND(G77&lt;&gt;"",TODAY()&gt;G77),"ПРОСРОЧЕНО","В РАБОТЕ")))))))</f>
        <v/>
      </c>
    </row>
    <row r="78">
      <c r="A78" s="5" t="n">
        <v>74</v>
      </c>
      <c r="B78" s="6" t="n"/>
      <c r="C78" s="7" t="n"/>
      <c r="D78" s="7" t="n"/>
      <c r="E78" s="7" t="n"/>
      <c r="F78" s="7" t="n"/>
      <c r="G78" s="6" t="n"/>
      <c r="H78" s="6" t="n"/>
      <c r="I78" s="7" t="n"/>
      <c r="J78" s="7" t="n"/>
      <c r="K78" s="5">
        <f>IF(E78="","",IF(OR(F78="Мотивированный отказ",F78="Спор об объёме или качестве"),"ГРАНИЦА B4: к специалисту",IF(F78="Связано с удержанием или неустойкой","ГРАНИЦА B2: к специалисту",IF(F78="","УКАЖИТЕ ТИП",IF(AND(H78&lt;&gt;"",J78&lt;&gt;""),"ЗАКРЫТО",IF(H78&lt;&gt;"","УСТРАНЕНО, НЕ ПРЕДЪЯВЛЕНО",IF(AND(G78&lt;&gt;"",TODAY()&gt;G78),"ПРОСРОЧЕНО","В РАБОТЕ")))))))</f>
        <v/>
      </c>
    </row>
    <row r="79">
      <c r="A79" s="5" t="n">
        <v>75</v>
      </c>
      <c r="B79" s="6" t="n"/>
      <c r="C79" s="7" t="n"/>
      <c r="D79" s="7" t="n"/>
      <c r="E79" s="7" t="n"/>
      <c r="F79" s="7" t="n"/>
      <c r="G79" s="6" t="n"/>
      <c r="H79" s="6" t="n"/>
      <c r="I79" s="7" t="n"/>
      <c r="J79" s="7" t="n"/>
      <c r="K79" s="5">
        <f>IF(E79="","",IF(OR(F79="Мотивированный отказ",F79="Спор об объёме или качестве"),"ГРАНИЦА B4: к специалисту",IF(F79="Связано с удержанием или неустойкой","ГРАНИЦА B2: к специалисту",IF(F79="","УКАЖИТЕ ТИП",IF(AND(H79&lt;&gt;"",J79&lt;&gt;""),"ЗАКРЫТО",IF(H79&lt;&gt;"","УСТРАНЕНО, НЕ ПРЕДЪЯВЛЕНО",IF(AND(G79&lt;&gt;"",TODAY()&gt;G79),"ПРОСРОЧЕНО","В РАБОТЕ")))))))</f>
        <v/>
      </c>
    </row>
    <row r="80">
      <c r="A80" s="5" t="n">
        <v>76</v>
      </c>
      <c r="B80" s="6" t="n"/>
      <c r="C80" s="7" t="n"/>
      <c r="D80" s="7" t="n"/>
      <c r="E80" s="7" t="n"/>
      <c r="F80" s="7" t="n"/>
      <c r="G80" s="6" t="n"/>
      <c r="H80" s="6" t="n"/>
      <c r="I80" s="7" t="n"/>
      <c r="J80" s="7" t="n"/>
      <c r="K80" s="5">
        <f>IF(E80="","",IF(OR(F80="Мотивированный отказ",F80="Спор об объёме или качестве"),"ГРАНИЦА B4: к специалисту",IF(F80="Связано с удержанием или неустойкой","ГРАНИЦА B2: к специалисту",IF(F80="","УКАЖИТЕ ТИП",IF(AND(H80&lt;&gt;"",J80&lt;&gt;""),"ЗАКРЫТО",IF(H80&lt;&gt;"","УСТРАНЕНО, НЕ ПРЕДЪЯВЛЕНО",IF(AND(G80&lt;&gt;"",TODAY()&gt;G80),"ПРОСРОЧЕНО","В РАБОТЕ")))))))</f>
        <v/>
      </c>
    </row>
    <row r="81">
      <c r="A81" s="5" t="n">
        <v>77</v>
      </c>
      <c r="B81" s="6" t="n"/>
      <c r="C81" s="7" t="n"/>
      <c r="D81" s="7" t="n"/>
      <c r="E81" s="7" t="n"/>
      <c r="F81" s="7" t="n"/>
      <c r="G81" s="6" t="n"/>
      <c r="H81" s="6" t="n"/>
      <c r="I81" s="7" t="n"/>
      <c r="J81" s="7" t="n"/>
      <c r="K81" s="5">
        <f>IF(E81="","",IF(OR(F81="Мотивированный отказ",F81="Спор об объёме или качестве"),"ГРАНИЦА B4: к специалисту",IF(F81="Связано с удержанием или неустойкой","ГРАНИЦА B2: к специалисту",IF(F81="","УКАЖИТЕ ТИП",IF(AND(H81&lt;&gt;"",J81&lt;&gt;""),"ЗАКРЫТО",IF(H81&lt;&gt;"","УСТРАНЕНО, НЕ ПРЕДЪЯВЛЕНО",IF(AND(G81&lt;&gt;"",TODAY()&gt;G81),"ПРОСРОЧЕНО","В РАБОТЕ")))))))</f>
        <v/>
      </c>
    </row>
    <row r="82">
      <c r="A82" s="5" t="n">
        <v>78</v>
      </c>
      <c r="B82" s="6" t="n"/>
      <c r="C82" s="7" t="n"/>
      <c r="D82" s="7" t="n"/>
      <c r="E82" s="7" t="n"/>
      <c r="F82" s="7" t="n"/>
      <c r="G82" s="6" t="n"/>
      <c r="H82" s="6" t="n"/>
      <c r="I82" s="7" t="n"/>
      <c r="J82" s="7" t="n"/>
      <c r="K82" s="5">
        <f>IF(E82="","",IF(OR(F82="Мотивированный отказ",F82="Спор об объёме или качестве"),"ГРАНИЦА B4: к специалисту",IF(F82="Связано с удержанием или неустойкой","ГРАНИЦА B2: к специалисту",IF(F82="","УКАЖИТЕ ТИП",IF(AND(H82&lt;&gt;"",J82&lt;&gt;""),"ЗАКРЫТО",IF(H82&lt;&gt;"","УСТРАНЕНО, НЕ ПРЕДЪЯВЛЕНО",IF(AND(G82&lt;&gt;"",TODAY()&gt;G82),"ПРОСРОЧЕНО","В РАБОТЕ")))))))</f>
        <v/>
      </c>
    </row>
    <row r="83">
      <c r="A83" s="5" t="n">
        <v>79</v>
      </c>
      <c r="B83" s="6" t="n"/>
      <c r="C83" s="7" t="n"/>
      <c r="D83" s="7" t="n"/>
      <c r="E83" s="7" t="n"/>
      <c r="F83" s="7" t="n"/>
      <c r="G83" s="6" t="n"/>
      <c r="H83" s="6" t="n"/>
      <c r="I83" s="7" t="n"/>
      <c r="J83" s="7" t="n"/>
      <c r="K83" s="5">
        <f>IF(E83="","",IF(OR(F83="Мотивированный отказ",F83="Спор об объёме или качестве"),"ГРАНИЦА B4: к специалисту",IF(F83="Связано с удержанием или неустойкой","ГРАНИЦА B2: к специалисту",IF(F83="","УКАЖИТЕ ТИП",IF(AND(H83&lt;&gt;"",J83&lt;&gt;""),"ЗАКРЫТО",IF(H83&lt;&gt;"","УСТРАНЕНО, НЕ ПРЕДЪЯВЛЕНО",IF(AND(G83&lt;&gt;"",TODAY()&gt;G83),"ПРОСРОЧЕНО","В РАБОТЕ")))))))</f>
        <v/>
      </c>
    </row>
    <row r="84">
      <c r="A84" s="5" t="n">
        <v>80</v>
      </c>
      <c r="B84" s="6" t="n"/>
      <c r="C84" s="7" t="n"/>
      <c r="D84" s="7" t="n"/>
      <c r="E84" s="7" t="n"/>
      <c r="F84" s="7" t="n"/>
      <c r="G84" s="6" t="n"/>
      <c r="H84" s="6" t="n"/>
      <c r="I84" s="7" t="n"/>
      <c r="J84" s="7" t="n"/>
      <c r="K84" s="5">
        <f>IF(E84="","",IF(OR(F84="Мотивированный отказ",F84="Спор об объёме или качестве"),"ГРАНИЦА B4: к специалисту",IF(F84="Связано с удержанием или неустойкой","ГРАНИЦА B2: к специалисту",IF(F84="","УКАЖИТЕ ТИП",IF(AND(H84&lt;&gt;"",J84&lt;&gt;""),"ЗАКРЫТО",IF(H84&lt;&gt;"","УСТРАНЕНО, НЕ ПРЕДЪЯВЛЕНО",IF(AND(G84&lt;&gt;"",TODAY()&gt;G84),"ПРОСРОЧЕНО","В РАБОТЕ")))))))</f>
        <v/>
      </c>
    </row>
    <row r="85">
      <c r="A85" s="5" t="n">
        <v>81</v>
      </c>
      <c r="B85" s="6" t="n"/>
      <c r="C85" s="7" t="n"/>
      <c r="D85" s="7" t="n"/>
      <c r="E85" s="7" t="n"/>
      <c r="F85" s="7" t="n"/>
      <c r="G85" s="6" t="n"/>
      <c r="H85" s="6" t="n"/>
      <c r="I85" s="7" t="n"/>
      <c r="J85" s="7" t="n"/>
      <c r="K85" s="5">
        <f>IF(E85="","",IF(OR(F85="Мотивированный отказ",F85="Спор об объёме или качестве"),"ГРАНИЦА B4: к специалисту",IF(F85="Связано с удержанием или неустойкой","ГРАНИЦА B2: к специалисту",IF(F85="","УКАЖИТЕ ТИП",IF(AND(H85&lt;&gt;"",J85&lt;&gt;""),"ЗАКРЫТО",IF(H85&lt;&gt;"","УСТРАНЕНО, НЕ ПРЕДЪЯВЛЕНО",IF(AND(G85&lt;&gt;"",TODAY()&gt;G85),"ПРОСРОЧЕНО","В РАБОТЕ")))))))</f>
        <v/>
      </c>
    </row>
    <row r="86">
      <c r="A86" s="5" t="n">
        <v>82</v>
      </c>
      <c r="B86" s="6" t="n"/>
      <c r="C86" s="7" t="n"/>
      <c r="D86" s="7" t="n"/>
      <c r="E86" s="7" t="n"/>
      <c r="F86" s="7" t="n"/>
      <c r="G86" s="6" t="n"/>
      <c r="H86" s="6" t="n"/>
      <c r="I86" s="7" t="n"/>
      <c r="J86" s="7" t="n"/>
      <c r="K86" s="5">
        <f>IF(E86="","",IF(OR(F86="Мотивированный отказ",F86="Спор об объёме или качестве"),"ГРАНИЦА B4: к специалисту",IF(F86="Связано с удержанием или неустойкой","ГРАНИЦА B2: к специалисту",IF(F86="","УКАЖИТЕ ТИП",IF(AND(H86&lt;&gt;"",J86&lt;&gt;""),"ЗАКРЫТО",IF(H86&lt;&gt;"","УСТРАНЕНО, НЕ ПРЕДЪЯВЛЕНО",IF(AND(G86&lt;&gt;"",TODAY()&gt;G86),"ПРОСРОЧЕНО","В РАБОТЕ")))))))</f>
        <v/>
      </c>
    </row>
    <row r="87">
      <c r="A87" s="5" t="n">
        <v>83</v>
      </c>
      <c r="B87" s="6" t="n"/>
      <c r="C87" s="7" t="n"/>
      <c r="D87" s="7" t="n"/>
      <c r="E87" s="7" t="n"/>
      <c r="F87" s="7" t="n"/>
      <c r="G87" s="6" t="n"/>
      <c r="H87" s="6" t="n"/>
      <c r="I87" s="7" t="n"/>
      <c r="J87" s="7" t="n"/>
      <c r="K87" s="5">
        <f>IF(E87="","",IF(OR(F87="Мотивированный отказ",F87="Спор об объёме или качестве"),"ГРАНИЦА B4: к специалисту",IF(F87="Связано с удержанием или неустойкой","ГРАНИЦА B2: к специалисту",IF(F87="","УКАЖИТЕ ТИП",IF(AND(H87&lt;&gt;"",J87&lt;&gt;""),"ЗАКРЫТО",IF(H87&lt;&gt;"","УСТРАНЕНО, НЕ ПРЕДЪЯВЛЕНО",IF(AND(G87&lt;&gt;"",TODAY()&gt;G87),"ПРОСРОЧЕНО","В РАБОТЕ")))))))</f>
        <v/>
      </c>
    </row>
    <row r="88">
      <c r="A88" s="5" t="n">
        <v>84</v>
      </c>
      <c r="B88" s="6" t="n"/>
      <c r="C88" s="7" t="n"/>
      <c r="D88" s="7" t="n"/>
      <c r="E88" s="7" t="n"/>
      <c r="F88" s="7" t="n"/>
      <c r="G88" s="6" t="n"/>
      <c r="H88" s="6" t="n"/>
      <c r="I88" s="7" t="n"/>
      <c r="J88" s="7" t="n"/>
      <c r="K88" s="5">
        <f>IF(E88="","",IF(OR(F88="Мотивированный отказ",F88="Спор об объёме или качестве"),"ГРАНИЦА B4: к специалисту",IF(F88="Связано с удержанием или неустойкой","ГРАНИЦА B2: к специалисту",IF(F88="","УКАЖИТЕ ТИП",IF(AND(H88&lt;&gt;"",J88&lt;&gt;""),"ЗАКРЫТО",IF(H88&lt;&gt;"","УСТРАНЕНО, НЕ ПРЕДЪЯВЛЕНО",IF(AND(G88&lt;&gt;"",TODAY()&gt;G88),"ПРОСРОЧЕНО","В РАБОТЕ")))))))</f>
        <v/>
      </c>
    </row>
    <row r="89">
      <c r="A89" s="5" t="n">
        <v>85</v>
      </c>
      <c r="B89" s="6" t="n"/>
      <c r="C89" s="7" t="n"/>
      <c r="D89" s="7" t="n"/>
      <c r="E89" s="7" t="n"/>
      <c r="F89" s="7" t="n"/>
      <c r="G89" s="6" t="n"/>
      <c r="H89" s="6" t="n"/>
      <c r="I89" s="7" t="n"/>
      <c r="J89" s="7" t="n"/>
      <c r="K89" s="5">
        <f>IF(E89="","",IF(OR(F89="Мотивированный отказ",F89="Спор об объёме или качестве"),"ГРАНИЦА B4: к специалисту",IF(F89="Связано с удержанием или неустойкой","ГРАНИЦА B2: к специалисту",IF(F89="","УКАЖИТЕ ТИП",IF(AND(H89&lt;&gt;"",J89&lt;&gt;""),"ЗАКРЫТО",IF(H89&lt;&gt;"","УСТРАНЕНО, НЕ ПРЕДЪЯВЛЕНО",IF(AND(G89&lt;&gt;"",TODAY()&gt;G89),"ПРОСРОЧЕНО","В РАБОТЕ")))))))</f>
        <v/>
      </c>
    </row>
    <row r="90">
      <c r="A90" s="5" t="n">
        <v>86</v>
      </c>
      <c r="B90" s="6" t="n"/>
      <c r="C90" s="7" t="n"/>
      <c r="D90" s="7" t="n"/>
      <c r="E90" s="7" t="n"/>
      <c r="F90" s="7" t="n"/>
      <c r="G90" s="6" t="n"/>
      <c r="H90" s="6" t="n"/>
      <c r="I90" s="7" t="n"/>
      <c r="J90" s="7" t="n"/>
      <c r="K90" s="5">
        <f>IF(E90="","",IF(OR(F90="Мотивированный отказ",F90="Спор об объёме или качестве"),"ГРАНИЦА B4: к специалисту",IF(F90="Связано с удержанием или неустойкой","ГРАНИЦА B2: к специалисту",IF(F90="","УКАЖИТЕ ТИП",IF(AND(H90&lt;&gt;"",J90&lt;&gt;""),"ЗАКРЫТО",IF(H90&lt;&gt;"","УСТРАНЕНО, НЕ ПРЕДЪЯВЛЕНО",IF(AND(G90&lt;&gt;"",TODAY()&gt;G90),"ПРОСРОЧЕНО","В РАБОТЕ")))))))</f>
        <v/>
      </c>
    </row>
    <row r="91">
      <c r="A91" s="5" t="n">
        <v>87</v>
      </c>
      <c r="B91" s="6" t="n"/>
      <c r="C91" s="7" t="n"/>
      <c r="D91" s="7" t="n"/>
      <c r="E91" s="7" t="n"/>
      <c r="F91" s="7" t="n"/>
      <c r="G91" s="6" t="n"/>
      <c r="H91" s="6" t="n"/>
      <c r="I91" s="7" t="n"/>
      <c r="J91" s="7" t="n"/>
      <c r="K91" s="5">
        <f>IF(E91="","",IF(OR(F91="Мотивированный отказ",F91="Спор об объёме или качестве"),"ГРАНИЦА B4: к специалисту",IF(F91="Связано с удержанием или неустойкой","ГРАНИЦА B2: к специалисту",IF(F91="","УКАЖИТЕ ТИП",IF(AND(H91&lt;&gt;"",J91&lt;&gt;""),"ЗАКРЫТО",IF(H91&lt;&gt;"","УСТРАНЕНО, НЕ ПРЕДЪЯВЛЕНО",IF(AND(G91&lt;&gt;"",TODAY()&gt;G91),"ПРОСРОЧЕНО","В РАБОТЕ")))))))</f>
        <v/>
      </c>
    </row>
    <row r="92">
      <c r="A92" s="5" t="n">
        <v>88</v>
      </c>
      <c r="B92" s="6" t="n"/>
      <c r="C92" s="7" t="n"/>
      <c r="D92" s="7" t="n"/>
      <c r="E92" s="7" t="n"/>
      <c r="F92" s="7" t="n"/>
      <c r="G92" s="6" t="n"/>
      <c r="H92" s="6" t="n"/>
      <c r="I92" s="7" t="n"/>
      <c r="J92" s="7" t="n"/>
      <c r="K92" s="5">
        <f>IF(E92="","",IF(OR(F92="Мотивированный отказ",F92="Спор об объёме или качестве"),"ГРАНИЦА B4: к специалисту",IF(F92="Связано с удержанием или неустойкой","ГРАНИЦА B2: к специалисту",IF(F92="","УКАЖИТЕ ТИП",IF(AND(H92&lt;&gt;"",J92&lt;&gt;""),"ЗАКРЫТО",IF(H92&lt;&gt;"","УСТРАНЕНО, НЕ ПРЕДЪЯВЛЕНО",IF(AND(G92&lt;&gt;"",TODAY()&gt;G92),"ПРОСРОЧЕНО","В РАБОТЕ")))))))</f>
        <v/>
      </c>
    </row>
    <row r="93">
      <c r="A93" s="5" t="n">
        <v>89</v>
      </c>
      <c r="B93" s="6" t="n"/>
      <c r="C93" s="7" t="n"/>
      <c r="D93" s="7" t="n"/>
      <c r="E93" s="7" t="n"/>
      <c r="F93" s="7" t="n"/>
      <c r="G93" s="6" t="n"/>
      <c r="H93" s="6" t="n"/>
      <c r="I93" s="7" t="n"/>
      <c r="J93" s="7" t="n"/>
      <c r="K93" s="5">
        <f>IF(E93="","",IF(OR(F93="Мотивированный отказ",F93="Спор об объёме или качестве"),"ГРАНИЦА B4: к специалисту",IF(F93="Связано с удержанием или неустойкой","ГРАНИЦА B2: к специалисту",IF(F93="","УКАЖИТЕ ТИП",IF(AND(H93&lt;&gt;"",J93&lt;&gt;""),"ЗАКРЫТО",IF(H93&lt;&gt;"","УСТРАНЕНО, НЕ ПРЕДЪЯВЛЕНО",IF(AND(G93&lt;&gt;"",TODAY()&gt;G93),"ПРОСРОЧЕНО","В РАБОТЕ")))))))</f>
        <v/>
      </c>
    </row>
    <row r="94">
      <c r="A94" s="5" t="n">
        <v>90</v>
      </c>
      <c r="B94" s="6" t="n"/>
      <c r="C94" s="7" t="n"/>
      <c r="D94" s="7" t="n"/>
      <c r="E94" s="7" t="n"/>
      <c r="F94" s="7" t="n"/>
      <c r="G94" s="6" t="n"/>
      <c r="H94" s="6" t="n"/>
      <c r="I94" s="7" t="n"/>
      <c r="J94" s="7" t="n"/>
      <c r="K94" s="5">
        <f>IF(E94="","",IF(OR(F94="Мотивированный отказ",F94="Спор об объёме или качестве"),"ГРАНИЦА B4: к специалисту",IF(F94="Связано с удержанием или неустойкой","ГРАНИЦА B2: к специалисту",IF(F94="","УКАЖИТЕ ТИП",IF(AND(H94&lt;&gt;"",J94&lt;&gt;""),"ЗАКРЫТО",IF(H94&lt;&gt;"","УСТРАНЕНО, НЕ ПРЕДЪЯВЛЕНО",IF(AND(G94&lt;&gt;"",TODAY()&gt;G94),"ПРОСРОЧЕНО","В РАБОТЕ")))))))</f>
        <v/>
      </c>
    </row>
    <row r="95">
      <c r="A95" s="5" t="n">
        <v>91</v>
      </c>
      <c r="B95" s="6" t="n"/>
      <c r="C95" s="7" t="n"/>
      <c r="D95" s="7" t="n"/>
      <c r="E95" s="7" t="n"/>
      <c r="F95" s="7" t="n"/>
      <c r="G95" s="6" t="n"/>
      <c r="H95" s="6" t="n"/>
      <c r="I95" s="7" t="n"/>
      <c r="J95" s="7" t="n"/>
      <c r="K95" s="5">
        <f>IF(E95="","",IF(OR(F95="Мотивированный отказ",F95="Спор об объёме или качестве"),"ГРАНИЦА B4: к специалисту",IF(F95="Связано с удержанием или неустойкой","ГРАНИЦА B2: к специалисту",IF(F95="","УКАЖИТЕ ТИП",IF(AND(H95&lt;&gt;"",J95&lt;&gt;""),"ЗАКРЫТО",IF(H95&lt;&gt;"","УСТРАНЕНО, НЕ ПРЕДЪЯВЛЕНО",IF(AND(G95&lt;&gt;"",TODAY()&gt;G95),"ПРОСРОЧЕНО","В РАБОТЕ")))))))</f>
        <v/>
      </c>
    </row>
    <row r="96">
      <c r="A96" s="5" t="n">
        <v>92</v>
      </c>
      <c r="B96" s="6" t="n"/>
      <c r="C96" s="7" t="n"/>
      <c r="D96" s="7" t="n"/>
      <c r="E96" s="7" t="n"/>
      <c r="F96" s="7" t="n"/>
      <c r="G96" s="6" t="n"/>
      <c r="H96" s="6" t="n"/>
      <c r="I96" s="7" t="n"/>
      <c r="J96" s="7" t="n"/>
      <c r="K96" s="5">
        <f>IF(E96="","",IF(OR(F96="Мотивированный отказ",F96="Спор об объёме или качестве"),"ГРАНИЦА B4: к специалисту",IF(F96="Связано с удержанием или неустойкой","ГРАНИЦА B2: к специалисту",IF(F96="","УКАЖИТЕ ТИП",IF(AND(H96&lt;&gt;"",J96&lt;&gt;""),"ЗАКРЫТО",IF(H96&lt;&gt;"","УСТРАНЕНО, НЕ ПРЕДЪЯВЛЕНО",IF(AND(G96&lt;&gt;"",TODAY()&gt;G96),"ПРОСРОЧЕНО","В РАБОТЕ")))))))</f>
        <v/>
      </c>
    </row>
    <row r="97">
      <c r="A97" s="5" t="n">
        <v>93</v>
      </c>
      <c r="B97" s="6" t="n"/>
      <c r="C97" s="7" t="n"/>
      <c r="D97" s="7" t="n"/>
      <c r="E97" s="7" t="n"/>
      <c r="F97" s="7" t="n"/>
      <c r="G97" s="6" t="n"/>
      <c r="H97" s="6" t="n"/>
      <c r="I97" s="7" t="n"/>
      <c r="J97" s="7" t="n"/>
      <c r="K97" s="5">
        <f>IF(E97="","",IF(OR(F97="Мотивированный отказ",F97="Спор об объёме или качестве"),"ГРАНИЦА B4: к специалисту",IF(F97="Связано с удержанием или неустойкой","ГРАНИЦА B2: к специалисту",IF(F97="","УКАЖИТЕ ТИП",IF(AND(H97&lt;&gt;"",J97&lt;&gt;""),"ЗАКРЫТО",IF(H97&lt;&gt;"","УСТРАНЕНО, НЕ ПРЕДЪЯВЛЕНО",IF(AND(G97&lt;&gt;"",TODAY()&gt;G97),"ПРОСРОЧЕНО","В РАБОТЕ")))))))</f>
        <v/>
      </c>
    </row>
    <row r="98">
      <c r="A98" s="5" t="n">
        <v>94</v>
      </c>
      <c r="B98" s="6" t="n"/>
      <c r="C98" s="7" t="n"/>
      <c r="D98" s="7" t="n"/>
      <c r="E98" s="7" t="n"/>
      <c r="F98" s="7" t="n"/>
      <c r="G98" s="6" t="n"/>
      <c r="H98" s="6" t="n"/>
      <c r="I98" s="7" t="n"/>
      <c r="J98" s="7" t="n"/>
      <c r="K98" s="5">
        <f>IF(E98="","",IF(OR(F98="Мотивированный отказ",F98="Спор об объёме или качестве"),"ГРАНИЦА B4: к специалисту",IF(F98="Связано с удержанием или неустойкой","ГРАНИЦА B2: к специалисту",IF(F98="","УКАЖИТЕ ТИП",IF(AND(H98&lt;&gt;"",J98&lt;&gt;""),"ЗАКРЫТО",IF(H98&lt;&gt;"","УСТРАНЕНО, НЕ ПРЕДЪЯВЛЕНО",IF(AND(G98&lt;&gt;"",TODAY()&gt;G98),"ПРОСРОЧЕНО","В РАБОТЕ")))))))</f>
        <v/>
      </c>
    </row>
    <row r="99">
      <c r="A99" s="5" t="n">
        <v>95</v>
      </c>
      <c r="B99" s="6" t="n"/>
      <c r="C99" s="7" t="n"/>
      <c r="D99" s="7" t="n"/>
      <c r="E99" s="7" t="n"/>
      <c r="F99" s="7" t="n"/>
      <c r="G99" s="6" t="n"/>
      <c r="H99" s="6" t="n"/>
      <c r="I99" s="7" t="n"/>
      <c r="J99" s="7" t="n"/>
      <c r="K99" s="5">
        <f>IF(E99="","",IF(OR(F99="Мотивированный отказ",F99="Спор об объёме или качестве"),"ГРАНИЦА B4: к специалисту",IF(F99="Связано с удержанием или неустойкой","ГРАНИЦА B2: к специалисту",IF(F99="","УКАЖИТЕ ТИП",IF(AND(H99&lt;&gt;"",J99&lt;&gt;""),"ЗАКРЫТО",IF(H99&lt;&gt;"","УСТРАНЕНО, НЕ ПРЕДЪЯВЛЕНО",IF(AND(G99&lt;&gt;"",TODAY()&gt;G99),"ПРОСРОЧЕНО","В РАБОТЕ")))))))</f>
        <v/>
      </c>
    </row>
    <row r="100">
      <c r="A100" s="5" t="n">
        <v>96</v>
      </c>
      <c r="B100" s="6" t="n"/>
      <c r="C100" s="7" t="n"/>
      <c r="D100" s="7" t="n"/>
      <c r="E100" s="7" t="n"/>
      <c r="F100" s="7" t="n"/>
      <c r="G100" s="6" t="n"/>
      <c r="H100" s="6" t="n"/>
      <c r="I100" s="7" t="n"/>
      <c r="J100" s="7" t="n"/>
      <c r="K100" s="5">
        <f>IF(E100="","",IF(OR(F100="Мотивированный отказ",F100="Спор об объёме или качестве"),"ГРАНИЦА B4: к специалисту",IF(F100="Связано с удержанием или неустойкой","ГРАНИЦА B2: к специалисту",IF(F100="","УКАЖИТЕ ТИП",IF(AND(H100&lt;&gt;"",J100&lt;&gt;""),"ЗАКРЫТО",IF(H100&lt;&gt;"","УСТРАНЕНО, НЕ ПРЕДЪЯВЛЕНО",IF(AND(G100&lt;&gt;"",TODAY()&gt;G100),"ПРОСРОЧЕНО","В РАБОТЕ")))))))</f>
        <v/>
      </c>
    </row>
    <row r="101">
      <c r="A101" s="5" t="n">
        <v>97</v>
      </c>
      <c r="B101" s="6" t="n"/>
      <c r="C101" s="7" t="n"/>
      <c r="D101" s="7" t="n"/>
      <c r="E101" s="7" t="n"/>
      <c r="F101" s="7" t="n"/>
      <c r="G101" s="6" t="n"/>
      <c r="H101" s="6" t="n"/>
      <c r="I101" s="7" t="n"/>
      <c r="J101" s="7" t="n"/>
      <c r="K101" s="5">
        <f>IF(E101="","",IF(OR(F101="Мотивированный отказ",F101="Спор об объёме или качестве"),"ГРАНИЦА B4: к специалисту",IF(F101="Связано с удержанием или неустойкой","ГРАНИЦА B2: к специалисту",IF(F101="","УКАЖИТЕ ТИП",IF(AND(H101&lt;&gt;"",J101&lt;&gt;""),"ЗАКРЫТО",IF(H101&lt;&gt;"","УСТРАНЕНО, НЕ ПРЕДЪЯВЛЕНО",IF(AND(G101&lt;&gt;"",TODAY()&gt;G101),"ПРОСРОЧЕНО","В РАБОТЕ")))))))</f>
        <v/>
      </c>
    </row>
    <row r="102">
      <c r="A102" s="5" t="n">
        <v>98</v>
      </c>
      <c r="B102" s="6" t="n"/>
      <c r="C102" s="7" t="n"/>
      <c r="D102" s="7" t="n"/>
      <c r="E102" s="7" t="n"/>
      <c r="F102" s="7" t="n"/>
      <c r="G102" s="6" t="n"/>
      <c r="H102" s="6" t="n"/>
      <c r="I102" s="7" t="n"/>
      <c r="J102" s="7" t="n"/>
      <c r="K102" s="5">
        <f>IF(E102="","",IF(OR(F102="Мотивированный отказ",F102="Спор об объёме или качестве"),"ГРАНИЦА B4: к специалисту",IF(F102="Связано с удержанием или неустойкой","ГРАНИЦА B2: к специалисту",IF(F102="","УКАЖИТЕ ТИП",IF(AND(H102&lt;&gt;"",J102&lt;&gt;""),"ЗАКРЫТО",IF(H102&lt;&gt;"","УСТРАНЕНО, НЕ ПРЕДЪЯВЛЕНО",IF(AND(G102&lt;&gt;"",TODAY()&gt;G102),"ПРОСРОЧЕНО","В РАБОТЕ")))))))</f>
        <v/>
      </c>
    </row>
    <row r="103">
      <c r="A103" s="5" t="n">
        <v>99</v>
      </c>
      <c r="B103" s="6" t="n"/>
      <c r="C103" s="7" t="n"/>
      <c r="D103" s="7" t="n"/>
      <c r="E103" s="7" t="n"/>
      <c r="F103" s="7" t="n"/>
      <c r="G103" s="6" t="n"/>
      <c r="H103" s="6" t="n"/>
      <c r="I103" s="7" t="n"/>
      <c r="J103" s="7" t="n"/>
      <c r="K103" s="5">
        <f>IF(E103="","",IF(OR(F103="Мотивированный отказ",F103="Спор об объёме или качестве"),"ГРАНИЦА B4: к специалисту",IF(F103="Связано с удержанием или неустойкой","ГРАНИЦА B2: к специалисту",IF(F103="","УКАЖИТЕ ТИП",IF(AND(H103&lt;&gt;"",J103&lt;&gt;""),"ЗАКРЫТО",IF(H103&lt;&gt;"","УСТРАНЕНО, НЕ ПРЕДЪЯВЛЕНО",IF(AND(G103&lt;&gt;"",TODAY()&gt;G103),"ПРОСРОЧЕНО","В РАБОТЕ")))))))</f>
        <v/>
      </c>
    </row>
    <row r="104">
      <c r="A104" s="5" t="n">
        <v>100</v>
      </c>
      <c r="B104" s="6" t="n"/>
      <c r="C104" s="7" t="n"/>
      <c r="D104" s="7" t="n"/>
      <c r="E104" s="7" t="n"/>
      <c r="F104" s="7" t="n"/>
      <c r="G104" s="6" t="n"/>
      <c r="H104" s="6" t="n"/>
      <c r="I104" s="7" t="n"/>
      <c r="J104" s="7" t="n"/>
      <c r="K104" s="5">
        <f>IF(E104="","",IF(OR(F104="Мотивированный отказ",F104="Спор об объёме или качестве"),"ГРАНИЦА B4: к специалисту",IF(F104="Связано с удержанием или неустойкой","ГРАНИЦА B2: к специалисту",IF(F104="","УКАЖИТЕ ТИП",IF(AND(H104&lt;&gt;"",J104&lt;&gt;""),"ЗАКРЫТО",IF(H104&lt;&gt;"","УСТРАНЕНО, НЕ ПРЕДЪЯВЛЕНО",IF(AND(G104&lt;&gt;"",TODAY()&gt;G104),"ПРОСРОЧЕНО","В РАБОТЕ")))))))</f>
        <v/>
      </c>
    </row>
    <row r="105">
      <c r="A105" s="5" t="n">
        <v>101</v>
      </c>
      <c r="B105" s="6" t="n"/>
      <c r="C105" s="7" t="n"/>
      <c r="D105" s="7" t="n"/>
      <c r="E105" s="7" t="n"/>
      <c r="F105" s="7" t="n"/>
      <c r="G105" s="6" t="n"/>
      <c r="H105" s="6" t="n"/>
      <c r="I105" s="7" t="n"/>
      <c r="J105" s="7" t="n"/>
      <c r="K105" s="5">
        <f>IF(E105="","",IF(OR(F105="Мотивированный отказ",F105="Спор об объёме или качестве"),"ГРАНИЦА B4: к специалисту",IF(F105="Связано с удержанием или неустойкой","ГРАНИЦА B2: к специалисту",IF(F105="","УКАЖИТЕ ТИП",IF(AND(H105&lt;&gt;"",J105&lt;&gt;""),"ЗАКРЫТО",IF(H105&lt;&gt;"","УСТРАНЕНО, НЕ ПРЕДЪЯВЛЕНО",IF(AND(G105&lt;&gt;"",TODAY()&gt;G105),"ПРОСРОЧЕНО","В РАБОТЕ")))))))</f>
        <v/>
      </c>
    </row>
    <row r="106">
      <c r="A106" s="5" t="n">
        <v>102</v>
      </c>
      <c r="B106" s="6" t="n"/>
      <c r="C106" s="7" t="n"/>
      <c r="D106" s="7" t="n"/>
      <c r="E106" s="7" t="n"/>
      <c r="F106" s="7" t="n"/>
      <c r="G106" s="6" t="n"/>
      <c r="H106" s="6" t="n"/>
      <c r="I106" s="7" t="n"/>
      <c r="J106" s="7" t="n"/>
      <c r="K106" s="5">
        <f>IF(E106="","",IF(OR(F106="Мотивированный отказ",F106="Спор об объёме или качестве"),"ГРАНИЦА B4: к специалисту",IF(F106="Связано с удержанием или неустойкой","ГРАНИЦА B2: к специалисту",IF(F106="","УКАЖИТЕ ТИП",IF(AND(H106&lt;&gt;"",J106&lt;&gt;""),"ЗАКРЫТО",IF(H106&lt;&gt;"","УСТРАНЕНО, НЕ ПРЕДЪЯВЛЕНО",IF(AND(G106&lt;&gt;"",TODAY()&gt;G106),"ПРОСРОЧЕНО","В РАБОТЕ")))))))</f>
        <v/>
      </c>
    </row>
    <row r="107">
      <c r="A107" s="5" t="n">
        <v>103</v>
      </c>
      <c r="B107" s="6" t="n"/>
      <c r="C107" s="7" t="n"/>
      <c r="D107" s="7" t="n"/>
      <c r="E107" s="7" t="n"/>
      <c r="F107" s="7" t="n"/>
      <c r="G107" s="6" t="n"/>
      <c r="H107" s="6" t="n"/>
      <c r="I107" s="7" t="n"/>
      <c r="J107" s="7" t="n"/>
      <c r="K107" s="5">
        <f>IF(E107="","",IF(OR(F107="Мотивированный отказ",F107="Спор об объёме или качестве"),"ГРАНИЦА B4: к специалисту",IF(F107="Связано с удержанием или неустойкой","ГРАНИЦА B2: к специалисту",IF(F107="","УКАЖИТЕ ТИП",IF(AND(H107&lt;&gt;"",J107&lt;&gt;""),"ЗАКРЫТО",IF(H107&lt;&gt;"","УСТРАНЕНО, НЕ ПРЕДЪЯВЛЕНО",IF(AND(G107&lt;&gt;"",TODAY()&gt;G107),"ПРОСРОЧЕНО","В РАБОТЕ")))))))</f>
        <v/>
      </c>
    </row>
    <row r="108">
      <c r="A108" s="5" t="n">
        <v>104</v>
      </c>
      <c r="B108" s="6" t="n"/>
      <c r="C108" s="7" t="n"/>
      <c r="D108" s="7" t="n"/>
      <c r="E108" s="7" t="n"/>
      <c r="F108" s="7" t="n"/>
      <c r="G108" s="6" t="n"/>
      <c r="H108" s="6" t="n"/>
      <c r="I108" s="7" t="n"/>
      <c r="J108" s="7" t="n"/>
      <c r="K108" s="5">
        <f>IF(E108="","",IF(OR(F108="Мотивированный отказ",F108="Спор об объёме или качестве"),"ГРАНИЦА B4: к специалисту",IF(F108="Связано с удержанием или неустойкой","ГРАНИЦА B2: к специалисту",IF(F108="","УКАЖИТЕ ТИП",IF(AND(H108&lt;&gt;"",J108&lt;&gt;""),"ЗАКРЫТО",IF(H108&lt;&gt;"","УСТРАНЕНО, НЕ ПРЕДЪЯВЛЕНО",IF(AND(G108&lt;&gt;"",TODAY()&gt;G108),"ПРОСРОЧЕНО","В РАБОТЕ")))))))</f>
        <v/>
      </c>
    </row>
    <row r="109">
      <c r="A109" s="5" t="n">
        <v>105</v>
      </c>
      <c r="B109" s="6" t="n"/>
      <c r="C109" s="7" t="n"/>
      <c r="D109" s="7" t="n"/>
      <c r="E109" s="7" t="n"/>
      <c r="F109" s="7" t="n"/>
      <c r="G109" s="6" t="n"/>
      <c r="H109" s="6" t="n"/>
      <c r="I109" s="7" t="n"/>
      <c r="J109" s="7" t="n"/>
      <c r="K109" s="5">
        <f>IF(E109="","",IF(OR(F109="Мотивированный отказ",F109="Спор об объёме или качестве"),"ГРАНИЦА B4: к специалисту",IF(F109="Связано с удержанием или неустойкой","ГРАНИЦА B2: к специалисту",IF(F109="","УКАЖИТЕ ТИП",IF(AND(H109&lt;&gt;"",J109&lt;&gt;""),"ЗАКРЫТО",IF(H109&lt;&gt;"","УСТРАНЕНО, НЕ ПРЕДЪЯВЛЕНО",IF(AND(G109&lt;&gt;"",TODAY()&gt;G109),"ПРОСРОЧЕНО","В РАБОТЕ")))))))</f>
        <v/>
      </c>
    </row>
    <row r="110">
      <c r="A110" s="5" t="n">
        <v>106</v>
      </c>
      <c r="B110" s="6" t="n"/>
      <c r="C110" s="7" t="n"/>
      <c r="D110" s="7" t="n"/>
      <c r="E110" s="7" t="n"/>
      <c r="F110" s="7" t="n"/>
      <c r="G110" s="6" t="n"/>
      <c r="H110" s="6" t="n"/>
      <c r="I110" s="7" t="n"/>
      <c r="J110" s="7" t="n"/>
      <c r="K110" s="5">
        <f>IF(E110="","",IF(OR(F110="Мотивированный отказ",F110="Спор об объёме или качестве"),"ГРАНИЦА B4: к специалисту",IF(F110="Связано с удержанием или неустойкой","ГРАНИЦА B2: к специалисту",IF(F110="","УКАЖИТЕ ТИП",IF(AND(H110&lt;&gt;"",J110&lt;&gt;""),"ЗАКРЫТО",IF(H110&lt;&gt;"","УСТРАНЕНО, НЕ ПРЕДЪЯВЛЕНО",IF(AND(G110&lt;&gt;"",TODAY()&gt;G110),"ПРОСРОЧЕНО","В РАБОТЕ")))))))</f>
        <v/>
      </c>
    </row>
    <row r="111">
      <c r="A111" s="5" t="n">
        <v>107</v>
      </c>
      <c r="B111" s="6" t="n"/>
      <c r="C111" s="7" t="n"/>
      <c r="D111" s="7" t="n"/>
      <c r="E111" s="7" t="n"/>
      <c r="F111" s="7" t="n"/>
      <c r="G111" s="6" t="n"/>
      <c r="H111" s="6" t="n"/>
      <c r="I111" s="7" t="n"/>
      <c r="J111" s="7" t="n"/>
      <c r="K111" s="5">
        <f>IF(E111="","",IF(OR(F111="Мотивированный отказ",F111="Спор об объёме или качестве"),"ГРАНИЦА B4: к специалисту",IF(F111="Связано с удержанием или неустойкой","ГРАНИЦА B2: к специалисту",IF(F111="","УКАЖИТЕ ТИП",IF(AND(H111&lt;&gt;"",J111&lt;&gt;""),"ЗАКРЫТО",IF(H111&lt;&gt;"","УСТРАНЕНО, НЕ ПРЕДЪЯВЛЕНО",IF(AND(G111&lt;&gt;"",TODAY()&gt;G111),"ПРОСРОЧЕНО","В РАБОТЕ")))))))</f>
        <v/>
      </c>
    </row>
    <row r="112">
      <c r="A112" s="5" t="n">
        <v>108</v>
      </c>
      <c r="B112" s="6" t="n"/>
      <c r="C112" s="7" t="n"/>
      <c r="D112" s="7" t="n"/>
      <c r="E112" s="7" t="n"/>
      <c r="F112" s="7" t="n"/>
      <c r="G112" s="6" t="n"/>
      <c r="H112" s="6" t="n"/>
      <c r="I112" s="7" t="n"/>
      <c r="J112" s="7" t="n"/>
      <c r="K112" s="5">
        <f>IF(E112="","",IF(OR(F112="Мотивированный отказ",F112="Спор об объёме или качестве"),"ГРАНИЦА B4: к специалисту",IF(F112="Связано с удержанием или неустойкой","ГРАНИЦА B2: к специалисту",IF(F112="","УКАЖИТЕ ТИП",IF(AND(H112&lt;&gt;"",J112&lt;&gt;""),"ЗАКРЫТО",IF(H112&lt;&gt;"","УСТРАНЕНО, НЕ ПРЕДЪЯВЛЕНО",IF(AND(G112&lt;&gt;"",TODAY()&gt;G112),"ПРОСРОЧЕНО","В РАБОТЕ")))))))</f>
        <v/>
      </c>
    </row>
    <row r="113">
      <c r="A113" s="5" t="n">
        <v>109</v>
      </c>
      <c r="B113" s="6" t="n"/>
      <c r="C113" s="7" t="n"/>
      <c r="D113" s="7" t="n"/>
      <c r="E113" s="7" t="n"/>
      <c r="F113" s="7" t="n"/>
      <c r="G113" s="6" t="n"/>
      <c r="H113" s="6" t="n"/>
      <c r="I113" s="7" t="n"/>
      <c r="J113" s="7" t="n"/>
      <c r="K113" s="5">
        <f>IF(E113="","",IF(OR(F113="Мотивированный отказ",F113="Спор об объёме или качестве"),"ГРАНИЦА B4: к специалисту",IF(F113="Связано с удержанием или неустойкой","ГРАНИЦА B2: к специалисту",IF(F113="","УКАЖИТЕ ТИП",IF(AND(H113&lt;&gt;"",J113&lt;&gt;""),"ЗАКРЫТО",IF(H113&lt;&gt;"","УСТРАНЕНО, НЕ ПРЕДЪЯВЛЕНО",IF(AND(G113&lt;&gt;"",TODAY()&gt;G113),"ПРОСРОЧЕНО","В РАБОТЕ")))))))</f>
        <v/>
      </c>
    </row>
    <row r="114">
      <c r="A114" s="5" t="n">
        <v>110</v>
      </c>
      <c r="B114" s="6" t="n"/>
      <c r="C114" s="7" t="n"/>
      <c r="D114" s="7" t="n"/>
      <c r="E114" s="7" t="n"/>
      <c r="F114" s="7" t="n"/>
      <c r="G114" s="6" t="n"/>
      <c r="H114" s="6" t="n"/>
      <c r="I114" s="7" t="n"/>
      <c r="J114" s="7" t="n"/>
      <c r="K114" s="5">
        <f>IF(E114="","",IF(OR(F114="Мотивированный отказ",F114="Спор об объёме или качестве"),"ГРАНИЦА B4: к специалисту",IF(F114="Связано с удержанием или неустойкой","ГРАНИЦА B2: к специалисту",IF(F114="","УКАЖИТЕ ТИП",IF(AND(H114&lt;&gt;"",J114&lt;&gt;""),"ЗАКРЫТО",IF(H114&lt;&gt;"","УСТРАНЕНО, НЕ ПРЕДЪЯВЛЕНО",IF(AND(G114&lt;&gt;"",TODAY()&gt;G114),"ПРОСРОЧЕНО","В РАБОТЕ")))))))</f>
        <v/>
      </c>
    </row>
    <row r="115">
      <c r="A115" s="5" t="n">
        <v>111</v>
      </c>
      <c r="B115" s="6" t="n"/>
      <c r="C115" s="7" t="n"/>
      <c r="D115" s="7" t="n"/>
      <c r="E115" s="7" t="n"/>
      <c r="F115" s="7" t="n"/>
      <c r="G115" s="6" t="n"/>
      <c r="H115" s="6" t="n"/>
      <c r="I115" s="7" t="n"/>
      <c r="J115" s="7" t="n"/>
      <c r="K115" s="5">
        <f>IF(E115="","",IF(OR(F115="Мотивированный отказ",F115="Спор об объёме или качестве"),"ГРАНИЦА B4: к специалисту",IF(F115="Связано с удержанием или неустойкой","ГРАНИЦА B2: к специалисту",IF(F115="","УКАЖИТЕ ТИП",IF(AND(H115&lt;&gt;"",J115&lt;&gt;""),"ЗАКРЫТО",IF(H115&lt;&gt;"","УСТРАНЕНО, НЕ ПРЕДЪЯВЛЕНО",IF(AND(G115&lt;&gt;"",TODAY()&gt;G115),"ПРОСРОЧЕНО","В РАБОТЕ")))))))</f>
        <v/>
      </c>
    </row>
    <row r="116">
      <c r="A116" s="5" t="n">
        <v>112</v>
      </c>
      <c r="B116" s="6" t="n"/>
      <c r="C116" s="7" t="n"/>
      <c r="D116" s="7" t="n"/>
      <c r="E116" s="7" t="n"/>
      <c r="F116" s="7" t="n"/>
      <c r="G116" s="6" t="n"/>
      <c r="H116" s="6" t="n"/>
      <c r="I116" s="7" t="n"/>
      <c r="J116" s="7" t="n"/>
      <c r="K116" s="5">
        <f>IF(E116="","",IF(OR(F116="Мотивированный отказ",F116="Спор об объёме или качестве"),"ГРАНИЦА B4: к специалисту",IF(F116="Связано с удержанием или неустойкой","ГРАНИЦА B2: к специалисту",IF(F116="","УКАЖИТЕ ТИП",IF(AND(H116&lt;&gt;"",J116&lt;&gt;""),"ЗАКРЫТО",IF(H116&lt;&gt;"","УСТРАНЕНО, НЕ ПРЕДЪЯВЛЕНО",IF(AND(G116&lt;&gt;"",TODAY()&gt;G116),"ПРОСРОЧЕНО","В РАБОТЕ")))))))</f>
        <v/>
      </c>
    </row>
    <row r="117">
      <c r="A117" s="5" t="n">
        <v>113</v>
      </c>
      <c r="B117" s="6" t="n"/>
      <c r="C117" s="7" t="n"/>
      <c r="D117" s="7" t="n"/>
      <c r="E117" s="7" t="n"/>
      <c r="F117" s="7" t="n"/>
      <c r="G117" s="6" t="n"/>
      <c r="H117" s="6" t="n"/>
      <c r="I117" s="7" t="n"/>
      <c r="J117" s="7" t="n"/>
      <c r="K117" s="5">
        <f>IF(E117="","",IF(OR(F117="Мотивированный отказ",F117="Спор об объёме или качестве"),"ГРАНИЦА B4: к специалисту",IF(F117="Связано с удержанием или неустойкой","ГРАНИЦА B2: к специалисту",IF(F117="","УКАЖИТЕ ТИП",IF(AND(H117&lt;&gt;"",J117&lt;&gt;""),"ЗАКРЫТО",IF(H117&lt;&gt;"","УСТРАНЕНО, НЕ ПРЕДЪЯВЛЕНО",IF(AND(G117&lt;&gt;"",TODAY()&gt;G117),"ПРОСРОЧЕНО","В РАБОТЕ")))))))</f>
        <v/>
      </c>
    </row>
    <row r="118">
      <c r="A118" s="5" t="n">
        <v>114</v>
      </c>
      <c r="B118" s="6" t="n"/>
      <c r="C118" s="7" t="n"/>
      <c r="D118" s="7" t="n"/>
      <c r="E118" s="7" t="n"/>
      <c r="F118" s="7" t="n"/>
      <c r="G118" s="6" t="n"/>
      <c r="H118" s="6" t="n"/>
      <c r="I118" s="7" t="n"/>
      <c r="J118" s="7" t="n"/>
      <c r="K118" s="5">
        <f>IF(E118="","",IF(OR(F118="Мотивированный отказ",F118="Спор об объёме или качестве"),"ГРАНИЦА B4: к специалисту",IF(F118="Связано с удержанием или неустойкой","ГРАНИЦА B2: к специалисту",IF(F118="","УКАЖИТЕ ТИП",IF(AND(H118&lt;&gt;"",J118&lt;&gt;""),"ЗАКРЫТО",IF(H118&lt;&gt;"","УСТРАНЕНО, НЕ ПРЕДЪЯВЛЕНО",IF(AND(G118&lt;&gt;"",TODAY()&gt;G118),"ПРОСРОЧЕНО","В РАБОТЕ")))))))</f>
        <v/>
      </c>
    </row>
    <row r="119">
      <c r="A119" s="5" t="n">
        <v>115</v>
      </c>
      <c r="B119" s="6" t="n"/>
      <c r="C119" s="7" t="n"/>
      <c r="D119" s="7" t="n"/>
      <c r="E119" s="7" t="n"/>
      <c r="F119" s="7" t="n"/>
      <c r="G119" s="6" t="n"/>
      <c r="H119" s="6" t="n"/>
      <c r="I119" s="7" t="n"/>
      <c r="J119" s="7" t="n"/>
      <c r="K119" s="5">
        <f>IF(E119="","",IF(OR(F119="Мотивированный отказ",F119="Спор об объёме или качестве"),"ГРАНИЦА B4: к специалисту",IF(F119="Связано с удержанием или неустойкой","ГРАНИЦА B2: к специалисту",IF(F119="","УКАЖИТЕ ТИП",IF(AND(H119&lt;&gt;"",J119&lt;&gt;""),"ЗАКРЫТО",IF(H119&lt;&gt;"","УСТРАНЕНО, НЕ ПРЕДЪЯВЛЕНО",IF(AND(G119&lt;&gt;"",TODAY()&gt;G119),"ПРОСРОЧЕНО","В РАБОТЕ")))))))</f>
        <v/>
      </c>
    </row>
    <row r="120">
      <c r="A120" s="5" t="n">
        <v>116</v>
      </c>
      <c r="B120" s="6" t="n"/>
      <c r="C120" s="7" t="n"/>
      <c r="D120" s="7" t="n"/>
      <c r="E120" s="7" t="n"/>
      <c r="F120" s="7" t="n"/>
      <c r="G120" s="6" t="n"/>
      <c r="H120" s="6" t="n"/>
      <c r="I120" s="7" t="n"/>
      <c r="J120" s="7" t="n"/>
      <c r="K120" s="5">
        <f>IF(E120="","",IF(OR(F120="Мотивированный отказ",F120="Спор об объёме или качестве"),"ГРАНИЦА B4: к специалисту",IF(F120="Связано с удержанием или неустойкой","ГРАНИЦА B2: к специалисту",IF(F120="","УКАЖИТЕ ТИП",IF(AND(H120&lt;&gt;"",J120&lt;&gt;""),"ЗАКРЫТО",IF(H120&lt;&gt;"","УСТРАНЕНО, НЕ ПРЕДЪЯВЛЕНО",IF(AND(G120&lt;&gt;"",TODAY()&gt;G120),"ПРОСРОЧЕНО","В РАБОТЕ")))))))</f>
        <v/>
      </c>
    </row>
    <row r="121">
      <c r="A121" s="5" t="n">
        <v>117</v>
      </c>
      <c r="B121" s="6" t="n"/>
      <c r="C121" s="7" t="n"/>
      <c r="D121" s="7" t="n"/>
      <c r="E121" s="7" t="n"/>
      <c r="F121" s="7" t="n"/>
      <c r="G121" s="6" t="n"/>
      <c r="H121" s="6" t="n"/>
      <c r="I121" s="7" t="n"/>
      <c r="J121" s="7" t="n"/>
      <c r="K121" s="5">
        <f>IF(E121="","",IF(OR(F121="Мотивированный отказ",F121="Спор об объёме или качестве"),"ГРАНИЦА B4: к специалисту",IF(F121="Связано с удержанием или неустойкой","ГРАНИЦА B2: к специалисту",IF(F121="","УКАЖИТЕ ТИП",IF(AND(H121&lt;&gt;"",J121&lt;&gt;""),"ЗАКРЫТО",IF(H121&lt;&gt;"","УСТРАНЕНО, НЕ ПРЕДЪЯВЛЕНО",IF(AND(G121&lt;&gt;"",TODAY()&gt;G121),"ПРОСРОЧЕНО","В РАБОТЕ")))))))</f>
        <v/>
      </c>
    </row>
    <row r="122">
      <c r="A122" s="5" t="n">
        <v>118</v>
      </c>
      <c r="B122" s="6" t="n"/>
      <c r="C122" s="7" t="n"/>
      <c r="D122" s="7" t="n"/>
      <c r="E122" s="7" t="n"/>
      <c r="F122" s="7" t="n"/>
      <c r="G122" s="6" t="n"/>
      <c r="H122" s="6" t="n"/>
      <c r="I122" s="7" t="n"/>
      <c r="J122" s="7" t="n"/>
      <c r="K122" s="5">
        <f>IF(E122="","",IF(OR(F122="Мотивированный отказ",F122="Спор об объёме или качестве"),"ГРАНИЦА B4: к специалисту",IF(F122="Связано с удержанием или неустойкой","ГРАНИЦА B2: к специалисту",IF(F122="","УКАЖИТЕ ТИП",IF(AND(H122&lt;&gt;"",J122&lt;&gt;""),"ЗАКРЫТО",IF(H122&lt;&gt;"","УСТРАНЕНО, НЕ ПРЕДЪЯВЛЕНО",IF(AND(G122&lt;&gt;"",TODAY()&gt;G122),"ПРОСРОЧЕНО","В РАБОТЕ")))))))</f>
        <v/>
      </c>
    </row>
    <row r="123">
      <c r="A123" s="5" t="n">
        <v>119</v>
      </c>
      <c r="B123" s="6" t="n"/>
      <c r="C123" s="7" t="n"/>
      <c r="D123" s="7" t="n"/>
      <c r="E123" s="7" t="n"/>
      <c r="F123" s="7" t="n"/>
      <c r="G123" s="6" t="n"/>
      <c r="H123" s="6" t="n"/>
      <c r="I123" s="7" t="n"/>
      <c r="J123" s="7" t="n"/>
      <c r="K123" s="5">
        <f>IF(E123="","",IF(OR(F123="Мотивированный отказ",F123="Спор об объёме или качестве"),"ГРАНИЦА B4: к специалисту",IF(F123="Связано с удержанием или неустойкой","ГРАНИЦА B2: к специалисту",IF(F123="","УКАЖИТЕ ТИП",IF(AND(H123&lt;&gt;"",J123&lt;&gt;""),"ЗАКРЫТО",IF(H123&lt;&gt;"","УСТРАНЕНО, НЕ ПРЕДЪЯВЛЕНО",IF(AND(G123&lt;&gt;"",TODAY()&gt;G123),"ПРОСРОЧЕНО","В РАБОТЕ")))))))</f>
        <v/>
      </c>
    </row>
    <row r="124">
      <c r="A124" s="5" t="n">
        <v>120</v>
      </c>
      <c r="B124" s="6" t="n"/>
      <c r="C124" s="7" t="n"/>
      <c r="D124" s="7" t="n"/>
      <c r="E124" s="7" t="n"/>
      <c r="F124" s="7" t="n"/>
      <c r="G124" s="6" t="n"/>
      <c r="H124" s="6" t="n"/>
      <c r="I124" s="7" t="n"/>
      <c r="J124" s="7" t="n"/>
      <c r="K124" s="5">
        <f>IF(E124="","",IF(OR(F124="Мотивированный отказ",F124="Спор об объёме или качестве"),"ГРАНИЦА B4: к специалисту",IF(F124="Связано с удержанием или неустойкой","ГРАНИЦА B2: к специалисту",IF(F124="","УКАЖИТЕ ТИП",IF(AND(H124&lt;&gt;"",J124&lt;&gt;""),"ЗАКРЫТО",IF(H124&lt;&gt;"","УСТРАНЕНО, НЕ ПРЕДЪЯВЛЕНО",IF(AND(G124&lt;&gt;"",TODAY()&gt;G124),"ПРОСРОЧЕНО","В РАБОТЕ")))))))</f>
        <v/>
      </c>
    </row>
    <row r="125">
      <c r="A125" s="5" t="n">
        <v>121</v>
      </c>
      <c r="B125" s="6" t="n"/>
      <c r="C125" s="7" t="n"/>
      <c r="D125" s="7" t="n"/>
      <c r="E125" s="7" t="n"/>
      <c r="F125" s="7" t="n"/>
      <c r="G125" s="6" t="n"/>
      <c r="H125" s="6" t="n"/>
      <c r="I125" s="7" t="n"/>
      <c r="J125" s="7" t="n"/>
      <c r="K125" s="5">
        <f>IF(E125="","",IF(OR(F125="Мотивированный отказ",F125="Спор об объёме или качестве"),"ГРАНИЦА B4: к специалисту",IF(F125="Связано с удержанием или неустойкой","ГРАНИЦА B2: к специалисту",IF(F125="","УКАЖИТЕ ТИП",IF(AND(H125&lt;&gt;"",J125&lt;&gt;""),"ЗАКРЫТО",IF(H125&lt;&gt;"","УСТРАНЕНО, НЕ ПРЕДЪЯВЛЕНО",IF(AND(G125&lt;&gt;"",TODAY()&gt;G125),"ПРОСРОЧЕНО","В РАБОТЕ")))))))</f>
        <v/>
      </c>
    </row>
    <row r="126">
      <c r="A126" s="5" t="n">
        <v>122</v>
      </c>
      <c r="B126" s="6" t="n"/>
      <c r="C126" s="7" t="n"/>
      <c r="D126" s="7" t="n"/>
      <c r="E126" s="7" t="n"/>
      <c r="F126" s="7" t="n"/>
      <c r="G126" s="6" t="n"/>
      <c r="H126" s="6" t="n"/>
      <c r="I126" s="7" t="n"/>
      <c r="J126" s="7" t="n"/>
      <c r="K126" s="5">
        <f>IF(E126="","",IF(OR(F126="Мотивированный отказ",F126="Спор об объёме или качестве"),"ГРАНИЦА B4: к специалисту",IF(F126="Связано с удержанием или неустойкой","ГРАНИЦА B2: к специалисту",IF(F126="","УКАЖИТЕ ТИП",IF(AND(H126&lt;&gt;"",J126&lt;&gt;""),"ЗАКРЫТО",IF(H126&lt;&gt;"","УСТРАНЕНО, НЕ ПРЕДЪЯВЛЕНО",IF(AND(G126&lt;&gt;"",TODAY()&gt;G126),"ПРОСРОЧЕНО","В РАБОТЕ")))))))</f>
        <v/>
      </c>
    </row>
    <row r="127">
      <c r="A127" s="5" t="n">
        <v>123</v>
      </c>
      <c r="B127" s="6" t="n"/>
      <c r="C127" s="7" t="n"/>
      <c r="D127" s="7" t="n"/>
      <c r="E127" s="7" t="n"/>
      <c r="F127" s="7" t="n"/>
      <c r="G127" s="6" t="n"/>
      <c r="H127" s="6" t="n"/>
      <c r="I127" s="7" t="n"/>
      <c r="J127" s="7" t="n"/>
      <c r="K127" s="5">
        <f>IF(E127="","",IF(OR(F127="Мотивированный отказ",F127="Спор об объёме или качестве"),"ГРАНИЦА B4: к специалисту",IF(F127="Связано с удержанием или неустойкой","ГРАНИЦА B2: к специалисту",IF(F127="","УКАЖИТЕ ТИП",IF(AND(H127&lt;&gt;"",J127&lt;&gt;""),"ЗАКРЫТО",IF(H127&lt;&gt;"","УСТРАНЕНО, НЕ ПРЕДЪЯВЛЕНО",IF(AND(G127&lt;&gt;"",TODAY()&gt;G127),"ПРОСРОЧЕНО","В РАБОТЕ")))))))</f>
        <v/>
      </c>
    </row>
    <row r="128">
      <c r="A128" s="5" t="n">
        <v>124</v>
      </c>
      <c r="B128" s="6" t="n"/>
      <c r="C128" s="7" t="n"/>
      <c r="D128" s="7" t="n"/>
      <c r="E128" s="7" t="n"/>
      <c r="F128" s="7" t="n"/>
      <c r="G128" s="6" t="n"/>
      <c r="H128" s="6" t="n"/>
      <c r="I128" s="7" t="n"/>
      <c r="J128" s="7" t="n"/>
      <c r="K128" s="5">
        <f>IF(E128="","",IF(OR(F128="Мотивированный отказ",F128="Спор об объёме или качестве"),"ГРАНИЦА B4: к специалисту",IF(F128="Связано с удержанием или неустойкой","ГРАНИЦА B2: к специалисту",IF(F128="","УКАЖИТЕ ТИП",IF(AND(H128&lt;&gt;"",J128&lt;&gt;""),"ЗАКРЫТО",IF(H128&lt;&gt;"","УСТРАНЕНО, НЕ ПРЕДЪЯВЛЕНО",IF(AND(G128&lt;&gt;"",TODAY()&gt;G128),"ПРОСРОЧЕНО","В РАБОТЕ")))))))</f>
        <v/>
      </c>
    </row>
    <row r="129">
      <c r="A129" s="5" t="n">
        <v>125</v>
      </c>
      <c r="B129" s="6" t="n"/>
      <c r="C129" s="7" t="n"/>
      <c r="D129" s="7" t="n"/>
      <c r="E129" s="7" t="n"/>
      <c r="F129" s="7" t="n"/>
      <c r="G129" s="6" t="n"/>
      <c r="H129" s="6" t="n"/>
      <c r="I129" s="7" t="n"/>
      <c r="J129" s="7" t="n"/>
      <c r="K129" s="5">
        <f>IF(E129="","",IF(OR(F129="Мотивированный отказ",F129="Спор об объёме или качестве"),"ГРАНИЦА B4: к специалисту",IF(F129="Связано с удержанием или неустойкой","ГРАНИЦА B2: к специалисту",IF(F129="","УКАЖИТЕ ТИП",IF(AND(H129&lt;&gt;"",J129&lt;&gt;""),"ЗАКРЫТО",IF(H129&lt;&gt;"","УСТРАНЕНО, НЕ ПРЕДЪЯВЛЕНО",IF(AND(G129&lt;&gt;"",TODAY()&gt;G129),"ПРОСРОЧЕНО","В РАБОТЕ")))))))</f>
        <v/>
      </c>
    </row>
    <row r="130">
      <c r="A130" s="5" t="n">
        <v>126</v>
      </c>
      <c r="B130" s="6" t="n"/>
      <c r="C130" s="7" t="n"/>
      <c r="D130" s="7" t="n"/>
      <c r="E130" s="7" t="n"/>
      <c r="F130" s="7" t="n"/>
      <c r="G130" s="6" t="n"/>
      <c r="H130" s="6" t="n"/>
      <c r="I130" s="7" t="n"/>
      <c r="J130" s="7" t="n"/>
      <c r="K130" s="5">
        <f>IF(E130="","",IF(OR(F130="Мотивированный отказ",F130="Спор об объёме или качестве"),"ГРАНИЦА B4: к специалисту",IF(F130="Связано с удержанием или неустойкой","ГРАНИЦА B2: к специалисту",IF(F130="","УКАЖИТЕ ТИП",IF(AND(H130&lt;&gt;"",J130&lt;&gt;""),"ЗАКРЫТО",IF(H130&lt;&gt;"","УСТРАНЕНО, НЕ ПРЕДЪЯВЛЕНО",IF(AND(G130&lt;&gt;"",TODAY()&gt;G130),"ПРОСРОЧЕНО","В РАБОТЕ")))))))</f>
        <v/>
      </c>
    </row>
    <row r="131">
      <c r="A131" s="5" t="n">
        <v>127</v>
      </c>
      <c r="B131" s="6" t="n"/>
      <c r="C131" s="7" t="n"/>
      <c r="D131" s="7" t="n"/>
      <c r="E131" s="7" t="n"/>
      <c r="F131" s="7" t="n"/>
      <c r="G131" s="6" t="n"/>
      <c r="H131" s="6" t="n"/>
      <c r="I131" s="7" t="n"/>
      <c r="J131" s="7" t="n"/>
      <c r="K131" s="5">
        <f>IF(E131="","",IF(OR(F131="Мотивированный отказ",F131="Спор об объёме или качестве"),"ГРАНИЦА B4: к специалисту",IF(F131="Связано с удержанием или неустойкой","ГРАНИЦА B2: к специалисту",IF(F131="","УКАЖИТЕ ТИП",IF(AND(H131&lt;&gt;"",J131&lt;&gt;""),"ЗАКРЫТО",IF(H131&lt;&gt;"","УСТРАНЕНО, НЕ ПРЕДЪЯВЛЕНО",IF(AND(G131&lt;&gt;"",TODAY()&gt;G131),"ПРОСРОЧЕНО","В РАБОТЕ")))))))</f>
        <v/>
      </c>
    </row>
    <row r="132">
      <c r="A132" s="5" t="n">
        <v>128</v>
      </c>
      <c r="B132" s="6" t="n"/>
      <c r="C132" s="7" t="n"/>
      <c r="D132" s="7" t="n"/>
      <c r="E132" s="7" t="n"/>
      <c r="F132" s="7" t="n"/>
      <c r="G132" s="6" t="n"/>
      <c r="H132" s="6" t="n"/>
      <c r="I132" s="7" t="n"/>
      <c r="J132" s="7" t="n"/>
      <c r="K132" s="5">
        <f>IF(E132="","",IF(OR(F132="Мотивированный отказ",F132="Спор об объёме или качестве"),"ГРАНИЦА B4: к специалисту",IF(F132="Связано с удержанием или неустойкой","ГРАНИЦА B2: к специалисту",IF(F132="","УКАЖИТЕ ТИП",IF(AND(H132&lt;&gt;"",J132&lt;&gt;""),"ЗАКРЫТО",IF(H132&lt;&gt;"","УСТРАНЕНО, НЕ ПРЕДЪЯВЛЕНО",IF(AND(G132&lt;&gt;"",TODAY()&gt;G132),"ПРОСРОЧЕНО","В РАБОТЕ")))))))</f>
        <v/>
      </c>
    </row>
    <row r="133">
      <c r="A133" s="5" t="n">
        <v>129</v>
      </c>
      <c r="B133" s="6" t="n"/>
      <c r="C133" s="7" t="n"/>
      <c r="D133" s="7" t="n"/>
      <c r="E133" s="7" t="n"/>
      <c r="F133" s="7" t="n"/>
      <c r="G133" s="6" t="n"/>
      <c r="H133" s="6" t="n"/>
      <c r="I133" s="7" t="n"/>
      <c r="J133" s="7" t="n"/>
      <c r="K133" s="5">
        <f>IF(E133="","",IF(OR(F133="Мотивированный отказ",F133="Спор об объёме или качестве"),"ГРАНИЦА B4: к специалисту",IF(F133="Связано с удержанием или неустойкой","ГРАНИЦА B2: к специалисту",IF(F133="","УКАЖИТЕ ТИП",IF(AND(H133&lt;&gt;"",J133&lt;&gt;""),"ЗАКРЫТО",IF(H133&lt;&gt;"","УСТРАНЕНО, НЕ ПРЕДЪЯВЛЕНО",IF(AND(G133&lt;&gt;"",TODAY()&gt;G133),"ПРОСРОЧЕНО","В РАБОТЕ")))))))</f>
        <v/>
      </c>
    </row>
    <row r="134">
      <c r="A134" s="5" t="n">
        <v>130</v>
      </c>
      <c r="B134" s="6" t="n"/>
      <c r="C134" s="7" t="n"/>
      <c r="D134" s="7" t="n"/>
      <c r="E134" s="7" t="n"/>
      <c r="F134" s="7" t="n"/>
      <c r="G134" s="6" t="n"/>
      <c r="H134" s="6" t="n"/>
      <c r="I134" s="7" t="n"/>
      <c r="J134" s="7" t="n"/>
      <c r="K134" s="5">
        <f>IF(E134="","",IF(OR(F134="Мотивированный отказ",F134="Спор об объёме или качестве"),"ГРАНИЦА B4: к специалисту",IF(F134="Связано с удержанием или неустойкой","ГРАНИЦА B2: к специалисту",IF(F134="","УКАЖИТЕ ТИП",IF(AND(H134&lt;&gt;"",J134&lt;&gt;""),"ЗАКРЫТО",IF(H134&lt;&gt;"","УСТРАНЕНО, НЕ ПРЕДЪЯВЛЕНО",IF(AND(G134&lt;&gt;"",TODAY()&gt;G134),"ПРОСРОЧЕНО","В РАБОТЕ")))))))</f>
        <v/>
      </c>
    </row>
    <row r="135">
      <c r="A135" s="5" t="n">
        <v>131</v>
      </c>
      <c r="B135" s="6" t="n"/>
      <c r="C135" s="7" t="n"/>
      <c r="D135" s="7" t="n"/>
      <c r="E135" s="7" t="n"/>
      <c r="F135" s="7" t="n"/>
      <c r="G135" s="6" t="n"/>
      <c r="H135" s="6" t="n"/>
      <c r="I135" s="7" t="n"/>
      <c r="J135" s="7" t="n"/>
      <c r="K135" s="5">
        <f>IF(E135="","",IF(OR(F135="Мотивированный отказ",F135="Спор об объёме или качестве"),"ГРАНИЦА B4: к специалисту",IF(F135="Связано с удержанием или неустойкой","ГРАНИЦА B2: к специалисту",IF(F135="","УКАЖИТЕ ТИП",IF(AND(H135&lt;&gt;"",J135&lt;&gt;""),"ЗАКРЫТО",IF(H135&lt;&gt;"","УСТРАНЕНО, НЕ ПРЕДЪЯВЛЕНО",IF(AND(G135&lt;&gt;"",TODAY()&gt;G135),"ПРОСРОЧЕНО","В РАБОТЕ")))))))</f>
        <v/>
      </c>
    </row>
    <row r="136">
      <c r="A136" s="5" t="n">
        <v>132</v>
      </c>
      <c r="B136" s="6" t="n"/>
      <c r="C136" s="7" t="n"/>
      <c r="D136" s="7" t="n"/>
      <c r="E136" s="7" t="n"/>
      <c r="F136" s="7" t="n"/>
      <c r="G136" s="6" t="n"/>
      <c r="H136" s="6" t="n"/>
      <c r="I136" s="7" t="n"/>
      <c r="J136" s="7" t="n"/>
      <c r="K136" s="5">
        <f>IF(E136="","",IF(OR(F136="Мотивированный отказ",F136="Спор об объёме или качестве"),"ГРАНИЦА B4: к специалисту",IF(F136="Связано с удержанием или неустойкой","ГРАНИЦА B2: к специалисту",IF(F136="","УКАЖИТЕ ТИП",IF(AND(H136&lt;&gt;"",J136&lt;&gt;""),"ЗАКРЫТО",IF(H136&lt;&gt;"","УСТРАНЕНО, НЕ ПРЕДЪЯВЛЕНО",IF(AND(G136&lt;&gt;"",TODAY()&gt;G136),"ПРОСРОЧЕНО","В РАБОТЕ")))))))</f>
        <v/>
      </c>
    </row>
    <row r="137">
      <c r="A137" s="5" t="n">
        <v>133</v>
      </c>
      <c r="B137" s="6" t="n"/>
      <c r="C137" s="7" t="n"/>
      <c r="D137" s="7" t="n"/>
      <c r="E137" s="7" t="n"/>
      <c r="F137" s="7" t="n"/>
      <c r="G137" s="6" t="n"/>
      <c r="H137" s="6" t="n"/>
      <c r="I137" s="7" t="n"/>
      <c r="J137" s="7" t="n"/>
      <c r="K137" s="5">
        <f>IF(E137="","",IF(OR(F137="Мотивированный отказ",F137="Спор об объёме или качестве"),"ГРАНИЦА B4: к специалисту",IF(F137="Связано с удержанием или неустойкой","ГРАНИЦА B2: к специалисту",IF(F137="","УКАЖИТЕ ТИП",IF(AND(H137&lt;&gt;"",J137&lt;&gt;""),"ЗАКРЫТО",IF(H137&lt;&gt;"","УСТРАНЕНО, НЕ ПРЕДЪЯВЛЕНО",IF(AND(G137&lt;&gt;"",TODAY()&gt;G137),"ПРОСРОЧЕНО","В РАБОТЕ")))))))</f>
        <v/>
      </c>
    </row>
    <row r="138">
      <c r="A138" s="5" t="n">
        <v>134</v>
      </c>
      <c r="B138" s="6" t="n"/>
      <c r="C138" s="7" t="n"/>
      <c r="D138" s="7" t="n"/>
      <c r="E138" s="7" t="n"/>
      <c r="F138" s="7" t="n"/>
      <c r="G138" s="6" t="n"/>
      <c r="H138" s="6" t="n"/>
      <c r="I138" s="7" t="n"/>
      <c r="J138" s="7" t="n"/>
      <c r="K138" s="5">
        <f>IF(E138="","",IF(OR(F138="Мотивированный отказ",F138="Спор об объёме или качестве"),"ГРАНИЦА B4: к специалисту",IF(F138="Связано с удержанием или неустойкой","ГРАНИЦА B2: к специалисту",IF(F138="","УКАЖИТЕ ТИП",IF(AND(H138&lt;&gt;"",J138&lt;&gt;""),"ЗАКРЫТО",IF(H138&lt;&gt;"","УСТРАНЕНО, НЕ ПРЕДЪЯВЛЕНО",IF(AND(G138&lt;&gt;"",TODAY()&gt;G138),"ПРОСРОЧЕНО","В РАБОТЕ")))))))</f>
        <v/>
      </c>
    </row>
    <row r="139">
      <c r="A139" s="5" t="n">
        <v>135</v>
      </c>
      <c r="B139" s="6" t="n"/>
      <c r="C139" s="7" t="n"/>
      <c r="D139" s="7" t="n"/>
      <c r="E139" s="7" t="n"/>
      <c r="F139" s="7" t="n"/>
      <c r="G139" s="6" t="n"/>
      <c r="H139" s="6" t="n"/>
      <c r="I139" s="7" t="n"/>
      <c r="J139" s="7" t="n"/>
      <c r="K139" s="5">
        <f>IF(E139="","",IF(OR(F139="Мотивированный отказ",F139="Спор об объёме или качестве"),"ГРАНИЦА B4: к специалисту",IF(F139="Связано с удержанием или неустойкой","ГРАНИЦА B2: к специалисту",IF(F139="","УКАЖИТЕ ТИП",IF(AND(H139&lt;&gt;"",J139&lt;&gt;""),"ЗАКРЫТО",IF(H139&lt;&gt;"","УСТРАНЕНО, НЕ ПРЕДЪЯВЛЕНО",IF(AND(G139&lt;&gt;"",TODAY()&gt;G139),"ПРОСРОЧЕНО","В РАБОТЕ")))))))</f>
        <v/>
      </c>
    </row>
    <row r="140">
      <c r="A140" s="5" t="n">
        <v>136</v>
      </c>
      <c r="B140" s="6" t="n"/>
      <c r="C140" s="7" t="n"/>
      <c r="D140" s="7" t="n"/>
      <c r="E140" s="7" t="n"/>
      <c r="F140" s="7" t="n"/>
      <c r="G140" s="6" t="n"/>
      <c r="H140" s="6" t="n"/>
      <c r="I140" s="7" t="n"/>
      <c r="J140" s="7" t="n"/>
      <c r="K140" s="5">
        <f>IF(E140="","",IF(OR(F140="Мотивированный отказ",F140="Спор об объёме или качестве"),"ГРАНИЦА B4: к специалисту",IF(F140="Связано с удержанием или неустойкой","ГРАНИЦА B2: к специалисту",IF(F140="","УКАЖИТЕ ТИП",IF(AND(H140&lt;&gt;"",J140&lt;&gt;""),"ЗАКРЫТО",IF(H140&lt;&gt;"","УСТРАНЕНО, НЕ ПРЕДЪЯВЛЕНО",IF(AND(G140&lt;&gt;"",TODAY()&gt;G140),"ПРОСРОЧЕНО","В РАБОТЕ")))))))</f>
        <v/>
      </c>
    </row>
    <row r="141">
      <c r="A141" s="5" t="n">
        <v>137</v>
      </c>
      <c r="B141" s="6" t="n"/>
      <c r="C141" s="7" t="n"/>
      <c r="D141" s="7" t="n"/>
      <c r="E141" s="7" t="n"/>
      <c r="F141" s="7" t="n"/>
      <c r="G141" s="6" t="n"/>
      <c r="H141" s="6" t="n"/>
      <c r="I141" s="7" t="n"/>
      <c r="J141" s="7" t="n"/>
      <c r="K141" s="5">
        <f>IF(E141="","",IF(OR(F141="Мотивированный отказ",F141="Спор об объёме или качестве"),"ГРАНИЦА B4: к специалисту",IF(F141="Связано с удержанием или неустойкой","ГРАНИЦА B2: к специалисту",IF(F141="","УКАЖИТЕ ТИП",IF(AND(H141&lt;&gt;"",J141&lt;&gt;""),"ЗАКРЫТО",IF(H141&lt;&gt;"","УСТРАНЕНО, НЕ ПРЕДЪЯВЛЕНО",IF(AND(G141&lt;&gt;"",TODAY()&gt;G141),"ПРОСРОЧЕНО","В РАБОТЕ")))))))</f>
        <v/>
      </c>
    </row>
    <row r="142">
      <c r="A142" s="5" t="n">
        <v>138</v>
      </c>
      <c r="B142" s="6" t="n"/>
      <c r="C142" s="7" t="n"/>
      <c r="D142" s="7" t="n"/>
      <c r="E142" s="7" t="n"/>
      <c r="F142" s="7" t="n"/>
      <c r="G142" s="6" t="n"/>
      <c r="H142" s="6" t="n"/>
      <c r="I142" s="7" t="n"/>
      <c r="J142" s="7" t="n"/>
      <c r="K142" s="5">
        <f>IF(E142="","",IF(OR(F142="Мотивированный отказ",F142="Спор об объёме или качестве"),"ГРАНИЦА B4: к специалисту",IF(F142="Связано с удержанием или неустойкой","ГРАНИЦА B2: к специалисту",IF(F142="","УКАЖИТЕ ТИП",IF(AND(H142&lt;&gt;"",J142&lt;&gt;""),"ЗАКРЫТО",IF(H142&lt;&gt;"","УСТРАНЕНО, НЕ ПРЕДЪЯВЛЕНО",IF(AND(G142&lt;&gt;"",TODAY()&gt;G142),"ПРОСРОЧЕНО","В РАБОТЕ")))))))</f>
        <v/>
      </c>
    </row>
    <row r="143">
      <c r="A143" s="5" t="n">
        <v>139</v>
      </c>
      <c r="B143" s="6" t="n"/>
      <c r="C143" s="7" t="n"/>
      <c r="D143" s="7" t="n"/>
      <c r="E143" s="7" t="n"/>
      <c r="F143" s="7" t="n"/>
      <c r="G143" s="6" t="n"/>
      <c r="H143" s="6" t="n"/>
      <c r="I143" s="7" t="n"/>
      <c r="J143" s="7" t="n"/>
      <c r="K143" s="5">
        <f>IF(E143="","",IF(OR(F143="Мотивированный отказ",F143="Спор об объёме или качестве"),"ГРАНИЦА B4: к специалисту",IF(F143="Связано с удержанием или неустойкой","ГРАНИЦА B2: к специалисту",IF(F143="","УКАЖИТЕ ТИП",IF(AND(H143&lt;&gt;"",J143&lt;&gt;""),"ЗАКРЫТО",IF(H143&lt;&gt;"","УСТРАНЕНО, НЕ ПРЕДЪЯВЛЕНО",IF(AND(G143&lt;&gt;"",TODAY()&gt;G143),"ПРОСРОЧЕНО","В РАБОТЕ")))))))</f>
        <v/>
      </c>
    </row>
    <row r="144">
      <c r="A144" s="5" t="n">
        <v>140</v>
      </c>
      <c r="B144" s="6" t="n"/>
      <c r="C144" s="7" t="n"/>
      <c r="D144" s="7" t="n"/>
      <c r="E144" s="7" t="n"/>
      <c r="F144" s="7" t="n"/>
      <c r="G144" s="6" t="n"/>
      <c r="H144" s="6" t="n"/>
      <c r="I144" s="7" t="n"/>
      <c r="J144" s="7" t="n"/>
      <c r="K144" s="5">
        <f>IF(E144="","",IF(OR(F144="Мотивированный отказ",F144="Спор об объёме или качестве"),"ГРАНИЦА B4: к специалисту",IF(F144="Связано с удержанием или неустойкой","ГРАНИЦА B2: к специалисту",IF(F144="","УКАЖИТЕ ТИП",IF(AND(H144&lt;&gt;"",J144&lt;&gt;""),"ЗАКРЫТО",IF(H144&lt;&gt;"","УСТРАНЕНО, НЕ ПРЕДЪЯВЛЕНО",IF(AND(G144&lt;&gt;"",TODAY()&gt;G144),"ПРОСРОЧЕНО","В РАБОТЕ")))))))</f>
        <v/>
      </c>
    </row>
    <row r="145">
      <c r="A145" s="5" t="n">
        <v>141</v>
      </c>
      <c r="B145" s="6" t="n"/>
      <c r="C145" s="7" t="n"/>
      <c r="D145" s="7" t="n"/>
      <c r="E145" s="7" t="n"/>
      <c r="F145" s="7" t="n"/>
      <c r="G145" s="6" t="n"/>
      <c r="H145" s="6" t="n"/>
      <c r="I145" s="7" t="n"/>
      <c r="J145" s="7" t="n"/>
      <c r="K145" s="5">
        <f>IF(E145="","",IF(OR(F145="Мотивированный отказ",F145="Спор об объёме или качестве"),"ГРАНИЦА B4: к специалисту",IF(F145="Связано с удержанием или неустойкой","ГРАНИЦА B2: к специалисту",IF(F145="","УКАЖИТЕ ТИП",IF(AND(H145&lt;&gt;"",J145&lt;&gt;""),"ЗАКРЫТО",IF(H145&lt;&gt;"","УСТРАНЕНО, НЕ ПРЕДЪЯВЛЕНО",IF(AND(G145&lt;&gt;"",TODAY()&gt;G145),"ПРОСРОЧЕНО","В РАБОТЕ")))))))</f>
        <v/>
      </c>
    </row>
    <row r="146">
      <c r="A146" s="5" t="n">
        <v>142</v>
      </c>
      <c r="B146" s="6" t="n"/>
      <c r="C146" s="7" t="n"/>
      <c r="D146" s="7" t="n"/>
      <c r="E146" s="7" t="n"/>
      <c r="F146" s="7" t="n"/>
      <c r="G146" s="6" t="n"/>
      <c r="H146" s="6" t="n"/>
      <c r="I146" s="7" t="n"/>
      <c r="J146" s="7" t="n"/>
      <c r="K146" s="5">
        <f>IF(E146="","",IF(OR(F146="Мотивированный отказ",F146="Спор об объёме или качестве"),"ГРАНИЦА B4: к специалисту",IF(F146="Связано с удержанием или неустойкой","ГРАНИЦА B2: к специалисту",IF(F146="","УКАЖИТЕ ТИП",IF(AND(H146&lt;&gt;"",J146&lt;&gt;""),"ЗАКРЫТО",IF(H146&lt;&gt;"","УСТРАНЕНО, НЕ ПРЕДЪЯВЛЕНО",IF(AND(G146&lt;&gt;"",TODAY()&gt;G146),"ПРОСРОЧЕНО","В РАБОТЕ")))))))</f>
        <v/>
      </c>
    </row>
    <row r="147">
      <c r="A147" s="5" t="n">
        <v>143</v>
      </c>
      <c r="B147" s="6" t="n"/>
      <c r="C147" s="7" t="n"/>
      <c r="D147" s="7" t="n"/>
      <c r="E147" s="7" t="n"/>
      <c r="F147" s="7" t="n"/>
      <c r="G147" s="6" t="n"/>
      <c r="H147" s="6" t="n"/>
      <c r="I147" s="7" t="n"/>
      <c r="J147" s="7" t="n"/>
      <c r="K147" s="5">
        <f>IF(E147="","",IF(OR(F147="Мотивированный отказ",F147="Спор об объёме или качестве"),"ГРАНИЦА B4: к специалисту",IF(F147="Связано с удержанием или неустойкой","ГРАНИЦА B2: к специалисту",IF(F147="","УКАЖИТЕ ТИП",IF(AND(H147&lt;&gt;"",J147&lt;&gt;""),"ЗАКРЫТО",IF(H147&lt;&gt;"","УСТРАНЕНО, НЕ ПРЕДЪЯВЛЕНО",IF(AND(G147&lt;&gt;"",TODAY()&gt;G147),"ПРОСРОЧЕНО","В РАБОТЕ")))))))</f>
        <v/>
      </c>
    </row>
    <row r="148">
      <c r="A148" s="5" t="n">
        <v>144</v>
      </c>
      <c r="B148" s="6" t="n"/>
      <c r="C148" s="7" t="n"/>
      <c r="D148" s="7" t="n"/>
      <c r="E148" s="7" t="n"/>
      <c r="F148" s="7" t="n"/>
      <c r="G148" s="6" t="n"/>
      <c r="H148" s="6" t="n"/>
      <c r="I148" s="7" t="n"/>
      <c r="J148" s="7" t="n"/>
      <c r="K148" s="5">
        <f>IF(E148="","",IF(OR(F148="Мотивированный отказ",F148="Спор об объёме или качестве"),"ГРАНИЦА B4: к специалисту",IF(F148="Связано с удержанием или неустойкой","ГРАНИЦА B2: к специалисту",IF(F148="","УКАЖИТЕ ТИП",IF(AND(H148&lt;&gt;"",J148&lt;&gt;""),"ЗАКРЫТО",IF(H148&lt;&gt;"","УСТРАНЕНО, НЕ ПРЕДЪЯВЛЕНО",IF(AND(G148&lt;&gt;"",TODAY()&gt;G148),"ПРОСРОЧЕНО","В РАБОТЕ")))))))</f>
        <v/>
      </c>
    </row>
    <row r="149">
      <c r="A149" s="5" t="n">
        <v>145</v>
      </c>
      <c r="B149" s="6" t="n"/>
      <c r="C149" s="7" t="n"/>
      <c r="D149" s="7" t="n"/>
      <c r="E149" s="7" t="n"/>
      <c r="F149" s="7" t="n"/>
      <c r="G149" s="6" t="n"/>
      <c r="H149" s="6" t="n"/>
      <c r="I149" s="7" t="n"/>
      <c r="J149" s="7" t="n"/>
      <c r="K149" s="5">
        <f>IF(E149="","",IF(OR(F149="Мотивированный отказ",F149="Спор об объёме или качестве"),"ГРАНИЦА B4: к специалисту",IF(F149="Связано с удержанием или неустойкой","ГРАНИЦА B2: к специалисту",IF(F149="","УКАЖИТЕ ТИП",IF(AND(H149&lt;&gt;"",J149&lt;&gt;""),"ЗАКРЫТО",IF(H149&lt;&gt;"","УСТРАНЕНО, НЕ ПРЕДЪЯВЛЕНО",IF(AND(G149&lt;&gt;"",TODAY()&gt;G149),"ПРОСРОЧЕНО","В РАБОТЕ")))))))</f>
        <v/>
      </c>
    </row>
    <row r="150">
      <c r="A150" s="5" t="n">
        <v>146</v>
      </c>
      <c r="B150" s="6" t="n"/>
      <c r="C150" s="7" t="n"/>
      <c r="D150" s="7" t="n"/>
      <c r="E150" s="7" t="n"/>
      <c r="F150" s="7" t="n"/>
      <c r="G150" s="6" t="n"/>
      <c r="H150" s="6" t="n"/>
      <c r="I150" s="7" t="n"/>
      <c r="J150" s="7" t="n"/>
      <c r="K150" s="5">
        <f>IF(E150="","",IF(OR(F150="Мотивированный отказ",F150="Спор об объёме или качестве"),"ГРАНИЦА B4: к специалисту",IF(F150="Связано с удержанием или неустойкой","ГРАНИЦА B2: к специалисту",IF(F150="","УКАЖИТЕ ТИП",IF(AND(H150&lt;&gt;"",J150&lt;&gt;""),"ЗАКРЫТО",IF(H150&lt;&gt;"","УСТРАНЕНО, НЕ ПРЕДЪЯВЛЕНО",IF(AND(G150&lt;&gt;"",TODAY()&gt;G150),"ПРОСРОЧЕНО","В РАБОТЕ")))))))</f>
        <v/>
      </c>
    </row>
    <row r="151">
      <c r="A151" s="5" t="n">
        <v>147</v>
      </c>
      <c r="B151" s="6" t="n"/>
      <c r="C151" s="7" t="n"/>
      <c r="D151" s="7" t="n"/>
      <c r="E151" s="7" t="n"/>
      <c r="F151" s="7" t="n"/>
      <c r="G151" s="6" t="n"/>
      <c r="H151" s="6" t="n"/>
      <c r="I151" s="7" t="n"/>
      <c r="J151" s="7" t="n"/>
      <c r="K151" s="5">
        <f>IF(E151="","",IF(OR(F151="Мотивированный отказ",F151="Спор об объёме или качестве"),"ГРАНИЦА B4: к специалисту",IF(F151="Связано с удержанием или неустойкой","ГРАНИЦА B2: к специалисту",IF(F151="","УКАЖИТЕ ТИП",IF(AND(H151&lt;&gt;"",J151&lt;&gt;""),"ЗАКРЫТО",IF(H151&lt;&gt;"","УСТРАНЕНО, НЕ ПРЕДЪЯВЛЕНО",IF(AND(G151&lt;&gt;"",TODAY()&gt;G151),"ПРОСРОЧЕНО","В РАБОТЕ")))))))</f>
        <v/>
      </c>
    </row>
    <row r="152">
      <c r="A152" s="5" t="n">
        <v>148</v>
      </c>
      <c r="B152" s="6" t="n"/>
      <c r="C152" s="7" t="n"/>
      <c r="D152" s="7" t="n"/>
      <c r="E152" s="7" t="n"/>
      <c r="F152" s="7" t="n"/>
      <c r="G152" s="6" t="n"/>
      <c r="H152" s="6" t="n"/>
      <c r="I152" s="7" t="n"/>
      <c r="J152" s="7" t="n"/>
      <c r="K152" s="5">
        <f>IF(E152="","",IF(OR(F152="Мотивированный отказ",F152="Спор об объёме или качестве"),"ГРАНИЦА B4: к специалисту",IF(F152="Связано с удержанием или неустойкой","ГРАНИЦА B2: к специалисту",IF(F152="","УКАЖИТЕ ТИП",IF(AND(H152&lt;&gt;"",J152&lt;&gt;""),"ЗАКРЫТО",IF(H152&lt;&gt;"","УСТРАНЕНО, НЕ ПРЕДЪЯВЛЕНО",IF(AND(G152&lt;&gt;"",TODAY()&gt;G152),"ПРОСРОЧЕНО","В РАБОТЕ")))))))</f>
        <v/>
      </c>
    </row>
    <row r="153">
      <c r="A153" s="5" t="n">
        <v>149</v>
      </c>
      <c r="B153" s="6" t="n"/>
      <c r="C153" s="7" t="n"/>
      <c r="D153" s="7" t="n"/>
      <c r="E153" s="7" t="n"/>
      <c r="F153" s="7" t="n"/>
      <c r="G153" s="6" t="n"/>
      <c r="H153" s="6" t="n"/>
      <c r="I153" s="7" t="n"/>
      <c r="J153" s="7" t="n"/>
      <c r="K153" s="5">
        <f>IF(E153="","",IF(OR(F153="Мотивированный отказ",F153="Спор об объёме или качестве"),"ГРАНИЦА B4: к специалисту",IF(F153="Связано с удержанием или неустойкой","ГРАНИЦА B2: к специалисту",IF(F153="","УКАЖИТЕ ТИП",IF(AND(H153&lt;&gt;"",J153&lt;&gt;""),"ЗАКРЫТО",IF(H153&lt;&gt;"","УСТРАНЕНО, НЕ ПРЕДЪЯВЛЕНО",IF(AND(G153&lt;&gt;"",TODAY()&gt;G153),"ПРОСРОЧЕНО","В РАБОТЕ")))))))</f>
        <v/>
      </c>
    </row>
    <row r="154">
      <c r="A154" s="5" t="n">
        <v>150</v>
      </c>
      <c r="B154" s="6" t="n"/>
      <c r="C154" s="7" t="n"/>
      <c r="D154" s="7" t="n"/>
      <c r="E154" s="7" t="n"/>
      <c r="F154" s="7" t="n"/>
      <c r="G154" s="6" t="n"/>
      <c r="H154" s="6" t="n"/>
      <c r="I154" s="7" t="n"/>
      <c r="J154" s="7" t="n"/>
      <c r="K154" s="5">
        <f>IF(E154="","",IF(OR(F154="Мотивированный отказ",F154="Спор об объёме или качестве"),"ГРАНИЦА B4: к специалисту",IF(F154="Связано с удержанием или неустойкой","ГРАНИЦА B2: к специалисту",IF(F154="","УКАЖИТЕ ТИП",IF(AND(H154&lt;&gt;"",J154&lt;&gt;""),"ЗАКРЫТО",IF(H154&lt;&gt;"","УСТРАНЕНО, НЕ ПРЕДЪЯВЛЕНО",IF(AND(G154&lt;&gt;"",TODAY()&gt;G154),"ПРОСРОЧЕНО","В РАБОТЕ")))))))</f>
        <v/>
      </c>
    </row>
    <row r="155">
      <c r="A155" s="5" t="n">
        <v>151</v>
      </c>
      <c r="B155" s="6" t="n"/>
      <c r="C155" s="7" t="n"/>
      <c r="D155" s="7" t="n"/>
      <c r="E155" s="7" t="n"/>
      <c r="F155" s="7" t="n"/>
      <c r="G155" s="6" t="n"/>
      <c r="H155" s="6" t="n"/>
      <c r="I155" s="7" t="n"/>
      <c r="J155" s="7" t="n"/>
      <c r="K155" s="5">
        <f>IF(E155="","",IF(OR(F155="Мотивированный отказ",F155="Спор об объёме или качестве"),"ГРАНИЦА B4: к специалисту",IF(F155="Связано с удержанием или неустойкой","ГРАНИЦА B2: к специалисту",IF(F155="","УКАЖИТЕ ТИП",IF(AND(H155&lt;&gt;"",J155&lt;&gt;""),"ЗАКРЫТО",IF(H155&lt;&gt;"","УСТРАНЕНО, НЕ ПРЕДЪЯВЛЕНО",IF(AND(G155&lt;&gt;"",TODAY()&gt;G155),"ПРОСРОЧЕНО","В РАБОТЕ")))))))</f>
        <v/>
      </c>
    </row>
    <row r="156">
      <c r="A156" s="5" t="n">
        <v>152</v>
      </c>
      <c r="B156" s="6" t="n"/>
      <c r="C156" s="7" t="n"/>
      <c r="D156" s="7" t="n"/>
      <c r="E156" s="7" t="n"/>
      <c r="F156" s="7" t="n"/>
      <c r="G156" s="6" t="n"/>
      <c r="H156" s="6" t="n"/>
      <c r="I156" s="7" t="n"/>
      <c r="J156" s="7" t="n"/>
      <c r="K156" s="5">
        <f>IF(E156="","",IF(OR(F156="Мотивированный отказ",F156="Спор об объёме или качестве"),"ГРАНИЦА B4: к специалисту",IF(F156="Связано с удержанием или неустойкой","ГРАНИЦА B2: к специалисту",IF(F156="","УКАЖИТЕ ТИП",IF(AND(H156&lt;&gt;"",J156&lt;&gt;""),"ЗАКРЫТО",IF(H156&lt;&gt;"","УСТРАНЕНО, НЕ ПРЕДЪЯВЛЕНО",IF(AND(G156&lt;&gt;"",TODAY()&gt;G156),"ПРОСРОЧЕНО","В РАБОТЕ")))))))</f>
        <v/>
      </c>
    </row>
    <row r="157">
      <c r="A157" s="5" t="n">
        <v>153</v>
      </c>
      <c r="B157" s="6" t="n"/>
      <c r="C157" s="7" t="n"/>
      <c r="D157" s="7" t="n"/>
      <c r="E157" s="7" t="n"/>
      <c r="F157" s="7" t="n"/>
      <c r="G157" s="6" t="n"/>
      <c r="H157" s="6" t="n"/>
      <c r="I157" s="7" t="n"/>
      <c r="J157" s="7" t="n"/>
      <c r="K157" s="5">
        <f>IF(E157="","",IF(OR(F157="Мотивированный отказ",F157="Спор об объёме или качестве"),"ГРАНИЦА B4: к специалисту",IF(F157="Связано с удержанием или неустойкой","ГРАНИЦА B2: к специалисту",IF(F157="","УКАЖИТЕ ТИП",IF(AND(H157&lt;&gt;"",J157&lt;&gt;""),"ЗАКРЫТО",IF(H157&lt;&gt;"","УСТРАНЕНО, НЕ ПРЕДЪЯВЛЕНО",IF(AND(G157&lt;&gt;"",TODAY()&gt;G157),"ПРОСРОЧЕНО","В РАБОТЕ")))))))</f>
        <v/>
      </c>
    </row>
    <row r="158">
      <c r="A158" s="5" t="n">
        <v>154</v>
      </c>
      <c r="B158" s="6" t="n"/>
      <c r="C158" s="7" t="n"/>
      <c r="D158" s="7" t="n"/>
      <c r="E158" s="7" t="n"/>
      <c r="F158" s="7" t="n"/>
      <c r="G158" s="6" t="n"/>
      <c r="H158" s="6" t="n"/>
      <c r="I158" s="7" t="n"/>
      <c r="J158" s="7" t="n"/>
      <c r="K158" s="5">
        <f>IF(E158="","",IF(OR(F158="Мотивированный отказ",F158="Спор об объёме или качестве"),"ГРАНИЦА B4: к специалисту",IF(F158="Связано с удержанием или неустойкой","ГРАНИЦА B2: к специалисту",IF(F158="","УКАЖИТЕ ТИП",IF(AND(H158&lt;&gt;"",J158&lt;&gt;""),"ЗАКРЫТО",IF(H158&lt;&gt;"","УСТРАНЕНО, НЕ ПРЕДЪЯВЛЕНО",IF(AND(G158&lt;&gt;"",TODAY()&gt;G158),"ПРОСРОЧЕНО","В РАБОТЕ")))))))</f>
        <v/>
      </c>
    </row>
    <row r="159">
      <c r="A159" s="5" t="n">
        <v>155</v>
      </c>
      <c r="B159" s="6" t="n"/>
      <c r="C159" s="7" t="n"/>
      <c r="D159" s="7" t="n"/>
      <c r="E159" s="7" t="n"/>
      <c r="F159" s="7" t="n"/>
      <c r="G159" s="6" t="n"/>
      <c r="H159" s="6" t="n"/>
      <c r="I159" s="7" t="n"/>
      <c r="J159" s="7" t="n"/>
      <c r="K159" s="5">
        <f>IF(E159="","",IF(OR(F159="Мотивированный отказ",F159="Спор об объёме или качестве"),"ГРАНИЦА B4: к специалисту",IF(F159="Связано с удержанием или неустойкой","ГРАНИЦА B2: к специалисту",IF(F159="","УКАЖИТЕ ТИП",IF(AND(H159&lt;&gt;"",J159&lt;&gt;""),"ЗАКРЫТО",IF(H159&lt;&gt;"","УСТРАНЕНО, НЕ ПРЕДЪЯВЛЕНО",IF(AND(G159&lt;&gt;"",TODAY()&gt;G159),"ПРОСРОЧЕНО","В РАБОТЕ")))))))</f>
        <v/>
      </c>
    </row>
    <row r="160">
      <c r="A160" s="5" t="n">
        <v>156</v>
      </c>
      <c r="B160" s="6" t="n"/>
      <c r="C160" s="7" t="n"/>
      <c r="D160" s="7" t="n"/>
      <c r="E160" s="7" t="n"/>
      <c r="F160" s="7" t="n"/>
      <c r="G160" s="6" t="n"/>
      <c r="H160" s="6" t="n"/>
      <c r="I160" s="7" t="n"/>
      <c r="J160" s="7" t="n"/>
      <c r="K160" s="5">
        <f>IF(E160="","",IF(OR(F160="Мотивированный отказ",F160="Спор об объёме или качестве"),"ГРАНИЦА B4: к специалисту",IF(F160="Связано с удержанием или неустойкой","ГРАНИЦА B2: к специалисту",IF(F160="","УКАЖИТЕ ТИП",IF(AND(H160&lt;&gt;"",J160&lt;&gt;""),"ЗАКРЫТО",IF(H160&lt;&gt;"","УСТРАНЕНО, НЕ ПРЕДЪЯВЛЕНО",IF(AND(G160&lt;&gt;"",TODAY()&gt;G160),"ПРОСРОЧЕНО","В РАБОТЕ")))))))</f>
        <v/>
      </c>
    </row>
    <row r="161">
      <c r="A161" s="5" t="n">
        <v>157</v>
      </c>
      <c r="B161" s="6" t="n"/>
      <c r="C161" s="7" t="n"/>
      <c r="D161" s="7" t="n"/>
      <c r="E161" s="7" t="n"/>
      <c r="F161" s="7" t="n"/>
      <c r="G161" s="6" t="n"/>
      <c r="H161" s="6" t="n"/>
      <c r="I161" s="7" t="n"/>
      <c r="J161" s="7" t="n"/>
      <c r="K161" s="5">
        <f>IF(E161="","",IF(OR(F161="Мотивированный отказ",F161="Спор об объёме или качестве"),"ГРАНИЦА B4: к специалисту",IF(F161="Связано с удержанием или неустойкой","ГРАНИЦА B2: к специалисту",IF(F161="","УКАЖИТЕ ТИП",IF(AND(H161&lt;&gt;"",J161&lt;&gt;""),"ЗАКРЫТО",IF(H161&lt;&gt;"","УСТРАНЕНО, НЕ ПРЕДЪЯВЛЕНО",IF(AND(G161&lt;&gt;"",TODAY()&gt;G161),"ПРОСРОЧЕНО","В РАБОТЕ")))))))</f>
        <v/>
      </c>
    </row>
    <row r="162">
      <c r="A162" s="5" t="n">
        <v>158</v>
      </c>
      <c r="B162" s="6" t="n"/>
      <c r="C162" s="7" t="n"/>
      <c r="D162" s="7" t="n"/>
      <c r="E162" s="7" t="n"/>
      <c r="F162" s="7" t="n"/>
      <c r="G162" s="6" t="n"/>
      <c r="H162" s="6" t="n"/>
      <c r="I162" s="7" t="n"/>
      <c r="J162" s="7" t="n"/>
      <c r="K162" s="5">
        <f>IF(E162="","",IF(OR(F162="Мотивированный отказ",F162="Спор об объёме или качестве"),"ГРАНИЦА B4: к специалисту",IF(F162="Связано с удержанием или неустойкой","ГРАНИЦА B2: к специалисту",IF(F162="","УКАЖИТЕ ТИП",IF(AND(H162&lt;&gt;"",J162&lt;&gt;""),"ЗАКРЫТО",IF(H162&lt;&gt;"","УСТРАНЕНО, НЕ ПРЕДЪЯВЛЕНО",IF(AND(G162&lt;&gt;"",TODAY()&gt;G162),"ПРОСРОЧЕНО","В РАБОТЕ")))))))</f>
        <v/>
      </c>
    </row>
    <row r="163">
      <c r="A163" s="5" t="n">
        <v>159</v>
      </c>
      <c r="B163" s="6" t="n"/>
      <c r="C163" s="7" t="n"/>
      <c r="D163" s="7" t="n"/>
      <c r="E163" s="7" t="n"/>
      <c r="F163" s="7" t="n"/>
      <c r="G163" s="6" t="n"/>
      <c r="H163" s="6" t="n"/>
      <c r="I163" s="7" t="n"/>
      <c r="J163" s="7" t="n"/>
      <c r="K163" s="5">
        <f>IF(E163="","",IF(OR(F163="Мотивированный отказ",F163="Спор об объёме или качестве"),"ГРАНИЦА B4: к специалисту",IF(F163="Связано с удержанием или неустойкой","ГРАНИЦА B2: к специалисту",IF(F163="","УКАЖИТЕ ТИП",IF(AND(H163&lt;&gt;"",J163&lt;&gt;""),"ЗАКРЫТО",IF(H163&lt;&gt;"","УСТРАНЕНО, НЕ ПРЕДЪЯВЛЕНО",IF(AND(G163&lt;&gt;"",TODAY()&gt;G163),"ПРОСРОЧЕНО","В РАБОТЕ")))))))</f>
        <v/>
      </c>
    </row>
    <row r="164">
      <c r="A164" s="5" t="n">
        <v>160</v>
      </c>
      <c r="B164" s="6" t="n"/>
      <c r="C164" s="7" t="n"/>
      <c r="D164" s="7" t="n"/>
      <c r="E164" s="7" t="n"/>
      <c r="F164" s="7" t="n"/>
      <c r="G164" s="6" t="n"/>
      <c r="H164" s="6" t="n"/>
      <c r="I164" s="7" t="n"/>
      <c r="J164" s="7" t="n"/>
      <c r="K164" s="5">
        <f>IF(E164="","",IF(OR(F164="Мотивированный отказ",F164="Спор об объёме или качестве"),"ГРАНИЦА B4: к специалисту",IF(F164="Связано с удержанием или неустойкой","ГРАНИЦА B2: к специалисту",IF(F164="","УКАЖИТЕ ТИП",IF(AND(H164&lt;&gt;"",J164&lt;&gt;""),"ЗАКРЫТО",IF(H164&lt;&gt;"","УСТРАНЕНО, НЕ ПРЕДЪЯВЛЕНО",IF(AND(G164&lt;&gt;"",TODAY()&gt;G164),"ПРОСРОЧЕНО","В РАБОТЕ")))))))</f>
        <v/>
      </c>
    </row>
    <row r="165">
      <c r="A165" s="5" t="n">
        <v>161</v>
      </c>
      <c r="B165" s="6" t="n"/>
      <c r="C165" s="7" t="n"/>
      <c r="D165" s="7" t="n"/>
      <c r="E165" s="7" t="n"/>
      <c r="F165" s="7" t="n"/>
      <c r="G165" s="6" t="n"/>
      <c r="H165" s="6" t="n"/>
      <c r="I165" s="7" t="n"/>
      <c r="J165" s="7" t="n"/>
      <c r="K165" s="5">
        <f>IF(E165="","",IF(OR(F165="Мотивированный отказ",F165="Спор об объёме или качестве"),"ГРАНИЦА B4: к специалисту",IF(F165="Связано с удержанием или неустойкой","ГРАНИЦА B2: к специалисту",IF(F165="","УКАЖИТЕ ТИП",IF(AND(H165&lt;&gt;"",J165&lt;&gt;""),"ЗАКРЫТО",IF(H165&lt;&gt;"","УСТРАНЕНО, НЕ ПРЕДЪЯВЛЕНО",IF(AND(G165&lt;&gt;"",TODAY()&gt;G165),"ПРОСРОЧЕНО","В РАБОТЕ")))))))</f>
        <v/>
      </c>
    </row>
    <row r="166">
      <c r="A166" s="5" t="n">
        <v>162</v>
      </c>
      <c r="B166" s="6" t="n"/>
      <c r="C166" s="7" t="n"/>
      <c r="D166" s="7" t="n"/>
      <c r="E166" s="7" t="n"/>
      <c r="F166" s="7" t="n"/>
      <c r="G166" s="6" t="n"/>
      <c r="H166" s="6" t="n"/>
      <c r="I166" s="7" t="n"/>
      <c r="J166" s="7" t="n"/>
      <c r="K166" s="5">
        <f>IF(E166="","",IF(OR(F166="Мотивированный отказ",F166="Спор об объёме или качестве"),"ГРАНИЦА B4: к специалисту",IF(F166="Связано с удержанием или неустойкой","ГРАНИЦА B2: к специалисту",IF(F166="","УКАЖИТЕ ТИП",IF(AND(H166&lt;&gt;"",J166&lt;&gt;""),"ЗАКРЫТО",IF(H166&lt;&gt;"","УСТРАНЕНО, НЕ ПРЕДЪЯВЛЕНО",IF(AND(G166&lt;&gt;"",TODAY()&gt;G166),"ПРОСРОЧЕНО","В РАБОТЕ")))))))</f>
        <v/>
      </c>
    </row>
    <row r="167">
      <c r="A167" s="5" t="n">
        <v>163</v>
      </c>
      <c r="B167" s="6" t="n"/>
      <c r="C167" s="7" t="n"/>
      <c r="D167" s="7" t="n"/>
      <c r="E167" s="7" t="n"/>
      <c r="F167" s="7" t="n"/>
      <c r="G167" s="6" t="n"/>
      <c r="H167" s="6" t="n"/>
      <c r="I167" s="7" t="n"/>
      <c r="J167" s="7" t="n"/>
      <c r="K167" s="5">
        <f>IF(E167="","",IF(OR(F167="Мотивированный отказ",F167="Спор об объёме или качестве"),"ГРАНИЦА B4: к специалисту",IF(F167="Связано с удержанием или неустойкой","ГРАНИЦА B2: к специалисту",IF(F167="","УКАЖИТЕ ТИП",IF(AND(H167&lt;&gt;"",J167&lt;&gt;""),"ЗАКРЫТО",IF(H167&lt;&gt;"","УСТРАНЕНО, НЕ ПРЕДЪЯВЛЕНО",IF(AND(G167&lt;&gt;"",TODAY()&gt;G167),"ПРОСРОЧЕНО","В РАБОТЕ")))))))</f>
        <v/>
      </c>
    </row>
    <row r="168">
      <c r="A168" s="5" t="n">
        <v>164</v>
      </c>
      <c r="B168" s="6" t="n"/>
      <c r="C168" s="7" t="n"/>
      <c r="D168" s="7" t="n"/>
      <c r="E168" s="7" t="n"/>
      <c r="F168" s="7" t="n"/>
      <c r="G168" s="6" t="n"/>
      <c r="H168" s="6" t="n"/>
      <c r="I168" s="7" t="n"/>
      <c r="J168" s="7" t="n"/>
      <c r="K168" s="5">
        <f>IF(E168="","",IF(OR(F168="Мотивированный отказ",F168="Спор об объёме или качестве"),"ГРАНИЦА B4: к специалисту",IF(F168="Связано с удержанием или неустойкой","ГРАНИЦА B2: к специалисту",IF(F168="","УКАЖИТЕ ТИП",IF(AND(H168&lt;&gt;"",J168&lt;&gt;""),"ЗАКРЫТО",IF(H168&lt;&gt;"","УСТРАНЕНО, НЕ ПРЕДЪЯВЛЕНО",IF(AND(G168&lt;&gt;"",TODAY()&gt;G168),"ПРОСРОЧЕНО","В РАБОТЕ")))))))</f>
        <v/>
      </c>
    </row>
    <row r="169">
      <c r="A169" s="5" t="n">
        <v>165</v>
      </c>
      <c r="B169" s="6" t="n"/>
      <c r="C169" s="7" t="n"/>
      <c r="D169" s="7" t="n"/>
      <c r="E169" s="7" t="n"/>
      <c r="F169" s="7" t="n"/>
      <c r="G169" s="6" t="n"/>
      <c r="H169" s="6" t="n"/>
      <c r="I169" s="7" t="n"/>
      <c r="J169" s="7" t="n"/>
      <c r="K169" s="5">
        <f>IF(E169="","",IF(OR(F169="Мотивированный отказ",F169="Спор об объёме или качестве"),"ГРАНИЦА B4: к специалисту",IF(F169="Связано с удержанием или неустойкой","ГРАНИЦА B2: к специалисту",IF(F169="","УКАЖИТЕ ТИП",IF(AND(H169&lt;&gt;"",J169&lt;&gt;""),"ЗАКРЫТО",IF(H169&lt;&gt;"","УСТРАНЕНО, НЕ ПРЕДЪЯВЛЕНО",IF(AND(G169&lt;&gt;"",TODAY()&gt;G169),"ПРОСРОЧЕНО","В РАБОТЕ")))))))</f>
        <v/>
      </c>
    </row>
    <row r="170">
      <c r="A170" s="5" t="n">
        <v>166</v>
      </c>
      <c r="B170" s="6" t="n"/>
      <c r="C170" s="7" t="n"/>
      <c r="D170" s="7" t="n"/>
      <c r="E170" s="7" t="n"/>
      <c r="F170" s="7" t="n"/>
      <c r="G170" s="6" t="n"/>
      <c r="H170" s="6" t="n"/>
      <c r="I170" s="7" t="n"/>
      <c r="J170" s="7" t="n"/>
      <c r="K170" s="5">
        <f>IF(E170="","",IF(OR(F170="Мотивированный отказ",F170="Спор об объёме или качестве"),"ГРАНИЦА B4: к специалисту",IF(F170="Связано с удержанием или неустойкой","ГРАНИЦА B2: к специалисту",IF(F170="","УКАЖИТЕ ТИП",IF(AND(H170&lt;&gt;"",J170&lt;&gt;""),"ЗАКРЫТО",IF(H170&lt;&gt;"","УСТРАНЕНО, НЕ ПРЕДЪЯВЛЕНО",IF(AND(G170&lt;&gt;"",TODAY()&gt;G170),"ПРОСРОЧЕНО","В РАБОТЕ")))))))</f>
        <v/>
      </c>
    </row>
    <row r="171">
      <c r="A171" s="5" t="n">
        <v>167</v>
      </c>
      <c r="B171" s="6" t="n"/>
      <c r="C171" s="7" t="n"/>
      <c r="D171" s="7" t="n"/>
      <c r="E171" s="7" t="n"/>
      <c r="F171" s="7" t="n"/>
      <c r="G171" s="6" t="n"/>
      <c r="H171" s="6" t="n"/>
      <c r="I171" s="7" t="n"/>
      <c r="J171" s="7" t="n"/>
      <c r="K171" s="5">
        <f>IF(E171="","",IF(OR(F171="Мотивированный отказ",F171="Спор об объёме или качестве"),"ГРАНИЦА B4: к специалисту",IF(F171="Связано с удержанием или неустойкой","ГРАНИЦА B2: к специалисту",IF(F171="","УКАЖИТЕ ТИП",IF(AND(H171&lt;&gt;"",J171&lt;&gt;""),"ЗАКРЫТО",IF(H171&lt;&gt;"","УСТРАНЕНО, НЕ ПРЕДЪЯВЛЕНО",IF(AND(G171&lt;&gt;"",TODAY()&gt;G171),"ПРОСРОЧЕНО","В РАБОТЕ")))))))</f>
        <v/>
      </c>
    </row>
    <row r="172">
      <c r="A172" s="5" t="n">
        <v>168</v>
      </c>
      <c r="B172" s="6" t="n"/>
      <c r="C172" s="7" t="n"/>
      <c r="D172" s="7" t="n"/>
      <c r="E172" s="7" t="n"/>
      <c r="F172" s="7" t="n"/>
      <c r="G172" s="6" t="n"/>
      <c r="H172" s="6" t="n"/>
      <c r="I172" s="7" t="n"/>
      <c r="J172" s="7" t="n"/>
      <c r="K172" s="5">
        <f>IF(E172="","",IF(OR(F172="Мотивированный отказ",F172="Спор об объёме или качестве"),"ГРАНИЦА B4: к специалисту",IF(F172="Связано с удержанием или неустойкой","ГРАНИЦА B2: к специалисту",IF(F172="","УКАЖИТЕ ТИП",IF(AND(H172&lt;&gt;"",J172&lt;&gt;""),"ЗАКРЫТО",IF(H172&lt;&gt;"","УСТРАНЕНО, НЕ ПРЕДЪЯВЛЕНО",IF(AND(G172&lt;&gt;"",TODAY()&gt;G172),"ПРОСРОЧЕНО","В РАБОТЕ")))))))</f>
        <v/>
      </c>
    </row>
    <row r="173">
      <c r="A173" s="5" t="n">
        <v>169</v>
      </c>
      <c r="B173" s="6" t="n"/>
      <c r="C173" s="7" t="n"/>
      <c r="D173" s="7" t="n"/>
      <c r="E173" s="7" t="n"/>
      <c r="F173" s="7" t="n"/>
      <c r="G173" s="6" t="n"/>
      <c r="H173" s="6" t="n"/>
      <c r="I173" s="7" t="n"/>
      <c r="J173" s="7" t="n"/>
      <c r="K173" s="5">
        <f>IF(E173="","",IF(OR(F173="Мотивированный отказ",F173="Спор об объёме или качестве"),"ГРАНИЦА B4: к специалисту",IF(F173="Связано с удержанием или неустойкой","ГРАНИЦА B2: к специалисту",IF(F173="","УКАЖИТЕ ТИП",IF(AND(H173&lt;&gt;"",J173&lt;&gt;""),"ЗАКРЫТО",IF(H173&lt;&gt;"","УСТРАНЕНО, НЕ ПРЕДЪЯВЛЕНО",IF(AND(G173&lt;&gt;"",TODAY()&gt;G173),"ПРОСРОЧЕНО","В РАБОТЕ")))))))</f>
        <v/>
      </c>
    </row>
    <row r="174">
      <c r="A174" s="5" t="n">
        <v>170</v>
      </c>
      <c r="B174" s="6" t="n"/>
      <c r="C174" s="7" t="n"/>
      <c r="D174" s="7" t="n"/>
      <c r="E174" s="7" t="n"/>
      <c r="F174" s="7" t="n"/>
      <c r="G174" s="6" t="n"/>
      <c r="H174" s="6" t="n"/>
      <c r="I174" s="7" t="n"/>
      <c r="J174" s="7" t="n"/>
      <c r="K174" s="5">
        <f>IF(E174="","",IF(OR(F174="Мотивированный отказ",F174="Спор об объёме или качестве"),"ГРАНИЦА B4: к специалисту",IF(F174="Связано с удержанием или неустойкой","ГРАНИЦА B2: к специалисту",IF(F174="","УКАЖИТЕ ТИП",IF(AND(H174&lt;&gt;"",J174&lt;&gt;""),"ЗАКРЫТО",IF(H174&lt;&gt;"","УСТРАНЕНО, НЕ ПРЕДЪЯВЛЕНО",IF(AND(G174&lt;&gt;"",TODAY()&gt;G174),"ПРОСРОЧЕНО","В РАБОТЕ")))))))</f>
        <v/>
      </c>
    </row>
    <row r="175">
      <c r="A175" s="5" t="n">
        <v>171</v>
      </c>
      <c r="B175" s="6" t="n"/>
      <c r="C175" s="7" t="n"/>
      <c r="D175" s="7" t="n"/>
      <c r="E175" s="7" t="n"/>
      <c r="F175" s="7" t="n"/>
      <c r="G175" s="6" t="n"/>
      <c r="H175" s="6" t="n"/>
      <c r="I175" s="7" t="n"/>
      <c r="J175" s="7" t="n"/>
      <c r="K175" s="5">
        <f>IF(E175="","",IF(OR(F175="Мотивированный отказ",F175="Спор об объёме или качестве"),"ГРАНИЦА B4: к специалисту",IF(F175="Связано с удержанием или неустойкой","ГРАНИЦА B2: к специалисту",IF(F175="","УКАЖИТЕ ТИП",IF(AND(H175&lt;&gt;"",J175&lt;&gt;""),"ЗАКРЫТО",IF(H175&lt;&gt;"","УСТРАНЕНО, НЕ ПРЕДЪЯВЛЕНО",IF(AND(G175&lt;&gt;"",TODAY()&gt;G175),"ПРОСРОЧЕНО","В РАБОТЕ")))))))</f>
        <v/>
      </c>
    </row>
    <row r="176">
      <c r="A176" s="5" t="n">
        <v>172</v>
      </c>
      <c r="B176" s="6" t="n"/>
      <c r="C176" s="7" t="n"/>
      <c r="D176" s="7" t="n"/>
      <c r="E176" s="7" t="n"/>
      <c r="F176" s="7" t="n"/>
      <c r="G176" s="6" t="n"/>
      <c r="H176" s="6" t="n"/>
      <c r="I176" s="7" t="n"/>
      <c r="J176" s="7" t="n"/>
      <c r="K176" s="5">
        <f>IF(E176="","",IF(OR(F176="Мотивированный отказ",F176="Спор об объёме или качестве"),"ГРАНИЦА B4: к специалисту",IF(F176="Связано с удержанием или неустойкой","ГРАНИЦА B2: к специалисту",IF(F176="","УКАЖИТЕ ТИП",IF(AND(H176&lt;&gt;"",J176&lt;&gt;""),"ЗАКРЫТО",IF(H176&lt;&gt;"","УСТРАНЕНО, НЕ ПРЕДЪЯВЛЕНО",IF(AND(G176&lt;&gt;"",TODAY()&gt;G176),"ПРОСРОЧЕНО","В РАБОТЕ")))))))</f>
        <v/>
      </c>
    </row>
    <row r="177">
      <c r="A177" s="5" t="n">
        <v>173</v>
      </c>
      <c r="B177" s="6" t="n"/>
      <c r="C177" s="7" t="n"/>
      <c r="D177" s="7" t="n"/>
      <c r="E177" s="7" t="n"/>
      <c r="F177" s="7" t="n"/>
      <c r="G177" s="6" t="n"/>
      <c r="H177" s="6" t="n"/>
      <c r="I177" s="7" t="n"/>
      <c r="J177" s="7" t="n"/>
      <c r="K177" s="5">
        <f>IF(E177="","",IF(OR(F177="Мотивированный отказ",F177="Спор об объёме или качестве"),"ГРАНИЦА B4: к специалисту",IF(F177="Связано с удержанием или неустойкой","ГРАНИЦА B2: к специалисту",IF(F177="","УКАЖИТЕ ТИП",IF(AND(H177&lt;&gt;"",J177&lt;&gt;""),"ЗАКРЫТО",IF(H177&lt;&gt;"","УСТРАНЕНО, НЕ ПРЕДЪЯВЛЕНО",IF(AND(G177&lt;&gt;"",TODAY()&gt;G177),"ПРОСРОЧЕНО","В РАБОТЕ")))))))</f>
        <v/>
      </c>
    </row>
    <row r="178">
      <c r="A178" s="5" t="n">
        <v>174</v>
      </c>
      <c r="B178" s="6" t="n"/>
      <c r="C178" s="7" t="n"/>
      <c r="D178" s="7" t="n"/>
      <c r="E178" s="7" t="n"/>
      <c r="F178" s="7" t="n"/>
      <c r="G178" s="6" t="n"/>
      <c r="H178" s="6" t="n"/>
      <c r="I178" s="7" t="n"/>
      <c r="J178" s="7" t="n"/>
      <c r="K178" s="5">
        <f>IF(E178="","",IF(OR(F178="Мотивированный отказ",F178="Спор об объёме или качестве"),"ГРАНИЦА B4: к специалисту",IF(F178="Связано с удержанием или неустойкой","ГРАНИЦА B2: к специалисту",IF(F178="","УКАЖИТЕ ТИП",IF(AND(H178&lt;&gt;"",J178&lt;&gt;""),"ЗАКРЫТО",IF(H178&lt;&gt;"","УСТРАНЕНО, НЕ ПРЕДЪЯВЛЕНО",IF(AND(G178&lt;&gt;"",TODAY()&gt;G178),"ПРОСРОЧЕНО","В РАБОТЕ")))))))</f>
        <v/>
      </c>
    </row>
    <row r="179">
      <c r="A179" s="5" t="n">
        <v>175</v>
      </c>
      <c r="B179" s="6" t="n"/>
      <c r="C179" s="7" t="n"/>
      <c r="D179" s="7" t="n"/>
      <c r="E179" s="7" t="n"/>
      <c r="F179" s="7" t="n"/>
      <c r="G179" s="6" t="n"/>
      <c r="H179" s="6" t="n"/>
      <c r="I179" s="7" t="n"/>
      <c r="J179" s="7" t="n"/>
      <c r="K179" s="5">
        <f>IF(E179="","",IF(OR(F179="Мотивированный отказ",F179="Спор об объёме или качестве"),"ГРАНИЦА B4: к специалисту",IF(F179="Связано с удержанием или неустойкой","ГРАНИЦА B2: к специалисту",IF(F179="","УКАЖИТЕ ТИП",IF(AND(H179&lt;&gt;"",J179&lt;&gt;""),"ЗАКРЫТО",IF(H179&lt;&gt;"","УСТРАНЕНО, НЕ ПРЕДЪЯВЛЕНО",IF(AND(G179&lt;&gt;"",TODAY()&gt;G179),"ПРОСРОЧЕНО","В РАБОТЕ")))))))</f>
        <v/>
      </c>
    </row>
    <row r="180">
      <c r="A180" s="5" t="n">
        <v>176</v>
      </c>
      <c r="B180" s="6" t="n"/>
      <c r="C180" s="7" t="n"/>
      <c r="D180" s="7" t="n"/>
      <c r="E180" s="7" t="n"/>
      <c r="F180" s="7" t="n"/>
      <c r="G180" s="6" t="n"/>
      <c r="H180" s="6" t="n"/>
      <c r="I180" s="7" t="n"/>
      <c r="J180" s="7" t="n"/>
      <c r="K180" s="5">
        <f>IF(E180="","",IF(OR(F180="Мотивированный отказ",F180="Спор об объёме или качестве"),"ГРАНИЦА B4: к специалисту",IF(F180="Связано с удержанием или неустойкой","ГРАНИЦА B2: к специалисту",IF(F180="","УКАЖИТЕ ТИП",IF(AND(H180&lt;&gt;"",J180&lt;&gt;""),"ЗАКРЫТО",IF(H180&lt;&gt;"","УСТРАНЕНО, НЕ ПРЕДЪЯВЛЕНО",IF(AND(G180&lt;&gt;"",TODAY()&gt;G180),"ПРОСРОЧЕНО","В РАБОТЕ")))))))</f>
        <v/>
      </c>
    </row>
    <row r="181">
      <c r="A181" s="5" t="n">
        <v>177</v>
      </c>
      <c r="B181" s="6" t="n"/>
      <c r="C181" s="7" t="n"/>
      <c r="D181" s="7" t="n"/>
      <c r="E181" s="7" t="n"/>
      <c r="F181" s="7" t="n"/>
      <c r="G181" s="6" t="n"/>
      <c r="H181" s="6" t="n"/>
      <c r="I181" s="7" t="n"/>
      <c r="J181" s="7" t="n"/>
      <c r="K181" s="5">
        <f>IF(E181="","",IF(OR(F181="Мотивированный отказ",F181="Спор об объёме или качестве"),"ГРАНИЦА B4: к специалисту",IF(F181="Связано с удержанием или неустойкой","ГРАНИЦА B2: к специалисту",IF(F181="","УКАЖИТЕ ТИП",IF(AND(H181&lt;&gt;"",J181&lt;&gt;""),"ЗАКРЫТО",IF(H181&lt;&gt;"","УСТРАНЕНО, НЕ ПРЕДЪЯВЛЕНО",IF(AND(G181&lt;&gt;"",TODAY()&gt;G181),"ПРОСРОЧЕНО","В РАБОТЕ")))))))</f>
        <v/>
      </c>
    </row>
    <row r="182">
      <c r="A182" s="5" t="n">
        <v>178</v>
      </c>
      <c r="B182" s="6" t="n"/>
      <c r="C182" s="7" t="n"/>
      <c r="D182" s="7" t="n"/>
      <c r="E182" s="7" t="n"/>
      <c r="F182" s="7" t="n"/>
      <c r="G182" s="6" t="n"/>
      <c r="H182" s="6" t="n"/>
      <c r="I182" s="7" t="n"/>
      <c r="J182" s="7" t="n"/>
      <c r="K182" s="5">
        <f>IF(E182="","",IF(OR(F182="Мотивированный отказ",F182="Спор об объёме или качестве"),"ГРАНИЦА B4: к специалисту",IF(F182="Связано с удержанием или неустойкой","ГРАНИЦА B2: к специалисту",IF(F182="","УКАЖИТЕ ТИП",IF(AND(H182&lt;&gt;"",J182&lt;&gt;""),"ЗАКРЫТО",IF(H182&lt;&gt;"","УСТРАНЕНО, НЕ ПРЕДЪЯВЛЕНО",IF(AND(G182&lt;&gt;"",TODAY()&gt;G182),"ПРОСРОЧЕНО","В РАБОТЕ")))))))</f>
        <v/>
      </c>
    </row>
    <row r="183">
      <c r="A183" s="5" t="n">
        <v>179</v>
      </c>
      <c r="B183" s="6" t="n"/>
      <c r="C183" s="7" t="n"/>
      <c r="D183" s="7" t="n"/>
      <c r="E183" s="7" t="n"/>
      <c r="F183" s="7" t="n"/>
      <c r="G183" s="6" t="n"/>
      <c r="H183" s="6" t="n"/>
      <c r="I183" s="7" t="n"/>
      <c r="J183" s="7" t="n"/>
      <c r="K183" s="5">
        <f>IF(E183="","",IF(OR(F183="Мотивированный отказ",F183="Спор об объёме или качестве"),"ГРАНИЦА B4: к специалисту",IF(F183="Связано с удержанием или неустойкой","ГРАНИЦА B2: к специалисту",IF(F183="","УКАЖИТЕ ТИП",IF(AND(H183&lt;&gt;"",J183&lt;&gt;""),"ЗАКРЫТО",IF(H183&lt;&gt;"","УСТРАНЕНО, НЕ ПРЕДЪЯВЛЕНО",IF(AND(G183&lt;&gt;"",TODAY()&gt;G183),"ПРОСРОЧЕНО","В РАБОТЕ")))))))</f>
        <v/>
      </c>
    </row>
    <row r="184">
      <c r="A184" s="5" t="n">
        <v>180</v>
      </c>
      <c r="B184" s="6" t="n"/>
      <c r="C184" s="7" t="n"/>
      <c r="D184" s="7" t="n"/>
      <c r="E184" s="7" t="n"/>
      <c r="F184" s="7" t="n"/>
      <c r="G184" s="6" t="n"/>
      <c r="H184" s="6" t="n"/>
      <c r="I184" s="7" t="n"/>
      <c r="J184" s="7" t="n"/>
      <c r="K184" s="5">
        <f>IF(E184="","",IF(OR(F184="Мотивированный отказ",F184="Спор об объёме или качестве"),"ГРАНИЦА B4: к специалисту",IF(F184="Связано с удержанием или неустойкой","ГРАНИЦА B2: к специалисту",IF(F184="","УКАЖИТЕ ТИП",IF(AND(H184&lt;&gt;"",J184&lt;&gt;""),"ЗАКРЫТО",IF(H184&lt;&gt;"","УСТРАНЕНО, НЕ ПРЕДЪЯВЛЕНО",IF(AND(G184&lt;&gt;"",TODAY()&gt;G184),"ПРОСРОЧЕНО","В РАБОТЕ")))))))</f>
        <v/>
      </c>
    </row>
    <row r="185">
      <c r="A185" s="5" t="n">
        <v>181</v>
      </c>
      <c r="B185" s="6" t="n"/>
      <c r="C185" s="7" t="n"/>
      <c r="D185" s="7" t="n"/>
      <c r="E185" s="7" t="n"/>
      <c r="F185" s="7" t="n"/>
      <c r="G185" s="6" t="n"/>
      <c r="H185" s="6" t="n"/>
      <c r="I185" s="7" t="n"/>
      <c r="J185" s="7" t="n"/>
      <c r="K185" s="5">
        <f>IF(E185="","",IF(OR(F185="Мотивированный отказ",F185="Спор об объёме или качестве"),"ГРАНИЦА B4: к специалисту",IF(F185="Связано с удержанием или неустойкой","ГРАНИЦА B2: к специалисту",IF(F185="","УКАЖИТЕ ТИП",IF(AND(H185&lt;&gt;"",J185&lt;&gt;""),"ЗАКРЫТО",IF(H185&lt;&gt;"","УСТРАНЕНО, НЕ ПРЕДЪЯВЛЕНО",IF(AND(G185&lt;&gt;"",TODAY()&gt;G185),"ПРОСРОЧЕНО","В РАБОТЕ")))))))</f>
        <v/>
      </c>
    </row>
    <row r="186">
      <c r="A186" s="5" t="n">
        <v>182</v>
      </c>
      <c r="B186" s="6" t="n"/>
      <c r="C186" s="7" t="n"/>
      <c r="D186" s="7" t="n"/>
      <c r="E186" s="7" t="n"/>
      <c r="F186" s="7" t="n"/>
      <c r="G186" s="6" t="n"/>
      <c r="H186" s="6" t="n"/>
      <c r="I186" s="7" t="n"/>
      <c r="J186" s="7" t="n"/>
      <c r="K186" s="5">
        <f>IF(E186="","",IF(OR(F186="Мотивированный отказ",F186="Спор об объёме или качестве"),"ГРАНИЦА B4: к специалисту",IF(F186="Связано с удержанием или неустойкой","ГРАНИЦА B2: к специалисту",IF(F186="","УКАЖИТЕ ТИП",IF(AND(H186&lt;&gt;"",J186&lt;&gt;""),"ЗАКРЫТО",IF(H186&lt;&gt;"","УСТРАНЕНО, НЕ ПРЕДЪЯВЛЕНО",IF(AND(G186&lt;&gt;"",TODAY()&gt;G186),"ПРОСРОЧЕНО","В РАБОТЕ")))))))</f>
        <v/>
      </c>
    </row>
    <row r="187">
      <c r="A187" s="5" t="n">
        <v>183</v>
      </c>
      <c r="B187" s="6" t="n"/>
      <c r="C187" s="7" t="n"/>
      <c r="D187" s="7" t="n"/>
      <c r="E187" s="7" t="n"/>
      <c r="F187" s="7" t="n"/>
      <c r="G187" s="6" t="n"/>
      <c r="H187" s="6" t="n"/>
      <c r="I187" s="7" t="n"/>
      <c r="J187" s="7" t="n"/>
      <c r="K187" s="5">
        <f>IF(E187="","",IF(OR(F187="Мотивированный отказ",F187="Спор об объёме или качестве"),"ГРАНИЦА B4: к специалисту",IF(F187="Связано с удержанием или неустойкой","ГРАНИЦА B2: к специалисту",IF(F187="","УКАЖИТЕ ТИП",IF(AND(H187&lt;&gt;"",J187&lt;&gt;""),"ЗАКРЫТО",IF(H187&lt;&gt;"","УСТРАНЕНО, НЕ ПРЕДЪЯВЛЕНО",IF(AND(G187&lt;&gt;"",TODAY()&gt;G187),"ПРОСРОЧЕНО","В РАБОТЕ")))))))</f>
        <v/>
      </c>
    </row>
    <row r="188">
      <c r="A188" s="5" t="n">
        <v>184</v>
      </c>
      <c r="B188" s="6" t="n"/>
      <c r="C188" s="7" t="n"/>
      <c r="D188" s="7" t="n"/>
      <c r="E188" s="7" t="n"/>
      <c r="F188" s="7" t="n"/>
      <c r="G188" s="6" t="n"/>
      <c r="H188" s="6" t="n"/>
      <c r="I188" s="7" t="n"/>
      <c r="J188" s="7" t="n"/>
      <c r="K188" s="5">
        <f>IF(E188="","",IF(OR(F188="Мотивированный отказ",F188="Спор об объёме или качестве"),"ГРАНИЦА B4: к специалисту",IF(F188="Связано с удержанием или неустойкой","ГРАНИЦА B2: к специалисту",IF(F188="","УКАЖИТЕ ТИП",IF(AND(H188&lt;&gt;"",J188&lt;&gt;""),"ЗАКРЫТО",IF(H188&lt;&gt;"","УСТРАНЕНО, НЕ ПРЕДЪЯВЛЕНО",IF(AND(G188&lt;&gt;"",TODAY()&gt;G188),"ПРОСРОЧЕНО","В РАБОТЕ")))))))</f>
        <v/>
      </c>
    </row>
    <row r="189">
      <c r="A189" s="5" t="n">
        <v>185</v>
      </c>
      <c r="B189" s="6" t="n"/>
      <c r="C189" s="7" t="n"/>
      <c r="D189" s="7" t="n"/>
      <c r="E189" s="7" t="n"/>
      <c r="F189" s="7" t="n"/>
      <c r="G189" s="6" t="n"/>
      <c r="H189" s="6" t="n"/>
      <c r="I189" s="7" t="n"/>
      <c r="J189" s="7" t="n"/>
      <c r="K189" s="5">
        <f>IF(E189="","",IF(OR(F189="Мотивированный отказ",F189="Спор об объёме или качестве"),"ГРАНИЦА B4: к специалисту",IF(F189="Связано с удержанием или неустойкой","ГРАНИЦА B2: к специалисту",IF(F189="","УКАЖИТЕ ТИП",IF(AND(H189&lt;&gt;"",J189&lt;&gt;""),"ЗАКРЫТО",IF(H189&lt;&gt;"","УСТРАНЕНО, НЕ ПРЕДЪЯВЛЕНО",IF(AND(G189&lt;&gt;"",TODAY()&gt;G189),"ПРОСРОЧЕНО","В РАБОТЕ")))))))</f>
        <v/>
      </c>
    </row>
    <row r="190">
      <c r="A190" s="5" t="n">
        <v>186</v>
      </c>
      <c r="B190" s="6" t="n"/>
      <c r="C190" s="7" t="n"/>
      <c r="D190" s="7" t="n"/>
      <c r="E190" s="7" t="n"/>
      <c r="F190" s="7" t="n"/>
      <c r="G190" s="6" t="n"/>
      <c r="H190" s="6" t="n"/>
      <c r="I190" s="7" t="n"/>
      <c r="J190" s="7" t="n"/>
      <c r="K190" s="5">
        <f>IF(E190="","",IF(OR(F190="Мотивированный отказ",F190="Спор об объёме или качестве"),"ГРАНИЦА B4: к специалисту",IF(F190="Связано с удержанием или неустойкой","ГРАНИЦА B2: к специалисту",IF(F190="","УКАЖИТЕ ТИП",IF(AND(H190&lt;&gt;"",J190&lt;&gt;""),"ЗАКРЫТО",IF(H190&lt;&gt;"","УСТРАНЕНО, НЕ ПРЕДЪЯВЛЕНО",IF(AND(G190&lt;&gt;"",TODAY()&gt;G190),"ПРОСРОЧЕНО","В РАБОТЕ")))))))</f>
        <v/>
      </c>
    </row>
    <row r="191">
      <c r="A191" s="5" t="n">
        <v>187</v>
      </c>
      <c r="B191" s="6" t="n"/>
      <c r="C191" s="7" t="n"/>
      <c r="D191" s="7" t="n"/>
      <c r="E191" s="7" t="n"/>
      <c r="F191" s="7" t="n"/>
      <c r="G191" s="6" t="n"/>
      <c r="H191" s="6" t="n"/>
      <c r="I191" s="7" t="n"/>
      <c r="J191" s="7" t="n"/>
      <c r="K191" s="5">
        <f>IF(E191="","",IF(OR(F191="Мотивированный отказ",F191="Спор об объёме или качестве"),"ГРАНИЦА B4: к специалисту",IF(F191="Связано с удержанием или неустойкой","ГРАНИЦА B2: к специалисту",IF(F191="","УКАЖИТЕ ТИП",IF(AND(H191&lt;&gt;"",J191&lt;&gt;""),"ЗАКРЫТО",IF(H191&lt;&gt;"","УСТРАНЕНО, НЕ ПРЕДЪЯВЛЕНО",IF(AND(G191&lt;&gt;"",TODAY()&gt;G191),"ПРОСРОЧЕНО","В РАБОТЕ")))))))</f>
        <v/>
      </c>
    </row>
    <row r="192">
      <c r="A192" s="5" t="n">
        <v>188</v>
      </c>
      <c r="B192" s="6" t="n"/>
      <c r="C192" s="7" t="n"/>
      <c r="D192" s="7" t="n"/>
      <c r="E192" s="7" t="n"/>
      <c r="F192" s="7" t="n"/>
      <c r="G192" s="6" t="n"/>
      <c r="H192" s="6" t="n"/>
      <c r="I192" s="7" t="n"/>
      <c r="J192" s="7" t="n"/>
      <c r="K192" s="5">
        <f>IF(E192="","",IF(OR(F192="Мотивированный отказ",F192="Спор об объёме или качестве"),"ГРАНИЦА B4: к специалисту",IF(F192="Связано с удержанием или неустойкой","ГРАНИЦА B2: к специалисту",IF(F192="","УКАЖИТЕ ТИП",IF(AND(H192&lt;&gt;"",J192&lt;&gt;""),"ЗАКРЫТО",IF(H192&lt;&gt;"","УСТРАНЕНО, НЕ ПРЕДЪЯВЛЕНО",IF(AND(G192&lt;&gt;"",TODAY()&gt;G192),"ПРОСРОЧЕНО","В РАБОТЕ")))))))</f>
        <v/>
      </c>
    </row>
    <row r="193">
      <c r="A193" s="5" t="n">
        <v>189</v>
      </c>
      <c r="B193" s="6" t="n"/>
      <c r="C193" s="7" t="n"/>
      <c r="D193" s="7" t="n"/>
      <c r="E193" s="7" t="n"/>
      <c r="F193" s="7" t="n"/>
      <c r="G193" s="6" t="n"/>
      <c r="H193" s="6" t="n"/>
      <c r="I193" s="7" t="n"/>
      <c r="J193" s="7" t="n"/>
      <c r="K193" s="5">
        <f>IF(E193="","",IF(OR(F193="Мотивированный отказ",F193="Спор об объёме или качестве"),"ГРАНИЦА B4: к специалисту",IF(F193="Связано с удержанием или неустойкой","ГРАНИЦА B2: к специалисту",IF(F193="","УКАЖИТЕ ТИП",IF(AND(H193&lt;&gt;"",J193&lt;&gt;""),"ЗАКРЫТО",IF(H193&lt;&gt;"","УСТРАНЕНО, НЕ ПРЕДЪЯВЛЕНО",IF(AND(G193&lt;&gt;"",TODAY()&gt;G193),"ПРОСРОЧЕНО","В РАБОТЕ")))))))</f>
        <v/>
      </c>
    </row>
    <row r="194">
      <c r="A194" s="5" t="n">
        <v>190</v>
      </c>
      <c r="B194" s="6" t="n"/>
      <c r="C194" s="7" t="n"/>
      <c r="D194" s="7" t="n"/>
      <c r="E194" s="7" t="n"/>
      <c r="F194" s="7" t="n"/>
      <c r="G194" s="6" t="n"/>
      <c r="H194" s="6" t="n"/>
      <c r="I194" s="7" t="n"/>
      <c r="J194" s="7" t="n"/>
      <c r="K194" s="5">
        <f>IF(E194="","",IF(OR(F194="Мотивированный отказ",F194="Спор об объёме или качестве"),"ГРАНИЦА B4: к специалисту",IF(F194="Связано с удержанием или неустойкой","ГРАНИЦА B2: к специалисту",IF(F194="","УКАЖИТЕ ТИП",IF(AND(H194&lt;&gt;"",J194&lt;&gt;""),"ЗАКРЫТО",IF(H194&lt;&gt;"","УСТРАНЕНО, НЕ ПРЕДЪЯВЛЕНО",IF(AND(G194&lt;&gt;"",TODAY()&gt;G194),"ПРОСРОЧЕНО","В РАБОТЕ")))))))</f>
        <v/>
      </c>
    </row>
    <row r="195">
      <c r="A195" s="5" t="n">
        <v>191</v>
      </c>
      <c r="B195" s="6" t="n"/>
      <c r="C195" s="7" t="n"/>
      <c r="D195" s="7" t="n"/>
      <c r="E195" s="7" t="n"/>
      <c r="F195" s="7" t="n"/>
      <c r="G195" s="6" t="n"/>
      <c r="H195" s="6" t="n"/>
      <c r="I195" s="7" t="n"/>
      <c r="J195" s="7" t="n"/>
      <c r="K195" s="5">
        <f>IF(E195="","",IF(OR(F195="Мотивированный отказ",F195="Спор об объёме или качестве"),"ГРАНИЦА B4: к специалисту",IF(F195="Связано с удержанием или неустойкой","ГРАНИЦА B2: к специалисту",IF(F195="","УКАЖИТЕ ТИП",IF(AND(H195&lt;&gt;"",J195&lt;&gt;""),"ЗАКРЫТО",IF(H195&lt;&gt;"","УСТРАНЕНО, НЕ ПРЕДЪЯВЛЕНО",IF(AND(G195&lt;&gt;"",TODAY()&gt;G195),"ПРОСРОЧЕНО","В РАБОТЕ")))))))</f>
        <v/>
      </c>
    </row>
    <row r="196">
      <c r="A196" s="5" t="n">
        <v>192</v>
      </c>
      <c r="B196" s="6" t="n"/>
      <c r="C196" s="7" t="n"/>
      <c r="D196" s="7" t="n"/>
      <c r="E196" s="7" t="n"/>
      <c r="F196" s="7" t="n"/>
      <c r="G196" s="6" t="n"/>
      <c r="H196" s="6" t="n"/>
      <c r="I196" s="7" t="n"/>
      <c r="J196" s="7" t="n"/>
      <c r="K196" s="5">
        <f>IF(E196="","",IF(OR(F196="Мотивированный отказ",F196="Спор об объёме или качестве"),"ГРАНИЦА B4: к специалисту",IF(F196="Связано с удержанием или неустойкой","ГРАНИЦА B2: к специалисту",IF(F196="","УКАЖИТЕ ТИП",IF(AND(H196&lt;&gt;"",J196&lt;&gt;""),"ЗАКРЫТО",IF(H196&lt;&gt;"","УСТРАНЕНО, НЕ ПРЕДЪЯВЛЕНО",IF(AND(G196&lt;&gt;"",TODAY()&gt;G196),"ПРОСРОЧЕНО","В РАБОТЕ")))))))</f>
        <v/>
      </c>
    </row>
    <row r="197">
      <c r="A197" s="5" t="n">
        <v>193</v>
      </c>
      <c r="B197" s="6" t="n"/>
      <c r="C197" s="7" t="n"/>
      <c r="D197" s="7" t="n"/>
      <c r="E197" s="7" t="n"/>
      <c r="F197" s="7" t="n"/>
      <c r="G197" s="6" t="n"/>
      <c r="H197" s="6" t="n"/>
      <c r="I197" s="7" t="n"/>
      <c r="J197" s="7" t="n"/>
      <c r="K197" s="5">
        <f>IF(E197="","",IF(OR(F197="Мотивированный отказ",F197="Спор об объёме или качестве"),"ГРАНИЦА B4: к специалисту",IF(F197="Связано с удержанием или неустойкой","ГРАНИЦА B2: к специалисту",IF(F197="","УКАЖИТЕ ТИП",IF(AND(H197&lt;&gt;"",J197&lt;&gt;""),"ЗАКРЫТО",IF(H197&lt;&gt;"","УСТРАНЕНО, НЕ ПРЕДЪЯВЛЕНО",IF(AND(G197&lt;&gt;"",TODAY()&gt;G197),"ПРОСРОЧЕНО","В РАБОТЕ")))))))</f>
        <v/>
      </c>
    </row>
    <row r="198">
      <c r="A198" s="5" t="n">
        <v>194</v>
      </c>
      <c r="B198" s="6" t="n"/>
      <c r="C198" s="7" t="n"/>
      <c r="D198" s="7" t="n"/>
      <c r="E198" s="7" t="n"/>
      <c r="F198" s="7" t="n"/>
      <c r="G198" s="6" t="n"/>
      <c r="H198" s="6" t="n"/>
      <c r="I198" s="7" t="n"/>
      <c r="J198" s="7" t="n"/>
      <c r="K198" s="5">
        <f>IF(E198="","",IF(OR(F198="Мотивированный отказ",F198="Спор об объёме или качестве"),"ГРАНИЦА B4: к специалисту",IF(F198="Связано с удержанием или неустойкой","ГРАНИЦА B2: к специалисту",IF(F198="","УКАЖИТЕ ТИП",IF(AND(H198&lt;&gt;"",J198&lt;&gt;""),"ЗАКРЫТО",IF(H198&lt;&gt;"","УСТРАНЕНО, НЕ ПРЕДЪЯВЛЕНО",IF(AND(G198&lt;&gt;"",TODAY()&gt;G198),"ПРОСРОЧЕНО","В РАБОТЕ")))))))</f>
        <v/>
      </c>
    </row>
    <row r="199">
      <c r="A199" s="5" t="n">
        <v>195</v>
      </c>
      <c r="B199" s="6" t="n"/>
      <c r="C199" s="7" t="n"/>
      <c r="D199" s="7" t="n"/>
      <c r="E199" s="7" t="n"/>
      <c r="F199" s="7" t="n"/>
      <c r="G199" s="6" t="n"/>
      <c r="H199" s="6" t="n"/>
      <c r="I199" s="7" t="n"/>
      <c r="J199" s="7" t="n"/>
      <c r="K199" s="5">
        <f>IF(E199="","",IF(OR(F199="Мотивированный отказ",F199="Спор об объёме или качестве"),"ГРАНИЦА B4: к специалисту",IF(F199="Связано с удержанием или неустойкой","ГРАНИЦА B2: к специалисту",IF(F199="","УКАЖИТЕ ТИП",IF(AND(H199&lt;&gt;"",J199&lt;&gt;""),"ЗАКРЫТО",IF(H199&lt;&gt;"","УСТРАНЕНО, НЕ ПРЕДЪЯВЛЕНО",IF(AND(G199&lt;&gt;"",TODAY()&gt;G199),"ПРОСРОЧЕНО","В РАБОТЕ")))))))</f>
        <v/>
      </c>
    </row>
    <row r="200">
      <c r="A200" s="5" t="n">
        <v>196</v>
      </c>
      <c r="B200" s="6" t="n"/>
      <c r="C200" s="7" t="n"/>
      <c r="D200" s="7" t="n"/>
      <c r="E200" s="7" t="n"/>
      <c r="F200" s="7" t="n"/>
      <c r="G200" s="6" t="n"/>
      <c r="H200" s="6" t="n"/>
      <c r="I200" s="7" t="n"/>
      <c r="J200" s="7" t="n"/>
      <c r="K200" s="5">
        <f>IF(E200="","",IF(OR(F200="Мотивированный отказ",F200="Спор об объёме или качестве"),"ГРАНИЦА B4: к специалисту",IF(F200="Связано с удержанием или неустойкой","ГРАНИЦА B2: к специалисту",IF(F200="","УКАЖИТЕ ТИП",IF(AND(H200&lt;&gt;"",J200&lt;&gt;""),"ЗАКРЫТО",IF(H200&lt;&gt;"","УСТРАНЕНО, НЕ ПРЕДЪЯВЛЕНО",IF(AND(G200&lt;&gt;"",TODAY()&gt;G200),"ПРОСРОЧЕНО","В РАБОТЕ")))))))</f>
        <v/>
      </c>
    </row>
    <row r="201">
      <c r="A201" s="5" t="n">
        <v>197</v>
      </c>
      <c r="B201" s="6" t="n"/>
      <c r="C201" s="7" t="n"/>
      <c r="D201" s="7" t="n"/>
      <c r="E201" s="7" t="n"/>
      <c r="F201" s="7" t="n"/>
      <c r="G201" s="6" t="n"/>
      <c r="H201" s="6" t="n"/>
      <c r="I201" s="7" t="n"/>
      <c r="J201" s="7" t="n"/>
      <c r="K201" s="5">
        <f>IF(E201="","",IF(OR(F201="Мотивированный отказ",F201="Спор об объёме или качестве"),"ГРАНИЦА B4: к специалисту",IF(F201="Связано с удержанием или неустойкой","ГРАНИЦА B2: к специалисту",IF(F201="","УКАЖИТЕ ТИП",IF(AND(H201&lt;&gt;"",J201&lt;&gt;""),"ЗАКРЫТО",IF(H201&lt;&gt;"","УСТРАНЕНО, НЕ ПРЕДЪЯВЛЕНО",IF(AND(G201&lt;&gt;"",TODAY()&gt;G201),"ПРОСРОЧЕНО","В РАБОТЕ")))))))</f>
        <v/>
      </c>
    </row>
    <row r="202">
      <c r="A202" s="5" t="n">
        <v>198</v>
      </c>
      <c r="B202" s="6" t="n"/>
      <c r="C202" s="7" t="n"/>
      <c r="D202" s="7" t="n"/>
      <c r="E202" s="7" t="n"/>
      <c r="F202" s="7" t="n"/>
      <c r="G202" s="6" t="n"/>
      <c r="H202" s="6" t="n"/>
      <c r="I202" s="7" t="n"/>
      <c r="J202" s="7" t="n"/>
      <c r="K202" s="5">
        <f>IF(E202="","",IF(OR(F202="Мотивированный отказ",F202="Спор об объёме или качестве"),"ГРАНИЦА B4: к специалисту",IF(F202="Связано с удержанием или неустойкой","ГРАНИЦА B2: к специалисту",IF(F202="","УКАЖИТЕ ТИП",IF(AND(H202&lt;&gt;"",J202&lt;&gt;""),"ЗАКРЫТО",IF(H202&lt;&gt;"","УСТРАНЕНО, НЕ ПРЕДЪЯВЛЕНО",IF(AND(G202&lt;&gt;"",TODAY()&gt;G202),"ПРОСРОЧЕНО","В РАБОТЕ")))))))</f>
        <v/>
      </c>
    </row>
    <row r="203">
      <c r="A203" s="5" t="n">
        <v>199</v>
      </c>
      <c r="B203" s="6" t="n"/>
      <c r="C203" s="7" t="n"/>
      <c r="D203" s="7" t="n"/>
      <c r="E203" s="7" t="n"/>
      <c r="F203" s="7" t="n"/>
      <c r="G203" s="6" t="n"/>
      <c r="H203" s="6" t="n"/>
      <c r="I203" s="7" t="n"/>
      <c r="J203" s="7" t="n"/>
      <c r="K203" s="5">
        <f>IF(E203="","",IF(OR(F203="Мотивированный отказ",F203="Спор об объёме или качестве"),"ГРАНИЦА B4: к специалисту",IF(F203="Связано с удержанием или неустойкой","ГРАНИЦА B2: к специалисту",IF(F203="","УКАЖИТЕ ТИП",IF(AND(H203&lt;&gt;"",J203&lt;&gt;""),"ЗАКРЫТО",IF(H203&lt;&gt;"","УСТРАНЕНО, НЕ ПРЕДЪЯВЛЕНО",IF(AND(G203&lt;&gt;"",TODAY()&gt;G203),"ПРОСРОЧЕНО","В РАБОТЕ")))))))</f>
        <v/>
      </c>
    </row>
    <row r="204">
      <c r="A204" s="5" t="n">
        <v>200</v>
      </c>
      <c r="B204" s="6" t="n"/>
      <c r="C204" s="7" t="n"/>
      <c r="D204" s="7" t="n"/>
      <c r="E204" s="7" t="n"/>
      <c r="F204" s="7" t="n"/>
      <c r="G204" s="6" t="n"/>
      <c r="H204" s="6" t="n"/>
      <c r="I204" s="7" t="n"/>
      <c r="J204" s="7" t="n"/>
      <c r="K204" s="5">
        <f>IF(E204="","",IF(OR(F204="Мотивированный отказ",F204="Спор об объёме или качестве"),"ГРАНИЦА B4: к специалисту",IF(F204="Связано с удержанием или неустойкой","ГРАНИЦА B2: к специалисту",IF(F204="","УКАЖИТЕ ТИП",IF(AND(H204&lt;&gt;"",J204&lt;&gt;""),"ЗАКРЫТО",IF(H204&lt;&gt;"","УСТРАНЕНО, НЕ ПРЕДЪЯВЛЕНО",IF(AND(G204&lt;&gt;"",TODAY()&gt;G204),"ПРОСРОЧЕНО","В РАБОТЕ")))))))</f>
        <v/>
      </c>
    </row>
    <row r="206">
      <c r="E206" t="inlineStr">
        <is>
          <t>Открытых замечаний</t>
        </is>
      </c>
      <c r="K206">
        <f>COUNTIF(K5:K204,"В РАБОТЕ")+COUNTIF(K5:K204,"ПРОСРОЧЕНО")+COUNTIF(K5:K204,"УСТРАНЕНО, НЕ ПРЕДЪЯВЛЕНО")+COUNTIF(K5:K204,"УКАЖИТЕ ТИП")</f>
        <v/>
      </c>
    </row>
    <row r="207">
      <c r="E207" t="inlineStr">
        <is>
          <t>Замечаний на границе системы</t>
        </is>
      </c>
      <c r="K207">
        <f>COUNTIF(K5:K204,"ГРАНИЦА*")</f>
        <v/>
      </c>
    </row>
  </sheetData>
  <dataValidations count="1">
    <dataValidation sqref="F5:F204" showDropDown="0" showInputMessage="0" showErrorMessage="0" allowBlank="1" errorTitle="Недопустимое значение" error="Выберите значение из списка" type="list">
      <formula1>"Документальное,Устранимое по работам,Неконкретное,Мотивированный отказ,Спор об объёме или качестве,Связано с удержанием или неустойкой"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8" customWidth="1" min="4" max="4"/>
    <col width="32" customWidth="1" min="5" max="5"/>
    <col width="30" customWidth="1" min="6" max="6"/>
    <col width="12" customWidth="1" min="7" max="7"/>
    <col width="24" customWidth="1" min="8" max="8"/>
    <col width="12" customWidth="1" min="9" max="9"/>
    <col width="30" customWidth="1" min="10" max="10"/>
    <col width="24" customWidth="1" min="11" max="11"/>
  </cols>
  <sheetData>
    <row r="1">
      <c r="A1" s="1" t="inlineStr">
        <is>
          <t>Реестр передачи документов и доказательств передачи</t>
        </is>
      </c>
    </row>
    <row r="2">
      <c r="A2" s="2" t="inlineStr">
        <is>
          <t>Одна строка — одно отправление. Без доказательства передачи документ для спора считается ненаправленным. Порядок — файл 10, раздел А.</t>
        </is>
      </c>
    </row>
    <row r="4">
      <c r="A4" s="4" t="inlineStr">
        <is>
          <t>№</t>
        </is>
      </c>
      <c r="B4" s="4" t="inlineStr">
        <is>
          <t>Документ</t>
        </is>
      </c>
      <c r="C4" s="4" t="inlineStr">
        <is>
          <t>№ и дата документа</t>
        </is>
      </c>
      <c r="D4" s="4" t="inlineStr">
        <is>
          <t>Листов</t>
        </is>
      </c>
      <c r="E4" s="4" t="inlineStr">
        <is>
          <t>Адресат и адрес (ЕГРЮЛ / договор)</t>
        </is>
      </c>
      <c r="F4" s="4" t="inlineStr">
        <is>
          <t>Способ</t>
        </is>
      </c>
      <c r="G4" s="4" t="inlineStr">
        <is>
          <t>Дата отправки</t>
        </is>
      </c>
      <c r="H4" s="4" t="inlineStr">
        <is>
          <t>Идентификатор (трек, № ЭДО, вх. №)</t>
        </is>
      </c>
      <c r="I4" s="4" t="inlineStr">
        <is>
          <t>Дата получения</t>
        </is>
      </c>
      <c r="J4" s="4" t="inlineStr">
        <is>
          <t>Доказательство (где хранится)</t>
        </is>
      </c>
      <c r="K4" s="4" t="inlineStr">
        <is>
          <t>Статус</t>
        </is>
      </c>
    </row>
    <row r="5">
      <c r="A5" s="5" t="n">
        <v>1</v>
      </c>
      <c r="B5" s="7" t="n"/>
      <c r="C5" s="7" t="n"/>
      <c r="D5" s="7" t="n"/>
      <c r="E5" s="7" t="n"/>
      <c r="F5" s="7" t="n"/>
      <c r="G5" s="6" t="n"/>
      <c r="H5" s="7" t="n"/>
      <c r="I5" s="6" t="n"/>
      <c r="J5" s="7" t="n"/>
      <c r="K5" s="5">
        <f>IF(B5="","",IF(OR(F5="",G5=""),"НЕ ОТПРАВЛЕНО",IF(J5="","НЕТ ДОКАЗАТЕЛЬСТВА",IF(I5="","ОТПРАВЛЕНО, ЖДЁМ ПОЛУЧЕНИЯ","ПЕРЕДАНО"))))</f>
        <v/>
      </c>
    </row>
    <row r="6">
      <c r="A6" s="5" t="n">
        <v>2</v>
      </c>
      <c r="B6" s="7" t="n"/>
      <c r="C6" s="7" t="n"/>
      <c r="D6" s="7" t="n"/>
      <c r="E6" s="7" t="n"/>
      <c r="F6" s="7" t="n"/>
      <c r="G6" s="6" t="n"/>
      <c r="H6" s="7" t="n"/>
      <c r="I6" s="6" t="n"/>
      <c r="J6" s="7" t="n"/>
      <c r="K6" s="5">
        <f>IF(B6="","",IF(OR(F6="",G6=""),"НЕ ОТПРАВЛЕНО",IF(J6="","НЕТ ДОКАЗАТЕЛЬСТВА",IF(I6="","ОТПРАВЛЕНО, ЖДЁМ ПОЛУЧЕНИЯ","ПЕРЕДАНО"))))</f>
        <v/>
      </c>
    </row>
    <row r="7">
      <c r="A7" s="5" t="n">
        <v>3</v>
      </c>
      <c r="B7" s="7" t="n"/>
      <c r="C7" s="7" t="n"/>
      <c r="D7" s="7" t="n"/>
      <c r="E7" s="7" t="n"/>
      <c r="F7" s="7" t="n"/>
      <c r="G7" s="6" t="n"/>
      <c r="H7" s="7" t="n"/>
      <c r="I7" s="6" t="n"/>
      <c r="J7" s="7" t="n"/>
      <c r="K7" s="5">
        <f>IF(B7="","",IF(OR(F7="",G7=""),"НЕ ОТПРАВЛЕНО",IF(J7="","НЕТ ДОКАЗАТЕЛЬСТВА",IF(I7="","ОТПРАВЛЕНО, ЖДЁМ ПОЛУЧЕНИЯ","ПЕРЕДАНО"))))</f>
        <v/>
      </c>
    </row>
    <row r="8">
      <c r="A8" s="5" t="n">
        <v>4</v>
      </c>
      <c r="B8" s="7" t="n"/>
      <c r="C8" s="7" t="n"/>
      <c r="D8" s="7" t="n"/>
      <c r="E8" s="7" t="n"/>
      <c r="F8" s="7" t="n"/>
      <c r="G8" s="6" t="n"/>
      <c r="H8" s="7" t="n"/>
      <c r="I8" s="6" t="n"/>
      <c r="J8" s="7" t="n"/>
      <c r="K8" s="5">
        <f>IF(B8="","",IF(OR(F8="",G8=""),"НЕ ОТПРАВЛЕНО",IF(J8="","НЕТ ДОКАЗАТЕЛЬСТВА",IF(I8="","ОТПРАВЛЕНО, ЖДЁМ ПОЛУЧЕНИЯ","ПЕРЕДАНО"))))</f>
        <v/>
      </c>
    </row>
    <row r="9">
      <c r="A9" s="5" t="n">
        <v>5</v>
      </c>
      <c r="B9" s="7" t="n"/>
      <c r="C9" s="7" t="n"/>
      <c r="D9" s="7" t="n"/>
      <c r="E9" s="7" t="n"/>
      <c r="F9" s="7" t="n"/>
      <c r="G9" s="6" t="n"/>
      <c r="H9" s="7" t="n"/>
      <c r="I9" s="6" t="n"/>
      <c r="J9" s="7" t="n"/>
      <c r="K9" s="5">
        <f>IF(B9="","",IF(OR(F9="",G9=""),"НЕ ОТПРАВЛЕНО",IF(J9="","НЕТ ДОКАЗАТЕЛЬСТВА",IF(I9="","ОТПРАВЛЕНО, ЖДЁМ ПОЛУЧЕНИЯ","ПЕРЕДАНО"))))</f>
        <v/>
      </c>
    </row>
    <row r="10">
      <c r="A10" s="5" t="n">
        <v>6</v>
      </c>
      <c r="B10" s="7" t="n"/>
      <c r="C10" s="7" t="n"/>
      <c r="D10" s="7" t="n"/>
      <c r="E10" s="7" t="n"/>
      <c r="F10" s="7" t="n"/>
      <c r="G10" s="6" t="n"/>
      <c r="H10" s="7" t="n"/>
      <c r="I10" s="6" t="n"/>
      <c r="J10" s="7" t="n"/>
      <c r="K10" s="5">
        <f>IF(B10="","",IF(OR(F10="",G10=""),"НЕ ОТПРАВЛЕНО",IF(J10="","НЕТ ДОКАЗАТЕЛЬСТВА",IF(I10="","ОТПРАВЛЕНО, ЖДЁМ ПОЛУЧЕНИЯ","ПЕРЕДАНО"))))</f>
        <v/>
      </c>
    </row>
    <row r="11">
      <c r="A11" s="5" t="n">
        <v>7</v>
      </c>
      <c r="B11" s="7" t="n"/>
      <c r="C11" s="7" t="n"/>
      <c r="D11" s="7" t="n"/>
      <c r="E11" s="7" t="n"/>
      <c r="F11" s="7" t="n"/>
      <c r="G11" s="6" t="n"/>
      <c r="H11" s="7" t="n"/>
      <c r="I11" s="6" t="n"/>
      <c r="J11" s="7" t="n"/>
      <c r="K11" s="5">
        <f>IF(B11="","",IF(OR(F11="",G11=""),"НЕ ОТПРАВЛЕНО",IF(J11="","НЕТ ДОКАЗАТЕЛЬСТВА",IF(I11="","ОТПРАВЛЕНО, ЖДЁМ ПОЛУЧЕНИЯ","ПЕРЕДАНО"))))</f>
        <v/>
      </c>
    </row>
    <row r="12">
      <c r="A12" s="5" t="n">
        <v>8</v>
      </c>
      <c r="B12" s="7" t="n"/>
      <c r="C12" s="7" t="n"/>
      <c r="D12" s="7" t="n"/>
      <c r="E12" s="7" t="n"/>
      <c r="F12" s="7" t="n"/>
      <c r="G12" s="6" t="n"/>
      <c r="H12" s="7" t="n"/>
      <c r="I12" s="6" t="n"/>
      <c r="J12" s="7" t="n"/>
      <c r="K12" s="5">
        <f>IF(B12="","",IF(OR(F12="",G12=""),"НЕ ОТПРАВЛЕНО",IF(J12="","НЕТ ДОКАЗАТЕЛЬСТВА",IF(I12="","ОТПРАВЛЕНО, ЖДЁМ ПОЛУЧЕНИЯ","ПЕРЕДАНО"))))</f>
        <v/>
      </c>
    </row>
    <row r="13">
      <c r="A13" s="5" t="n">
        <v>9</v>
      </c>
      <c r="B13" s="7" t="n"/>
      <c r="C13" s="7" t="n"/>
      <c r="D13" s="7" t="n"/>
      <c r="E13" s="7" t="n"/>
      <c r="F13" s="7" t="n"/>
      <c r="G13" s="6" t="n"/>
      <c r="H13" s="7" t="n"/>
      <c r="I13" s="6" t="n"/>
      <c r="J13" s="7" t="n"/>
      <c r="K13" s="5">
        <f>IF(B13="","",IF(OR(F13="",G13=""),"НЕ ОТПРАВЛЕНО",IF(J13="","НЕТ ДОКАЗАТЕЛЬСТВА",IF(I13="","ОТПРАВЛЕНО, ЖДЁМ ПОЛУЧЕНИЯ","ПЕРЕДАНО"))))</f>
        <v/>
      </c>
    </row>
    <row r="14">
      <c r="A14" s="5" t="n">
        <v>10</v>
      </c>
      <c r="B14" s="7" t="n"/>
      <c r="C14" s="7" t="n"/>
      <c r="D14" s="7" t="n"/>
      <c r="E14" s="7" t="n"/>
      <c r="F14" s="7" t="n"/>
      <c r="G14" s="6" t="n"/>
      <c r="H14" s="7" t="n"/>
      <c r="I14" s="6" t="n"/>
      <c r="J14" s="7" t="n"/>
      <c r="K14" s="5">
        <f>IF(B14="","",IF(OR(F14="",G14=""),"НЕ ОТПРАВЛЕНО",IF(J14="","НЕТ ДОКАЗАТЕЛЬСТВА",IF(I14="","ОТПРАВЛЕНО, ЖДЁМ ПОЛУЧЕНИЯ","ПЕРЕДАНО"))))</f>
        <v/>
      </c>
    </row>
    <row r="15">
      <c r="A15" s="5" t="n">
        <v>11</v>
      </c>
      <c r="B15" s="7" t="n"/>
      <c r="C15" s="7" t="n"/>
      <c r="D15" s="7" t="n"/>
      <c r="E15" s="7" t="n"/>
      <c r="F15" s="7" t="n"/>
      <c r="G15" s="6" t="n"/>
      <c r="H15" s="7" t="n"/>
      <c r="I15" s="6" t="n"/>
      <c r="J15" s="7" t="n"/>
      <c r="K15" s="5">
        <f>IF(B15="","",IF(OR(F15="",G15=""),"НЕ ОТПРАВЛЕНО",IF(J15="","НЕТ ДОКАЗАТЕЛЬСТВА",IF(I15="","ОТПРАВЛЕНО, ЖДЁМ ПОЛУЧЕНИЯ","ПЕРЕДАНО"))))</f>
        <v/>
      </c>
    </row>
    <row r="16">
      <c r="A16" s="5" t="n">
        <v>12</v>
      </c>
      <c r="B16" s="7" t="n"/>
      <c r="C16" s="7" t="n"/>
      <c r="D16" s="7" t="n"/>
      <c r="E16" s="7" t="n"/>
      <c r="F16" s="7" t="n"/>
      <c r="G16" s="6" t="n"/>
      <c r="H16" s="7" t="n"/>
      <c r="I16" s="6" t="n"/>
      <c r="J16" s="7" t="n"/>
      <c r="K16" s="5">
        <f>IF(B16="","",IF(OR(F16="",G16=""),"НЕ ОТПРАВЛЕНО",IF(J16="","НЕТ ДОКАЗАТЕЛЬСТВА",IF(I16="","ОТПРАВЛЕНО, ЖДЁМ ПОЛУЧЕНИЯ","ПЕРЕДАНО"))))</f>
        <v/>
      </c>
    </row>
    <row r="17">
      <c r="A17" s="5" t="n">
        <v>13</v>
      </c>
      <c r="B17" s="7" t="n"/>
      <c r="C17" s="7" t="n"/>
      <c r="D17" s="7" t="n"/>
      <c r="E17" s="7" t="n"/>
      <c r="F17" s="7" t="n"/>
      <c r="G17" s="6" t="n"/>
      <c r="H17" s="7" t="n"/>
      <c r="I17" s="6" t="n"/>
      <c r="J17" s="7" t="n"/>
      <c r="K17" s="5">
        <f>IF(B17="","",IF(OR(F17="",G17=""),"НЕ ОТПРАВЛЕНО",IF(J17="","НЕТ ДОКАЗАТЕЛЬСТВА",IF(I17="","ОТПРАВЛЕНО, ЖДЁМ ПОЛУЧЕНИЯ","ПЕРЕДАНО"))))</f>
        <v/>
      </c>
    </row>
    <row r="18">
      <c r="A18" s="5" t="n">
        <v>14</v>
      </c>
      <c r="B18" s="7" t="n"/>
      <c r="C18" s="7" t="n"/>
      <c r="D18" s="7" t="n"/>
      <c r="E18" s="7" t="n"/>
      <c r="F18" s="7" t="n"/>
      <c r="G18" s="6" t="n"/>
      <c r="H18" s="7" t="n"/>
      <c r="I18" s="6" t="n"/>
      <c r="J18" s="7" t="n"/>
      <c r="K18" s="5">
        <f>IF(B18="","",IF(OR(F18="",G18=""),"НЕ ОТПРАВЛЕНО",IF(J18="","НЕТ ДОКАЗАТЕЛЬСТВА",IF(I18="","ОТПРАВЛЕНО, ЖДЁМ ПОЛУЧЕНИЯ","ПЕРЕДАНО"))))</f>
        <v/>
      </c>
    </row>
    <row r="19">
      <c r="A19" s="5" t="n">
        <v>15</v>
      </c>
      <c r="B19" s="7" t="n"/>
      <c r="C19" s="7" t="n"/>
      <c r="D19" s="7" t="n"/>
      <c r="E19" s="7" t="n"/>
      <c r="F19" s="7" t="n"/>
      <c r="G19" s="6" t="n"/>
      <c r="H19" s="7" t="n"/>
      <c r="I19" s="6" t="n"/>
      <c r="J19" s="7" t="n"/>
      <c r="K19" s="5">
        <f>IF(B19="","",IF(OR(F19="",G19=""),"НЕ ОТПРАВЛЕНО",IF(J19="","НЕТ ДОКАЗАТЕЛЬСТВА",IF(I19="","ОТПРАВЛЕНО, ЖДЁМ ПОЛУЧЕНИЯ","ПЕРЕДАНО"))))</f>
        <v/>
      </c>
    </row>
    <row r="20">
      <c r="A20" s="5" t="n">
        <v>16</v>
      </c>
      <c r="B20" s="7" t="n"/>
      <c r="C20" s="7" t="n"/>
      <c r="D20" s="7" t="n"/>
      <c r="E20" s="7" t="n"/>
      <c r="F20" s="7" t="n"/>
      <c r="G20" s="6" t="n"/>
      <c r="H20" s="7" t="n"/>
      <c r="I20" s="6" t="n"/>
      <c r="J20" s="7" t="n"/>
      <c r="K20" s="5">
        <f>IF(B20="","",IF(OR(F20="",G20=""),"НЕ ОТПРАВЛЕНО",IF(J20="","НЕТ ДОКАЗАТЕЛЬСТВА",IF(I20="","ОТПРАВЛЕНО, ЖДЁМ ПОЛУЧЕНИЯ","ПЕРЕДАНО"))))</f>
        <v/>
      </c>
    </row>
    <row r="21">
      <c r="A21" s="5" t="n">
        <v>17</v>
      </c>
      <c r="B21" s="7" t="n"/>
      <c r="C21" s="7" t="n"/>
      <c r="D21" s="7" t="n"/>
      <c r="E21" s="7" t="n"/>
      <c r="F21" s="7" t="n"/>
      <c r="G21" s="6" t="n"/>
      <c r="H21" s="7" t="n"/>
      <c r="I21" s="6" t="n"/>
      <c r="J21" s="7" t="n"/>
      <c r="K21" s="5">
        <f>IF(B21="","",IF(OR(F21="",G21=""),"НЕ ОТПРАВЛЕНО",IF(J21="","НЕТ ДОКАЗАТЕЛЬСТВА",IF(I21="","ОТПРАВЛЕНО, ЖДЁМ ПОЛУЧЕНИЯ","ПЕРЕДАНО"))))</f>
        <v/>
      </c>
    </row>
    <row r="22">
      <c r="A22" s="5" t="n">
        <v>18</v>
      </c>
      <c r="B22" s="7" t="n"/>
      <c r="C22" s="7" t="n"/>
      <c r="D22" s="7" t="n"/>
      <c r="E22" s="7" t="n"/>
      <c r="F22" s="7" t="n"/>
      <c r="G22" s="6" t="n"/>
      <c r="H22" s="7" t="n"/>
      <c r="I22" s="6" t="n"/>
      <c r="J22" s="7" t="n"/>
      <c r="K22" s="5">
        <f>IF(B22="","",IF(OR(F22="",G22=""),"НЕ ОТПРАВЛЕНО",IF(J22="","НЕТ ДОКАЗАТЕЛЬСТВА",IF(I22="","ОТПРАВЛЕНО, ЖДЁМ ПОЛУЧЕНИЯ","ПЕРЕДАНО"))))</f>
        <v/>
      </c>
    </row>
    <row r="23">
      <c r="A23" s="5" t="n">
        <v>19</v>
      </c>
      <c r="B23" s="7" t="n"/>
      <c r="C23" s="7" t="n"/>
      <c r="D23" s="7" t="n"/>
      <c r="E23" s="7" t="n"/>
      <c r="F23" s="7" t="n"/>
      <c r="G23" s="6" t="n"/>
      <c r="H23" s="7" t="n"/>
      <c r="I23" s="6" t="n"/>
      <c r="J23" s="7" t="n"/>
      <c r="K23" s="5">
        <f>IF(B23="","",IF(OR(F23="",G23=""),"НЕ ОТПРАВЛЕНО",IF(J23="","НЕТ ДОКАЗАТЕЛЬСТВА",IF(I23="","ОТПРАВЛЕНО, ЖДЁМ ПОЛУЧЕНИЯ","ПЕРЕДАНО"))))</f>
        <v/>
      </c>
    </row>
    <row r="24">
      <c r="A24" s="5" t="n">
        <v>20</v>
      </c>
      <c r="B24" s="7" t="n"/>
      <c r="C24" s="7" t="n"/>
      <c r="D24" s="7" t="n"/>
      <c r="E24" s="7" t="n"/>
      <c r="F24" s="7" t="n"/>
      <c r="G24" s="6" t="n"/>
      <c r="H24" s="7" t="n"/>
      <c r="I24" s="6" t="n"/>
      <c r="J24" s="7" t="n"/>
      <c r="K24" s="5">
        <f>IF(B24="","",IF(OR(F24="",G24=""),"НЕ ОТПРАВЛЕНО",IF(J24="","НЕТ ДОКАЗАТЕЛЬСТВА",IF(I24="","ОТПРАВЛЕНО, ЖДЁМ ПОЛУЧЕНИЯ","ПЕРЕДАНО"))))</f>
        <v/>
      </c>
    </row>
    <row r="25">
      <c r="A25" s="5" t="n">
        <v>21</v>
      </c>
      <c r="B25" s="7" t="n"/>
      <c r="C25" s="7" t="n"/>
      <c r="D25" s="7" t="n"/>
      <c r="E25" s="7" t="n"/>
      <c r="F25" s="7" t="n"/>
      <c r="G25" s="6" t="n"/>
      <c r="H25" s="7" t="n"/>
      <c r="I25" s="6" t="n"/>
      <c r="J25" s="7" t="n"/>
      <c r="K25" s="5">
        <f>IF(B25="","",IF(OR(F25="",G25=""),"НЕ ОТПРАВЛЕНО",IF(J25="","НЕТ ДОКАЗАТЕЛЬСТВА",IF(I25="","ОТПРАВЛЕНО, ЖДЁМ ПОЛУЧЕНИЯ","ПЕРЕДАНО"))))</f>
        <v/>
      </c>
    </row>
    <row r="26">
      <c r="A26" s="5" t="n">
        <v>22</v>
      </c>
      <c r="B26" s="7" t="n"/>
      <c r="C26" s="7" t="n"/>
      <c r="D26" s="7" t="n"/>
      <c r="E26" s="7" t="n"/>
      <c r="F26" s="7" t="n"/>
      <c r="G26" s="6" t="n"/>
      <c r="H26" s="7" t="n"/>
      <c r="I26" s="6" t="n"/>
      <c r="J26" s="7" t="n"/>
      <c r="K26" s="5">
        <f>IF(B26="","",IF(OR(F26="",G26=""),"НЕ ОТПРАВЛЕНО",IF(J26="","НЕТ ДОКАЗАТЕЛЬСТВА",IF(I26="","ОТПРАВЛЕНО, ЖДЁМ ПОЛУЧЕНИЯ","ПЕРЕДАНО"))))</f>
        <v/>
      </c>
    </row>
    <row r="27">
      <c r="A27" s="5" t="n">
        <v>23</v>
      </c>
      <c r="B27" s="7" t="n"/>
      <c r="C27" s="7" t="n"/>
      <c r="D27" s="7" t="n"/>
      <c r="E27" s="7" t="n"/>
      <c r="F27" s="7" t="n"/>
      <c r="G27" s="6" t="n"/>
      <c r="H27" s="7" t="n"/>
      <c r="I27" s="6" t="n"/>
      <c r="J27" s="7" t="n"/>
      <c r="K27" s="5">
        <f>IF(B27="","",IF(OR(F27="",G27=""),"НЕ ОТПРАВЛЕНО",IF(J27="","НЕТ ДОКАЗАТЕЛЬСТВА",IF(I27="","ОТПРАВЛЕНО, ЖДЁМ ПОЛУЧЕНИЯ","ПЕРЕДАНО"))))</f>
        <v/>
      </c>
    </row>
    <row r="28">
      <c r="A28" s="5" t="n">
        <v>24</v>
      </c>
      <c r="B28" s="7" t="n"/>
      <c r="C28" s="7" t="n"/>
      <c r="D28" s="7" t="n"/>
      <c r="E28" s="7" t="n"/>
      <c r="F28" s="7" t="n"/>
      <c r="G28" s="6" t="n"/>
      <c r="H28" s="7" t="n"/>
      <c r="I28" s="6" t="n"/>
      <c r="J28" s="7" t="n"/>
      <c r="K28" s="5">
        <f>IF(B28="","",IF(OR(F28="",G28=""),"НЕ ОТПРАВЛЕНО",IF(J28="","НЕТ ДОКАЗАТЕЛЬСТВА",IF(I28="","ОТПРАВЛЕНО, ЖДЁМ ПОЛУЧЕНИЯ","ПЕРЕДАНО"))))</f>
        <v/>
      </c>
    </row>
    <row r="29">
      <c r="A29" s="5" t="n">
        <v>25</v>
      </c>
      <c r="B29" s="7" t="n"/>
      <c r="C29" s="7" t="n"/>
      <c r="D29" s="7" t="n"/>
      <c r="E29" s="7" t="n"/>
      <c r="F29" s="7" t="n"/>
      <c r="G29" s="6" t="n"/>
      <c r="H29" s="7" t="n"/>
      <c r="I29" s="6" t="n"/>
      <c r="J29" s="7" t="n"/>
      <c r="K29" s="5">
        <f>IF(B29="","",IF(OR(F29="",G29=""),"НЕ ОТПРАВЛЕНО",IF(J29="","НЕТ ДОКАЗАТЕЛЬСТВА",IF(I29="","ОТПРАВЛЕНО, ЖДЁМ ПОЛУЧЕНИЯ","ПЕРЕДАНО"))))</f>
        <v/>
      </c>
    </row>
    <row r="30">
      <c r="A30" s="5" t="n">
        <v>26</v>
      </c>
      <c r="B30" s="7" t="n"/>
      <c r="C30" s="7" t="n"/>
      <c r="D30" s="7" t="n"/>
      <c r="E30" s="7" t="n"/>
      <c r="F30" s="7" t="n"/>
      <c r="G30" s="6" t="n"/>
      <c r="H30" s="7" t="n"/>
      <c r="I30" s="6" t="n"/>
      <c r="J30" s="7" t="n"/>
      <c r="K30" s="5">
        <f>IF(B30="","",IF(OR(F30="",G30=""),"НЕ ОТПРАВЛЕНО",IF(J30="","НЕТ ДОКАЗАТЕЛЬСТВА",IF(I30="","ОТПРАВЛЕНО, ЖДЁМ ПОЛУЧЕНИЯ","ПЕРЕДАНО"))))</f>
        <v/>
      </c>
    </row>
    <row r="31">
      <c r="A31" s="5" t="n">
        <v>27</v>
      </c>
      <c r="B31" s="7" t="n"/>
      <c r="C31" s="7" t="n"/>
      <c r="D31" s="7" t="n"/>
      <c r="E31" s="7" t="n"/>
      <c r="F31" s="7" t="n"/>
      <c r="G31" s="6" t="n"/>
      <c r="H31" s="7" t="n"/>
      <c r="I31" s="6" t="n"/>
      <c r="J31" s="7" t="n"/>
      <c r="K31" s="5">
        <f>IF(B31="","",IF(OR(F31="",G31=""),"НЕ ОТПРАВЛЕНО",IF(J31="","НЕТ ДОКАЗАТЕЛЬСТВА",IF(I31="","ОТПРАВЛЕНО, ЖДЁМ ПОЛУЧЕНИЯ","ПЕРЕДАНО"))))</f>
        <v/>
      </c>
    </row>
    <row r="32">
      <c r="A32" s="5" t="n">
        <v>28</v>
      </c>
      <c r="B32" s="7" t="n"/>
      <c r="C32" s="7" t="n"/>
      <c r="D32" s="7" t="n"/>
      <c r="E32" s="7" t="n"/>
      <c r="F32" s="7" t="n"/>
      <c r="G32" s="6" t="n"/>
      <c r="H32" s="7" t="n"/>
      <c r="I32" s="6" t="n"/>
      <c r="J32" s="7" t="n"/>
      <c r="K32" s="5">
        <f>IF(B32="","",IF(OR(F32="",G32=""),"НЕ ОТПРАВЛЕНО",IF(J32="","НЕТ ДОКАЗАТЕЛЬСТВА",IF(I32="","ОТПРАВЛЕНО, ЖДЁМ ПОЛУЧЕНИЯ","ПЕРЕДАНО"))))</f>
        <v/>
      </c>
    </row>
    <row r="33">
      <c r="A33" s="5" t="n">
        <v>29</v>
      </c>
      <c r="B33" s="7" t="n"/>
      <c r="C33" s="7" t="n"/>
      <c r="D33" s="7" t="n"/>
      <c r="E33" s="7" t="n"/>
      <c r="F33" s="7" t="n"/>
      <c r="G33" s="6" t="n"/>
      <c r="H33" s="7" t="n"/>
      <c r="I33" s="6" t="n"/>
      <c r="J33" s="7" t="n"/>
      <c r="K33" s="5">
        <f>IF(B33="","",IF(OR(F33="",G33=""),"НЕ ОТПРАВЛЕНО",IF(J33="","НЕТ ДОКАЗАТЕЛЬСТВА",IF(I33="","ОТПРАВЛЕНО, ЖДЁМ ПОЛУЧЕНИЯ","ПЕРЕДАНО"))))</f>
        <v/>
      </c>
    </row>
    <row r="34">
      <c r="A34" s="5" t="n">
        <v>30</v>
      </c>
      <c r="B34" s="7" t="n"/>
      <c r="C34" s="7" t="n"/>
      <c r="D34" s="7" t="n"/>
      <c r="E34" s="7" t="n"/>
      <c r="F34" s="7" t="n"/>
      <c r="G34" s="6" t="n"/>
      <c r="H34" s="7" t="n"/>
      <c r="I34" s="6" t="n"/>
      <c r="J34" s="7" t="n"/>
      <c r="K34" s="5">
        <f>IF(B34="","",IF(OR(F34="",G34=""),"НЕ ОТПРАВЛЕНО",IF(J34="","НЕТ ДОКАЗАТЕЛЬСТВА",IF(I34="","ОТПРАВЛЕНО, ЖДЁМ ПОЛУЧЕНИЯ","ПЕРЕДАНО"))))</f>
        <v/>
      </c>
    </row>
    <row r="35">
      <c r="A35" s="5" t="n">
        <v>31</v>
      </c>
      <c r="B35" s="7" t="n"/>
      <c r="C35" s="7" t="n"/>
      <c r="D35" s="7" t="n"/>
      <c r="E35" s="7" t="n"/>
      <c r="F35" s="7" t="n"/>
      <c r="G35" s="6" t="n"/>
      <c r="H35" s="7" t="n"/>
      <c r="I35" s="6" t="n"/>
      <c r="J35" s="7" t="n"/>
      <c r="K35" s="5">
        <f>IF(B35="","",IF(OR(F35="",G35=""),"НЕ ОТПРАВЛЕНО",IF(J35="","НЕТ ДОКАЗАТЕЛЬСТВА",IF(I35="","ОТПРАВЛЕНО, ЖДЁМ ПОЛУЧЕНИЯ","ПЕРЕДАНО"))))</f>
        <v/>
      </c>
    </row>
    <row r="36">
      <c r="A36" s="5" t="n">
        <v>32</v>
      </c>
      <c r="B36" s="7" t="n"/>
      <c r="C36" s="7" t="n"/>
      <c r="D36" s="7" t="n"/>
      <c r="E36" s="7" t="n"/>
      <c r="F36" s="7" t="n"/>
      <c r="G36" s="6" t="n"/>
      <c r="H36" s="7" t="n"/>
      <c r="I36" s="6" t="n"/>
      <c r="J36" s="7" t="n"/>
      <c r="K36" s="5">
        <f>IF(B36="","",IF(OR(F36="",G36=""),"НЕ ОТПРАВЛЕНО",IF(J36="","НЕТ ДОКАЗАТЕЛЬСТВА",IF(I36="","ОТПРАВЛЕНО, ЖДЁМ ПОЛУЧЕНИЯ","ПЕРЕДАНО"))))</f>
        <v/>
      </c>
    </row>
    <row r="37">
      <c r="A37" s="5" t="n">
        <v>33</v>
      </c>
      <c r="B37" s="7" t="n"/>
      <c r="C37" s="7" t="n"/>
      <c r="D37" s="7" t="n"/>
      <c r="E37" s="7" t="n"/>
      <c r="F37" s="7" t="n"/>
      <c r="G37" s="6" t="n"/>
      <c r="H37" s="7" t="n"/>
      <c r="I37" s="6" t="n"/>
      <c r="J37" s="7" t="n"/>
      <c r="K37" s="5">
        <f>IF(B37="","",IF(OR(F37="",G37=""),"НЕ ОТПРАВЛЕНО",IF(J37="","НЕТ ДОКАЗАТЕЛЬСТВА",IF(I37="","ОТПРАВЛЕНО, ЖДЁМ ПОЛУЧЕНИЯ","ПЕРЕДАНО"))))</f>
        <v/>
      </c>
    </row>
    <row r="38">
      <c r="A38" s="5" t="n">
        <v>34</v>
      </c>
      <c r="B38" s="7" t="n"/>
      <c r="C38" s="7" t="n"/>
      <c r="D38" s="7" t="n"/>
      <c r="E38" s="7" t="n"/>
      <c r="F38" s="7" t="n"/>
      <c r="G38" s="6" t="n"/>
      <c r="H38" s="7" t="n"/>
      <c r="I38" s="6" t="n"/>
      <c r="J38" s="7" t="n"/>
      <c r="K38" s="5">
        <f>IF(B38="","",IF(OR(F38="",G38=""),"НЕ ОТПРАВЛЕНО",IF(J38="","НЕТ ДОКАЗАТЕЛЬСТВА",IF(I38="","ОТПРАВЛЕНО, ЖДЁМ ПОЛУЧЕНИЯ","ПЕРЕДАНО"))))</f>
        <v/>
      </c>
    </row>
    <row r="39">
      <c r="A39" s="5" t="n">
        <v>35</v>
      </c>
      <c r="B39" s="7" t="n"/>
      <c r="C39" s="7" t="n"/>
      <c r="D39" s="7" t="n"/>
      <c r="E39" s="7" t="n"/>
      <c r="F39" s="7" t="n"/>
      <c r="G39" s="6" t="n"/>
      <c r="H39" s="7" t="n"/>
      <c r="I39" s="6" t="n"/>
      <c r="J39" s="7" t="n"/>
      <c r="K39" s="5">
        <f>IF(B39="","",IF(OR(F39="",G39=""),"НЕ ОТПРАВЛЕНО",IF(J39="","НЕТ ДОКАЗАТЕЛЬСТВА",IF(I39="","ОТПРАВЛЕНО, ЖДЁМ ПОЛУЧЕНИЯ","ПЕРЕДАНО"))))</f>
        <v/>
      </c>
    </row>
    <row r="40">
      <c r="A40" s="5" t="n">
        <v>36</v>
      </c>
      <c r="B40" s="7" t="n"/>
      <c r="C40" s="7" t="n"/>
      <c r="D40" s="7" t="n"/>
      <c r="E40" s="7" t="n"/>
      <c r="F40" s="7" t="n"/>
      <c r="G40" s="6" t="n"/>
      <c r="H40" s="7" t="n"/>
      <c r="I40" s="6" t="n"/>
      <c r="J40" s="7" t="n"/>
      <c r="K40" s="5">
        <f>IF(B40="","",IF(OR(F40="",G40=""),"НЕ ОТПРАВЛЕНО",IF(J40="","НЕТ ДОКАЗАТЕЛЬСТВА",IF(I40="","ОТПРАВЛЕНО, ЖДЁМ ПОЛУЧЕНИЯ","ПЕРЕДАНО"))))</f>
        <v/>
      </c>
    </row>
    <row r="41">
      <c r="A41" s="5" t="n">
        <v>37</v>
      </c>
      <c r="B41" s="7" t="n"/>
      <c r="C41" s="7" t="n"/>
      <c r="D41" s="7" t="n"/>
      <c r="E41" s="7" t="n"/>
      <c r="F41" s="7" t="n"/>
      <c r="G41" s="6" t="n"/>
      <c r="H41" s="7" t="n"/>
      <c r="I41" s="6" t="n"/>
      <c r="J41" s="7" t="n"/>
      <c r="K41" s="5">
        <f>IF(B41="","",IF(OR(F41="",G41=""),"НЕ ОТПРАВЛЕНО",IF(J41="","НЕТ ДОКАЗАТЕЛЬСТВА",IF(I41="","ОТПРАВЛЕНО, ЖДЁМ ПОЛУЧЕНИЯ","ПЕРЕДАНО"))))</f>
        <v/>
      </c>
    </row>
    <row r="42">
      <c r="A42" s="5" t="n">
        <v>38</v>
      </c>
      <c r="B42" s="7" t="n"/>
      <c r="C42" s="7" t="n"/>
      <c r="D42" s="7" t="n"/>
      <c r="E42" s="7" t="n"/>
      <c r="F42" s="7" t="n"/>
      <c r="G42" s="6" t="n"/>
      <c r="H42" s="7" t="n"/>
      <c r="I42" s="6" t="n"/>
      <c r="J42" s="7" t="n"/>
      <c r="K42" s="5">
        <f>IF(B42="","",IF(OR(F42="",G42=""),"НЕ ОТПРАВЛЕНО",IF(J42="","НЕТ ДОКАЗАТЕЛЬСТВА",IF(I42="","ОТПРАВЛЕНО, ЖДЁМ ПОЛУЧЕНИЯ","ПЕРЕДАНО"))))</f>
        <v/>
      </c>
    </row>
    <row r="43">
      <c r="A43" s="5" t="n">
        <v>39</v>
      </c>
      <c r="B43" s="7" t="n"/>
      <c r="C43" s="7" t="n"/>
      <c r="D43" s="7" t="n"/>
      <c r="E43" s="7" t="n"/>
      <c r="F43" s="7" t="n"/>
      <c r="G43" s="6" t="n"/>
      <c r="H43" s="7" t="n"/>
      <c r="I43" s="6" t="n"/>
      <c r="J43" s="7" t="n"/>
      <c r="K43" s="5">
        <f>IF(B43="","",IF(OR(F43="",G43=""),"НЕ ОТПРАВЛЕНО",IF(J43="","НЕТ ДОКАЗАТЕЛЬСТВА",IF(I43="","ОТПРАВЛЕНО, ЖДЁМ ПОЛУЧЕНИЯ","ПЕРЕДАНО"))))</f>
        <v/>
      </c>
    </row>
    <row r="44">
      <c r="A44" s="5" t="n">
        <v>40</v>
      </c>
      <c r="B44" s="7" t="n"/>
      <c r="C44" s="7" t="n"/>
      <c r="D44" s="7" t="n"/>
      <c r="E44" s="7" t="n"/>
      <c r="F44" s="7" t="n"/>
      <c r="G44" s="6" t="n"/>
      <c r="H44" s="7" t="n"/>
      <c r="I44" s="6" t="n"/>
      <c r="J44" s="7" t="n"/>
      <c r="K44" s="5">
        <f>IF(B44="","",IF(OR(F44="",G44=""),"НЕ ОТПРАВЛЕНО",IF(J44="","НЕТ ДОКАЗАТЕЛЬСТВА",IF(I44="","ОТПРАВЛЕНО, ЖДЁМ ПОЛУЧЕНИЯ","ПЕРЕДАНО"))))</f>
        <v/>
      </c>
    </row>
    <row r="45">
      <c r="A45" s="5" t="n">
        <v>41</v>
      </c>
      <c r="B45" s="7" t="n"/>
      <c r="C45" s="7" t="n"/>
      <c r="D45" s="7" t="n"/>
      <c r="E45" s="7" t="n"/>
      <c r="F45" s="7" t="n"/>
      <c r="G45" s="6" t="n"/>
      <c r="H45" s="7" t="n"/>
      <c r="I45" s="6" t="n"/>
      <c r="J45" s="7" t="n"/>
      <c r="K45" s="5">
        <f>IF(B45="","",IF(OR(F45="",G45=""),"НЕ ОТПРАВЛЕНО",IF(J45="","НЕТ ДОКАЗАТЕЛЬСТВА",IF(I45="","ОТПРАВЛЕНО, ЖДЁМ ПОЛУЧЕНИЯ","ПЕРЕДАНО"))))</f>
        <v/>
      </c>
    </row>
    <row r="46">
      <c r="A46" s="5" t="n">
        <v>42</v>
      </c>
      <c r="B46" s="7" t="n"/>
      <c r="C46" s="7" t="n"/>
      <c r="D46" s="7" t="n"/>
      <c r="E46" s="7" t="n"/>
      <c r="F46" s="7" t="n"/>
      <c r="G46" s="6" t="n"/>
      <c r="H46" s="7" t="n"/>
      <c r="I46" s="6" t="n"/>
      <c r="J46" s="7" t="n"/>
      <c r="K46" s="5">
        <f>IF(B46="","",IF(OR(F46="",G46=""),"НЕ ОТПРАВЛЕНО",IF(J46="","НЕТ ДОКАЗАТЕЛЬСТВА",IF(I46="","ОТПРАВЛЕНО, ЖДЁМ ПОЛУЧЕНИЯ","ПЕРЕДАНО"))))</f>
        <v/>
      </c>
    </row>
    <row r="47">
      <c r="A47" s="5" t="n">
        <v>43</v>
      </c>
      <c r="B47" s="7" t="n"/>
      <c r="C47" s="7" t="n"/>
      <c r="D47" s="7" t="n"/>
      <c r="E47" s="7" t="n"/>
      <c r="F47" s="7" t="n"/>
      <c r="G47" s="6" t="n"/>
      <c r="H47" s="7" t="n"/>
      <c r="I47" s="6" t="n"/>
      <c r="J47" s="7" t="n"/>
      <c r="K47" s="5">
        <f>IF(B47="","",IF(OR(F47="",G47=""),"НЕ ОТПРАВЛЕНО",IF(J47="","НЕТ ДОКАЗАТЕЛЬСТВА",IF(I47="","ОТПРАВЛЕНО, ЖДЁМ ПОЛУЧЕНИЯ","ПЕРЕДАНО"))))</f>
        <v/>
      </c>
    </row>
    <row r="48">
      <c r="A48" s="5" t="n">
        <v>44</v>
      </c>
      <c r="B48" s="7" t="n"/>
      <c r="C48" s="7" t="n"/>
      <c r="D48" s="7" t="n"/>
      <c r="E48" s="7" t="n"/>
      <c r="F48" s="7" t="n"/>
      <c r="G48" s="6" t="n"/>
      <c r="H48" s="7" t="n"/>
      <c r="I48" s="6" t="n"/>
      <c r="J48" s="7" t="n"/>
      <c r="K48" s="5">
        <f>IF(B48="","",IF(OR(F48="",G48=""),"НЕ ОТПРАВЛЕНО",IF(J48="","НЕТ ДОКАЗАТЕЛЬСТВА",IF(I48="","ОТПРАВЛЕНО, ЖДЁМ ПОЛУЧЕНИЯ","ПЕРЕДАНО"))))</f>
        <v/>
      </c>
    </row>
    <row r="49">
      <c r="A49" s="5" t="n">
        <v>45</v>
      </c>
      <c r="B49" s="7" t="n"/>
      <c r="C49" s="7" t="n"/>
      <c r="D49" s="7" t="n"/>
      <c r="E49" s="7" t="n"/>
      <c r="F49" s="7" t="n"/>
      <c r="G49" s="6" t="n"/>
      <c r="H49" s="7" t="n"/>
      <c r="I49" s="6" t="n"/>
      <c r="J49" s="7" t="n"/>
      <c r="K49" s="5">
        <f>IF(B49="","",IF(OR(F49="",G49=""),"НЕ ОТПРАВЛЕНО",IF(J49="","НЕТ ДОКАЗАТЕЛЬСТВА",IF(I49="","ОТПРАВЛЕНО, ЖДЁМ ПОЛУЧЕНИЯ","ПЕРЕДАНО"))))</f>
        <v/>
      </c>
    </row>
    <row r="50">
      <c r="A50" s="5" t="n">
        <v>46</v>
      </c>
      <c r="B50" s="7" t="n"/>
      <c r="C50" s="7" t="n"/>
      <c r="D50" s="7" t="n"/>
      <c r="E50" s="7" t="n"/>
      <c r="F50" s="7" t="n"/>
      <c r="G50" s="6" t="n"/>
      <c r="H50" s="7" t="n"/>
      <c r="I50" s="6" t="n"/>
      <c r="J50" s="7" t="n"/>
      <c r="K50" s="5">
        <f>IF(B50="","",IF(OR(F50="",G50=""),"НЕ ОТПРАВЛЕНО",IF(J50="","НЕТ ДОКАЗАТЕЛЬСТВА",IF(I50="","ОТПРАВЛЕНО, ЖДЁМ ПОЛУЧЕНИЯ","ПЕРЕДАНО"))))</f>
        <v/>
      </c>
    </row>
    <row r="51">
      <c r="A51" s="5" t="n">
        <v>47</v>
      </c>
      <c r="B51" s="7" t="n"/>
      <c r="C51" s="7" t="n"/>
      <c r="D51" s="7" t="n"/>
      <c r="E51" s="7" t="n"/>
      <c r="F51" s="7" t="n"/>
      <c r="G51" s="6" t="n"/>
      <c r="H51" s="7" t="n"/>
      <c r="I51" s="6" t="n"/>
      <c r="J51" s="7" t="n"/>
      <c r="K51" s="5">
        <f>IF(B51="","",IF(OR(F51="",G51=""),"НЕ ОТПРАВЛЕНО",IF(J51="","НЕТ ДОКАЗАТЕЛЬСТВА",IF(I51="","ОТПРАВЛЕНО, ЖДЁМ ПОЛУЧЕНИЯ","ПЕРЕДАНО"))))</f>
        <v/>
      </c>
    </row>
    <row r="52">
      <c r="A52" s="5" t="n">
        <v>48</v>
      </c>
      <c r="B52" s="7" t="n"/>
      <c r="C52" s="7" t="n"/>
      <c r="D52" s="7" t="n"/>
      <c r="E52" s="7" t="n"/>
      <c r="F52" s="7" t="n"/>
      <c r="G52" s="6" t="n"/>
      <c r="H52" s="7" t="n"/>
      <c r="I52" s="6" t="n"/>
      <c r="J52" s="7" t="n"/>
      <c r="K52" s="5">
        <f>IF(B52="","",IF(OR(F52="",G52=""),"НЕ ОТПРАВЛЕНО",IF(J52="","НЕТ ДОКАЗАТЕЛЬСТВА",IF(I52="","ОТПРАВЛЕНО, ЖДЁМ ПОЛУЧЕНИЯ","ПЕРЕДАНО"))))</f>
        <v/>
      </c>
    </row>
    <row r="53">
      <c r="A53" s="5" t="n">
        <v>49</v>
      </c>
      <c r="B53" s="7" t="n"/>
      <c r="C53" s="7" t="n"/>
      <c r="D53" s="7" t="n"/>
      <c r="E53" s="7" t="n"/>
      <c r="F53" s="7" t="n"/>
      <c r="G53" s="6" t="n"/>
      <c r="H53" s="7" t="n"/>
      <c r="I53" s="6" t="n"/>
      <c r="J53" s="7" t="n"/>
      <c r="K53" s="5">
        <f>IF(B53="","",IF(OR(F53="",G53=""),"НЕ ОТПРАВЛЕНО",IF(J53="","НЕТ ДОКАЗАТЕЛЬСТВА",IF(I53="","ОТПРАВЛЕНО, ЖДЁМ ПОЛУЧЕНИЯ","ПЕРЕДАНО"))))</f>
        <v/>
      </c>
    </row>
    <row r="54">
      <c r="A54" s="5" t="n">
        <v>50</v>
      </c>
      <c r="B54" s="7" t="n"/>
      <c r="C54" s="7" t="n"/>
      <c r="D54" s="7" t="n"/>
      <c r="E54" s="7" t="n"/>
      <c r="F54" s="7" t="n"/>
      <c r="G54" s="6" t="n"/>
      <c r="H54" s="7" t="n"/>
      <c r="I54" s="6" t="n"/>
      <c r="J54" s="7" t="n"/>
      <c r="K54" s="5">
        <f>IF(B54="","",IF(OR(F54="",G54=""),"НЕ ОТПРАВЛЕНО",IF(J54="","НЕТ ДОКАЗАТЕЛЬСТВА",IF(I54="","ОТПРАВЛЕНО, ЖДЁМ ПОЛУЧЕНИЯ","ПЕРЕДАНО"))))</f>
        <v/>
      </c>
    </row>
    <row r="55">
      <c r="A55" s="5" t="n">
        <v>51</v>
      </c>
      <c r="B55" s="7" t="n"/>
      <c r="C55" s="7" t="n"/>
      <c r="D55" s="7" t="n"/>
      <c r="E55" s="7" t="n"/>
      <c r="F55" s="7" t="n"/>
      <c r="G55" s="6" t="n"/>
      <c r="H55" s="7" t="n"/>
      <c r="I55" s="6" t="n"/>
      <c r="J55" s="7" t="n"/>
      <c r="K55" s="5">
        <f>IF(B55="","",IF(OR(F55="",G55=""),"НЕ ОТПРАВЛЕНО",IF(J55="","НЕТ ДОКАЗАТЕЛЬСТВА",IF(I55="","ОТПРАВЛЕНО, ЖДЁМ ПОЛУЧЕНИЯ","ПЕРЕДАНО"))))</f>
        <v/>
      </c>
    </row>
    <row r="56">
      <c r="A56" s="5" t="n">
        <v>52</v>
      </c>
      <c r="B56" s="7" t="n"/>
      <c r="C56" s="7" t="n"/>
      <c r="D56" s="7" t="n"/>
      <c r="E56" s="7" t="n"/>
      <c r="F56" s="7" t="n"/>
      <c r="G56" s="6" t="n"/>
      <c r="H56" s="7" t="n"/>
      <c r="I56" s="6" t="n"/>
      <c r="J56" s="7" t="n"/>
      <c r="K56" s="5">
        <f>IF(B56="","",IF(OR(F56="",G56=""),"НЕ ОТПРАВЛЕНО",IF(J56="","НЕТ ДОКАЗАТЕЛЬСТВА",IF(I56="","ОТПРАВЛЕНО, ЖДЁМ ПОЛУЧЕНИЯ","ПЕРЕДАНО"))))</f>
        <v/>
      </c>
    </row>
    <row r="57">
      <c r="A57" s="5" t="n">
        <v>53</v>
      </c>
      <c r="B57" s="7" t="n"/>
      <c r="C57" s="7" t="n"/>
      <c r="D57" s="7" t="n"/>
      <c r="E57" s="7" t="n"/>
      <c r="F57" s="7" t="n"/>
      <c r="G57" s="6" t="n"/>
      <c r="H57" s="7" t="n"/>
      <c r="I57" s="6" t="n"/>
      <c r="J57" s="7" t="n"/>
      <c r="K57" s="5">
        <f>IF(B57="","",IF(OR(F57="",G57=""),"НЕ ОТПРАВЛЕНО",IF(J57="","НЕТ ДОКАЗАТЕЛЬСТВА",IF(I57="","ОТПРАВЛЕНО, ЖДЁМ ПОЛУЧЕНИЯ","ПЕРЕДАНО"))))</f>
        <v/>
      </c>
    </row>
    <row r="58">
      <c r="A58" s="5" t="n">
        <v>54</v>
      </c>
      <c r="B58" s="7" t="n"/>
      <c r="C58" s="7" t="n"/>
      <c r="D58" s="7" t="n"/>
      <c r="E58" s="7" t="n"/>
      <c r="F58" s="7" t="n"/>
      <c r="G58" s="6" t="n"/>
      <c r="H58" s="7" t="n"/>
      <c r="I58" s="6" t="n"/>
      <c r="J58" s="7" t="n"/>
      <c r="K58" s="5">
        <f>IF(B58="","",IF(OR(F58="",G58=""),"НЕ ОТПРАВЛЕНО",IF(J58="","НЕТ ДОКАЗАТЕЛЬСТВА",IF(I58="","ОТПРАВЛЕНО, ЖДЁМ ПОЛУЧЕНИЯ","ПЕРЕДАНО"))))</f>
        <v/>
      </c>
    </row>
    <row r="59">
      <c r="A59" s="5" t="n">
        <v>55</v>
      </c>
      <c r="B59" s="7" t="n"/>
      <c r="C59" s="7" t="n"/>
      <c r="D59" s="7" t="n"/>
      <c r="E59" s="7" t="n"/>
      <c r="F59" s="7" t="n"/>
      <c r="G59" s="6" t="n"/>
      <c r="H59" s="7" t="n"/>
      <c r="I59" s="6" t="n"/>
      <c r="J59" s="7" t="n"/>
      <c r="K59" s="5">
        <f>IF(B59="","",IF(OR(F59="",G59=""),"НЕ ОТПРАВЛЕНО",IF(J59="","НЕТ ДОКАЗАТЕЛЬСТВА",IF(I59="","ОТПРАВЛЕНО, ЖДЁМ ПОЛУЧЕНИЯ","ПЕРЕДАНО"))))</f>
        <v/>
      </c>
    </row>
    <row r="60">
      <c r="A60" s="5" t="n">
        <v>56</v>
      </c>
      <c r="B60" s="7" t="n"/>
      <c r="C60" s="7" t="n"/>
      <c r="D60" s="7" t="n"/>
      <c r="E60" s="7" t="n"/>
      <c r="F60" s="7" t="n"/>
      <c r="G60" s="6" t="n"/>
      <c r="H60" s="7" t="n"/>
      <c r="I60" s="6" t="n"/>
      <c r="J60" s="7" t="n"/>
      <c r="K60" s="5">
        <f>IF(B60="","",IF(OR(F60="",G60=""),"НЕ ОТПРАВЛЕНО",IF(J60="","НЕТ ДОКАЗАТЕЛЬСТВА",IF(I60="","ОТПРАВЛЕНО, ЖДЁМ ПОЛУЧЕНИЯ","ПЕРЕДАНО"))))</f>
        <v/>
      </c>
    </row>
    <row r="61">
      <c r="A61" s="5" t="n">
        <v>57</v>
      </c>
      <c r="B61" s="7" t="n"/>
      <c r="C61" s="7" t="n"/>
      <c r="D61" s="7" t="n"/>
      <c r="E61" s="7" t="n"/>
      <c r="F61" s="7" t="n"/>
      <c r="G61" s="6" t="n"/>
      <c r="H61" s="7" t="n"/>
      <c r="I61" s="6" t="n"/>
      <c r="J61" s="7" t="n"/>
      <c r="K61" s="5">
        <f>IF(B61="","",IF(OR(F61="",G61=""),"НЕ ОТПРАВЛЕНО",IF(J61="","НЕТ ДОКАЗАТЕЛЬСТВА",IF(I61="","ОТПРАВЛЕНО, ЖДЁМ ПОЛУЧЕНИЯ","ПЕРЕДАНО"))))</f>
        <v/>
      </c>
    </row>
    <row r="62">
      <c r="A62" s="5" t="n">
        <v>58</v>
      </c>
      <c r="B62" s="7" t="n"/>
      <c r="C62" s="7" t="n"/>
      <c r="D62" s="7" t="n"/>
      <c r="E62" s="7" t="n"/>
      <c r="F62" s="7" t="n"/>
      <c r="G62" s="6" t="n"/>
      <c r="H62" s="7" t="n"/>
      <c r="I62" s="6" t="n"/>
      <c r="J62" s="7" t="n"/>
      <c r="K62" s="5">
        <f>IF(B62="","",IF(OR(F62="",G62=""),"НЕ ОТПРАВЛЕНО",IF(J62="","НЕТ ДОКАЗАТЕЛЬСТВА",IF(I62="","ОТПРАВЛЕНО, ЖДЁМ ПОЛУЧЕНИЯ","ПЕРЕДАНО"))))</f>
        <v/>
      </c>
    </row>
    <row r="63">
      <c r="A63" s="5" t="n">
        <v>59</v>
      </c>
      <c r="B63" s="7" t="n"/>
      <c r="C63" s="7" t="n"/>
      <c r="D63" s="7" t="n"/>
      <c r="E63" s="7" t="n"/>
      <c r="F63" s="7" t="n"/>
      <c r="G63" s="6" t="n"/>
      <c r="H63" s="7" t="n"/>
      <c r="I63" s="6" t="n"/>
      <c r="J63" s="7" t="n"/>
      <c r="K63" s="5">
        <f>IF(B63="","",IF(OR(F63="",G63=""),"НЕ ОТПРАВЛЕНО",IF(J63="","НЕТ ДОКАЗАТЕЛЬСТВА",IF(I63="","ОТПРАВЛЕНО, ЖДЁМ ПОЛУЧЕНИЯ","ПЕРЕДАНО"))))</f>
        <v/>
      </c>
    </row>
    <row r="64">
      <c r="A64" s="5" t="n">
        <v>60</v>
      </c>
      <c r="B64" s="7" t="n"/>
      <c r="C64" s="7" t="n"/>
      <c r="D64" s="7" t="n"/>
      <c r="E64" s="7" t="n"/>
      <c r="F64" s="7" t="n"/>
      <c r="G64" s="6" t="n"/>
      <c r="H64" s="7" t="n"/>
      <c r="I64" s="6" t="n"/>
      <c r="J64" s="7" t="n"/>
      <c r="K64" s="5">
        <f>IF(B64="","",IF(OR(F64="",G64=""),"НЕ ОТПРАВЛЕНО",IF(J64="","НЕТ ДОКАЗАТЕЛЬСТВА",IF(I64="","ОТПРАВЛЕНО, ЖДЁМ ПОЛУЧЕНИЯ","ПЕРЕДАНО"))))</f>
        <v/>
      </c>
    </row>
    <row r="65">
      <c r="A65" s="5" t="n">
        <v>61</v>
      </c>
      <c r="B65" s="7" t="n"/>
      <c r="C65" s="7" t="n"/>
      <c r="D65" s="7" t="n"/>
      <c r="E65" s="7" t="n"/>
      <c r="F65" s="7" t="n"/>
      <c r="G65" s="6" t="n"/>
      <c r="H65" s="7" t="n"/>
      <c r="I65" s="6" t="n"/>
      <c r="J65" s="7" t="n"/>
      <c r="K65" s="5">
        <f>IF(B65="","",IF(OR(F65="",G65=""),"НЕ ОТПРАВЛЕНО",IF(J65="","НЕТ ДОКАЗАТЕЛЬСТВА",IF(I65="","ОТПРАВЛЕНО, ЖДЁМ ПОЛУЧЕНИЯ","ПЕРЕДАНО"))))</f>
        <v/>
      </c>
    </row>
    <row r="66">
      <c r="A66" s="5" t="n">
        <v>62</v>
      </c>
      <c r="B66" s="7" t="n"/>
      <c r="C66" s="7" t="n"/>
      <c r="D66" s="7" t="n"/>
      <c r="E66" s="7" t="n"/>
      <c r="F66" s="7" t="n"/>
      <c r="G66" s="6" t="n"/>
      <c r="H66" s="7" t="n"/>
      <c r="I66" s="6" t="n"/>
      <c r="J66" s="7" t="n"/>
      <c r="K66" s="5">
        <f>IF(B66="","",IF(OR(F66="",G66=""),"НЕ ОТПРАВЛЕНО",IF(J66="","НЕТ ДОКАЗАТЕЛЬСТВА",IF(I66="","ОТПРАВЛЕНО, ЖДЁМ ПОЛУЧЕНИЯ","ПЕРЕДАНО"))))</f>
        <v/>
      </c>
    </row>
    <row r="67">
      <c r="A67" s="5" t="n">
        <v>63</v>
      </c>
      <c r="B67" s="7" t="n"/>
      <c r="C67" s="7" t="n"/>
      <c r="D67" s="7" t="n"/>
      <c r="E67" s="7" t="n"/>
      <c r="F67" s="7" t="n"/>
      <c r="G67" s="6" t="n"/>
      <c r="H67" s="7" t="n"/>
      <c r="I67" s="6" t="n"/>
      <c r="J67" s="7" t="n"/>
      <c r="K67" s="5">
        <f>IF(B67="","",IF(OR(F67="",G67=""),"НЕ ОТПРАВЛЕНО",IF(J67="","НЕТ ДОКАЗАТЕЛЬСТВА",IF(I67="","ОТПРАВЛЕНО, ЖДЁМ ПОЛУЧЕНИЯ","ПЕРЕДАНО"))))</f>
        <v/>
      </c>
    </row>
    <row r="68">
      <c r="A68" s="5" t="n">
        <v>64</v>
      </c>
      <c r="B68" s="7" t="n"/>
      <c r="C68" s="7" t="n"/>
      <c r="D68" s="7" t="n"/>
      <c r="E68" s="7" t="n"/>
      <c r="F68" s="7" t="n"/>
      <c r="G68" s="6" t="n"/>
      <c r="H68" s="7" t="n"/>
      <c r="I68" s="6" t="n"/>
      <c r="J68" s="7" t="n"/>
      <c r="K68" s="5">
        <f>IF(B68="","",IF(OR(F68="",G68=""),"НЕ ОТПРАВЛЕНО",IF(J68="","НЕТ ДОКАЗАТЕЛЬСТВА",IF(I68="","ОТПРАВЛЕНО, ЖДЁМ ПОЛУЧЕНИЯ","ПЕРЕДАНО"))))</f>
        <v/>
      </c>
    </row>
    <row r="69">
      <c r="A69" s="5" t="n">
        <v>65</v>
      </c>
      <c r="B69" s="7" t="n"/>
      <c r="C69" s="7" t="n"/>
      <c r="D69" s="7" t="n"/>
      <c r="E69" s="7" t="n"/>
      <c r="F69" s="7" t="n"/>
      <c r="G69" s="6" t="n"/>
      <c r="H69" s="7" t="n"/>
      <c r="I69" s="6" t="n"/>
      <c r="J69" s="7" t="n"/>
      <c r="K69" s="5">
        <f>IF(B69="","",IF(OR(F69="",G69=""),"НЕ ОТПРАВЛЕНО",IF(J69="","НЕТ ДОКАЗАТЕЛЬСТВА",IF(I69="","ОТПРАВЛЕНО, ЖДЁМ ПОЛУЧЕНИЯ","ПЕРЕДАНО"))))</f>
        <v/>
      </c>
    </row>
    <row r="70">
      <c r="A70" s="5" t="n">
        <v>66</v>
      </c>
      <c r="B70" s="7" t="n"/>
      <c r="C70" s="7" t="n"/>
      <c r="D70" s="7" t="n"/>
      <c r="E70" s="7" t="n"/>
      <c r="F70" s="7" t="n"/>
      <c r="G70" s="6" t="n"/>
      <c r="H70" s="7" t="n"/>
      <c r="I70" s="6" t="n"/>
      <c r="J70" s="7" t="n"/>
      <c r="K70" s="5">
        <f>IF(B70="","",IF(OR(F70="",G70=""),"НЕ ОТПРАВЛЕНО",IF(J70="","НЕТ ДОКАЗАТЕЛЬСТВА",IF(I70="","ОТПРАВЛЕНО, ЖДЁМ ПОЛУЧЕНИЯ","ПЕРЕДАНО"))))</f>
        <v/>
      </c>
    </row>
    <row r="71">
      <c r="A71" s="5" t="n">
        <v>67</v>
      </c>
      <c r="B71" s="7" t="n"/>
      <c r="C71" s="7" t="n"/>
      <c r="D71" s="7" t="n"/>
      <c r="E71" s="7" t="n"/>
      <c r="F71" s="7" t="n"/>
      <c r="G71" s="6" t="n"/>
      <c r="H71" s="7" t="n"/>
      <c r="I71" s="6" t="n"/>
      <c r="J71" s="7" t="n"/>
      <c r="K71" s="5">
        <f>IF(B71="","",IF(OR(F71="",G71=""),"НЕ ОТПРАВЛЕНО",IF(J71="","НЕТ ДОКАЗАТЕЛЬСТВА",IF(I71="","ОТПРАВЛЕНО, ЖДЁМ ПОЛУЧЕНИЯ","ПЕРЕДАНО"))))</f>
        <v/>
      </c>
    </row>
    <row r="72">
      <c r="A72" s="5" t="n">
        <v>68</v>
      </c>
      <c r="B72" s="7" t="n"/>
      <c r="C72" s="7" t="n"/>
      <c r="D72" s="7" t="n"/>
      <c r="E72" s="7" t="n"/>
      <c r="F72" s="7" t="n"/>
      <c r="G72" s="6" t="n"/>
      <c r="H72" s="7" t="n"/>
      <c r="I72" s="6" t="n"/>
      <c r="J72" s="7" t="n"/>
      <c r="K72" s="5">
        <f>IF(B72="","",IF(OR(F72="",G72=""),"НЕ ОТПРАВЛЕНО",IF(J72="","НЕТ ДОКАЗАТЕЛЬСТВА",IF(I72="","ОТПРАВЛЕНО, ЖДЁМ ПОЛУЧЕНИЯ","ПЕРЕДАНО"))))</f>
        <v/>
      </c>
    </row>
    <row r="73">
      <c r="A73" s="5" t="n">
        <v>69</v>
      </c>
      <c r="B73" s="7" t="n"/>
      <c r="C73" s="7" t="n"/>
      <c r="D73" s="7" t="n"/>
      <c r="E73" s="7" t="n"/>
      <c r="F73" s="7" t="n"/>
      <c r="G73" s="6" t="n"/>
      <c r="H73" s="7" t="n"/>
      <c r="I73" s="6" t="n"/>
      <c r="J73" s="7" t="n"/>
      <c r="K73" s="5">
        <f>IF(B73="","",IF(OR(F73="",G73=""),"НЕ ОТПРАВЛЕНО",IF(J73="","НЕТ ДОКАЗАТЕЛЬСТВА",IF(I73="","ОТПРАВЛЕНО, ЖДЁМ ПОЛУЧЕНИЯ","ПЕРЕДАНО"))))</f>
        <v/>
      </c>
    </row>
    <row r="74">
      <c r="A74" s="5" t="n">
        <v>70</v>
      </c>
      <c r="B74" s="7" t="n"/>
      <c r="C74" s="7" t="n"/>
      <c r="D74" s="7" t="n"/>
      <c r="E74" s="7" t="n"/>
      <c r="F74" s="7" t="n"/>
      <c r="G74" s="6" t="n"/>
      <c r="H74" s="7" t="n"/>
      <c r="I74" s="6" t="n"/>
      <c r="J74" s="7" t="n"/>
      <c r="K74" s="5">
        <f>IF(B74="","",IF(OR(F74="",G74=""),"НЕ ОТПРАВЛЕНО",IF(J74="","НЕТ ДОКАЗАТЕЛЬСТВА",IF(I74="","ОТПРАВЛЕНО, ЖДЁМ ПОЛУЧЕНИЯ","ПЕРЕДАНО"))))</f>
        <v/>
      </c>
    </row>
    <row r="75">
      <c r="A75" s="5" t="n">
        <v>71</v>
      </c>
      <c r="B75" s="7" t="n"/>
      <c r="C75" s="7" t="n"/>
      <c r="D75" s="7" t="n"/>
      <c r="E75" s="7" t="n"/>
      <c r="F75" s="7" t="n"/>
      <c r="G75" s="6" t="n"/>
      <c r="H75" s="7" t="n"/>
      <c r="I75" s="6" t="n"/>
      <c r="J75" s="7" t="n"/>
      <c r="K75" s="5">
        <f>IF(B75="","",IF(OR(F75="",G75=""),"НЕ ОТПРАВЛЕНО",IF(J75="","НЕТ ДОКАЗАТЕЛЬСТВА",IF(I75="","ОТПРАВЛЕНО, ЖДЁМ ПОЛУЧЕНИЯ","ПЕРЕДАНО"))))</f>
        <v/>
      </c>
    </row>
    <row r="76">
      <c r="A76" s="5" t="n">
        <v>72</v>
      </c>
      <c r="B76" s="7" t="n"/>
      <c r="C76" s="7" t="n"/>
      <c r="D76" s="7" t="n"/>
      <c r="E76" s="7" t="n"/>
      <c r="F76" s="7" t="n"/>
      <c r="G76" s="6" t="n"/>
      <c r="H76" s="7" t="n"/>
      <c r="I76" s="6" t="n"/>
      <c r="J76" s="7" t="n"/>
      <c r="K76" s="5">
        <f>IF(B76="","",IF(OR(F76="",G76=""),"НЕ ОТПРАВЛЕНО",IF(J76="","НЕТ ДОКАЗАТЕЛЬСТВА",IF(I76="","ОТПРАВЛЕНО, ЖДЁМ ПОЛУЧЕНИЯ","ПЕРЕДАНО"))))</f>
        <v/>
      </c>
    </row>
    <row r="77">
      <c r="A77" s="5" t="n">
        <v>73</v>
      </c>
      <c r="B77" s="7" t="n"/>
      <c r="C77" s="7" t="n"/>
      <c r="D77" s="7" t="n"/>
      <c r="E77" s="7" t="n"/>
      <c r="F77" s="7" t="n"/>
      <c r="G77" s="6" t="n"/>
      <c r="H77" s="7" t="n"/>
      <c r="I77" s="6" t="n"/>
      <c r="J77" s="7" t="n"/>
      <c r="K77" s="5">
        <f>IF(B77="","",IF(OR(F77="",G77=""),"НЕ ОТПРАВЛЕНО",IF(J77="","НЕТ ДОКАЗАТЕЛЬСТВА",IF(I77="","ОТПРАВЛЕНО, ЖДЁМ ПОЛУЧЕНИЯ","ПЕРЕДАНО"))))</f>
        <v/>
      </c>
    </row>
    <row r="78">
      <c r="A78" s="5" t="n">
        <v>74</v>
      </c>
      <c r="B78" s="7" t="n"/>
      <c r="C78" s="7" t="n"/>
      <c r="D78" s="7" t="n"/>
      <c r="E78" s="7" t="n"/>
      <c r="F78" s="7" t="n"/>
      <c r="G78" s="6" t="n"/>
      <c r="H78" s="7" t="n"/>
      <c r="I78" s="6" t="n"/>
      <c r="J78" s="7" t="n"/>
      <c r="K78" s="5">
        <f>IF(B78="","",IF(OR(F78="",G78=""),"НЕ ОТПРАВЛЕНО",IF(J78="","НЕТ ДОКАЗАТЕЛЬСТВА",IF(I78="","ОТПРАВЛЕНО, ЖДЁМ ПОЛУЧЕНИЯ","ПЕРЕДАНО"))))</f>
        <v/>
      </c>
    </row>
    <row r="79">
      <c r="A79" s="5" t="n">
        <v>75</v>
      </c>
      <c r="B79" s="7" t="n"/>
      <c r="C79" s="7" t="n"/>
      <c r="D79" s="7" t="n"/>
      <c r="E79" s="7" t="n"/>
      <c r="F79" s="7" t="n"/>
      <c r="G79" s="6" t="n"/>
      <c r="H79" s="7" t="n"/>
      <c r="I79" s="6" t="n"/>
      <c r="J79" s="7" t="n"/>
      <c r="K79" s="5">
        <f>IF(B79="","",IF(OR(F79="",G79=""),"НЕ ОТПРАВЛЕНО",IF(J79="","НЕТ ДОКАЗАТЕЛЬСТВА",IF(I79="","ОТПРАВЛЕНО, ЖДЁМ ПОЛУЧЕНИЯ","ПЕРЕДАНО"))))</f>
        <v/>
      </c>
    </row>
    <row r="80">
      <c r="A80" s="5" t="n">
        <v>76</v>
      </c>
      <c r="B80" s="7" t="n"/>
      <c r="C80" s="7" t="n"/>
      <c r="D80" s="7" t="n"/>
      <c r="E80" s="7" t="n"/>
      <c r="F80" s="7" t="n"/>
      <c r="G80" s="6" t="n"/>
      <c r="H80" s="7" t="n"/>
      <c r="I80" s="6" t="n"/>
      <c r="J80" s="7" t="n"/>
      <c r="K80" s="5">
        <f>IF(B80="","",IF(OR(F80="",G80=""),"НЕ ОТПРАВЛЕНО",IF(J80="","НЕТ ДОКАЗАТЕЛЬСТВА",IF(I80="","ОТПРАВЛЕНО, ЖДЁМ ПОЛУЧЕНИЯ","ПЕРЕДАНО"))))</f>
        <v/>
      </c>
    </row>
    <row r="81">
      <c r="A81" s="5" t="n">
        <v>77</v>
      </c>
      <c r="B81" s="7" t="n"/>
      <c r="C81" s="7" t="n"/>
      <c r="D81" s="7" t="n"/>
      <c r="E81" s="7" t="n"/>
      <c r="F81" s="7" t="n"/>
      <c r="G81" s="6" t="n"/>
      <c r="H81" s="7" t="n"/>
      <c r="I81" s="6" t="n"/>
      <c r="J81" s="7" t="n"/>
      <c r="K81" s="5">
        <f>IF(B81="","",IF(OR(F81="",G81=""),"НЕ ОТПРАВЛЕНО",IF(J81="","НЕТ ДОКАЗАТЕЛЬСТВА",IF(I81="","ОТПРАВЛЕНО, ЖДЁМ ПОЛУЧЕНИЯ","ПЕРЕДАНО"))))</f>
        <v/>
      </c>
    </row>
    <row r="82">
      <c r="A82" s="5" t="n">
        <v>78</v>
      </c>
      <c r="B82" s="7" t="n"/>
      <c r="C82" s="7" t="n"/>
      <c r="D82" s="7" t="n"/>
      <c r="E82" s="7" t="n"/>
      <c r="F82" s="7" t="n"/>
      <c r="G82" s="6" t="n"/>
      <c r="H82" s="7" t="n"/>
      <c r="I82" s="6" t="n"/>
      <c r="J82" s="7" t="n"/>
      <c r="K82" s="5">
        <f>IF(B82="","",IF(OR(F82="",G82=""),"НЕ ОТПРАВЛЕНО",IF(J82="","НЕТ ДОКАЗАТЕЛЬСТВА",IF(I82="","ОТПРАВЛЕНО, ЖДЁМ ПОЛУЧЕНИЯ","ПЕРЕДАНО"))))</f>
        <v/>
      </c>
    </row>
    <row r="83">
      <c r="A83" s="5" t="n">
        <v>79</v>
      </c>
      <c r="B83" s="7" t="n"/>
      <c r="C83" s="7" t="n"/>
      <c r="D83" s="7" t="n"/>
      <c r="E83" s="7" t="n"/>
      <c r="F83" s="7" t="n"/>
      <c r="G83" s="6" t="n"/>
      <c r="H83" s="7" t="n"/>
      <c r="I83" s="6" t="n"/>
      <c r="J83" s="7" t="n"/>
      <c r="K83" s="5">
        <f>IF(B83="","",IF(OR(F83="",G83=""),"НЕ ОТПРАВЛЕНО",IF(J83="","НЕТ ДОКАЗАТЕЛЬСТВА",IF(I83="","ОТПРАВЛЕНО, ЖДЁМ ПОЛУЧЕНИЯ","ПЕРЕДАНО"))))</f>
        <v/>
      </c>
    </row>
    <row r="84">
      <c r="A84" s="5" t="n">
        <v>80</v>
      </c>
      <c r="B84" s="7" t="n"/>
      <c r="C84" s="7" t="n"/>
      <c r="D84" s="7" t="n"/>
      <c r="E84" s="7" t="n"/>
      <c r="F84" s="7" t="n"/>
      <c r="G84" s="6" t="n"/>
      <c r="H84" s="7" t="n"/>
      <c r="I84" s="6" t="n"/>
      <c r="J84" s="7" t="n"/>
      <c r="K84" s="5">
        <f>IF(B84="","",IF(OR(F84="",G84=""),"НЕ ОТПРАВЛЕНО",IF(J84="","НЕТ ДОКАЗАТЕЛЬСТВА",IF(I84="","ОТПРАВЛЕНО, ЖДЁМ ПОЛУЧЕНИЯ","ПЕРЕДАНО"))))</f>
        <v/>
      </c>
    </row>
    <row r="85">
      <c r="A85" s="5" t="n">
        <v>81</v>
      </c>
      <c r="B85" s="7" t="n"/>
      <c r="C85" s="7" t="n"/>
      <c r="D85" s="7" t="n"/>
      <c r="E85" s="7" t="n"/>
      <c r="F85" s="7" t="n"/>
      <c r="G85" s="6" t="n"/>
      <c r="H85" s="7" t="n"/>
      <c r="I85" s="6" t="n"/>
      <c r="J85" s="7" t="n"/>
      <c r="K85" s="5">
        <f>IF(B85="","",IF(OR(F85="",G85=""),"НЕ ОТПРАВЛЕНО",IF(J85="","НЕТ ДОКАЗАТЕЛЬСТВА",IF(I85="","ОТПРАВЛЕНО, ЖДЁМ ПОЛУЧЕНИЯ","ПЕРЕДАНО"))))</f>
        <v/>
      </c>
    </row>
    <row r="86">
      <c r="A86" s="5" t="n">
        <v>82</v>
      </c>
      <c r="B86" s="7" t="n"/>
      <c r="C86" s="7" t="n"/>
      <c r="D86" s="7" t="n"/>
      <c r="E86" s="7" t="n"/>
      <c r="F86" s="7" t="n"/>
      <c r="G86" s="6" t="n"/>
      <c r="H86" s="7" t="n"/>
      <c r="I86" s="6" t="n"/>
      <c r="J86" s="7" t="n"/>
      <c r="K86" s="5">
        <f>IF(B86="","",IF(OR(F86="",G86=""),"НЕ ОТПРАВЛЕНО",IF(J86="","НЕТ ДОКАЗАТЕЛЬСТВА",IF(I86="","ОТПРАВЛЕНО, ЖДЁМ ПОЛУЧЕНИЯ","ПЕРЕДАНО"))))</f>
        <v/>
      </c>
    </row>
    <row r="87">
      <c r="A87" s="5" t="n">
        <v>83</v>
      </c>
      <c r="B87" s="7" t="n"/>
      <c r="C87" s="7" t="n"/>
      <c r="D87" s="7" t="n"/>
      <c r="E87" s="7" t="n"/>
      <c r="F87" s="7" t="n"/>
      <c r="G87" s="6" t="n"/>
      <c r="H87" s="7" t="n"/>
      <c r="I87" s="6" t="n"/>
      <c r="J87" s="7" t="n"/>
      <c r="K87" s="5">
        <f>IF(B87="","",IF(OR(F87="",G87=""),"НЕ ОТПРАВЛЕНО",IF(J87="","НЕТ ДОКАЗАТЕЛЬСТВА",IF(I87="","ОТПРАВЛЕНО, ЖДЁМ ПОЛУЧЕНИЯ","ПЕРЕДАНО"))))</f>
        <v/>
      </c>
    </row>
    <row r="88">
      <c r="A88" s="5" t="n">
        <v>84</v>
      </c>
      <c r="B88" s="7" t="n"/>
      <c r="C88" s="7" t="n"/>
      <c r="D88" s="7" t="n"/>
      <c r="E88" s="7" t="n"/>
      <c r="F88" s="7" t="n"/>
      <c r="G88" s="6" t="n"/>
      <c r="H88" s="7" t="n"/>
      <c r="I88" s="6" t="n"/>
      <c r="J88" s="7" t="n"/>
      <c r="K88" s="5">
        <f>IF(B88="","",IF(OR(F88="",G88=""),"НЕ ОТПРАВЛЕНО",IF(J88="","НЕТ ДОКАЗАТЕЛЬСТВА",IF(I88="","ОТПРАВЛЕНО, ЖДЁМ ПОЛУЧЕНИЯ","ПЕРЕДАНО"))))</f>
        <v/>
      </c>
    </row>
    <row r="89">
      <c r="A89" s="5" t="n">
        <v>85</v>
      </c>
      <c r="B89" s="7" t="n"/>
      <c r="C89" s="7" t="n"/>
      <c r="D89" s="7" t="n"/>
      <c r="E89" s="7" t="n"/>
      <c r="F89" s="7" t="n"/>
      <c r="G89" s="6" t="n"/>
      <c r="H89" s="7" t="n"/>
      <c r="I89" s="6" t="n"/>
      <c r="J89" s="7" t="n"/>
      <c r="K89" s="5">
        <f>IF(B89="","",IF(OR(F89="",G89=""),"НЕ ОТПРАВЛЕНО",IF(J89="","НЕТ ДОКАЗАТЕЛЬСТВА",IF(I89="","ОТПРАВЛЕНО, ЖДЁМ ПОЛУЧЕНИЯ","ПЕРЕДАНО"))))</f>
        <v/>
      </c>
    </row>
    <row r="90">
      <c r="A90" s="5" t="n">
        <v>86</v>
      </c>
      <c r="B90" s="7" t="n"/>
      <c r="C90" s="7" t="n"/>
      <c r="D90" s="7" t="n"/>
      <c r="E90" s="7" t="n"/>
      <c r="F90" s="7" t="n"/>
      <c r="G90" s="6" t="n"/>
      <c r="H90" s="7" t="n"/>
      <c r="I90" s="6" t="n"/>
      <c r="J90" s="7" t="n"/>
      <c r="K90" s="5">
        <f>IF(B90="","",IF(OR(F90="",G90=""),"НЕ ОТПРАВЛЕНО",IF(J90="","НЕТ ДОКАЗАТЕЛЬСТВА",IF(I90="","ОТПРАВЛЕНО, ЖДЁМ ПОЛУЧЕНИЯ","ПЕРЕДАНО"))))</f>
        <v/>
      </c>
    </row>
    <row r="91">
      <c r="A91" s="5" t="n">
        <v>87</v>
      </c>
      <c r="B91" s="7" t="n"/>
      <c r="C91" s="7" t="n"/>
      <c r="D91" s="7" t="n"/>
      <c r="E91" s="7" t="n"/>
      <c r="F91" s="7" t="n"/>
      <c r="G91" s="6" t="n"/>
      <c r="H91" s="7" t="n"/>
      <c r="I91" s="6" t="n"/>
      <c r="J91" s="7" t="n"/>
      <c r="K91" s="5">
        <f>IF(B91="","",IF(OR(F91="",G91=""),"НЕ ОТПРАВЛЕНО",IF(J91="","НЕТ ДОКАЗАТЕЛЬСТВА",IF(I91="","ОТПРАВЛЕНО, ЖДЁМ ПОЛУЧЕНИЯ","ПЕРЕДАНО"))))</f>
        <v/>
      </c>
    </row>
    <row r="92">
      <c r="A92" s="5" t="n">
        <v>88</v>
      </c>
      <c r="B92" s="7" t="n"/>
      <c r="C92" s="7" t="n"/>
      <c r="D92" s="7" t="n"/>
      <c r="E92" s="7" t="n"/>
      <c r="F92" s="7" t="n"/>
      <c r="G92" s="6" t="n"/>
      <c r="H92" s="7" t="n"/>
      <c r="I92" s="6" t="n"/>
      <c r="J92" s="7" t="n"/>
      <c r="K92" s="5">
        <f>IF(B92="","",IF(OR(F92="",G92=""),"НЕ ОТПРАВЛЕНО",IF(J92="","НЕТ ДОКАЗАТЕЛЬСТВА",IF(I92="","ОТПРАВЛЕНО, ЖДЁМ ПОЛУЧЕНИЯ","ПЕРЕДАНО"))))</f>
        <v/>
      </c>
    </row>
    <row r="93">
      <c r="A93" s="5" t="n">
        <v>89</v>
      </c>
      <c r="B93" s="7" t="n"/>
      <c r="C93" s="7" t="n"/>
      <c r="D93" s="7" t="n"/>
      <c r="E93" s="7" t="n"/>
      <c r="F93" s="7" t="n"/>
      <c r="G93" s="6" t="n"/>
      <c r="H93" s="7" t="n"/>
      <c r="I93" s="6" t="n"/>
      <c r="J93" s="7" t="n"/>
      <c r="K93" s="5">
        <f>IF(B93="","",IF(OR(F93="",G93=""),"НЕ ОТПРАВЛЕНО",IF(J93="","НЕТ ДОКАЗАТЕЛЬСТВА",IF(I93="","ОТПРАВЛЕНО, ЖДЁМ ПОЛУЧЕНИЯ","ПЕРЕДАНО"))))</f>
        <v/>
      </c>
    </row>
    <row r="94">
      <c r="A94" s="5" t="n">
        <v>90</v>
      </c>
      <c r="B94" s="7" t="n"/>
      <c r="C94" s="7" t="n"/>
      <c r="D94" s="7" t="n"/>
      <c r="E94" s="7" t="n"/>
      <c r="F94" s="7" t="n"/>
      <c r="G94" s="6" t="n"/>
      <c r="H94" s="7" t="n"/>
      <c r="I94" s="6" t="n"/>
      <c r="J94" s="7" t="n"/>
      <c r="K94" s="5">
        <f>IF(B94="","",IF(OR(F94="",G94=""),"НЕ ОТПРАВЛЕНО",IF(J94="","НЕТ ДОКАЗАТЕЛЬСТВА",IF(I94="","ОТПРАВЛЕНО, ЖДЁМ ПОЛУЧЕНИЯ","ПЕРЕДАНО"))))</f>
        <v/>
      </c>
    </row>
    <row r="95">
      <c r="A95" s="5" t="n">
        <v>91</v>
      </c>
      <c r="B95" s="7" t="n"/>
      <c r="C95" s="7" t="n"/>
      <c r="D95" s="7" t="n"/>
      <c r="E95" s="7" t="n"/>
      <c r="F95" s="7" t="n"/>
      <c r="G95" s="6" t="n"/>
      <c r="H95" s="7" t="n"/>
      <c r="I95" s="6" t="n"/>
      <c r="J95" s="7" t="n"/>
      <c r="K95" s="5">
        <f>IF(B95="","",IF(OR(F95="",G95=""),"НЕ ОТПРАВЛЕНО",IF(J95="","НЕТ ДОКАЗАТЕЛЬСТВА",IF(I95="","ОТПРАВЛЕНО, ЖДЁМ ПОЛУЧЕНИЯ","ПЕРЕДАНО"))))</f>
        <v/>
      </c>
    </row>
    <row r="96">
      <c r="A96" s="5" t="n">
        <v>92</v>
      </c>
      <c r="B96" s="7" t="n"/>
      <c r="C96" s="7" t="n"/>
      <c r="D96" s="7" t="n"/>
      <c r="E96" s="7" t="n"/>
      <c r="F96" s="7" t="n"/>
      <c r="G96" s="6" t="n"/>
      <c r="H96" s="7" t="n"/>
      <c r="I96" s="6" t="n"/>
      <c r="J96" s="7" t="n"/>
      <c r="K96" s="5">
        <f>IF(B96="","",IF(OR(F96="",G96=""),"НЕ ОТПРАВЛЕНО",IF(J96="","НЕТ ДОКАЗАТЕЛЬСТВА",IF(I96="","ОТПРАВЛЕНО, ЖДЁМ ПОЛУЧЕНИЯ","ПЕРЕДАНО"))))</f>
        <v/>
      </c>
    </row>
    <row r="97">
      <c r="A97" s="5" t="n">
        <v>93</v>
      </c>
      <c r="B97" s="7" t="n"/>
      <c r="C97" s="7" t="n"/>
      <c r="D97" s="7" t="n"/>
      <c r="E97" s="7" t="n"/>
      <c r="F97" s="7" t="n"/>
      <c r="G97" s="6" t="n"/>
      <c r="H97" s="7" t="n"/>
      <c r="I97" s="6" t="n"/>
      <c r="J97" s="7" t="n"/>
      <c r="K97" s="5">
        <f>IF(B97="","",IF(OR(F97="",G97=""),"НЕ ОТПРАВЛЕНО",IF(J97="","НЕТ ДОКАЗАТЕЛЬСТВА",IF(I97="","ОТПРАВЛЕНО, ЖДЁМ ПОЛУЧЕНИЯ","ПЕРЕДАНО"))))</f>
        <v/>
      </c>
    </row>
    <row r="98">
      <c r="A98" s="5" t="n">
        <v>94</v>
      </c>
      <c r="B98" s="7" t="n"/>
      <c r="C98" s="7" t="n"/>
      <c r="D98" s="7" t="n"/>
      <c r="E98" s="7" t="n"/>
      <c r="F98" s="7" t="n"/>
      <c r="G98" s="6" t="n"/>
      <c r="H98" s="7" t="n"/>
      <c r="I98" s="6" t="n"/>
      <c r="J98" s="7" t="n"/>
      <c r="K98" s="5">
        <f>IF(B98="","",IF(OR(F98="",G98=""),"НЕ ОТПРАВЛЕНО",IF(J98="","НЕТ ДОКАЗАТЕЛЬСТВА",IF(I98="","ОТПРАВЛЕНО, ЖДЁМ ПОЛУЧЕНИЯ","ПЕРЕДАНО"))))</f>
        <v/>
      </c>
    </row>
    <row r="99">
      <c r="A99" s="5" t="n">
        <v>95</v>
      </c>
      <c r="B99" s="7" t="n"/>
      <c r="C99" s="7" t="n"/>
      <c r="D99" s="7" t="n"/>
      <c r="E99" s="7" t="n"/>
      <c r="F99" s="7" t="n"/>
      <c r="G99" s="6" t="n"/>
      <c r="H99" s="7" t="n"/>
      <c r="I99" s="6" t="n"/>
      <c r="J99" s="7" t="n"/>
      <c r="K99" s="5">
        <f>IF(B99="","",IF(OR(F99="",G99=""),"НЕ ОТПРАВЛЕНО",IF(J99="","НЕТ ДОКАЗАТЕЛЬСТВА",IF(I99="","ОТПРАВЛЕНО, ЖДЁМ ПОЛУЧЕНИЯ","ПЕРЕДАНО"))))</f>
        <v/>
      </c>
    </row>
    <row r="100">
      <c r="A100" s="5" t="n">
        <v>96</v>
      </c>
      <c r="B100" s="7" t="n"/>
      <c r="C100" s="7" t="n"/>
      <c r="D100" s="7" t="n"/>
      <c r="E100" s="7" t="n"/>
      <c r="F100" s="7" t="n"/>
      <c r="G100" s="6" t="n"/>
      <c r="H100" s="7" t="n"/>
      <c r="I100" s="6" t="n"/>
      <c r="J100" s="7" t="n"/>
      <c r="K100" s="5">
        <f>IF(B100="","",IF(OR(F100="",G100=""),"НЕ ОТПРАВЛЕНО",IF(J100="","НЕТ ДОКАЗАТЕЛЬСТВА",IF(I100="","ОТПРАВЛЕНО, ЖДЁМ ПОЛУЧЕНИЯ","ПЕРЕДАНО"))))</f>
        <v/>
      </c>
    </row>
    <row r="101">
      <c r="A101" s="5" t="n">
        <v>97</v>
      </c>
      <c r="B101" s="7" t="n"/>
      <c r="C101" s="7" t="n"/>
      <c r="D101" s="7" t="n"/>
      <c r="E101" s="7" t="n"/>
      <c r="F101" s="7" t="n"/>
      <c r="G101" s="6" t="n"/>
      <c r="H101" s="7" t="n"/>
      <c r="I101" s="6" t="n"/>
      <c r="J101" s="7" t="n"/>
      <c r="K101" s="5">
        <f>IF(B101="","",IF(OR(F101="",G101=""),"НЕ ОТПРАВЛЕНО",IF(J101="","НЕТ ДОКАЗАТЕЛЬСТВА",IF(I101="","ОТПРАВЛЕНО, ЖДЁМ ПОЛУЧЕНИЯ","ПЕРЕДАНО"))))</f>
        <v/>
      </c>
    </row>
    <row r="102">
      <c r="A102" s="5" t="n">
        <v>98</v>
      </c>
      <c r="B102" s="7" t="n"/>
      <c r="C102" s="7" t="n"/>
      <c r="D102" s="7" t="n"/>
      <c r="E102" s="7" t="n"/>
      <c r="F102" s="7" t="n"/>
      <c r="G102" s="6" t="n"/>
      <c r="H102" s="7" t="n"/>
      <c r="I102" s="6" t="n"/>
      <c r="J102" s="7" t="n"/>
      <c r="K102" s="5">
        <f>IF(B102="","",IF(OR(F102="",G102=""),"НЕ ОТПРАВЛЕНО",IF(J102="","НЕТ ДОКАЗАТЕЛЬСТВА",IF(I102="","ОТПРАВЛЕНО, ЖДЁМ ПОЛУЧЕНИЯ","ПЕРЕДАНО"))))</f>
        <v/>
      </c>
    </row>
    <row r="103">
      <c r="A103" s="5" t="n">
        <v>99</v>
      </c>
      <c r="B103" s="7" t="n"/>
      <c r="C103" s="7" t="n"/>
      <c r="D103" s="7" t="n"/>
      <c r="E103" s="7" t="n"/>
      <c r="F103" s="7" t="n"/>
      <c r="G103" s="6" t="n"/>
      <c r="H103" s="7" t="n"/>
      <c r="I103" s="6" t="n"/>
      <c r="J103" s="7" t="n"/>
      <c r="K103" s="5">
        <f>IF(B103="","",IF(OR(F103="",G103=""),"НЕ ОТПРАВЛЕНО",IF(J103="","НЕТ ДОКАЗАТЕЛЬСТВА",IF(I103="","ОТПРАВЛЕНО, ЖДЁМ ПОЛУЧЕНИЯ","ПЕРЕДАНО"))))</f>
        <v/>
      </c>
    </row>
    <row r="104">
      <c r="A104" s="5" t="n">
        <v>100</v>
      </c>
      <c r="B104" s="7" t="n"/>
      <c r="C104" s="7" t="n"/>
      <c r="D104" s="7" t="n"/>
      <c r="E104" s="7" t="n"/>
      <c r="F104" s="7" t="n"/>
      <c r="G104" s="6" t="n"/>
      <c r="H104" s="7" t="n"/>
      <c r="I104" s="6" t="n"/>
      <c r="J104" s="7" t="n"/>
      <c r="K104" s="5">
        <f>IF(B104="","",IF(OR(F104="",G104=""),"НЕ ОТПРАВЛЕНО",IF(J104="","НЕТ ДОКАЗАТЕЛЬСТВА",IF(I104="","ОТПРАВЛЕНО, ЖДЁМ ПОЛУЧЕНИЯ","ПЕРЕДАНО"))))</f>
        <v/>
      </c>
    </row>
    <row r="105">
      <c r="A105" s="5" t="n">
        <v>101</v>
      </c>
      <c r="B105" s="7" t="n"/>
      <c r="C105" s="7" t="n"/>
      <c r="D105" s="7" t="n"/>
      <c r="E105" s="7" t="n"/>
      <c r="F105" s="7" t="n"/>
      <c r="G105" s="6" t="n"/>
      <c r="H105" s="7" t="n"/>
      <c r="I105" s="6" t="n"/>
      <c r="J105" s="7" t="n"/>
      <c r="K105" s="5">
        <f>IF(B105="","",IF(OR(F105="",G105=""),"НЕ ОТПРАВЛЕНО",IF(J105="","НЕТ ДОКАЗАТЕЛЬСТВА",IF(I105="","ОТПРАВЛЕНО, ЖДЁМ ПОЛУЧЕНИЯ","ПЕРЕДАНО"))))</f>
        <v/>
      </c>
    </row>
    <row r="106">
      <c r="A106" s="5" t="n">
        <v>102</v>
      </c>
      <c r="B106" s="7" t="n"/>
      <c r="C106" s="7" t="n"/>
      <c r="D106" s="7" t="n"/>
      <c r="E106" s="7" t="n"/>
      <c r="F106" s="7" t="n"/>
      <c r="G106" s="6" t="n"/>
      <c r="H106" s="7" t="n"/>
      <c r="I106" s="6" t="n"/>
      <c r="J106" s="7" t="n"/>
      <c r="K106" s="5">
        <f>IF(B106="","",IF(OR(F106="",G106=""),"НЕ ОТПРАВЛЕНО",IF(J106="","НЕТ ДОКАЗАТЕЛЬСТВА",IF(I106="","ОТПРАВЛЕНО, ЖДЁМ ПОЛУЧЕНИЯ","ПЕРЕДАНО"))))</f>
        <v/>
      </c>
    </row>
    <row r="107">
      <c r="A107" s="5" t="n">
        <v>103</v>
      </c>
      <c r="B107" s="7" t="n"/>
      <c r="C107" s="7" t="n"/>
      <c r="D107" s="7" t="n"/>
      <c r="E107" s="7" t="n"/>
      <c r="F107" s="7" t="n"/>
      <c r="G107" s="6" t="n"/>
      <c r="H107" s="7" t="n"/>
      <c r="I107" s="6" t="n"/>
      <c r="J107" s="7" t="n"/>
      <c r="K107" s="5">
        <f>IF(B107="","",IF(OR(F107="",G107=""),"НЕ ОТПРАВЛЕНО",IF(J107="","НЕТ ДОКАЗАТЕЛЬСТВА",IF(I107="","ОТПРАВЛЕНО, ЖДЁМ ПОЛУЧЕНИЯ","ПЕРЕДАНО"))))</f>
        <v/>
      </c>
    </row>
    <row r="108">
      <c r="A108" s="5" t="n">
        <v>104</v>
      </c>
      <c r="B108" s="7" t="n"/>
      <c r="C108" s="7" t="n"/>
      <c r="D108" s="7" t="n"/>
      <c r="E108" s="7" t="n"/>
      <c r="F108" s="7" t="n"/>
      <c r="G108" s="6" t="n"/>
      <c r="H108" s="7" t="n"/>
      <c r="I108" s="6" t="n"/>
      <c r="J108" s="7" t="n"/>
      <c r="K108" s="5">
        <f>IF(B108="","",IF(OR(F108="",G108=""),"НЕ ОТПРАВЛЕНО",IF(J108="","НЕТ ДОКАЗАТЕЛЬСТВА",IF(I108="","ОТПРАВЛЕНО, ЖДЁМ ПОЛУЧЕНИЯ","ПЕРЕДАНО"))))</f>
        <v/>
      </c>
    </row>
    <row r="109">
      <c r="A109" s="5" t="n">
        <v>105</v>
      </c>
      <c r="B109" s="7" t="n"/>
      <c r="C109" s="7" t="n"/>
      <c r="D109" s="7" t="n"/>
      <c r="E109" s="7" t="n"/>
      <c r="F109" s="7" t="n"/>
      <c r="G109" s="6" t="n"/>
      <c r="H109" s="7" t="n"/>
      <c r="I109" s="6" t="n"/>
      <c r="J109" s="7" t="n"/>
      <c r="K109" s="5">
        <f>IF(B109="","",IF(OR(F109="",G109=""),"НЕ ОТПРАВЛЕНО",IF(J109="","НЕТ ДОКАЗАТЕЛЬСТВА",IF(I109="","ОТПРАВЛЕНО, ЖДЁМ ПОЛУЧЕНИЯ","ПЕРЕДАНО"))))</f>
        <v/>
      </c>
    </row>
    <row r="110">
      <c r="A110" s="5" t="n">
        <v>106</v>
      </c>
      <c r="B110" s="7" t="n"/>
      <c r="C110" s="7" t="n"/>
      <c r="D110" s="7" t="n"/>
      <c r="E110" s="7" t="n"/>
      <c r="F110" s="7" t="n"/>
      <c r="G110" s="6" t="n"/>
      <c r="H110" s="7" t="n"/>
      <c r="I110" s="6" t="n"/>
      <c r="J110" s="7" t="n"/>
      <c r="K110" s="5">
        <f>IF(B110="","",IF(OR(F110="",G110=""),"НЕ ОТПРАВЛЕНО",IF(J110="","НЕТ ДОКАЗАТЕЛЬСТВА",IF(I110="","ОТПРАВЛЕНО, ЖДЁМ ПОЛУЧЕНИЯ","ПЕРЕДАНО"))))</f>
        <v/>
      </c>
    </row>
    <row r="111">
      <c r="A111" s="5" t="n">
        <v>107</v>
      </c>
      <c r="B111" s="7" t="n"/>
      <c r="C111" s="7" t="n"/>
      <c r="D111" s="7" t="n"/>
      <c r="E111" s="7" t="n"/>
      <c r="F111" s="7" t="n"/>
      <c r="G111" s="6" t="n"/>
      <c r="H111" s="7" t="n"/>
      <c r="I111" s="6" t="n"/>
      <c r="J111" s="7" t="n"/>
      <c r="K111" s="5">
        <f>IF(B111="","",IF(OR(F111="",G111=""),"НЕ ОТПРАВЛЕНО",IF(J111="","НЕТ ДОКАЗАТЕЛЬСТВА",IF(I111="","ОТПРАВЛЕНО, ЖДЁМ ПОЛУЧЕНИЯ","ПЕРЕДАНО"))))</f>
        <v/>
      </c>
    </row>
    <row r="112">
      <c r="A112" s="5" t="n">
        <v>108</v>
      </c>
      <c r="B112" s="7" t="n"/>
      <c r="C112" s="7" t="n"/>
      <c r="D112" s="7" t="n"/>
      <c r="E112" s="7" t="n"/>
      <c r="F112" s="7" t="n"/>
      <c r="G112" s="6" t="n"/>
      <c r="H112" s="7" t="n"/>
      <c r="I112" s="6" t="n"/>
      <c r="J112" s="7" t="n"/>
      <c r="K112" s="5">
        <f>IF(B112="","",IF(OR(F112="",G112=""),"НЕ ОТПРАВЛЕНО",IF(J112="","НЕТ ДОКАЗАТЕЛЬСТВА",IF(I112="","ОТПРАВЛЕНО, ЖДЁМ ПОЛУЧЕНИЯ","ПЕРЕДАНО"))))</f>
        <v/>
      </c>
    </row>
    <row r="113">
      <c r="A113" s="5" t="n">
        <v>109</v>
      </c>
      <c r="B113" s="7" t="n"/>
      <c r="C113" s="7" t="n"/>
      <c r="D113" s="7" t="n"/>
      <c r="E113" s="7" t="n"/>
      <c r="F113" s="7" t="n"/>
      <c r="G113" s="6" t="n"/>
      <c r="H113" s="7" t="n"/>
      <c r="I113" s="6" t="n"/>
      <c r="J113" s="7" t="n"/>
      <c r="K113" s="5">
        <f>IF(B113="","",IF(OR(F113="",G113=""),"НЕ ОТПРАВЛЕНО",IF(J113="","НЕТ ДОКАЗАТЕЛЬСТВА",IF(I113="","ОТПРАВЛЕНО, ЖДЁМ ПОЛУЧЕНИЯ","ПЕРЕДАНО"))))</f>
        <v/>
      </c>
    </row>
    <row r="114">
      <c r="A114" s="5" t="n">
        <v>110</v>
      </c>
      <c r="B114" s="7" t="n"/>
      <c r="C114" s="7" t="n"/>
      <c r="D114" s="7" t="n"/>
      <c r="E114" s="7" t="n"/>
      <c r="F114" s="7" t="n"/>
      <c r="G114" s="6" t="n"/>
      <c r="H114" s="7" t="n"/>
      <c r="I114" s="6" t="n"/>
      <c r="J114" s="7" t="n"/>
      <c r="K114" s="5">
        <f>IF(B114="","",IF(OR(F114="",G114=""),"НЕ ОТПРАВЛЕНО",IF(J114="","НЕТ ДОКАЗАТЕЛЬСТВА",IF(I114="","ОТПРАВЛЕНО, ЖДЁМ ПОЛУЧЕНИЯ","ПЕРЕДАНО"))))</f>
        <v/>
      </c>
    </row>
    <row r="115">
      <c r="A115" s="5" t="n">
        <v>111</v>
      </c>
      <c r="B115" s="7" t="n"/>
      <c r="C115" s="7" t="n"/>
      <c r="D115" s="7" t="n"/>
      <c r="E115" s="7" t="n"/>
      <c r="F115" s="7" t="n"/>
      <c r="G115" s="6" t="n"/>
      <c r="H115" s="7" t="n"/>
      <c r="I115" s="6" t="n"/>
      <c r="J115" s="7" t="n"/>
      <c r="K115" s="5">
        <f>IF(B115="","",IF(OR(F115="",G115=""),"НЕ ОТПРАВЛЕНО",IF(J115="","НЕТ ДОКАЗАТЕЛЬСТВА",IF(I115="","ОТПРАВЛЕНО, ЖДЁМ ПОЛУЧЕНИЯ","ПЕРЕДАНО"))))</f>
        <v/>
      </c>
    </row>
    <row r="116">
      <c r="A116" s="5" t="n">
        <v>112</v>
      </c>
      <c r="B116" s="7" t="n"/>
      <c r="C116" s="7" t="n"/>
      <c r="D116" s="7" t="n"/>
      <c r="E116" s="7" t="n"/>
      <c r="F116" s="7" t="n"/>
      <c r="G116" s="6" t="n"/>
      <c r="H116" s="7" t="n"/>
      <c r="I116" s="6" t="n"/>
      <c r="J116" s="7" t="n"/>
      <c r="K116" s="5">
        <f>IF(B116="","",IF(OR(F116="",G116=""),"НЕ ОТПРАВЛЕНО",IF(J116="","НЕТ ДОКАЗАТЕЛЬСТВА",IF(I116="","ОТПРАВЛЕНО, ЖДЁМ ПОЛУЧЕНИЯ","ПЕРЕДАНО"))))</f>
        <v/>
      </c>
    </row>
    <row r="117">
      <c r="A117" s="5" t="n">
        <v>113</v>
      </c>
      <c r="B117" s="7" t="n"/>
      <c r="C117" s="7" t="n"/>
      <c r="D117" s="7" t="n"/>
      <c r="E117" s="7" t="n"/>
      <c r="F117" s="7" t="n"/>
      <c r="G117" s="6" t="n"/>
      <c r="H117" s="7" t="n"/>
      <c r="I117" s="6" t="n"/>
      <c r="J117" s="7" t="n"/>
      <c r="K117" s="5">
        <f>IF(B117="","",IF(OR(F117="",G117=""),"НЕ ОТПРАВЛЕНО",IF(J117="","НЕТ ДОКАЗАТЕЛЬСТВА",IF(I117="","ОТПРАВЛЕНО, ЖДЁМ ПОЛУЧЕНИЯ","ПЕРЕДАНО"))))</f>
        <v/>
      </c>
    </row>
    <row r="118">
      <c r="A118" s="5" t="n">
        <v>114</v>
      </c>
      <c r="B118" s="7" t="n"/>
      <c r="C118" s="7" t="n"/>
      <c r="D118" s="7" t="n"/>
      <c r="E118" s="7" t="n"/>
      <c r="F118" s="7" t="n"/>
      <c r="G118" s="6" t="n"/>
      <c r="H118" s="7" t="n"/>
      <c r="I118" s="6" t="n"/>
      <c r="J118" s="7" t="n"/>
      <c r="K118" s="5">
        <f>IF(B118="","",IF(OR(F118="",G118=""),"НЕ ОТПРАВЛЕНО",IF(J118="","НЕТ ДОКАЗАТЕЛЬСТВА",IF(I118="","ОТПРАВЛЕНО, ЖДЁМ ПОЛУЧЕНИЯ","ПЕРЕДАНО"))))</f>
        <v/>
      </c>
    </row>
    <row r="119">
      <c r="A119" s="5" t="n">
        <v>115</v>
      </c>
      <c r="B119" s="7" t="n"/>
      <c r="C119" s="7" t="n"/>
      <c r="D119" s="7" t="n"/>
      <c r="E119" s="7" t="n"/>
      <c r="F119" s="7" t="n"/>
      <c r="G119" s="6" t="n"/>
      <c r="H119" s="7" t="n"/>
      <c r="I119" s="6" t="n"/>
      <c r="J119" s="7" t="n"/>
      <c r="K119" s="5">
        <f>IF(B119="","",IF(OR(F119="",G119=""),"НЕ ОТПРАВЛЕНО",IF(J119="","НЕТ ДОКАЗАТЕЛЬСТВА",IF(I119="","ОТПРАВЛЕНО, ЖДЁМ ПОЛУЧЕНИЯ","ПЕРЕДАНО"))))</f>
        <v/>
      </c>
    </row>
    <row r="120">
      <c r="A120" s="5" t="n">
        <v>116</v>
      </c>
      <c r="B120" s="7" t="n"/>
      <c r="C120" s="7" t="n"/>
      <c r="D120" s="7" t="n"/>
      <c r="E120" s="7" t="n"/>
      <c r="F120" s="7" t="n"/>
      <c r="G120" s="6" t="n"/>
      <c r="H120" s="7" t="n"/>
      <c r="I120" s="6" t="n"/>
      <c r="J120" s="7" t="n"/>
      <c r="K120" s="5">
        <f>IF(B120="","",IF(OR(F120="",G120=""),"НЕ ОТПРАВЛЕНО",IF(J120="","НЕТ ДОКАЗАТЕЛЬСТВА",IF(I120="","ОТПРАВЛЕНО, ЖДЁМ ПОЛУЧЕНИЯ","ПЕРЕДАНО"))))</f>
        <v/>
      </c>
    </row>
    <row r="121">
      <c r="A121" s="5" t="n">
        <v>117</v>
      </c>
      <c r="B121" s="7" t="n"/>
      <c r="C121" s="7" t="n"/>
      <c r="D121" s="7" t="n"/>
      <c r="E121" s="7" t="n"/>
      <c r="F121" s="7" t="n"/>
      <c r="G121" s="6" t="n"/>
      <c r="H121" s="7" t="n"/>
      <c r="I121" s="6" t="n"/>
      <c r="J121" s="7" t="n"/>
      <c r="K121" s="5">
        <f>IF(B121="","",IF(OR(F121="",G121=""),"НЕ ОТПРАВЛЕНО",IF(J121="","НЕТ ДОКАЗАТЕЛЬСТВА",IF(I121="","ОТПРАВЛЕНО, ЖДЁМ ПОЛУЧЕНИЯ","ПЕРЕДАНО"))))</f>
        <v/>
      </c>
    </row>
    <row r="122">
      <c r="A122" s="5" t="n">
        <v>118</v>
      </c>
      <c r="B122" s="7" t="n"/>
      <c r="C122" s="7" t="n"/>
      <c r="D122" s="7" t="n"/>
      <c r="E122" s="7" t="n"/>
      <c r="F122" s="7" t="n"/>
      <c r="G122" s="6" t="n"/>
      <c r="H122" s="7" t="n"/>
      <c r="I122" s="6" t="n"/>
      <c r="J122" s="7" t="n"/>
      <c r="K122" s="5">
        <f>IF(B122="","",IF(OR(F122="",G122=""),"НЕ ОТПРАВЛЕНО",IF(J122="","НЕТ ДОКАЗАТЕЛЬСТВА",IF(I122="","ОТПРАВЛЕНО, ЖДЁМ ПОЛУЧЕНИЯ","ПЕРЕДАНО"))))</f>
        <v/>
      </c>
    </row>
    <row r="123">
      <c r="A123" s="5" t="n">
        <v>119</v>
      </c>
      <c r="B123" s="7" t="n"/>
      <c r="C123" s="7" t="n"/>
      <c r="D123" s="7" t="n"/>
      <c r="E123" s="7" t="n"/>
      <c r="F123" s="7" t="n"/>
      <c r="G123" s="6" t="n"/>
      <c r="H123" s="7" t="n"/>
      <c r="I123" s="6" t="n"/>
      <c r="J123" s="7" t="n"/>
      <c r="K123" s="5">
        <f>IF(B123="","",IF(OR(F123="",G123=""),"НЕ ОТПРАВЛЕНО",IF(J123="","НЕТ ДОКАЗАТЕЛЬСТВА",IF(I123="","ОТПРАВЛЕНО, ЖДЁМ ПОЛУЧЕНИЯ","ПЕРЕДАНО"))))</f>
        <v/>
      </c>
    </row>
    <row r="124">
      <c r="A124" s="5" t="n">
        <v>120</v>
      </c>
      <c r="B124" s="7" t="n"/>
      <c r="C124" s="7" t="n"/>
      <c r="D124" s="7" t="n"/>
      <c r="E124" s="7" t="n"/>
      <c r="F124" s="7" t="n"/>
      <c r="G124" s="6" t="n"/>
      <c r="H124" s="7" t="n"/>
      <c r="I124" s="6" t="n"/>
      <c r="J124" s="7" t="n"/>
      <c r="K124" s="5">
        <f>IF(B124="","",IF(OR(F124="",G124=""),"НЕ ОТПРАВЛЕНО",IF(J124="","НЕТ ДОКАЗАТЕЛЬСТВА",IF(I124="","ОТПРАВЛЕНО, ЖДЁМ ПОЛУЧЕНИЯ","ПЕРЕДАНО"))))</f>
        <v/>
      </c>
    </row>
    <row r="125">
      <c r="A125" s="5" t="n">
        <v>121</v>
      </c>
      <c r="B125" s="7" t="n"/>
      <c r="C125" s="7" t="n"/>
      <c r="D125" s="7" t="n"/>
      <c r="E125" s="7" t="n"/>
      <c r="F125" s="7" t="n"/>
      <c r="G125" s="6" t="n"/>
      <c r="H125" s="7" t="n"/>
      <c r="I125" s="6" t="n"/>
      <c r="J125" s="7" t="n"/>
      <c r="K125" s="5">
        <f>IF(B125="","",IF(OR(F125="",G125=""),"НЕ ОТПРАВЛЕНО",IF(J125="","НЕТ ДОКАЗАТЕЛЬСТВА",IF(I125="","ОТПРАВЛЕНО, ЖДЁМ ПОЛУЧЕНИЯ","ПЕРЕДАНО"))))</f>
        <v/>
      </c>
    </row>
    <row r="126">
      <c r="A126" s="5" t="n">
        <v>122</v>
      </c>
      <c r="B126" s="7" t="n"/>
      <c r="C126" s="7" t="n"/>
      <c r="D126" s="7" t="n"/>
      <c r="E126" s="7" t="n"/>
      <c r="F126" s="7" t="n"/>
      <c r="G126" s="6" t="n"/>
      <c r="H126" s="7" t="n"/>
      <c r="I126" s="6" t="n"/>
      <c r="J126" s="7" t="n"/>
      <c r="K126" s="5">
        <f>IF(B126="","",IF(OR(F126="",G126=""),"НЕ ОТПРАВЛЕНО",IF(J126="","НЕТ ДОКАЗАТЕЛЬСТВА",IF(I126="","ОТПРАВЛЕНО, ЖДЁМ ПОЛУЧЕНИЯ","ПЕРЕДАНО"))))</f>
        <v/>
      </c>
    </row>
    <row r="127">
      <c r="A127" s="5" t="n">
        <v>123</v>
      </c>
      <c r="B127" s="7" t="n"/>
      <c r="C127" s="7" t="n"/>
      <c r="D127" s="7" t="n"/>
      <c r="E127" s="7" t="n"/>
      <c r="F127" s="7" t="n"/>
      <c r="G127" s="6" t="n"/>
      <c r="H127" s="7" t="n"/>
      <c r="I127" s="6" t="n"/>
      <c r="J127" s="7" t="n"/>
      <c r="K127" s="5">
        <f>IF(B127="","",IF(OR(F127="",G127=""),"НЕ ОТПРАВЛЕНО",IF(J127="","НЕТ ДОКАЗАТЕЛЬСТВА",IF(I127="","ОТПРАВЛЕНО, ЖДЁМ ПОЛУЧЕНИЯ","ПЕРЕДАНО"))))</f>
        <v/>
      </c>
    </row>
    <row r="128">
      <c r="A128" s="5" t="n">
        <v>124</v>
      </c>
      <c r="B128" s="7" t="n"/>
      <c r="C128" s="7" t="n"/>
      <c r="D128" s="7" t="n"/>
      <c r="E128" s="7" t="n"/>
      <c r="F128" s="7" t="n"/>
      <c r="G128" s="6" t="n"/>
      <c r="H128" s="7" t="n"/>
      <c r="I128" s="6" t="n"/>
      <c r="J128" s="7" t="n"/>
      <c r="K128" s="5">
        <f>IF(B128="","",IF(OR(F128="",G128=""),"НЕ ОТПРАВЛЕНО",IF(J128="","НЕТ ДОКАЗАТЕЛЬСТВА",IF(I128="","ОТПРАВЛЕНО, ЖДЁМ ПОЛУЧЕНИЯ","ПЕРЕДАНО"))))</f>
        <v/>
      </c>
    </row>
    <row r="129">
      <c r="A129" s="5" t="n">
        <v>125</v>
      </c>
      <c r="B129" s="7" t="n"/>
      <c r="C129" s="7" t="n"/>
      <c r="D129" s="7" t="n"/>
      <c r="E129" s="7" t="n"/>
      <c r="F129" s="7" t="n"/>
      <c r="G129" s="6" t="n"/>
      <c r="H129" s="7" t="n"/>
      <c r="I129" s="6" t="n"/>
      <c r="J129" s="7" t="n"/>
      <c r="K129" s="5">
        <f>IF(B129="","",IF(OR(F129="",G129=""),"НЕ ОТПРАВЛЕНО",IF(J129="","НЕТ ДОКАЗАТЕЛЬСТВА",IF(I129="","ОТПРАВЛЕНО, ЖДЁМ ПОЛУЧЕНИЯ","ПЕРЕДАНО"))))</f>
        <v/>
      </c>
    </row>
    <row r="130">
      <c r="A130" s="5" t="n">
        <v>126</v>
      </c>
      <c r="B130" s="7" t="n"/>
      <c r="C130" s="7" t="n"/>
      <c r="D130" s="7" t="n"/>
      <c r="E130" s="7" t="n"/>
      <c r="F130" s="7" t="n"/>
      <c r="G130" s="6" t="n"/>
      <c r="H130" s="7" t="n"/>
      <c r="I130" s="6" t="n"/>
      <c r="J130" s="7" t="n"/>
      <c r="K130" s="5">
        <f>IF(B130="","",IF(OR(F130="",G130=""),"НЕ ОТПРАВЛЕНО",IF(J130="","НЕТ ДОКАЗАТЕЛЬСТВА",IF(I130="","ОТПРАВЛЕНО, ЖДЁМ ПОЛУЧЕНИЯ","ПЕРЕДАНО"))))</f>
        <v/>
      </c>
    </row>
    <row r="131">
      <c r="A131" s="5" t="n">
        <v>127</v>
      </c>
      <c r="B131" s="7" t="n"/>
      <c r="C131" s="7" t="n"/>
      <c r="D131" s="7" t="n"/>
      <c r="E131" s="7" t="n"/>
      <c r="F131" s="7" t="n"/>
      <c r="G131" s="6" t="n"/>
      <c r="H131" s="7" t="n"/>
      <c r="I131" s="6" t="n"/>
      <c r="J131" s="7" t="n"/>
      <c r="K131" s="5">
        <f>IF(B131="","",IF(OR(F131="",G131=""),"НЕ ОТПРАВЛЕНО",IF(J131="","НЕТ ДОКАЗАТЕЛЬСТВА",IF(I131="","ОТПРАВЛЕНО, ЖДЁМ ПОЛУЧЕНИЯ","ПЕРЕДАНО"))))</f>
        <v/>
      </c>
    </row>
    <row r="132">
      <c r="A132" s="5" t="n">
        <v>128</v>
      </c>
      <c r="B132" s="7" t="n"/>
      <c r="C132" s="7" t="n"/>
      <c r="D132" s="7" t="n"/>
      <c r="E132" s="7" t="n"/>
      <c r="F132" s="7" t="n"/>
      <c r="G132" s="6" t="n"/>
      <c r="H132" s="7" t="n"/>
      <c r="I132" s="6" t="n"/>
      <c r="J132" s="7" t="n"/>
      <c r="K132" s="5">
        <f>IF(B132="","",IF(OR(F132="",G132=""),"НЕ ОТПРАВЛЕНО",IF(J132="","НЕТ ДОКАЗАТЕЛЬСТВА",IF(I132="","ОТПРАВЛЕНО, ЖДЁМ ПОЛУЧЕНИЯ","ПЕРЕДАНО"))))</f>
        <v/>
      </c>
    </row>
    <row r="133">
      <c r="A133" s="5" t="n">
        <v>129</v>
      </c>
      <c r="B133" s="7" t="n"/>
      <c r="C133" s="7" t="n"/>
      <c r="D133" s="7" t="n"/>
      <c r="E133" s="7" t="n"/>
      <c r="F133" s="7" t="n"/>
      <c r="G133" s="6" t="n"/>
      <c r="H133" s="7" t="n"/>
      <c r="I133" s="6" t="n"/>
      <c r="J133" s="7" t="n"/>
      <c r="K133" s="5">
        <f>IF(B133="","",IF(OR(F133="",G133=""),"НЕ ОТПРАВЛЕНО",IF(J133="","НЕТ ДОКАЗАТЕЛЬСТВА",IF(I133="","ОТПРАВЛЕНО, ЖДЁМ ПОЛУЧЕНИЯ","ПЕРЕДАНО"))))</f>
        <v/>
      </c>
    </row>
    <row r="134">
      <c r="A134" s="5" t="n">
        <v>130</v>
      </c>
      <c r="B134" s="7" t="n"/>
      <c r="C134" s="7" t="n"/>
      <c r="D134" s="7" t="n"/>
      <c r="E134" s="7" t="n"/>
      <c r="F134" s="7" t="n"/>
      <c r="G134" s="6" t="n"/>
      <c r="H134" s="7" t="n"/>
      <c r="I134" s="6" t="n"/>
      <c r="J134" s="7" t="n"/>
      <c r="K134" s="5">
        <f>IF(B134="","",IF(OR(F134="",G134=""),"НЕ ОТПРАВЛЕНО",IF(J134="","НЕТ ДОКАЗАТЕЛЬСТВА",IF(I134="","ОТПРАВЛЕНО, ЖДЁМ ПОЛУЧЕНИЯ","ПЕРЕДАНО"))))</f>
        <v/>
      </c>
    </row>
    <row r="135">
      <c r="A135" s="5" t="n">
        <v>131</v>
      </c>
      <c r="B135" s="7" t="n"/>
      <c r="C135" s="7" t="n"/>
      <c r="D135" s="7" t="n"/>
      <c r="E135" s="7" t="n"/>
      <c r="F135" s="7" t="n"/>
      <c r="G135" s="6" t="n"/>
      <c r="H135" s="7" t="n"/>
      <c r="I135" s="6" t="n"/>
      <c r="J135" s="7" t="n"/>
      <c r="K135" s="5">
        <f>IF(B135="","",IF(OR(F135="",G135=""),"НЕ ОТПРАВЛЕНО",IF(J135="","НЕТ ДОКАЗАТЕЛЬСТВА",IF(I135="","ОТПРАВЛЕНО, ЖДЁМ ПОЛУЧЕНИЯ","ПЕРЕДАНО"))))</f>
        <v/>
      </c>
    </row>
    <row r="136">
      <c r="A136" s="5" t="n">
        <v>132</v>
      </c>
      <c r="B136" s="7" t="n"/>
      <c r="C136" s="7" t="n"/>
      <c r="D136" s="7" t="n"/>
      <c r="E136" s="7" t="n"/>
      <c r="F136" s="7" t="n"/>
      <c r="G136" s="6" t="n"/>
      <c r="H136" s="7" t="n"/>
      <c r="I136" s="6" t="n"/>
      <c r="J136" s="7" t="n"/>
      <c r="K136" s="5">
        <f>IF(B136="","",IF(OR(F136="",G136=""),"НЕ ОТПРАВЛЕНО",IF(J136="","НЕТ ДОКАЗАТЕЛЬСТВА",IF(I136="","ОТПРАВЛЕНО, ЖДЁМ ПОЛУЧЕНИЯ","ПЕРЕДАНО"))))</f>
        <v/>
      </c>
    </row>
    <row r="137">
      <c r="A137" s="5" t="n">
        <v>133</v>
      </c>
      <c r="B137" s="7" t="n"/>
      <c r="C137" s="7" t="n"/>
      <c r="D137" s="7" t="n"/>
      <c r="E137" s="7" t="n"/>
      <c r="F137" s="7" t="n"/>
      <c r="G137" s="6" t="n"/>
      <c r="H137" s="7" t="n"/>
      <c r="I137" s="6" t="n"/>
      <c r="J137" s="7" t="n"/>
      <c r="K137" s="5">
        <f>IF(B137="","",IF(OR(F137="",G137=""),"НЕ ОТПРАВЛЕНО",IF(J137="","НЕТ ДОКАЗАТЕЛЬСТВА",IF(I137="","ОТПРАВЛЕНО, ЖДЁМ ПОЛУЧЕНИЯ","ПЕРЕДАНО"))))</f>
        <v/>
      </c>
    </row>
    <row r="138">
      <c r="A138" s="5" t="n">
        <v>134</v>
      </c>
      <c r="B138" s="7" t="n"/>
      <c r="C138" s="7" t="n"/>
      <c r="D138" s="7" t="n"/>
      <c r="E138" s="7" t="n"/>
      <c r="F138" s="7" t="n"/>
      <c r="G138" s="6" t="n"/>
      <c r="H138" s="7" t="n"/>
      <c r="I138" s="6" t="n"/>
      <c r="J138" s="7" t="n"/>
      <c r="K138" s="5">
        <f>IF(B138="","",IF(OR(F138="",G138=""),"НЕ ОТПРАВЛЕНО",IF(J138="","НЕТ ДОКАЗАТЕЛЬСТВА",IF(I138="","ОТПРАВЛЕНО, ЖДЁМ ПОЛУЧЕНИЯ","ПЕРЕДАНО"))))</f>
        <v/>
      </c>
    </row>
    <row r="139">
      <c r="A139" s="5" t="n">
        <v>135</v>
      </c>
      <c r="B139" s="7" t="n"/>
      <c r="C139" s="7" t="n"/>
      <c r="D139" s="7" t="n"/>
      <c r="E139" s="7" t="n"/>
      <c r="F139" s="7" t="n"/>
      <c r="G139" s="6" t="n"/>
      <c r="H139" s="7" t="n"/>
      <c r="I139" s="6" t="n"/>
      <c r="J139" s="7" t="n"/>
      <c r="K139" s="5">
        <f>IF(B139="","",IF(OR(F139="",G139=""),"НЕ ОТПРАВЛЕНО",IF(J139="","НЕТ ДОКАЗАТЕЛЬСТВА",IF(I139="","ОТПРАВЛЕНО, ЖДЁМ ПОЛУЧЕНИЯ","ПЕРЕДАНО"))))</f>
        <v/>
      </c>
    </row>
    <row r="140">
      <c r="A140" s="5" t="n">
        <v>136</v>
      </c>
      <c r="B140" s="7" t="n"/>
      <c r="C140" s="7" t="n"/>
      <c r="D140" s="7" t="n"/>
      <c r="E140" s="7" t="n"/>
      <c r="F140" s="7" t="n"/>
      <c r="G140" s="6" t="n"/>
      <c r="H140" s="7" t="n"/>
      <c r="I140" s="6" t="n"/>
      <c r="J140" s="7" t="n"/>
      <c r="K140" s="5">
        <f>IF(B140="","",IF(OR(F140="",G140=""),"НЕ ОТПРАВЛЕНО",IF(J140="","НЕТ ДОКАЗАТЕЛЬСТВА",IF(I140="","ОТПРАВЛЕНО, ЖДЁМ ПОЛУЧЕНИЯ","ПЕРЕДАНО"))))</f>
        <v/>
      </c>
    </row>
    <row r="141">
      <c r="A141" s="5" t="n">
        <v>137</v>
      </c>
      <c r="B141" s="7" t="n"/>
      <c r="C141" s="7" t="n"/>
      <c r="D141" s="7" t="n"/>
      <c r="E141" s="7" t="n"/>
      <c r="F141" s="7" t="n"/>
      <c r="G141" s="6" t="n"/>
      <c r="H141" s="7" t="n"/>
      <c r="I141" s="6" t="n"/>
      <c r="J141" s="7" t="n"/>
      <c r="K141" s="5">
        <f>IF(B141="","",IF(OR(F141="",G141=""),"НЕ ОТПРАВЛЕНО",IF(J141="","НЕТ ДОКАЗАТЕЛЬСТВА",IF(I141="","ОТПРАВЛЕНО, ЖДЁМ ПОЛУЧЕНИЯ","ПЕРЕДАНО"))))</f>
        <v/>
      </c>
    </row>
    <row r="142">
      <c r="A142" s="5" t="n">
        <v>138</v>
      </c>
      <c r="B142" s="7" t="n"/>
      <c r="C142" s="7" t="n"/>
      <c r="D142" s="7" t="n"/>
      <c r="E142" s="7" t="n"/>
      <c r="F142" s="7" t="n"/>
      <c r="G142" s="6" t="n"/>
      <c r="H142" s="7" t="n"/>
      <c r="I142" s="6" t="n"/>
      <c r="J142" s="7" t="n"/>
      <c r="K142" s="5">
        <f>IF(B142="","",IF(OR(F142="",G142=""),"НЕ ОТПРАВЛЕНО",IF(J142="","НЕТ ДОКАЗАТЕЛЬСТВА",IF(I142="","ОТПРАВЛЕНО, ЖДЁМ ПОЛУЧЕНИЯ","ПЕРЕДАНО"))))</f>
        <v/>
      </c>
    </row>
    <row r="143">
      <c r="A143" s="5" t="n">
        <v>139</v>
      </c>
      <c r="B143" s="7" t="n"/>
      <c r="C143" s="7" t="n"/>
      <c r="D143" s="7" t="n"/>
      <c r="E143" s="7" t="n"/>
      <c r="F143" s="7" t="n"/>
      <c r="G143" s="6" t="n"/>
      <c r="H143" s="7" t="n"/>
      <c r="I143" s="6" t="n"/>
      <c r="J143" s="7" t="n"/>
      <c r="K143" s="5">
        <f>IF(B143="","",IF(OR(F143="",G143=""),"НЕ ОТПРАВЛЕНО",IF(J143="","НЕТ ДОКАЗАТЕЛЬСТВА",IF(I143="","ОТПРАВЛЕНО, ЖДЁМ ПОЛУЧЕНИЯ","ПЕРЕДАНО"))))</f>
        <v/>
      </c>
    </row>
    <row r="144">
      <c r="A144" s="5" t="n">
        <v>140</v>
      </c>
      <c r="B144" s="7" t="n"/>
      <c r="C144" s="7" t="n"/>
      <c r="D144" s="7" t="n"/>
      <c r="E144" s="7" t="n"/>
      <c r="F144" s="7" t="n"/>
      <c r="G144" s="6" t="n"/>
      <c r="H144" s="7" t="n"/>
      <c r="I144" s="6" t="n"/>
      <c r="J144" s="7" t="n"/>
      <c r="K144" s="5">
        <f>IF(B144="","",IF(OR(F144="",G144=""),"НЕ ОТПРАВЛЕНО",IF(J144="","НЕТ ДОКАЗАТЕЛЬСТВА",IF(I144="","ОТПРАВЛЕНО, ЖДЁМ ПОЛУЧЕНИЯ","ПЕРЕДАНО"))))</f>
        <v/>
      </c>
    </row>
    <row r="145">
      <c r="A145" s="5" t="n">
        <v>141</v>
      </c>
      <c r="B145" s="7" t="n"/>
      <c r="C145" s="7" t="n"/>
      <c r="D145" s="7" t="n"/>
      <c r="E145" s="7" t="n"/>
      <c r="F145" s="7" t="n"/>
      <c r="G145" s="6" t="n"/>
      <c r="H145" s="7" t="n"/>
      <c r="I145" s="6" t="n"/>
      <c r="J145" s="7" t="n"/>
      <c r="K145" s="5">
        <f>IF(B145="","",IF(OR(F145="",G145=""),"НЕ ОТПРАВЛЕНО",IF(J145="","НЕТ ДОКАЗАТЕЛЬСТВА",IF(I145="","ОТПРАВЛЕНО, ЖДЁМ ПОЛУЧЕНИЯ","ПЕРЕДАНО"))))</f>
        <v/>
      </c>
    </row>
    <row r="146">
      <c r="A146" s="5" t="n">
        <v>142</v>
      </c>
      <c r="B146" s="7" t="n"/>
      <c r="C146" s="7" t="n"/>
      <c r="D146" s="7" t="n"/>
      <c r="E146" s="7" t="n"/>
      <c r="F146" s="7" t="n"/>
      <c r="G146" s="6" t="n"/>
      <c r="H146" s="7" t="n"/>
      <c r="I146" s="6" t="n"/>
      <c r="J146" s="7" t="n"/>
      <c r="K146" s="5">
        <f>IF(B146="","",IF(OR(F146="",G146=""),"НЕ ОТПРАВЛЕНО",IF(J146="","НЕТ ДОКАЗАТЕЛЬСТВА",IF(I146="","ОТПРАВЛЕНО, ЖДЁМ ПОЛУЧЕНИЯ","ПЕРЕДАНО"))))</f>
        <v/>
      </c>
    </row>
    <row r="147">
      <c r="A147" s="5" t="n">
        <v>143</v>
      </c>
      <c r="B147" s="7" t="n"/>
      <c r="C147" s="7" t="n"/>
      <c r="D147" s="7" t="n"/>
      <c r="E147" s="7" t="n"/>
      <c r="F147" s="7" t="n"/>
      <c r="G147" s="6" t="n"/>
      <c r="H147" s="7" t="n"/>
      <c r="I147" s="6" t="n"/>
      <c r="J147" s="7" t="n"/>
      <c r="K147" s="5">
        <f>IF(B147="","",IF(OR(F147="",G147=""),"НЕ ОТПРАВЛЕНО",IF(J147="","НЕТ ДОКАЗАТЕЛЬСТВА",IF(I147="","ОТПРАВЛЕНО, ЖДЁМ ПОЛУЧЕНИЯ","ПЕРЕДАНО"))))</f>
        <v/>
      </c>
    </row>
    <row r="148">
      <c r="A148" s="5" t="n">
        <v>144</v>
      </c>
      <c r="B148" s="7" t="n"/>
      <c r="C148" s="7" t="n"/>
      <c r="D148" s="7" t="n"/>
      <c r="E148" s="7" t="n"/>
      <c r="F148" s="7" t="n"/>
      <c r="G148" s="6" t="n"/>
      <c r="H148" s="7" t="n"/>
      <c r="I148" s="6" t="n"/>
      <c r="J148" s="7" t="n"/>
      <c r="K148" s="5">
        <f>IF(B148="","",IF(OR(F148="",G148=""),"НЕ ОТПРАВЛЕНО",IF(J148="","НЕТ ДОКАЗАТЕЛЬСТВА",IF(I148="","ОТПРАВЛЕНО, ЖДЁМ ПОЛУЧЕНИЯ","ПЕРЕДАНО"))))</f>
        <v/>
      </c>
    </row>
    <row r="149">
      <c r="A149" s="5" t="n">
        <v>145</v>
      </c>
      <c r="B149" s="7" t="n"/>
      <c r="C149" s="7" t="n"/>
      <c r="D149" s="7" t="n"/>
      <c r="E149" s="7" t="n"/>
      <c r="F149" s="7" t="n"/>
      <c r="G149" s="6" t="n"/>
      <c r="H149" s="7" t="n"/>
      <c r="I149" s="6" t="n"/>
      <c r="J149" s="7" t="n"/>
      <c r="K149" s="5">
        <f>IF(B149="","",IF(OR(F149="",G149=""),"НЕ ОТПРАВЛЕНО",IF(J149="","НЕТ ДОКАЗАТЕЛЬСТВА",IF(I149="","ОТПРАВЛЕНО, ЖДЁМ ПОЛУЧЕНИЯ","ПЕРЕДАНО"))))</f>
        <v/>
      </c>
    </row>
    <row r="150">
      <c r="A150" s="5" t="n">
        <v>146</v>
      </c>
      <c r="B150" s="7" t="n"/>
      <c r="C150" s="7" t="n"/>
      <c r="D150" s="7" t="n"/>
      <c r="E150" s="7" t="n"/>
      <c r="F150" s="7" t="n"/>
      <c r="G150" s="6" t="n"/>
      <c r="H150" s="7" t="n"/>
      <c r="I150" s="6" t="n"/>
      <c r="J150" s="7" t="n"/>
      <c r="K150" s="5">
        <f>IF(B150="","",IF(OR(F150="",G150=""),"НЕ ОТПРАВЛЕНО",IF(J150="","НЕТ ДОКАЗАТЕЛЬСТВА",IF(I150="","ОТПРАВЛЕНО, ЖДЁМ ПОЛУЧЕНИЯ","ПЕРЕДАНО"))))</f>
        <v/>
      </c>
    </row>
    <row r="151">
      <c r="A151" s="5" t="n">
        <v>147</v>
      </c>
      <c r="B151" s="7" t="n"/>
      <c r="C151" s="7" t="n"/>
      <c r="D151" s="7" t="n"/>
      <c r="E151" s="7" t="n"/>
      <c r="F151" s="7" t="n"/>
      <c r="G151" s="6" t="n"/>
      <c r="H151" s="7" t="n"/>
      <c r="I151" s="6" t="n"/>
      <c r="J151" s="7" t="n"/>
      <c r="K151" s="5">
        <f>IF(B151="","",IF(OR(F151="",G151=""),"НЕ ОТПРАВЛЕНО",IF(J151="","НЕТ ДОКАЗАТЕЛЬСТВА",IF(I151="","ОТПРАВЛЕНО, ЖДЁМ ПОЛУЧЕНИЯ","ПЕРЕДАНО"))))</f>
        <v/>
      </c>
    </row>
    <row r="152">
      <c r="A152" s="5" t="n">
        <v>148</v>
      </c>
      <c r="B152" s="7" t="n"/>
      <c r="C152" s="7" t="n"/>
      <c r="D152" s="7" t="n"/>
      <c r="E152" s="7" t="n"/>
      <c r="F152" s="7" t="n"/>
      <c r="G152" s="6" t="n"/>
      <c r="H152" s="7" t="n"/>
      <c r="I152" s="6" t="n"/>
      <c r="J152" s="7" t="n"/>
      <c r="K152" s="5">
        <f>IF(B152="","",IF(OR(F152="",G152=""),"НЕ ОТПРАВЛЕНО",IF(J152="","НЕТ ДОКАЗАТЕЛЬСТВА",IF(I152="","ОТПРАВЛЕНО, ЖДЁМ ПОЛУЧЕНИЯ","ПЕРЕДАНО"))))</f>
        <v/>
      </c>
    </row>
    <row r="153">
      <c r="A153" s="5" t="n">
        <v>149</v>
      </c>
      <c r="B153" s="7" t="n"/>
      <c r="C153" s="7" t="n"/>
      <c r="D153" s="7" t="n"/>
      <c r="E153" s="7" t="n"/>
      <c r="F153" s="7" t="n"/>
      <c r="G153" s="6" t="n"/>
      <c r="H153" s="7" t="n"/>
      <c r="I153" s="6" t="n"/>
      <c r="J153" s="7" t="n"/>
      <c r="K153" s="5">
        <f>IF(B153="","",IF(OR(F153="",G153=""),"НЕ ОТПРАВЛЕНО",IF(J153="","НЕТ ДОКАЗАТЕЛЬСТВА",IF(I153="","ОТПРАВЛЕНО, ЖДЁМ ПОЛУЧЕНИЯ","ПЕРЕДАНО"))))</f>
        <v/>
      </c>
    </row>
    <row r="154">
      <c r="A154" s="5" t="n">
        <v>150</v>
      </c>
      <c r="B154" s="7" t="n"/>
      <c r="C154" s="7" t="n"/>
      <c r="D154" s="7" t="n"/>
      <c r="E154" s="7" t="n"/>
      <c r="F154" s="7" t="n"/>
      <c r="G154" s="6" t="n"/>
      <c r="H154" s="7" t="n"/>
      <c r="I154" s="6" t="n"/>
      <c r="J154" s="7" t="n"/>
      <c r="K154" s="5">
        <f>IF(B154="","",IF(OR(F154="",G154=""),"НЕ ОТПРАВЛЕНО",IF(J154="","НЕТ ДОКАЗАТЕЛЬСТВА",IF(I154="","ОТПРАВЛЕНО, ЖДЁМ ПОЛУЧЕНИЯ","ПЕРЕДАНО"))))</f>
        <v/>
      </c>
    </row>
    <row r="155">
      <c r="A155" s="5" t="n">
        <v>151</v>
      </c>
      <c r="B155" s="7" t="n"/>
      <c r="C155" s="7" t="n"/>
      <c r="D155" s="7" t="n"/>
      <c r="E155" s="7" t="n"/>
      <c r="F155" s="7" t="n"/>
      <c r="G155" s="6" t="n"/>
      <c r="H155" s="7" t="n"/>
      <c r="I155" s="6" t="n"/>
      <c r="J155" s="7" t="n"/>
      <c r="K155" s="5">
        <f>IF(B155="","",IF(OR(F155="",G155=""),"НЕ ОТПРАВЛЕНО",IF(J155="","НЕТ ДОКАЗАТЕЛЬСТВА",IF(I155="","ОТПРАВЛЕНО, ЖДЁМ ПОЛУЧЕНИЯ","ПЕРЕДАНО"))))</f>
        <v/>
      </c>
    </row>
    <row r="156">
      <c r="A156" s="5" t="n">
        <v>152</v>
      </c>
      <c r="B156" s="7" t="n"/>
      <c r="C156" s="7" t="n"/>
      <c r="D156" s="7" t="n"/>
      <c r="E156" s="7" t="n"/>
      <c r="F156" s="7" t="n"/>
      <c r="G156" s="6" t="n"/>
      <c r="H156" s="7" t="n"/>
      <c r="I156" s="6" t="n"/>
      <c r="J156" s="7" t="n"/>
      <c r="K156" s="5">
        <f>IF(B156="","",IF(OR(F156="",G156=""),"НЕ ОТПРАВЛЕНО",IF(J156="","НЕТ ДОКАЗАТЕЛЬСТВА",IF(I156="","ОТПРАВЛЕНО, ЖДЁМ ПОЛУЧЕНИЯ","ПЕРЕДАНО"))))</f>
        <v/>
      </c>
    </row>
    <row r="157">
      <c r="A157" s="5" t="n">
        <v>153</v>
      </c>
      <c r="B157" s="7" t="n"/>
      <c r="C157" s="7" t="n"/>
      <c r="D157" s="7" t="n"/>
      <c r="E157" s="7" t="n"/>
      <c r="F157" s="7" t="n"/>
      <c r="G157" s="6" t="n"/>
      <c r="H157" s="7" t="n"/>
      <c r="I157" s="6" t="n"/>
      <c r="J157" s="7" t="n"/>
      <c r="K157" s="5">
        <f>IF(B157="","",IF(OR(F157="",G157=""),"НЕ ОТПРАВЛЕНО",IF(J157="","НЕТ ДОКАЗАТЕЛЬСТВА",IF(I157="","ОТПРАВЛЕНО, ЖДЁМ ПОЛУЧЕНИЯ","ПЕРЕДАНО"))))</f>
        <v/>
      </c>
    </row>
    <row r="158">
      <c r="A158" s="5" t="n">
        <v>154</v>
      </c>
      <c r="B158" s="7" t="n"/>
      <c r="C158" s="7" t="n"/>
      <c r="D158" s="7" t="n"/>
      <c r="E158" s="7" t="n"/>
      <c r="F158" s="7" t="n"/>
      <c r="G158" s="6" t="n"/>
      <c r="H158" s="7" t="n"/>
      <c r="I158" s="6" t="n"/>
      <c r="J158" s="7" t="n"/>
      <c r="K158" s="5">
        <f>IF(B158="","",IF(OR(F158="",G158=""),"НЕ ОТПРАВЛЕНО",IF(J158="","НЕТ ДОКАЗАТЕЛЬСТВА",IF(I158="","ОТПРАВЛЕНО, ЖДЁМ ПОЛУЧЕНИЯ","ПЕРЕДАНО"))))</f>
        <v/>
      </c>
    </row>
    <row r="159">
      <c r="A159" s="5" t="n">
        <v>155</v>
      </c>
      <c r="B159" s="7" t="n"/>
      <c r="C159" s="7" t="n"/>
      <c r="D159" s="7" t="n"/>
      <c r="E159" s="7" t="n"/>
      <c r="F159" s="7" t="n"/>
      <c r="G159" s="6" t="n"/>
      <c r="H159" s="7" t="n"/>
      <c r="I159" s="6" t="n"/>
      <c r="J159" s="7" t="n"/>
      <c r="K159" s="5">
        <f>IF(B159="","",IF(OR(F159="",G159=""),"НЕ ОТПРАВЛЕНО",IF(J159="","НЕТ ДОКАЗАТЕЛЬСТВА",IF(I159="","ОТПРАВЛЕНО, ЖДЁМ ПОЛУЧЕНИЯ","ПЕРЕДАНО"))))</f>
        <v/>
      </c>
    </row>
    <row r="160">
      <c r="A160" s="5" t="n">
        <v>156</v>
      </c>
      <c r="B160" s="7" t="n"/>
      <c r="C160" s="7" t="n"/>
      <c r="D160" s="7" t="n"/>
      <c r="E160" s="7" t="n"/>
      <c r="F160" s="7" t="n"/>
      <c r="G160" s="6" t="n"/>
      <c r="H160" s="7" t="n"/>
      <c r="I160" s="6" t="n"/>
      <c r="J160" s="7" t="n"/>
      <c r="K160" s="5">
        <f>IF(B160="","",IF(OR(F160="",G160=""),"НЕ ОТПРАВЛЕНО",IF(J160="","НЕТ ДОКАЗАТЕЛЬСТВА",IF(I160="","ОТПРАВЛЕНО, ЖДЁМ ПОЛУЧЕНИЯ","ПЕРЕДАНО"))))</f>
        <v/>
      </c>
    </row>
    <row r="161">
      <c r="A161" s="5" t="n">
        <v>157</v>
      </c>
      <c r="B161" s="7" t="n"/>
      <c r="C161" s="7" t="n"/>
      <c r="D161" s="7" t="n"/>
      <c r="E161" s="7" t="n"/>
      <c r="F161" s="7" t="n"/>
      <c r="G161" s="6" t="n"/>
      <c r="H161" s="7" t="n"/>
      <c r="I161" s="6" t="n"/>
      <c r="J161" s="7" t="n"/>
      <c r="K161" s="5">
        <f>IF(B161="","",IF(OR(F161="",G161=""),"НЕ ОТПРАВЛЕНО",IF(J161="","НЕТ ДОКАЗАТЕЛЬСТВА",IF(I161="","ОТПРАВЛЕНО, ЖДЁМ ПОЛУЧЕНИЯ","ПЕРЕДАНО"))))</f>
        <v/>
      </c>
    </row>
    <row r="162">
      <c r="A162" s="5" t="n">
        <v>158</v>
      </c>
      <c r="B162" s="7" t="n"/>
      <c r="C162" s="7" t="n"/>
      <c r="D162" s="7" t="n"/>
      <c r="E162" s="7" t="n"/>
      <c r="F162" s="7" t="n"/>
      <c r="G162" s="6" t="n"/>
      <c r="H162" s="7" t="n"/>
      <c r="I162" s="6" t="n"/>
      <c r="J162" s="7" t="n"/>
      <c r="K162" s="5">
        <f>IF(B162="","",IF(OR(F162="",G162=""),"НЕ ОТПРАВЛЕНО",IF(J162="","НЕТ ДОКАЗАТЕЛЬСТВА",IF(I162="","ОТПРАВЛЕНО, ЖДЁМ ПОЛУЧЕНИЯ","ПЕРЕДАНО"))))</f>
        <v/>
      </c>
    </row>
    <row r="163">
      <c r="A163" s="5" t="n">
        <v>159</v>
      </c>
      <c r="B163" s="7" t="n"/>
      <c r="C163" s="7" t="n"/>
      <c r="D163" s="7" t="n"/>
      <c r="E163" s="7" t="n"/>
      <c r="F163" s="7" t="n"/>
      <c r="G163" s="6" t="n"/>
      <c r="H163" s="7" t="n"/>
      <c r="I163" s="6" t="n"/>
      <c r="J163" s="7" t="n"/>
      <c r="K163" s="5">
        <f>IF(B163="","",IF(OR(F163="",G163=""),"НЕ ОТПРАВЛЕНО",IF(J163="","НЕТ ДОКАЗАТЕЛЬСТВА",IF(I163="","ОТПРАВЛЕНО, ЖДЁМ ПОЛУЧЕНИЯ","ПЕРЕДАНО"))))</f>
        <v/>
      </c>
    </row>
    <row r="164">
      <c r="A164" s="5" t="n">
        <v>160</v>
      </c>
      <c r="B164" s="7" t="n"/>
      <c r="C164" s="7" t="n"/>
      <c r="D164" s="7" t="n"/>
      <c r="E164" s="7" t="n"/>
      <c r="F164" s="7" t="n"/>
      <c r="G164" s="6" t="n"/>
      <c r="H164" s="7" t="n"/>
      <c r="I164" s="6" t="n"/>
      <c r="J164" s="7" t="n"/>
      <c r="K164" s="5">
        <f>IF(B164="","",IF(OR(F164="",G164=""),"НЕ ОТПРАВЛЕНО",IF(J164="","НЕТ ДОКАЗАТЕЛЬСТВА",IF(I164="","ОТПРАВЛЕНО, ЖДЁМ ПОЛУЧЕНИЯ","ПЕРЕДАНО"))))</f>
        <v/>
      </c>
    </row>
    <row r="165">
      <c r="A165" s="5" t="n">
        <v>161</v>
      </c>
      <c r="B165" s="7" t="n"/>
      <c r="C165" s="7" t="n"/>
      <c r="D165" s="7" t="n"/>
      <c r="E165" s="7" t="n"/>
      <c r="F165" s="7" t="n"/>
      <c r="G165" s="6" t="n"/>
      <c r="H165" s="7" t="n"/>
      <c r="I165" s="6" t="n"/>
      <c r="J165" s="7" t="n"/>
      <c r="K165" s="5">
        <f>IF(B165="","",IF(OR(F165="",G165=""),"НЕ ОТПРАВЛЕНО",IF(J165="","НЕТ ДОКАЗАТЕЛЬСТВА",IF(I165="","ОТПРАВЛЕНО, ЖДЁМ ПОЛУЧЕНИЯ","ПЕРЕДАНО"))))</f>
        <v/>
      </c>
    </row>
    <row r="166">
      <c r="A166" s="5" t="n">
        <v>162</v>
      </c>
      <c r="B166" s="7" t="n"/>
      <c r="C166" s="7" t="n"/>
      <c r="D166" s="7" t="n"/>
      <c r="E166" s="7" t="n"/>
      <c r="F166" s="7" t="n"/>
      <c r="G166" s="6" t="n"/>
      <c r="H166" s="7" t="n"/>
      <c r="I166" s="6" t="n"/>
      <c r="J166" s="7" t="n"/>
      <c r="K166" s="5">
        <f>IF(B166="","",IF(OR(F166="",G166=""),"НЕ ОТПРАВЛЕНО",IF(J166="","НЕТ ДОКАЗАТЕЛЬСТВА",IF(I166="","ОТПРАВЛЕНО, ЖДЁМ ПОЛУЧЕНИЯ","ПЕРЕДАНО"))))</f>
        <v/>
      </c>
    </row>
    <row r="167">
      <c r="A167" s="5" t="n">
        <v>163</v>
      </c>
      <c r="B167" s="7" t="n"/>
      <c r="C167" s="7" t="n"/>
      <c r="D167" s="7" t="n"/>
      <c r="E167" s="7" t="n"/>
      <c r="F167" s="7" t="n"/>
      <c r="G167" s="6" t="n"/>
      <c r="H167" s="7" t="n"/>
      <c r="I167" s="6" t="n"/>
      <c r="J167" s="7" t="n"/>
      <c r="K167" s="5">
        <f>IF(B167="","",IF(OR(F167="",G167=""),"НЕ ОТПРАВЛЕНО",IF(J167="","НЕТ ДОКАЗАТЕЛЬСТВА",IF(I167="","ОТПРАВЛЕНО, ЖДЁМ ПОЛУЧЕНИЯ","ПЕРЕДАНО"))))</f>
        <v/>
      </c>
    </row>
    <row r="168">
      <c r="A168" s="5" t="n">
        <v>164</v>
      </c>
      <c r="B168" s="7" t="n"/>
      <c r="C168" s="7" t="n"/>
      <c r="D168" s="7" t="n"/>
      <c r="E168" s="7" t="n"/>
      <c r="F168" s="7" t="n"/>
      <c r="G168" s="6" t="n"/>
      <c r="H168" s="7" t="n"/>
      <c r="I168" s="6" t="n"/>
      <c r="J168" s="7" t="n"/>
      <c r="K168" s="5">
        <f>IF(B168="","",IF(OR(F168="",G168=""),"НЕ ОТПРАВЛЕНО",IF(J168="","НЕТ ДОКАЗАТЕЛЬСТВА",IF(I168="","ОТПРАВЛЕНО, ЖДЁМ ПОЛУЧЕНИЯ","ПЕРЕДАНО"))))</f>
        <v/>
      </c>
    </row>
    <row r="169">
      <c r="A169" s="5" t="n">
        <v>165</v>
      </c>
      <c r="B169" s="7" t="n"/>
      <c r="C169" s="7" t="n"/>
      <c r="D169" s="7" t="n"/>
      <c r="E169" s="7" t="n"/>
      <c r="F169" s="7" t="n"/>
      <c r="G169" s="6" t="n"/>
      <c r="H169" s="7" t="n"/>
      <c r="I169" s="6" t="n"/>
      <c r="J169" s="7" t="n"/>
      <c r="K169" s="5">
        <f>IF(B169="","",IF(OR(F169="",G169=""),"НЕ ОТПРАВЛЕНО",IF(J169="","НЕТ ДОКАЗАТЕЛЬСТВА",IF(I169="","ОТПРАВЛЕНО, ЖДЁМ ПОЛУЧЕНИЯ","ПЕРЕДАНО"))))</f>
        <v/>
      </c>
    </row>
    <row r="170">
      <c r="A170" s="5" t="n">
        <v>166</v>
      </c>
      <c r="B170" s="7" t="n"/>
      <c r="C170" s="7" t="n"/>
      <c r="D170" s="7" t="n"/>
      <c r="E170" s="7" t="n"/>
      <c r="F170" s="7" t="n"/>
      <c r="G170" s="6" t="n"/>
      <c r="H170" s="7" t="n"/>
      <c r="I170" s="6" t="n"/>
      <c r="J170" s="7" t="n"/>
      <c r="K170" s="5">
        <f>IF(B170="","",IF(OR(F170="",G170=""),"НЕ ОТПРАВЛЕНО",IF(J170="","НЕТ ДОКАЗАТЕЛЬСТВА",IF(I170="","ОТПРАВЛЕНО, ЖДЁМ ПОЛУЧЕНИЯ","ПЕРЕДАНО"))))</f>
        <v/>
      </c>
    </row>
    <row r="171">
      <c r="A171" s="5" t="n">
        <v>167</v>
      </c>
      <c r="B171" s="7" t="n"/>
      <c r="C171" s="7" t="n"/>
      <c r="D171" s="7" t="n"/>
      <c r="E171" s="7" t="n"/>
      <c r="F171" s="7" t="n"/>
      <c r="G171" s="6" t="n"/>
      <c r="H171" s="7" t="n"/>
      <c r="I171" s="6" t="n"/>
      <c r="J171" s="7" t="n"/>
      <c r="K171" s="5">
        <f>IF(B171="","",IF(OR(F171="",G171=""),"НЕ ОТПРАВЛЕНО",IF(J171="","НЕТ ДОКАЗАТЕЛЬСТВА",IF(I171="","ОТПРАВЛЕНО, ЖДЁМ ПОЛУЧЕНИЯ","ПЕРЕДАНО"))))</f>
        <v/>
      </c>
    </row>
    <row r="172">
      <c r="A172" s="5" t="n">
        <v>168</v>
      </c>
      <c r="B172" s="7" t="n"/>
      <c r="C172" s="7" t="n"/>
      <c r="D172" s="7" t="n"/>
      <c r="E172" s="7" t="n"/>
      <c r="F172" s="7" t="n"/>
      <c r="G172" s="6" t="n"/>
      <c r="H172" s="7" t="n"/>
      <c r="I172" s="6" t="n"/>
      <c r="J172" s="7" t="n"/>
      <c r="K172" s="5">
        <f>IF(B172="","",IF(OR(F172="",G172=""),"НЕ ОТПРАВЛЕНО",IF(J172="","НЕТ ДОКАЗАТЕЛЬСТВА",IF(I172="","ОТПРАВЛЕНО, ЖДЁМ ПОЛУЧЕНИЯ","ПЕРЕДАНО"))))</f>
        <v/>
      </c>
    </row>
    <row r="173">
      <c r="A173" s="5" t="n">
        <v>169</v>
      </c>
      <c r="B173" s="7" t="n"/>
      <c r="C173" s="7" t="n"/>
      <c r="D173" s="7" t="n"/>
      <c r="E173" s="7" t="n"/>
      <c r="F173" s="7" t="n"/>
      <c r="G173" s="6" t="n"/>
      <c r="H173" s="7" t="n"/>
      <c r="I173" s="6" t="n"/>
      <c r="J173" s="7" t="n"/>
      <c r="K173" s="5">
        <f>IF(B173="","",IF(OR(F173="",G173=""),"НЕ ОТПРАВЛЕНО",IF(J173="","НЕТ ДОКАЗАТЕЛЬСТВА",IF(I173="","ОТПРАВЛЕНО, ЖДЁМ ПОЛУЧЕНИЯ","ПЕРЕДАНО"))))</f>
        <v/>
      </c>
    </row>
    <row r="174">
      <c r="A174" s="5" t="n">
        <v>170</v>
      </c>
      <c r="B174" s="7" t="n"/>
      <c r="C174" s="7" t="n"/>
      <c r="D174" s="7" t="n"/>
      <c r="E174" s="7" t="n"/>
      <c r="F174" s="7" t="n"/>
      <c r="G174" s="6" t="n"/>
      <c r="H174" s="7" t="n"/>
      <c r="I174" s="6" t="n"/>
      <c r="J174" s="7" t="n"/>
      <c r="K174" s="5">
        <f>IF(B174="","",IF(OR(F174="",G174=""),"НЕ ОТПРАВЛЕНО",IF(J174="","НЕТ ДОКАЗАТЕЛЬСТВА",IF(I174="","ОТПРАВЛЕНО, ЖДЁМ ПОЛУЧЕНИЯ","ПЕРЕДАНО"))))</f>
        <v/>
      </c>
    </row>
    <row r="175">
      <c r="A175" s="5" t="n">
        <v>171</v>
      </c>
      <c r="B175" s="7" t="n"/>
      <c r="C175" s="7" t="n"/>
      <c r="D175" s="7" t="n"/>
      <c r="E175" s="7" t="n"/>
      <c r="F175" s="7" t="n"/>
      <c r="G175" s="6" t="n"/>
      <c r="H175" s="7" t="n"/>
      <c r="I175" s="6" t="n"/>
      <c r="J175" s="7" t="n"/>
      <c r="K175" s="5">
        <f>IF(B175="","",IF(OR(F175="",G175=""),"НЕ ОТПРАВЛЕНО",IF(J175="","НЕТ ДОКАЗАТЕЛЬСТВА",IF(I175="","ОТПРАВЛЕНО, ЖДЁМ ПОЛУЧЕНИЯ","ПЕРЕДАНО"))))</f>
        <v/>
      </c>
    </row>
    <row r="176">
      <c r="A176" s="5" t="n">
        <v>172</v>
      </c>
      <c r="B176" s="7" t="n"/>
      <c r="C176" s="7" t="n"/>
      <c r="D176" s="7" t="n"/>
      <c r="E176" s="7" t="n"/>
      <c r="F176" s="7" t="n"/>
      <c r="G176" s="6" t="n"/>
      <c r="H176" s="7" t="n"/>
      <c r="I176" s="6" t="n"/>
      <c r="J176" s="7" t="n"/>
      <c r="K176" s="5">
        <f>IF(B176="","",IF(OR(F176="",G176=""),"НЕ ОТПРАВЛЕНО",IF(J176="","НЕТ ДОКАЗАТЕЛЬСТВА",IF(I176="","ОТПРАВЛЕНО, ЖДЁМ ПОЛУЧЕНИЯ","ПЕРЕДАНО"))))</f>
        <v/>
      </c>
    </row>
    <row r="177">
      <c r="A177" s="5" t="n">
        <v>173</v>
      </c>
      <c r="B177" s="7" t="n"/>
      <c r="C177" s="7" t="n"/>
      <c r="D177" s="7" t="n"/>
      <c r="E177" s="7" t="n"/>
      <c r="F177" s="7" t="n"/>
      <c r="G177" s="6" t="n"/>
      <c r="H177" s="7" t="n"/>
      <c r="I177" s="6" t="n"/>
      <c r="J177" s="7" t="n"/>
      <c r="K177" s="5">
        <f>IF(B177="","",IF(OR(F177="",G177=""),"НЕ ОТПРАВЛЕНО",IF(J177="","НЕТ ДОКАЗАТЕЛЬСТВА",IF(I177="","ОТПРАВЛЕНО, ЖДЁМ ПОЛУЧЕНИЯ","ПЕРЕДАНО"))))</f>
        <v/>
      </c>
    </row>
    <row r="178">
      <c r="A178" s="5" t="n">
        <v>174</v>
      </c>
      <c r="B178" s="7" t="n"/>
      <c r="C178" s="7" t="n"/>
      <c r="D178" s="7" t="n"/>
      <c r="E178" s="7" t="n"/>
      <c r="F178" s="7" t="n"/>
      <c r="G178" s="6" t="n"/>
      <c r="H178" s="7" t="n"/>
      <c r="I178" s="6" t="n"/>
      <c r="J178" s="7" t="n"/>
      <c r="K178" s="5">
        <f>IF(B178="","",IF(OR(F178="",G178=""),"НЕ ОТПРАВЛЕНО",IF(J178="","НЕТ ДОКАЗАТЕЛЬСТВА",IF(I178="","ОТПРАВЛЕНО, ЖДЁМ ПОЛУЧЕНИЯ","ПЕРЕДАНО"))))</f>
        <v/>
      </c>
    </row>
    <row r="179">
      <c r="A179" s="5" t="n">
        <v>175</v>
      </c>
      <c r="B179" s="7" t="n"/>
      <c r="C179" s="7" t="n"/>
      <c r="D179" s="7" t="n"/>
      <c r="E179" s="7" t="n"/>
      <c r="F179" s="7" t="n"/>
      <c r="G179" s="6" t="n"/>
      <c r="H179" s="7" t="n"/>
      <c r="I179" s="6" t="n"/>
      <c r="J179" s="7" t="n"/>
      <c r="K179" s="5">
        <f>IF(B179="","",IF(OR(F179="",G179=""),"НЕ ОТПРАВЛЕНО",IF(J179="","НЕТ ДОКАЗАТЕЛЬСТВА",IF(I179="","ОТПРАВЛЕНО, ЖДЁМ ПОЛУЧЕНИЯ","ПЕРЕДАНО"))))</f>
        <v/>
      </c>
    </row>
    <row r="180">
      <c r="A180" s="5" t="n">
        <v>176</v>
      </c>
      <c r="B180" s="7" t="n"/>
      <c r="C180" s="7" t="n"/>
      <c r="D180" s="7" t="n"/>
      <c r="E180" s="7" t="n"/>
      <c r="F180" s="7" t="n"/>
      <c r="G180" s="6" t="n"/>
      <c r="H180" s="7" t="n"/>
      <c r="I180" s="6" t="n"/>
      <c r="J180" s="7" t="n"/>
      <c r="K180" s="5">
        <f>IF(B180="","",IF(OR(F180="",G180=""),"НЕ ОТПРАВЛЕНО",IF(J180="","НЕТ ДОКАЗАТЕЛЬСТВА",IF(I180="","ОТПРАВЛЕНО, ЖДЁМ ПОЛУЧЕНИЯ","ПЕРЕДАНО"))))</f>
        <v/>
      </c>
    </row>
    <row r="181">
      <c r="A181" s="5" t="n">
        <v>177</v>
      </c>
      <c r="B181" s="7" t="n"/>
      <c r="C181" s="7" t="n"/>
      <c r="D181" s="7" t="n"/>
      <c r="E181" s="7" t="n"/>
      <c r="F181" s="7" t="n"/>
      <c r="G181" s="6" t="n"/>
      <c r="H181" s="7" t="n"/>
      <c r="I181" s="6" t="n"/>
      <c r="J181" s="7" t="n"/>
      <c r="K181" s="5">
        <f>IF(B181="","",IF(OR(F181="",G181=""),"НЕ ОТПРАВЛЕНО",IF(J181="","НЕТ ДОКАЗАТЕЛЬСТВА",IF(I181="","ОТПРАВЛЕНО, ЖДЁМ ПОЛУЧЕНИЯ","ПЕРЕДАНО"))))</f>
        <v/>
      </c>
    </row>
    <row r="182">
      <c r="A182" s="5" t="n">
        <v>178</v>
      </c>
      <c r="B182" s="7" t="n"/>
      <c r="C182" s="7" t="n"/>
      <c r="D182" s="7" t="n"/>
      <c r="E182" s="7" t="n"/>
      <c r="F182" s="7" t="n"/>
      <c r="G182" s="6" t="n"/>
      <c r="H182" s="7" t="n"/>
      <c r="I182" s="6" t="n"/>
      <c r="J182" s="7" t="n"/>
      <c r="K182" s="5">
        <f>IF(B182="","",IF(OR(F182="",G182=""),"НЕ ОТПРАВЛЕНО",IF(J182="","НЕТ ДОКАЗАТЕЛЬСТВА",IF(I182="","ОТПРАВЛЕНО, ЖДЁМ ПОЛУЧЕНИЯ","ПЕРЕДАНО"))))</f>
        <v/>
      </c>
    </row>
    <row r="183">
      <c r="A183" s="5" t="n">
        <v>179</v>
      </c>
      <c r="B183" s="7" t="n"/>
      <c r="C183" s="7" t="n"/>
      <c r="D183" s="7" t="n"/>
      <c r="E183" s="7" t="n"/>
      <c r="F183" s="7" t="n"/>
      <c r="G183" s="6" t="n"/>
      <c r="H183" s="7" t="n"/>
      <c r="I183" s="6" t="n"/>
      <c r="J183" s="7" t="n"/>
      <c r="K183" s="5">
        <f>IF(B183="","",IF(OR(F183="",G183=""),"НЕ ОТПРАВЛЕНО",IF(J183="","НЕТ ДОКАЗАТЕЛЬСТВА",IF(I183="","ОТПРАВЛЕНО, ЖДЁМ ПОЛУЧЕНИЯ","ПЕРЕДАНО"))))</f>
        <v/>
      </c>
    </row>
    <row r="184">
      <c r="A184" s="5" t="n">
        <v>180</v>
      </c>
      <c r="B184" s="7" t="n"/>
      <c r="C184" s="7" t="n"/>
      <c r="D184" s="7" t="n"/>
      <c r="E184" s="7" t="n"/>
      <c r="F184" s="7" t="n"/>
      <c r="G184" s="6" t="n"/>
      <c r="H184" s="7" t="n"/>
      <c r="I184" s="6" t="n"/>
      <c r="J184" s="7" t="n"/>
      <c r="K184" s="5">
        <f>IF(B184="","",IF(OR(F184="",G184=""),"НЕ ОТПРАВЛЕНО",IF(J184="","НЕТ ДОКАЗАТЕЛЬСТВА",IF(I184="","ОТПРАВЛЕНО, ЖДЁМ ПОЛУЧЕНИЯ","ПЕРЕДАНО"))))</f>
        <v/>
      </c>
    </row>
    <row r="185">
      <c r="A185" s="5" t="n">
        <v>181</v>
      </c>
      <c r="B185" s="7" t="n"/>
      <c r="C185" s="7" t="n"/>
      <c r="D185" s="7" t="n"/>
      <c r="E185" s="7" t="n"/>
      <c r="F185" s="7" t="n"/>
      <c r="G185" s="6" t="n"/>
      <c r="H185" s="7" t="n"/>
      <c r="I185" s="6" t="n"/>
      <c r="J185" s="7" t="n"/>
      <c r="K185" s="5">
        <f>IF(B185="","",IF(OR(F185="",G185=""),"НЕ ОТПРАВЛЕНО",IF(J185="","НЕТ ДОКАЗАТЕЛЬСТВА",IF(I185="","ОТПРАВЛЕНО, ЖДЁМ ПОЛУЧЕНИЯ","ПЕРЕДАНО"))))</f>
        <v/>
      </c>
    </row>
    <row r="186">
      <c r="A186" s="5" t="n">
        <v>182</v>
      </c>
      <c r="B186" s="7" t="n"/>
      <c r="C186" s="7" t="n"/>
      <c r="D186" s="7" t="n"/>
      <c r="E186" s="7" t="n"/>
      <c r="F186" s="7" t="n"/>
      <c r="G186" s="6" t="n"/>
      <c r="H186" s="7" t="n"/>
      <c r="I186" s="6" t="n"/>
      <c r="J186" s="7" t="n"/>
      <c r="K186" s="5">
        <f>IF(B186="","",IF(OR(F186="",G186=""),"НЕ ОТПРАВЛЕНО",IF(J186="","НЕТ ДОКАЗАТЕЛЬСТВА",IF(I186="","ОТПРАВЛЕНО, ЖДЁМ ПОЛУЧЕНИЯ","ПЕРЕДАНО"))))</f>
        <v/>
      </c>
    </row>
    <row r="187">
      <c r="A187" s="5" t="n">
        <v>183</v>
      </c>
      <c r="B187" s="7" t="n"/>
      <c r="C187" s="7" t="n"/>
      <c r="D187" s="7" t="n"/>
      <c r="E187" s="7" t="n"/>
      <c r="F187" s="7" t="n"/>
      <c r="G187" s="6" t="n"/>
      <c r="H187" s="7" t="n"/>
      <c r="I187" s="6" t="n"/>
      <c r="J187" s="7" t="n"/>
      <c r="K187" s="5">
        <f>IF(B187="","",IF(OR(F187="",G187=""),"НЕ ОТПРАВЛЕНО",IF(J187="","НЕТ ДОКАЗАТЕЛЬСТВА",IF(I187="","ОТПРАВЛЕНО, ЖДЁМ ПОЛУЧЕНИЯ","ПЕРЕДАНО"))))</f>
        <v/>
      </c>
    </row>
    <row r="188">
      <c r="A188" s="5" t="n">
        <v>184</v>
      </c>
      <c r="B188" s="7" t="n"/>
      <c r="C188" s="7" t="n"/>
      <c r="D188" s="7" t="n"/>
      <c r="E188" s="7" t="n"/>
      <c r="F188" s="7" t="n"/>
      <c r="G188" s="6" t="n"/>
      <c r="H188" s="7" t="n"/>
      <c r="I188" s="6" t="n"/>
      <c r="J188" s="7" t="n"/>
      <c r="K188" s="5">
        <f>IF(B188="","",IF(OR(F188="",G188=""),"НЕ ОТПРАВЛЕНО",IF(J188="","НЕТ ДОКАЗАТЕЛЬСТВА",IF(I188="","ОТПРАВЛЕНО, ЖДЁМ ПОЛУЧЕНИЯ","ПЕРЕДАНО"))))</f>
        <v/>
      </c>
    </row>
    <row r="189">
      <c r="A189" s="5" t="n">
        <v>185</v>
      </c>
      <c r="B189" s="7" t="n"/>
      <c r="C189" s="7" t="n"/>
      <c r="D189" s="7" t="n"/>
      <c r="E189" s="7" t="n"/>
      <c r="F189" s="7" t="n"/>
      <c r="G189" s="6" t="n"/>
      <c r="H189" s="7" t="n"/>
      <c r="I189" s="6" t="n"/>
      <c r="J189" s="7" t="n"/>
      <c r="K189" s="5">
        <f>IF(B189="","",IF(OR(F189="",G189=""),"НЕ ОТПРАВЛЕНО",IF(J189="","НЕТ ДОКАЗАТЕЛЬСТВА",IF(I189="","ОТПРАВЛЕНО, ЖДЁМ ПОЛУЧЕНИЯ","ПЕРЕДАНО"))))</f>
        <v/>
      </c>
    </row>
    <row r="190">
      <c r="A190" s="5" t="n">
        <v>186</v>
      </c>
      <c r="B190" s="7" t="n"/>
      <c r="C190" s="7" t="n"/>
      <c r="D190" s="7" t="n"/>
      <c r="E190" s="7" t="n"/>
      <c r="F190" s="7" t="n"/>
      <c r="G190" s="6" t="n"/>
      <c r="H190" s="7" t="n"/>
      <c r="I190" s="6" t="n"/>
      <c r="J190" s="7" t="n"/>
      <c r="K190" s="5">
        <f>IF(B190="","",IF(OR(F190="",G190=""),"НЕ ОТПРАВЛЕНО",IF(J190="","НЕТ ДОКАЗАТЕЛЬСТВА",IF(I190="","ОТПРАВЛЕНО, ЖДЁМ ПОЛУЧЕНИЯ","ПЕРЕДАНО"))))</f>
        <v/>
      </c>
    </row>
    <row r="191">
      <c r="A191" s="5" t="n">
        <v>187</v>
      </c>
      <c r="B191" s="7" t="n"/>
      <c r="C191" s="7" t="n"/>
      <c r="D191" s="7" t="n"/>
      <c r="E191" s="7" t="n"/>
      <c r="F191" s="7" t="n"/>
      <c r="G191" s="6" t="n"/>
      <c r="H191" s="7" t="n"/>
      <c r="I191" s="6" t="n"/>
      <c r="J191" s="7" t="n"/>
      <c r="K191" s="5">
        <f>IF(B191="","",IF(OR(F191="",G191=""),"НЕ ОТПРАВЛЕНО",IF(J191="","НЕТ ДОКАЗАТЕЛЬСТВА",IF(I191="","ОТПРАВЛЕНО, ЖДЁМ ПОЛУЧЕНИЯ","ПЕРЕДАНО"))))</f>
        <v/>
      </c>
    </row>
    <row r="192">
      <c r="A192" s="5" t="n">
        <v>188</v>
      </c>
      <c r="B192" s="7" t="n"/>
      <c r="C192" s="7" t="n"/>
      <c r="D192" s="7" t="n"/>
      <c r="E192" s="7" t="n"/>
      <c r="F192" s="7" t="n"/>
      <c r="G192" s="6" t="n"/>
      <c r="H192" s="7" t="n"/>
      <c r="I192" s="6" t="n"/>
      <c r="J192" s="7" t="n"/>
      <c r="K192" s="5">
        <f>IF(B192="","",IF(OR(F192="",G192=""),"НЕ ОТПРАВЛЕНО",IF(J192="","НЕТ ДОКАЗАТЕЛЬСТВА",IF(I192="","ОТПРАВЛЕНО, ЖДЁМ ПОЛУЧЕНИЯ","ПЕРЕДАНО"))))</f>
        <v/>
      </c>
    </row>
    <row r="193">
      <c r="A193" s="5" t="n">
        <v>189</v>
      </c>
      <c r="B193" s="7" t="n"/>
      <c r="C193" s="7" t="n"/>
      <c r="D193" s="7" t="n"/>
      <c r="E193" s="7" t="n"/>
      <c r="F193" s="7" t="n"/>
      <c r="G193" s="6" t="n"/>
      <c r="H193" s="7" t="n"/>
      <c r="I193" s="6" t="n"/>
      <c r="J193" s="7" t="n"/>
      <c r="K193" s="5">
        <f>IF(B193="","",IF(OR(F193="",G193=""),"НЕ ОТПРАВЛЕНО",IF(J193="","НЕТ ДОКАЗАТЕЛЬСТВА",IF(I193="","ОТПРАВЛЕНО, ЖДЁМ ПОЛУЧЕНИЯ","ПЕРЕДАНО"))))</f>
        <v/>
      </c>
    </row>
    <row r="194">
      <c r="A194" s="5" t="n">
        <v>190</v>
      </c>
      <c r="B194" s="7" t="n"/>
      <c r="C194" s="7" t="n"/>
      <c r="D194" s="7" t="n"/>
      <c r="E194" s="7" t="n"/>
      <c r="F194" s="7" t="n"/>
      <c r="G194" s="6" t="n"/>
      <c r="H194" s="7" t="n"/>
      <c r="I194" s="6" t="n"/>
      <c r="J194" s="7" t="n"/>
      <c r="K194" s="5">
        <f>IF(B194="","",IF(OR(F194="",G194=""),"НЕ ОТПРАВЛЕНО",IF(J194="","НЕТ ДОКАЗАТЕЛЬСТВА",IF(I194="","ОТПРАВЛЕНО, ЖДЁМ ПОЛУЧЕНИЯ","ПЕРЕДАНО"))))</f>
        <v/>
      </c>
    </row>
    <row r="195">
      <c r="A195" s="5" t="n">
        <v>191</v>
      </c>
      <c r="B195" s="7" t="n"/>
      <c r="C195" s="7" t="n"/>
      <c r="D195" s="7" t="n"/>
      <c r="E195" s="7" t="n"/>
      <c r="F195" s="7" t="n"/>
      <c r="G195" s="6" t="n"/>
      <c r="H195" s="7" t="n"/>
      <c r="I195" s="6" t="n"/>
      <c r="J195" s="7" t="n"/>
      <c r="K195" s="5">
        <f>IF(B195="","",IF(OR(F195="",G195=""),"НЕ ОТПРАВЛЕНО",IF(J195="","НЕТ ДОКАЗАТЕЛЬСТВА",IF(I195="","ОТПРАВЛЕНО, ЖДЁМ ПОЛУЧЕНИЯ","ПЕРЕДАНО"))))</f>
        <v/>
      </c>
    </row>
    <row r="196">
      <c r="A196" s="5" t="n">
        <v>192</v>
      </c>
      <c r="B196" s="7" t="n"/>
      <c r="C196" s="7" t="n"/>
      <c r="D196" s="7" t="n"/>
      <c r="E196" s="7" t="n"/>
      <c r="F196" s="7" t="n"/>
      <c r="G196" s="6" t="n"/>
      <c r="H196" s="7" t="n"/>
      <c r="I196" s="6" t="n"/>
      <c r="J196" s="7" t="n"/>
      <c r="K196" s="5">
        <f>IF(B196="","",IF(OR(F196="",G196=""),"НЕ ОТПРАВЛЕНО",IF(J196="","НЕТ ДОКАЗАТЕЛЬСТВА",IF(I196="","ОТПРАВЛЕНО, ЖДЁМ ПОЛУЧЕНИЯ","ПЕРЕДАНО"))))</f>
        <v/>
      </c>
    </row>
    <row r="197">
      <c r="A197" s="5" t="n">
        <v>193</v>
      </c>
      <c r="B197" s="7" t="n"/>
      <c r="C197" s="7" t="n"/>
      <c r="D197" s="7" t="n"/>
      <c r="E197" s="7" t="n"/>
      <c r="F197" s="7" t="n"/>
      <c r="G197" s="6" t="n"/>
      <c r="H197" s="7" t="n"/>
      <c r="I197" s="6" t="n"/>
      <c r="J197" s="7" t="n"/>
      <c r="K197" s="5">
        <f>IF(B197="","",IF(OR(F197="",G197=""),"НЕ ОТПРАВЛЕНО",IF(J197="","НЕТ ДОКАЗАТЕЛЬСТВА",IF(I197="","ОТПРАВЛЕНО, ЖДЁМ ПОЛУЧЕНИЯ","ПЕРЕДАНО"))))</f>
        <v/>
      </c>
    </row>
    <row r="198">
      <c r="A198" s="5" t="n">
        <v>194</v>
      </c>
      <c r="B198" s="7" t="n"/>
      <c r="C198" s="7" t="n"/>
      <c r="D198" s="7" t="n"/>
      <c r="E198" s="7" t="n"/>
      <c r="F198" s="7" t="n"/>
      <c r="G198" s="6" t="n"/>
      <c r="H198" s="7" t="n"/>
      <c r="I198" s="6" t="n"/>
      <c r="J198" s="7" t="n"/>
      <c r="K198" s="5">
        <f>IF(B198="","",IF(OR(F198="",G198=""),"НЕ ОТПРАВЛЕНО",IF(J198="","НЕТ ДОКАЗАТЕЛЬСТВА",IF(I198="","ОТПРАВЛЕНО, ЖДЁМ ПОЛУЧЕНИЯ","ПЕРЕДАНО"))))</f>
        <v/>
      </c>
    </row>
    <row r="199">
      <c r="A199" s="5" t="n">
        <v>195</v>
      </c>
      <c r="B199" s="7" t="n"/>
      <c r="C199" s="7" t="n"/>
      <c r="D199" s="7" t="n"/>
      <c r="E199" s="7" t="n"/>
      <c r="F199" s="7" t="n"/>
      <c r="G199" s="6" t="n"/>
      <c r="H199" s="7" t="n"/>
      <c r="I199" s="6" t="n"/>
      <c r="J199" s="7" t="n"/>
      <c r="K199" s="5">
        <f>IF(B199="","",IF(OR(F199="",G199=""),"НЕ ОТПРАВЛЕНО",IF(J199="","НЕТ ДОКАЗАТЕЛЬСТВА",IF(I199="","ОТПРАВЛЕНО, ЖДЁМ ПОЛУЧЕНИЯ","ПЕРЕДАНО"))))</f>
        <v/>
      </c>
    </row>
    <row r="200">
      <c r="A200" s="5" t="n">
        <v>196</v>
      </c>
      <c r="B200" s="7" t="n"/>
      <c r="C200" s="7" t="n"/>
      <c r="D200" s="7" t="n"/>
      <c r="E200" s="7" t="n"/>
      <c r="F200" s="7" t="n"/>
      <c r="G200" s="6" t="n"/>
      <c r="H200" s="7" t="n"/>
      <c r="I200" s="6" t="n"/>
      <c r="J200" s="7" t="n"/>
      <c r="K200" s="5">
        <f>IF(B200="","",IF(OR(F200="",G200=""),"НЕ ОТПРАВЛЕНО",IF(J200="","НЕТ ДОКАЗАТЕЛЬСТВА",IF(I200="","ОТПРАВЛЕНО, ЖДЁМ ПОЛУЧЕНИЯ","ПЕРЕДАНО"))))</f>
        <v/>
      </c>
    </row>
    <row r="201">
      <c r="A201" s="5" t="n">
        <v>197</v>
      </c>
      <c r="B201" s="7" t="n"/>
      <c r="C201" s="7" t="n"/>
      <c r="D201" s="7" t="n"/>
      <c r="E201" s="7" t="n"/>
      <c r="F201" s="7" t="n"/>
      <c r="G201" s="6" t="n"/>
      <c r="H201" s="7" t="n"/>
      <c r="I201" s="6" t="n"/>
      <c r="J201" s="7" t="n"/>
      <c r="K201" s="5">
        <f>IF(B201="","",IF(OR(F201="",G201=""),"НЕ ОТПРАВЛЕНО",IF(J201="","НЕТ ДОКАЗАТЕЛЬСТВА",IF(I201="","ОТПРАВЛЕНО, ЖДЁМ ПОЛУЧЕНИЯ","ПЕРЕДАНО"))))</f>
        <v/>
      </c>
    </row>
    <row r="202">
      <c r="A202" s="5" t="n">
        <v>198</v>
      </c>
      <c r="B202" s="7" t="n"/>
      <c r="C202" s="7" t="n"/>
      <c r="D202" s="7" t="n"/>
      <c r="E202" s="7" t="n"/>
      <c r="F202" s="7" t="n"/>
      <c r="G202" s="6" t="n"/>
      <c r="H202" s="7" t="n"/>
      <c r="I202" s="6" t="n"/>
      <c r="J202" s="7" t="n"/>
      <c r="K202" s="5">
        <f>IF(B202="","",IF(OR(F202="",G202=""),"НЕ ОТПРАВЛЕНО",IF(J202="","НЕТ ДОКАЗАТЕЛЬСТВА",IF(I202="","ОТПРАВЛЕНО, ЖДЁМ ПОЛУЧЕНИЯ","ПЕРЕДАНО"))))</f>
        <v/>
      </c>
    </row>
    <row r="203">
      <c r="A203" s="5" t="n">
        <v>199</v>
      </c>
      <c r="B203" s="7" t="n"/>
      <c r="C203" s="7" t="n"/>
      <c r="D203" s="7" t="n"/>
      <c r="E203" s="7" t="n"/>
      <c r="F203" s="7" t="n"/>
      <c r="G203" s="6" t="n"/>
      <c r="H203" s="7" t="n"/>
      <c r="I203" s="6" t="n"/>
      <c r="J203" s="7" t="n"/>
      <c r="K203" s="5">
        <f>IF(B203="","",IF(OR(F203="",G203=""),"НЕ ОТПРАВЛЕНО",IF(J203="","НЕТ ДОКАЗАТЕЛЬСТВА",IF(I203="","ОТПРАВЛЕНО, ЖДЁМ ПОЛУЧЕНИЯ","ПЕРЕДАНО"))))</f>
        <v/>
      </c>
    </row>
    <row r="204">
      <c r="A204" s="5" t="n">
        <v>200</v>
      </c>
      <c r="B204" s="7" t="n"/>
      <c r="C204" s="7" t="n"/>
      <c r="D204" s="7" t="n"/>
      <c r="E204" s="7" t="n"/>
      <c r="F204" s="7" t="n"/>
      <c r="G204" s="6" t="n"/>
      <c r="H204" s="7" t="n"/>
      <c r="I204" s="6" t="n"/>
      <c r="J204" s="7" t="n"/>
      <c r="K204" s="5">
        <f>IF(B204="","",IF(OR(F204="",G204=""),"НЕ ОТПРАВЛЕНО",IF(J204="","НЕТ ДОКАЗАТЕЛЬСТВА",IF(I204="","ОТПРАВЛЕНО, ЖДЁМ ПОЛУЧЕНИЯ","ПЕРЕДАНО"))))</f>
        <v/>
      </c>
    </row>
    <row r="205">
      <c r="A205" s="5" t="n">
        <v>201</v>
      </c>
      <c r="B205" s="7" t="n"/>
      <c r="C205" s="7" t="n"/>
      <c r="D205" s="7" t="n"/>
      <c r="E205" s="7" t="n"/>
      <c r="F205" s="7" t="n"/>
      <c r="G205" s="6" t="n"/>
      <c r="H205" s="7" t="n"/>
      <c r="I205" s="6" t="n"/>
      <c r="J205" s="7" t="n"/>
      <c r="K205" s="5">
        <f>IF(B205="","",IF(OR(F205="",G205=""),"НЕ ОТПРАВЛЕНО",IF(J205="","НЕТ ДОКАЗАТЕЛЬСТВА",IF(I205="","ОТПРАВЛЕНО, ЖДЁМ ПОЛУЧЕНИЯ","ПЕРЕДАНО"))))</f>
        <v/>
      </c>
    </row>
    <row r="206">
      <c r="A206" s="5" t="n">
        <v>202</v>
      </c>
      <c r="B206" s="7" t="n"/>
      <c r="C206" s="7" t="n"/>
      <c r="D206" s="7" t="n"/>
      <c r="E206" s="7" t="n"/>
      <c r="F206" s="7" t="n"/>
      <c r="G206" s="6" t="n"/>
      <c r="H206" s="7" t="n"/>
      <c r="I206" s="6" t="n"/>
      <c r="J206" s="7" t="n"/>
      <c r="K206" s="5">
        <f>IF(B206="","",IF(OR(F206="",G206=""),"НЕ ОТПРАВЛЕНО",IF(J206="","НЕТ ДОКАЗАТЕЛЬСТВА",IF(I206="","ОТПРАВЛЕНО, ЖДЁМ ПОЛУЧЕНИЯ","ПЕРЕДАНО"))))</f>
        <v/>
      </c>
    </row>
    <row r="207">
      <c r="A207" s="5" t="n">
        <v>203</v>
      </c>
      <c r="B207" s="7" t="n"/>
      <c r="C207" s="7" t="n"/>
      <c r="D207" s="7" t="n"/>
      <c r="E207" s="7" t="n"/>
      <c r="F207" s="7" t="n"/>
      <c r="G207" s="6" t="n"/>
      <c r="H207" s="7" t="n"/>
      <c r="I207" s="6" t="n"/>
      <c r="J207" s="7" t="n"/>
      <c r="K207" s="5">
        <f>IF(B207="","",IF(OR(F207="",G207=""),"НЕ ОТПРАВЛЕНО",IF(J207="","НЕТ ДОКАЗАТЕЛЬСТВА",IF(I207="","ОТПРАВЛЕНО, ЖДЁМ ПОЛУЧЕНИЯ","ПЕРЕДАНО"))))</f>
        <v/>
      </c>
    </row>
    <row r="208">
      <c r="A208" s="5" t="n">
        <v>204</v>
      </c>
      <c r="B208" s="7" t="n"/>
      <c r="C208" s="7" t="n"/>
      <c r="D208" s="7" t="n"/>
      <c r="E208" s="7" t="n"/>
      <c r="F208" s="7" t="n"/>
      <c r="G208" s="6" t="n"/>
      <c r="H208" s="7" t="n"/>
      <c r="I208" s="6" t="n"/>
      <c r="J208" s="7" t="n"/>
      <c r="K208" s="5">
        <f>IF(B208="","",IF(OR(F208="",G208=""),"НЕ ОТПРАВЛЕНО",IF(J208="","НЕТ ДОКАЗАТЕЛЬСТВА",IF(I208="","ОТПРАВЛЕНО, ЖДЁМ ПОЛУЧЕНИЯ","ПЕРЕДАНО"))))</f>
        <v/>
      </c>
    </row>
    <row r="209">
      <c r="A209" s="5" t="n">
        <v>205</v>
      </c>
      <c r="B209" s="7" t="n"/>
      <c r="C209" s="7" t="n"/>
      <c r="D209" s="7" t="n"/>
      <c r="E209" s="7" t="n"/>
      <c r="F209" s="7" t="n"/>
      <c r="G209" s="6" t="n"/>
      <c r="H209" s="7" t="n"/>
      <c r="I209" s="6" t="n"/>
      <c r="J209" s="7" t="n"/>
      <c r="K209" s="5">
        <f>IF(B209="","",IF(OR(F209="",G209=""),"НЕ ОТПРАВЛЕНО",IF(J209="","НЕТ ДОКАЗАТЕЛЬСТВА",IF(I209="","ОТПРАВЛЕНО, ЖДЁМ ПОЛУЧЕНИЯ","ПЕРЕДАНО"))))</f>
        <v/>
      </c>
    </row>
    <row r="210">
      <c r="A210" s="5" t="n">
        <v>206</v>
      </c>
      <c r="B210" s="7" t="n"/>
      <c r="C210" s="7" t="n"/>
      <c r="D210" s="7" t="n"/>
      <c r="E210" s="7" t="n"/>
      <c r="F210" s="7" t="n"/>
      <c r="G210" s="6" t="n"/>
      <c r="H210" s="7" t="n"/>
      <c r="I210" s="6" t="n"/>
      <c r="J210" s="7" t="n"/>
      <c r="K210" s="5">
        <f>IF(B210="","",IF(OR(F210="",G210=""),"НЕ ОТПРАВЛЕНО",IF(J210="","НЕТ ДОКАЗАТЕЛЬСТВА",IF(I210="","ОТПРАВЛЕНО, ЖДЁМ ПОЛУЧЕНИЯ","ПЕРЕДАНО"))))</f>
        <v/>
      </c>
    </row>
    <row r="211">
      <c r="A211" s="5" t="n">
        <v>207</v>
      </c>
      <c r="B211" s="7" t="n"/>
      <c r="C211" s="7" t="n"/>
      <c r="D211" s="7" t="n"/>
      <c r="E211" s="7" t="n"/>
      <c r="F211" s="7" t="n"/>
      <c r="G211" s="6" t="n"/>
      <c r="H211" s="7" t="n"/>
      <c r="I211" s="6" t="n"/>
      <c r="J211" s="7" t="n"/>
      <c r="K211" s="5">
        <f>IF(B211="","",IF(OR(F211="",G211=""),"НЕ ОТПРАВЛЕНО",IF(J211="","НЕТ ДОКАЗАТЕЛЬСТВА",IF(I211="","ОТПРАВЛЕНО, ЖДЁМ ПОЛУЧЕНИЯ","ПЕРЕДАНО"))))</f>
        <v/>
      </c>
    </row>
    <row r="212">
      <c r="A212" s="5" t="n">
        <v>208</v>
      </c>
      <c r="B212" s="7" t="n"/>
      <c r="C212" s="7" t="n"/>
      <c r="D212" s="7" t="n"/>
      <c r="E212" s="7" t="n"/>
      <c r="F212" s="7" t="n"/>
      <c r="G212" s="6" t="n"/>
      <c r="H212" s="7" t="n"/>
      <c r="I212" s="6" t="n"/>
      <c r="J212" s="7" t="n"/>
      <c r="K212" s="5">
        <f>IF(B212="","",IF(OR(F212="",G212=""),"НЕ ОТПРАВЛЕНО",IF(J212="","НЕТ ДОКАЗАТЕЛЬСТВА",IF(I212="","ОТПРАВЛЕНО, ЖДЁМ ПОЛУЧЕНИЯ","ПЕРЕДАНО"))))</f>
        <v/>
      </c>
    </row>
    <row r="213">
      <c r="A213" s="5" t="n">
        <v>209</v>
      </c>
      <c r="B213" s="7" t="n"/>
      <c r="C213" s="7" t="n"/>
      <c r="D213" s="7" t="n"/>
      <c r="E213" s="7" t="n"/>
      <c r="F213" s="7" t="n"/>
      <c r="G213" s="6" t="n"/>
      <c r="H213" s="7" t="n"/>
      <c r="I213" s="6" t="n"/>
      <c r="J213" s="7" t="n"/>
      <c r="K213" s="5">
        <f>IF(B213="","",IF(OR(F213="",G213=""),"НЕ ОТПРАВЛЕНО",IF(J213="","НЕТ ДОКАЗАТЕЛЬСТВА",IF(I213="","ОТПРАВЛЕНО, ЖДЁМ ПОЛУЧЕНИЯ","ПЕРЕДАНО"))))</f>
        <v/>
      </c>
    </row>
    <row r="214">
      <c r="A214" s="5" t="n">
        <v>210</v>
      </c>
      <c r="B214" s="7" t="n"/>
      <c r="C214" s="7" t="n"/>
      <c r="D214" s="7" t="n"/>
      <c r="E214" s="7" t="n"/>
      <c r="F214" s="7" t="n"/>
      <c r="G214" s="6" t="n"/>
      <c r="H214" s="7" t="n"/>
      <c r="I214" s="6" t="n"/>
      <c r="J214" s="7" t="n"/>
      <c r="K214" s="5">
        <f>IF(B214="","",IF(OR(F214="",G214=""),"НЕ ОТПРАВЛЕНО",IF(J214="","НЕТ ДОКАЗАТЕЛЬСТВА",IF(I214="","ОТПРАВЛЕНО, ЖДЁМ ПОЛУЧЕНИЯ","ПЕРЕДАНО"))))</f>
        <v/>
      </c>
    </row>
    <row r="215">
      <c r="A215" s="5" t="n">
        <v>211</v>
      </c>
      <c r="B215" s="7" t="n"/>
      <c r="C215" s="7" t="n"/>
      <c r="D215" s="7" t="n"/>
      <c r="E215" s="7" t="n"/>
      <c r="F215" s="7" t="n"/>
      <c r="G215" s="6" t="n"/>
      <c r="H215" s="7" t="n"/>
      <c r="I215" s="6" t="n"/>
      <c r="J215" s="7" t="n"/>
      <c r="K215" s="5">
        <f>IF(B215="","",IF(OR(F215="",G215=""),"НЕ ОТПРАВЛЕНО",IF(J215="","НЕТ ДОКАЗАТЕЛЬСТВА",IF(I215="","ОТПРАВЛЕНО, ЖДЁМ ПОЛУЧЕНИЯ","ПЕРЕДАНО"))))</f>
        <v/>
      </c>
    </row>
    <row r="216">
      <c r="A216" s="5" t="n">
        <v>212</v>
      </c>
      <c r="B216" s="7" t="n"/>
      <c r="C216" s="7" t="n"/>
      <c r="D216" s="7" t="n"/>
      <c r="E216" s="7" t="n"/>
      <c r="F216" s="7" t="n"/>
      <c r="G216" s="6" t="n"/>
      <c r="H216" s="7" t="n"/>
      <c r="I216" s="6" t="n"/>
      <c r="J216" s="7" t="n"/>
      <c r="K216" s="5">
        <f>IF(B216="","",IF(OR(F216="",G216=""),"НЕ ОТПРАВЛЕНО",IF(J216="","НЕТ ДОКАЗАТЕЛЬСТВА",IF(I216="","ОТПРАВЛЕНО, ЖДЁМ ПОЛУЧЕНИЯ","ПЕРЕДАНО"))))</f>
        <v/>
      </c>
    </row>
    <row r="217">
      <c r="A217" s="5" t="n">
        <v>213</v>
      </c>
      <c r="B217" s="7" t="n"/>
      <c r="C217" s="7" t="n"/>
      <c r="D217" s="7" t="n"/>
      <c r="E217" s="7" t="n"/>
      <c r="F217" s="7" t="n"/>
      <c r="G217" s="6" t="n"/>
      <c r="H217" s="7" t="n"/>
      <c r="I217" s="6" t="n"/>
      <c r="J217" s="7" t="n"/>
      <c r="K217" s="5">
        <f>IF(B217="","",IF(OR(F217="",G217=""),"НЕ ОТПРАВЛЕНО",IF(J217="","НЕТ ДОКАЗАТЕЛЬСТВА",IF(I217="","ОТПРАВЛЕНО, ЖДЁМ ПОЛУЧЕНИЯ","ПЕРЕДАНО"))))</f>
        <v/>
      </c>
    </row>
    <row r="218">
      <c r="A218" s="5" t="n">
        <v>214</v>
      </c>
      <c r="B218" s="7" t="n"/>
      <c r="C218" s="7" t="n"/>
      <c r="D218" s="7" t="n"/>
      <c r="E218" s="7" t="n"/>
      <c r="F218" s="7" t="n"/>
      <c r="G218" s="6" t="n"/>
      <c r="H218" s="7" t="n"/>
      <c r="I218" s="6" t="n"/>
      <c r="J218" s="7" t="n"/>
      <c r="K218" s="5">
        <f>IF(B218="","",IF(OR(F218="",G218=""),"НЕ ОТПРАВЛЕНО",IF(J218="","НЕТ ДОКАЗАТЕЛЬСТВА",IF(I218="","ОТПРАВЛЕНО, ЖДЁМ ПОЛУЧЕНИЯ","ПЕРЕДАНО"))))</f>
        <v/>
      </c>
    </row>
    <row r="219">
      <c r="A219" s="5" t="n">
        <v>215</v>
      </c>
      <c r="B219" s="7" t="n"/>
      <c r="C219" s="7" t="n"/>
      <c r="D219" s="7" t="n"/>
      <c r="E219" s="7" t="n"/>
      <c r="F219" s="7" t="n"/>
      <c r="G219" s="6" t="n"/>
      <c r="H219" s="7" t="n"/>
      <c r="I219" s="6" t="n"/>
      <c r="J219" s="7" t="n"/>
      <c r="K219" s="5">
        <f>IF(B219="","",IF(OR(F219="",G219=""),"НЕ ОТПРАВЛЕНО",IF(J219="","НЕТ ДОКАЗАТЕЛЬСТВА",IF(I219="","ОТПРАВЛЕНО, ЖДЁМ ПОЛУЧЕНИЯ","ПЕРЕДАНО"))))</f>
        <v/>
      </c>
    </row>
    <row r="220">
      <c r="A220" s="5" t="n">
        <v>216</v>
      </c>
      <c r="B220" s="7" t="n"/>
      <c r="C220" s="7" t="n"/>
      <c r="D220" s="7" t="n"/>
      <c r="E220" s="7" t="n"/>
      <c r="F220" s="7" t="n"/>
      <c r="G220" s="6" t="n"/>
      <c r="H220" s="7" t="n"/>
      <c r="I220" s="6" t="n"/>
      <c r="J220" s="7" t="n"/>
      <c r="K220" s="5">
        <f>IF(B220="","",IF(OR(F220="",G220=""),"НЕ ОТПРАВЛЕНО",IF(J220="","НЕТ ДОКАЗАТЕЛЬСТВА",IF(I220="","ОТПРАВЛЕНО, ЖДЁМ ПОЛУЧЕНИЯ","ПЕРЕДАНО"))))</f>
        <v/>
      </c>
    </row>
    <row r="221">
      <c r="A221" s="5" t="n">
        <v>217</v>
      </c>
      <c r="B221" s="7" t="n"/>
      <c r="C221" s="7" t="n"/>
      <c r="D221" s="7" t="n"/>
      <c r="E221" s="7" t="n"/>
      <c r="F221" s="7" t="n"/>
      <c r="G221" s="6" t="n"/>
      <c r="H221" s="7" t="n"/>
      <c r="I221" s="6" t="n"/>
      <c r="J221" s="7" t="n"/>
      <c r="K221" s="5">
        <f>IF(B221="","",IF(OR(F221="",G221=""),"НЕ ОТПРАВЛЕНО",IF(J221="","НЕТ ДОКАЗАТЕЛЬСТВА",IF(I221="","ОТПРАВЛЕНО, ЖДЁМ ПОЛУЧЕНИЯ","ПЕРЕДАНО"))))</f>
        <v/>
      </c>
    </row>
    <row r="222">
      <c r="A222" s="5" t="n">
        <v>218</v>
      </c>
      <c r="B222" s="7" t="n"/>
      <c r="C222" s="7" t="n"/>
      <c r="D222" s="7" t="n"/>
      <c r="E222" s="7" t="n"/>
      <c r="F222" s="7" t="n"/>
      <c r="G222" s="6" t="n"/>
      <c r="H222" s="7" t="n"/>
      <c r="I222" s="6" t="n"/>
      <c r="J222" s="7" t="n"/>
      <c r="K222" s="5">
        <f>IF(B222="","",IF(OR(F222="",G222=""),"НЕ ОТПРАВЛЕНО",IF(J222="","НЕТ ДОКАЗАТЕЛЬСТВА",IF(I222="","ОТПРАВЛЕНО, ЖДЁМ ПОЛУЧЕНИЯ","ПЕРЕДАНО"))))</f>
        <v/>
      </c>
    </row>
    <row r="223">
      <c r="A223" s="5" t="n">
        <v>219</v>
      </c>
      <c r="B223" s="7" t="n"/>
      <c r="C223" s="7" t="n"/>
      <c r="D223" s="7" t="n"/>
      <c r="E223" s="7" t="n"/>
      <c r="F223" s="7" t="n"/>
      <c r="G223" s="6" t="n"/>
      <c r="H223" s="7" t="n"/>
      <c r="I223" s="6" t="n"/>
      <c r="J223" s="7" t="n"/>
      <c r="K223" s="5">
        <f>IF(B223="","",IF(OR(F223="",G223=""),"НЕ ОТПРАВЛЕНО",IF(J223="","НЕТ ДОКАЗАТЕЛЬСТВА",IF(I223="","ОТПРАВЛЕНО, ЖДЁМ ПОЛУЧЕНИЯ","ПЕРЕДАНО"))))</f>
        <v/>
      </c>
    </row>
    <row r="224">
      <c r="A224" s="5" t="n">
        <v>220</v>
      </c>
      <c r="B224" s="7" t="n"/>
      <c r="C224" s="7" t="n"/>
      <c r="D224" s="7" t="n"/>
      <c r="E224" s="7" t="n"/>
      <c r="F224" s="7" t="n"/>
      <c r="G224" s="6" t="n"/>
      <c r="H224" s="7" t="n"/>
      <c r="I224" s="6" t="n"/>
      <c r="J224" s="7" t="n"/>
      <c r="K224" s="5">
        <f>IF(B224="","",IF(OR(F224="",G224=""),"НЕ ОТПРАВЛЕНО",IF(J224="","НЕТ ДОКАЗАТЕЛЬСТВА",IF(I224="","ОТПРАВЛЕНО, ЖДЁМ ПОЛУЧЕНИЯ","ПЕРЕДАНО"))))</f>
        <v/>
      </c>
    </row>
    <row r="225">
      <c r="A225" s="5" t="n">
        <v>221</v>
      </c>
      <c r="B225" s="7" t="n"/>
      <c r="C225" s="7" t="n"/>
      <c r="D225" s="7" t="n"/>
      <c r="E225" s="7" t="n"/>
      <c r="F225" s="7" t="n"/>
      <c r="G225" s="6" t="n"/>
      <c r="H225" s="7" t="n"/>
      <c r="I225" s="6" t="n"/>
      <c r="J225" s="7" t="n"/>
      <c r="K225" s="5">
        <f>IF(B225="","",IF(OR(F225="",G225=""),"НЕ ОТПРАВЛЕНО",IF(J225="","НЕТ ДОКАЗАТЕЛЬСТВА",IF(I225="","ОТПРАВЛЕНО, ЖДЁМ ПОЛУЧЕНИЯ","ПЕРЕДАНО"))))</f>
        <v/>
      </c>
    </row>
    <row r="226">
      <c r="A226" s="5" t="n">
        <v>222</v>
      </c>
      <c r="B226" s="7" t="n"/>
      <c r="C226" s="7" t="n"/>
      <c r="D226" s="7" t="n"/>
      <c r="E226" s="7" t="n"/>
      <c r="F226" s="7" t="n"/>
      <c r="G226" s="6" t="n"/>
      <c r="H226" s="7" t="n"/>
      <c r="I226" s="6" t="n"/>
      <c r="J226" s="7" t="n"/>
      <c r="K226" s="5">
        <f>IF(B226="","",IF(OR(F226="",G226=""),"НЕ ОТПРАВЛЕНО",IF(J226="","НЕТ ДОКАЗАТЕЛЬСТВА",IF(I226="","ОТПРАВЛЕНО, ЖДЁМ ПОЛУЧЕНИЯ","ПЕРЕДАНО"))))</f>
        <v/>
      </c>
    </row>
    <row r="227">
      <c r="A227" s="5" t="n">
        <v>223</v>
      </c>
      <c r="B227" s="7" t="n"/>
      <c r="C227" s="7" t="n"/>
      <c r="D227" s="7" t="n"/>
      <c r="E227" s="7" t="n"/>
      <c r="F227" s="7" t="n"/>
      <c r="G227" s="6" t="n"/>
      <c r="H227" s="7" t="n"/>
      <c r="I227" s="6" t="n"/>
      <c r="J227" s="7" t="n"/>
      <c r="K227" s="5">
        <f>IF(B227="","",IF(OR(F227="",G227=""),"НЕ ОТПРАВЛЕНО",IF(J227="","НЕТ ДОКАЗАТЕЛЬСТВА",IF(I227="","ОТПРАВЛЕНО, ЖДЁМ ПОЛУЧЕНИЯ","ПЕРЕДАНО"))))</f>
        <v/>
      </c>
    </row>
    <row r="228">
      <c r="A228" s="5" t="n">
        <v>224</v>
      </c>
      <c r="B228" s="7" t="n"/>
      <c r="C228" s="7" t="n"/>
      <c r="D228" s="7" t="n"/>
      <c r="E228" s="7" t="n"/>
      <c r="F228" s="7" t="n"/>
      <c r="G228" s="6" t="n"/>
      <c r="H228" s="7" t="n"/>
      <c r="I228" s="6" t="n"/>
      <c r="J228" s="7" t="n"/>
      <c r="K228" s="5">
        <f>IF(B228="","",IF(OR(F228="",G228=""),"НЕ ОТПРАВЛЕНО",IF(J228="","НЕТ ДОКАЗАТЕЛЬСТВА",IF(I228="","ОТПРАВЛЕНО, ЖДЁМ ПОЛУЧЕНИЯ","ПЕРЕДАНО"))))</f>
        <v/>
      </c>
    </row>
    <row r="229">
      <c r="A229" s="5" t="n">
        <v>225</v>
      </c>
      <c r="B229" s="7" t="n"/>
      <c r="C229" s="7" t="n"/>
      <c r="D229" s="7" t="n"/>
      <c r="E229" s="7" t="n"/>
      <c r="F229" s="7" t="n"/>
      <c r="G229" s="6" t="n"/>
      <c r="H229" s="7" t="n"/>
      <c r="I229" s="6" t="n"/>
      <c r="J229" s="7" t="n"/>
      <c r="K229" s="5">
        <f>IF(B229="","",IF(OR(F229="",G229=""),"НЕ ОТПРАВЛЕНО",IF(J229="","НЕТ ДОКАЗАТЕЛЬСТВА",IF(I229="","ОТПРАВЛЕНО, ЖДЁМ ПОЛУЧЕНИЯ","ПЕРЕДАНО"))))</f>
        <v/>
      </c>
    </row>
    <row r="230">
      <c r="A230" s="5" t="n">
        <v>226</v>
      </c>
      <c r="B230" s="7" t="n"/>
      <c r="C230" s="7" t="n"/>
      <c r="D230" s="7" t="n"/>
      <c r="E230" s="7" t="n"/>
      <c r="F230" s="7" t="n"/>
      <c r="G230" s="6" t="n"/>
      <c r="H230" s="7" t="n"/>
      <c r="I230" s="6" t="n"/>
      <c r="J230" s="7" t="n"/>
      <c r="K230" s="5">
        <f>IF(B230="","",IF(OR(F230="",G230=""),"НЕ ОТПРАВЛЕНО",IF(J230="","НЕТ ДОКАЗАТЕЛЬСТВА",IF(I230="","ОТПРАВЛЕНО, ЖДЁМ ПОЛУЧЕНИЯ","ПЕРЕДАНО"))))</f>
        <v/>
      </c>
    </row>
    <row r="231">
      <c r="A231" s="5" t="n">
        <v>227</v>
      </c>
      <c r="B231" s="7" t="n"/>
      <c r="C231" s="7" t="n"/>
      <c r="D231" s="7" t="n"/>
      <c r="E231" s="7" t="n"/>
      <c r="F231" s="7" t="n"/>
      <c r="G231" s="6" t="n"/>
      <c r="H231" s="7" t="n"/>
      <c r="I231" s="6" t="n"/>
      <c r="J231" s="7" t="n"/>
      <c r="K231" s="5">
        <f>IF(B231="","",IF(OR(F231="",G231=""),"НЕ ОТПРАВЛЕНО",IF(J231="","НЕТ ДОКАЗАТЕЛЬСТВА",IF(I231="","ОТПРАВЛЕНО, ЖДЁМ ПОЛУЧЕНИЯ","ПЕРЕДАНО"))))</f>
        <v/>
      </c>
    </row>
    <row r="232">
      <c r="A232" s="5" t="n">
        <v>228</v>
      </c>
      <c r="B232" s="7" t="n"/>
      <c r="C232" s="7" t="n"/>
      <c r="D232" s="7" t="n"/>
      <c r="E232" s="7" t="n"/>
      <c r="F232" s="7" t="n"/>
      <c r="G232" s="6" t="n"/>
      <c r="H232" s="7" t="n"/>
      <c r="I232" s="6" t="n"/>
      <c r="J232" s="7" t="n"/>
      <c r="K232" s="5">
        <f>IF(B232="","",IF(OR(F232="",G232=""),"НЕ ОТПРАВЛЕНО",IF(J232="","НЕТ ДОКАЗАТЕЛЬСТВА",IF(I232="","ОТПРАВЛЕНО, ЖДЁМ ПОЛУЧЕНИЯ","ПЕРЕДАНО"))))</f>
        <v/>
      </c>
    </row>
    <row r="233">
      <c r="A233" s="5" t="n">
        <v>229</v>
      </c>
      <c r="B233" s="7" t="n"/>
      <c r="C233" s="7" t="n"/>
      <c r="D233" s="7" t="n"/>
      <c r="E233" s="7" t="n"/>
      <c r="F233" s="7" t="n"/>
      <c r="G233" s="6" t="n"/>
      <c r="H233" s="7" t="n"/>
      <c r="I233" s="6" t="n"/>
      <c r="J233" s="7" t="n"/>
      <c r="K233" s="5">
        <f>IF(B233="","",IF(OR(F233="",G233=""),"НЕ ОТПРАВЛЕНО",IF(J233="","НЕТ ДОКАЗАТЕЛЬСТВА",IF(I233="","ОТПРАВЛЕНО, ЖДЁМ ПОЛУЧЕНИЯ","ПЕРЕДАНО"))))</f>
        <v/>
      </c>
    </row>
    <row r="234">
      <c r="A234" s="5" t="n">
        <v>230</v>
      </c>
      <c r="B234" s="7" t="n"/>
      <c r="C234" s="7" t="n"/>
      <c r="D234" s="7" t="n"/>
      <c r="E234" s="7" t="n"/>
      <c r="F234" s="7" t="n"/>
      <c r="G234" s="6" t="n"/>
      <c r="H234" s="7" t="n"/>
      <c r="I234" s="6" t="n"/>
      <c r="J234" s="7" t="n"/>
      <c r="K234" s="5">
        <f>IF(B234="","",IF(OR(F234="",G234=""),"НЕ ОТПРАВЛЕНО",IF(J234="","НЕТ ДОКАЗАТЕЛЬСТВА",IF(I234="","ОТПРАВЛЕНО, ЖДЁМ ПОЛУЧЕНИЯ","ПЕРЕДАНО"))))</f>
        <v/>
      </c>
    </row>
    <row r="235">
      <c r="A235" s="5" t="n">
        <v>231</v>
      </c>
      <c r="B235" s="7" t="n"/>
      <c r="C235" s="7" t="n"/>
      <c r="D235" s="7" t="n"/>
      <c r="E235" s="7" t="n"/>
      <c r="F235" s="7" t="n"/>
      <c r="G235" s="6" t="n"/>
      <c r="H235" s="7" t="n"/>
      <c r="I235" s="6" t="n"/>
      <c r="J235" s="7" t="n"/>
      <c r="K235" s="5">
        <f>IF(B235="","",IF(OR(F235="",G235=""),"НЕ ОТПРАВЛЕНО",IF(J235="","НЕТ ДОКАЗАТЕЛЬСТВА",IF(I235="","ОТПРАВЛЕНО, ЖДЁМ ПОЛУЧЕНИЯ","ПЕРЕДАНО"))))</f>
        <v/>
      </c>
    </row>
    <row r="236">
      <c r="A236" s="5" t="n">
        <v>232</v>
      </c>
      <c r="B236" s="7" t="n"/>
      <c r="C236" s="7" t="n"/>
      <c r="D236" s="7" t="n"/>
      <c r="E236" s="7" t="n"/>
      <c r="F236" s="7" t="n"/>
      <c r="G236" s="6" t="n"/>
      <c r="H236" s="7" t="n"/>
      <c r="I236" s="6" t="n"/>
      <c r="J236" s="7" t="n"/>
      <c r="K236" s="5">
        <f>IF(B236="","",IF(OR(F236="",G236=""),"НЕ ОТПРАВЛЕНО",IF(J236="","НЕТ ДОКАЗАТЕЛЬСТВА",IF(I236="","ОТПРАВЛЕНО, ЖДЁМ ПОЛУЧЕНИЯ","ПЕРЕДАНО"))))</f>
        <v/>
      </c>
    </row>
    <row r="237">
      <c r="A237" s="5" t="n">
        <v>233</v>
      </c>
      <c r="B237" s="7" t="n"/>
      <c r="C237" s="7" t="n"/>
      <c r="D237" s="7" t="n"/>
      <c r="E237" s="7" t="n"/>
      <c r="F237" s="7" t="n"/>
      <c r="G237" s="6" t="n"/>
      <c r="H237" s="7" t="n"/>
      <c r="I237" s="6" t="n"/>
      <c r="J237" s="7" t="n"/>
      <c r="K237" s="5">
        <f>IF(B237="","",IF(OR(F237="",G237=""),"НЕ ОТПРАВЛЕНО",IF(J237="","НЕТ ДОКАЗАТЕЛЬСТВА",IF(I237="","ОТПРАВЛЕНО, ЖДЁМ ПОЛУЧЕНИЯ","ПЕРЕДАНО"))))</f>
        <v/>
      </c>
    </row>
    <row r="238">
      <c r="A238" s="5" t="n">
        <v>234</v>
      </c>
      <c r="B238" s="7" t="n"/>
      <c r="C238" s="7" t="n"/>
      <c r="D238" s="7" t="n"/>
      <c r="E238" s="7" t="n"/>
      <c r="F238" s="7" t="n"/>
      <c r="G238" s="6" t="n"/>
      <c r="H238" s="7" t="n"/>
      <c r="I238" s="6" t="n"/>
      <c r="J238" s="7" t="n"/>
      <c r="K238" s="5">
        <f>IF(B238="","",IF(OR(F238="",G238=""),"НЕ ОТПРАВЛЕНО",IF(J238="","НЕТ ДОКАЗАТЕЛЬСТВА",IF(I238="","ОТПРАВЛЕНО, ЖДЁМ ПОЛУЧЕНИЯ","ПЕРЕДАНО"))))</f>
        <v/>
      </c>
    </row>
    <row r="239">
      <c r="A239" s="5" t="n">
        <v>235</v>
      </c>
      <c r="B239" s="7" t="n"/>
      <c r="C239" s="7" t="n"/>
      <c r="D239" s="7" t="n"/>
      <c r="E239" s="7" t="n"/>
      <c r="F239" s="7" t="n"/>
      <c r="G239" s="6" t="n"/>
      <c r="H239" s="7" t="n"/>
      <c r="I239" s="6" t="n"/>
      <c r="J239" s="7" t="n"/>
      <c r="K239" s="5">
        <f>IF(B239="","",IF(OR(F239="",G239=""),"НЕ ОТПРАВЛЕНО",IF(J239="","НЕТ ДОКАЗАТЕЛЬСТВА",IF(I239="","ОТПРАВЛЕНО, ЖДЁМ ПОЛУЧЕНИЯ","ПЕРЕДАНО"))))</f>
        <v/>
      </c>
    </row>
    <row r="240">
      <c r="A240" s="5" t="n">
        <v>236</v>
      </c>
      <c r="B240" s="7" t="n"/>
      <c r="C240" s="7" t="n"/>
      <c r="D240" s="7" t="n"/>
      <c r="E240" s="7" t="n"/>
      <c r="F240" s="7" t="n"/>
      <c r="G240" s="6" t="n"/>
      <c r="H240" s="7" t="n"/>
      <c r="I240" s="6" t="n"/>
      <c r="J240" s="7" t="n"/>
      <c r="K240" s="5">
        <f>IF(B240="","",IF(OR(F240="",G240=""),"НЕ ОТПРАВЛЕНО",IF(J240="","НЕТ ДОКАЗАТЕЛЬСТВА",IF(I240="","ОТПРАВЛЕНО, ЖДЁМ ПОЛУЧЕНИЯ","ПЕРЕДАНО"))))</f>
        <v/>
      </c>
    </row>
    <row r="241">
      <c r="A241" s="5" t="n">
        <v>237</v>
      </c>
      <c r="B241" s="7" t="n"/>
      <c r="C241" s="7" t="n"/>
      <c r="D241" s="7" t="n"/>
      <c r="E241" s="7" t="n"/>
      <c r="F241" s="7" t="n"/>
      <c r="G241" s="6" t="n"/>
      <c r="H241" s="7" t="n"/>
      <c r="I241" s="6" t="n"/>
      <c r="J241" s="7" t="n"/>
      <c r="K241" s="5">
        <f>IF(B241="","",IF(OR(F241="",G241=""),"НЕ ОТПРАВЛЕНО",IF(J241="","НЕТ ДОКАЗАТЕЛЬСТВА",IF(I241="","ОТПРАВЛЕНО, ЖДЁМ ПОЛУЧЕНИЯ","ПЕРЕДАНО"))))</f>
        <v/>
      </c>
    </row>
    <row r="242">
      <c r="A242" s="5" t="n">
        <v>238</v>
      </c>
      <c r="B242" s="7" t="n"/>
      <c r="C242" s="7" t="n"/>
      <c r="D242" s="7" t="n"/>
      <c r="E242" s="7" t="n"/>
      <c r="F242" s="7" t="n"/>
      <c r="G242" s="6" t="n"/>
      <c r="H242" s="7" t="n"/>
      <c r="I242" s="6" t="n"/>
      <c r="J242" s="7" t="n"/>
      <c r="K242" s="5">
        <f>IF(B242="","",IF(OR(F242="",G242=""),"НЕ ОТПРАВЛЕНО",IF(J242="","НЕТ ДОКАЗАТЕЛЬСТВА",IF(I242="","ОТПРАВЛЕНО, ЖДЁМ ПОЛУЧЕНИЯ","ПЕРЕДАНО"))))</f>
        <v/>
      </c>
    </row>
    <row r="243">
      <c r="A243" s="5" t="n">
        <v>239</v>
      </c>
      <c r="B243" s="7" t="n"/>
      <c r="C243" s="7" t="n"/>
      <c r="D243" s="7" t="n"/>
      <c r="E243" s="7" t="n"/>
      <c r="F243" s="7" t="n"/>
      <c r="G243" s="6" t="n"/>
      <c r="H243" s="7" t="n"/>
      <c r="I243" s="6" t="n"/>
      <c r="J243" s="7" t="n"/>
      <c r="K243" s="5">
        <f>IF(B243="","",IF(OR(F243="",G243=""),"НЕ ОТПРАВЛЕНО",IF(J243="","НЕТ ДОКАЗАТЕЛЬСТВА",IF(I243="","ОТПРАВЛЕНО, ЖДЁМ ПОЛУЧЕНИЯ","ПЕРЕДАНО"))))</f>
        <v/>
      </c>
    </row>
    <row r="244">
      <c r="A244" s="5" t="n">
        <v>240</v>
      </c>
      <c r="B244" s="7" t="n"/>
      <c r="C244" s="7" t="n"/>
      <c r="D244" s="7" t="n"/>
      <c r="E244" s="7" t="n"/>
      <c r="F244" s="7" t="n"/>
      <c r="G244" s="6" t="n"/>
      <c r="H244" s="7" t="n"/>
      <c r="I244" s="6" t="n"/>
      <c r="J244" s="7" t="n"/>
      <c r="K244" s="5">
        <f>IF(B244="","",IF(OR(F244="",G244=""),"НЕ ОТПРАВЛЕНО",IF(J244="","НЕТ ДОКАЗАТЕЛЬСТВА",IF(I244="","ОТПРАВЛЕНО, ЖДЁМ ПОЛУЧЕНИЯ","ПЕРЕДАНО"))))</f>
        <v/>
      </c>
    </row>
    <row r="245">
      <c r="A245" s="5" t="n">
        <v>241</v>
      </c>
      <c r="B245" s="7" t="n"/>
      <c r="C245" s="7" t="n"/>
      <c r="D245" s="7" t="n"/>
      <c r="E245" s="7" t="n"/>
      <c r="F245" s="7" t="n"/>
      <c r="G245" s="6" t="n"/>
      <c r="H245" s="7" t="n"/>
      <c r="I245" s="6" t="n"/>
      <c r="J245" s="7" t="n"/>
      <c r="K245" s="5">
        <f>IF(B245="","",IF(OR(F245="",G245=""),"НЕ ОТПРАВЛЕНО",IF(J245="","НЕТ ДОКАЗАТЕЛЬСТВА",IF(I245="","ОТПРАВЛЕНО, ЖДЁМ ПОЛУЧЕНИЯ","ПЕРЕДАНО"))))</f>
        <v/>
      </c>
    </row>
    <row r="246">
      <c r="A246" s="5" t="n">
        <v>242</v>
      </c>
      <c r="B246" s="7" t="n"/>
      <c r="C246" s="7" t="n"/>
      <c r="D246" s="7" t="n"/>
      <c r="E246" s="7" t="n"/>
      <c r="F246" s="7" t="n"/>
      <c r="G246" s="6" t="n"/>
      <c r="H246" s="7" t="n"/>
      <c r="I246" s="6" t="n"/>
      <c r="J246" s="7" t="n"/>
      <c r="K246" s="5">
        <f>IF(B246="","",IF(OR(F246="",G246=""),"НЕ ОТПРАВЛЕНО",IF(J246="","НЕТ ДОКАЗАТЕЛЬСТВА",IF(I246="","ОТПРАВЛЕНО, ЖДЁМ ПОЛУЧЕНИЯ","ПЕРЕДАНО"))))</f>
        <v/>
      </c>
    </row>
    <row r="247">
      <c r="A247" s="5" t="n">
        <v>243</v>
      </c>
      <c r="B247" s="7" t="n"/>
      <c r="C247" s="7" t="n"/>
      <c r="D247" s="7" t="n"/>
      <c r="E247" s="7" t="n"/>
      <c r="F247" s="7" t="n"/>
      <c r="G247" s="6" t="n"/>
      <c r="H247" s="7" t="n"/>
      <c r="I247" s="6" t="n"/>
      <c r="J247" s="7" t="n"/>
      <c r="K247" s="5">
        <f>IF(B247="","",IF(OR(F247="",G247=""),"НЕ ОТПРАВЛЕНО",IF(J247="","НЕТ ДОКАЗАТЕЛЬСТВА",IF(I247="","ОТПРАВЛЕНО, ЖДЁМ ПОЛУЧЕНИЯ","ПЕРЕДАНО"))))</f>
        <v/>
      </c>
    </row>
    <row r="248">
      <c r="A248" s="5" t="n">
        <v>244</v>
      </c>
      <c r="B248" s="7" t="n"/>
      <c r="C248" s="7" t="n"/>
      <c r="D248" s="7" t="n"/>
      <c r="E248" s="7" t="n"/>
      <c r="F248" s="7" t="n"/>
      <c r="G248" s="6" t="n"/>
      <c r="H248" s="7" t="n"/>
      <c r="I248" s="6" t="n"/>
      <c r="J248" s="7" t="n"/>
      <c r="K248" s="5">
        <f>IF(B248="","",IF(OR(F248="",G248=""),"НЕ ОТПРАВЛЕНО",IF(J248="","НЕТ ДОКАЗАТЕЛЬСТВА",IF(I248="","ОТПРАВЛЕНО, ЖДЁМ ПОЛУЧЕНИЯ","ПЕРЕДАНО"))))</f>
        <v/>
      </c>
    </row>
    <row r="249">
      <c r="A249" s="5" t="n">
        <v>245</v>
      </c>
      <c r="B249" s="7" t="n"/>
      <c r="C249" s="7" t="n"/>
      <c r="D249" s="7" t="n"/>
      <c r="E249" s="7" t="n"/>
      <c r="F249" s="7" t="n"/>
      <c r="G249" s="6" t="n"/>
      <c r="H249" s="7" t="n"/>
      <c r="I249" s="6" t="n"/>
      <c r="J249" s="7" t="n"/>
      <c r="K249" s="5">
        <f>IF(B249="","",IF(OR(F249="",G249=""),"НЕ ОТПРАВЛЕНО",IF(J249="","НЕТ ДОКАЗАТЕЛЬСТВА",IF(I249="","ОТПРАВЛЕНО, ЖДЁМ ПОЛУЧЕНИЯ","ПЕРЕДАНО"))))</f>
        <v/>
      </c>
    </row>
    <row r="250">
      <c r="A250" s="5" t="n">
        <v>246</v>
      </c>
      <c r="B250" s="7" t="n"/>
      <c r="C250" s="7" t="n"/>
      <c r="D250" s="7" t="n"/>
      <c r="E250" s="7" t="n"/>
      <c r="F250" s="7" t="n"/>
      <c r="G250" s="6" t="n"/>
      <c r="H250" s="7" t="n"/>
      <c r="I250" s="6" t="n"/>
      <c r="J250" s="7" t="n"/>
      <c r="K250" s="5">
        <f>IF(B250="","",IF(OR(F250="",G250=""),"НЕ ОТПРАВЛЕНО",IF(J250="","НЕТ ДОКАЗАТЕЛЬСТВА",IF(I250="","ОТПРАВЛЕНО, ЖДЁМ ПОЛУЧЕНИЯ","ПЕРЕДАНО"))))</f>
        <v/>
      </c>
    </row>
    <row r="251">
      <c r="A251" s="5" t="n">
        <v>247</v>
      </c>
      <c r="B251" s="7" t="n"/>
      <c r="C251" s="7" t="n"/>
      <c r="D251" s="7" t="n"/>
      <c r="E251" s="7" t="n"/>
      <c r="F251" s="7" t="n"/>
      <c r="G251" s="6" t="n"/>
      <c r="H251" s="7" t="n"/>
      <c r="I251" s="6" t="n"/>
      <c r="J251" s="7" t="n"/>
      <c r="K251" s="5">
        <f>IF(B251="","",IF(OR(F251="",G251=""),"НЕ ОТПРАВЛЕНО",IF(J251="","НЕТ ДОКАЗАТЕЛЬСТВА",IF(I251="","ОТПРАВЛЕНО, ЖДЁМ ПОЛУЧЕНИЯ","ПЕРЕДАНО"))))</f>
        <v/>
      </c>
    </row>
    <row r="252">
      <c r="A252" s="5" t="n">
        <v>248</v>
      </c>
      <c r="B252" s="7" t="n"/>
      <c r="C252" s="7" t="n"/>
      <c r="D252" s="7" t="n"/>
      <c r="E252" s="7" t="n"/>
      <c r="F252" s="7" t="n"/>
      <c r="G252" s="6" t="n"/>
      <c r="H252" s="7" t="n"/>
      <c r="I252" s="6" t="n"/>
      <c r="J252" s="7" t="n"/>
      <c r="K252" s="5">
        <f>IF(B252="","",IF(OR(F252="",G252=""),"НЕ ОТПРАВЛЕНО",IF(J252="","НЕТ ДОКАЗАТЕЛЬСТВА",IF(I252="","ОТПРАВЛЕНО, ЖДЁМ ПОЛУЧЕНИЯ","ПЕРЕДАНО"))))</f>
        <v/>
      </c>
    </row>
    <row r="253">
      <c r="A253" s="5" t="n">
        <v>249</v>
      </c>
      <c r="B253" s="7" t="n"/>
      <c r="C253" s="7" t="n"/>
      <c r="D253" s="7" t="n"/>
      <c r="E253" s="7" t="n"/>
      <c r="F253" s="7" t="n"/>
      <c r="G253" s="6" t="n"/>
      <c r="H253" s="7" t="n"/>
      <c r="I253" s="6" t="n"/>
      <c r="J253" s="7" t="n"/>
      <c r="K253" s="5">
        <f>IF(B253="","",IF(OR(F253="",G253=""),"НЕ ОТПРАВЛЕНО",IF(J253="","НЕТ ДОКАЗАТЕЛЬСТВА",IF(I253="","ОТПРАВЛЕНО, ЖДЁМ ПОЛУЧЕНИЯ","ПЕРЕДАНО"))))</f>
        <v/>
      </c>
    </row>
    <row r="254">
      <c r="A254" s="5" t="n">
        <v>250</v>
      </c>
      <c r="B254" s="7" t="n"/>
      <c r="C254" s="7" t="n"/>
      <c r="D254" s="7" t="n"/>
      <c r="E254" s="7" t="n"/>
      <c r="F254" s="7" t="n"/>
      <c r="G254" s="6" t="n"/>
      <c r="H254" s="7" t="n"/>
      <c r="I254" s="6" t="n"/>
      <c r="J254" s="7" t="n"/>
      <c r="K254" s="5">
        <f>IF(B254="","",IF(OR(F254="",G254=""),"НЕ ОТПРАВЛЕНО",IF(J254="","НЕТ ДОКАЗАТЕЛЬСТВА",IF(I254="","ОТПРАВЛЕНО, ЖДЁМ ПОЛУЧЕНИЯ","ПЕРЕДАНО"))))</f>
        <v/>
      </c>
    </row>
    <row r="255">
      <c r="A255" s="5" t="n">
        <v>251</v>
      </c>
      <c r="B255" s="7" t="n"/>
      <c r="C255" s="7" t="n"/>
      <c r="D255" s="7" t="n"/>
      <c r="E255" s="7" t="n"/>
      <c r="F255" s="7" t="n"/>
      <c r="G255" s="6" t="n"/>
      <c r="H255" s="7" t="n"/>
      <c r="I255" s="6" t="n"/>
      <c r="J255" s="7" t="n"/>
      <c r="K255" s="5">
        <f>IF(B255="","",IF(OR(F255="",G255=""),"НЕ ОТПРАВЛЕНО",IF(J255="","НЕТ ДОКАЗАТЕЛЬСТВА",IF(I255="","ОТПРАВЛЕНО, ЖДЁМ ПОЛУЧЕНИЯ","ПЕРЕДАНО"))))</f>
        <v/>
      </c>
    </row>
    <row r="256">
      <c r="A256" s="5" t="n">
        <v>252</v>
      </c>
      <c r="B256" s="7" t="n"/>
      <c r="C256" s="7" t="n"/>
      <c r="D256" s="7" t="n"/>
      <c r="E256" s="7" t="n"/>
      <c r="F256" s="7" t="n"/>
      <c r="G256" s="6" t="n"/>
      <c r="H256" s="7" t="n"/>
      <c r="I256" s="6" t="n"/>
      <c r="J256" s="7" t="n"/>
      <c r="K256" s="5">
        <f>IF(B256="","",IF(OR(F256="",G256=""),"НЕ ОТПРАВЛЕНО",IF(J256="","НЕТ ДОКАЗАТЕЛЬСТВА",IF(I256="","ОТПРАВЛЕНО, ЖДЁМ ПОЛУЧЕНИЯ","ПЕРЕДАНО"))))</f>
        <v/>
      </c>
    </row>
    <row r="257">
      <c r="A257" s="5" t="n">
        <v>253</v>
      </c>
      <c r="B257" s="7" t="n"/>
      <c r="C257" s="7" t="n"/>
      <c r="D257" s="7" t="n"/>
      <c r="E257" s="7" t="n"/>
      <c r="F257" s="7" t="n"/>
      <c r="G257" s="6" t="n"/>
      <c r="H257" s="7" t="n"/>
      <c r="I257" s="6" t="n"/>
      <c r="J257" s="7" t="n"/>
      <c r="K257" s="5">
        <f>IF(B257="","",IF(OR(F257="",G257=""),"НЕ ОТПРАВЛЕНО",IF(J257="","НЕТ ДОКАЗАТЕЛЬСТВА",IF(I257="","ОТПРАВЛЕНО, ЖДЁМ ПОЛУЧЕНИЯ","ПЕРЕДАНО"))))</f>
        <v/>
      </c>
    </row>
    <row r="258">
      <c r="A258" s="5" t="n">
        <v>254</v>
      </c>
      <c r="B258" s="7" t="n"/>
      <c r="C258" s="7" t="n"/>
      <c r="D258" s="7" t="n"/>
      <c r="E258" s="7" t="n"/>
      <c r="F258" s="7" t="n"/>
      <c r="G258" s="6" t="n"/>
      <c r="H258" s="7" t="n"/>
      <c r="I258" s="6" t="n"/>
      <c r="J258" s="7" t="n"/>
      <c r="K258" s="5">
        <f>IF(B258="","",IF(OR(F258="",G258=""),"НЕ ОТПРАВЛЕНО",IF(J258="","НЕТ ДОКАЗАТЕЛЬСТВА",IF(I258="","ОТПРАВЛЕНО, ЖДЁМ ПОЛУЧЕНИЯ","ПЕРЕДАНО"))))</f>
        <v/>
      </c>
    </row>
    <row r="259">
      <c r="A259" s="5" t="n">
        <v>255</v>
      </c>
      <c r="B259" s="7" t="n"/>
      <c r="C259" s="7" t="n"/>
      <c r="D259" s="7" t="n"/>
      <c r="E259" s="7" t="n"/>
      <c r="F259" s="7" t="n"/>
      <c r="G259" s="6" t="n"/>
      <c r="H259" s="7" t="n"/>
      <c r="I259" s="6" t="n"/>
      <c r="J259" s="7" t="n"/>
      <c r="K259" s="5">
        <f>IF(B259="","",IF(OR(F259="",G259=""),"НЕ ОТПРАВЛЕНО",IF(J259="","НЕТ ДОКАЗАТЕЛЬСТВА",IF(I259="","ОТПРАВЛЕНО, ЖДЁМ ПОЛУЧЕНИЯ","ПЕРЕДАНО"))))</f>
        <v/>
      </c>
    </row>
    <row r="260">
      <c r="A260" s="5" t="n">
        <v>256</v>
      </c>
      <c r="B260" s="7" t="n"/>
      <c r="C260" s="7" t="n"/>
      <c r="D260" s="7" t="n"/>
      <c r="E260" s="7" t="n"/>
      <c r="F260" s="7" t="n"/>
      <c r="G260" s="6" t="n"/>
      <c r="H260" s="7" t="n"/>
      <c r="I260" s="6" t="n"/>
      <c r="J260" s="7" t="n"/>
      <c r="K260" s="5">
        <f>IF(B260="","",IF(OR(F260="",G260=""),"НЕ ОТПРАВЛЕНО",IF(J260="","НЕТ ДОКАЗАТЕЛЬСТВА",IF(I260="","ОТПРАВЛЕНО, ЖДЁМ ПОЛУЧЕНИЯ","ПЕРЕДАНО"))))</f>
        <v/>
      </c>
    </row>
    <row r="261">
      <c r="A261" s="5" t="n">
        <v>257</v>
      </c>
      <c r="B261" s="7" t="n"/>
      <c r="C261" s="7" t="n"/>
      <c r="D261" s="7" t="n"/>
      <c r="E261" s="7" t="n"/>
      <c r="F261" s="7" t="n"/>
      <c r="G261" s="6" t="n"/>
      <c r="H261" s="7" t="n"/>
      <c r="I261" s="6" t="n"/>
      <c r="J261" s="7" t="n"/>
      <c r="K261" s="5">
        <f>IF(B261="","",IF(OR(F261="",G261=""),"НЕ ОТПРАВЛЕНО",IF(J261="","НЕТ ДОКАЗАТЕЛЬСТВА",IF(I261="","ОТПРАВЛЕНО, ЖДЁМ ПОЛУЧЕНИЯ","ПЕРЕДАНО"))))</f>
        <v/>
      </c>
    </row>
    <row r="262">
      <c r="A262" s="5" t="n">
        <v>258</v>
      </c>
      <c r="B262" s="7" t="n"/>
      <c r="C262" s="7" t="n"/>
      <c r="D262" s="7" t="n"/>
      <c r="E262" s="7" t="n"/>
      <c r="F262" s="7" t="n"/>
      <c r="G262" s="6" t="n"/>
      <c r="H262" s="7" t="n"/>
      <c r="I262" s="6" t="n"/>
      <c r="J262" s="7" t="n"/>
      <c r="K262" s="5">
        <f>IF(B262="","",IF(OR(F262="",G262=""),"НЕ ОТПРАВЛЕНО",IF(J262="","НЕТ ДОКАЗАТЕЛЬСТВА",IF(I262="","ОТПРАВЛЕНО, ЖДЁМ ПОЛУЧЕНИЯ","ПЕРЕДАНО"))))</f>
        <v/>
      </c>
    </row>
    <row r="263">
      <c r="A263" s="5" t="n">
        <v>259</v>
      </c>
      <c r="B263" s="7" t="n"/>
      <c r="C263" s="7" t="n"/>
      <c r="D263" s="7" t="n"/>
      <c r="E263" s="7" t="n"/>
      <c r="F263" s="7" t="n"/>
      <c r="G263" s="6" t="n"/>
      <c r="H263" s="7" t="n"/>
      <c r="I263" s="6" t="n"/>
      <c r="J263" s="7" t="n"/>
      <c r="K263" s="5">
        <f>IF(B263="","",IF(OR(F263="",G263=""),"НЕ ОТПРАВЛЕНО",IF(J263="","НЕТ ДОКАЗАТЕЛЬСТВА",IF(I263="","ОТПРАВЛЕНО, ЖДЁМ ПОЛУЧЕНИЯ","ПЕРЕДАНО"))))</f>
        <v/>
      </c>
    </row>
    <row r="264">
      <c r="A264" s="5" t="n">
        <v>260</v>
      </c>
      <c r="B264" s="7" t="n"/>
      <c r="C264" s="7" t="n"/>
      <c r="D264" s="7" t="n"/>
      <c r="E264" s="7" t="n"/>
      <c r="F264" s="7" t="n"/>
      <c r="G264" s="6" t="n"/>
      <c r="H264" s="7" t="n"/>
      <c r="I264" s="6" t="n"/>
      <c r="J264" s="7" t="n"/>
      <c r="K264" s="5">
        <f>IF(B264="","",IF(OR(F264="",G264=""),"НЕ ОТПРАВЛЕНО",IF(J264="","НЕТ ДОКАЗАТЕЛЬСТВА",IF(I264="","ОТПРАВЛЕНО, ЖДЁМ ПОЛУЧЕНИЯ","ПЕРЕДАНО"))))</f>
        <v/>
      </c>
    </row>
    <row r="265">
      <c r="A265" s="5" t="n">
        <v>261</v>
      </c>
      <c r="B265" s="7" t="n"/>
      <c r="C265" s="7" t="n"/>
      <c r="D265" s="7" t="n"/>
      <c r="E265" s="7" t="n"/>
      <c r="F265" s="7" t="n"/>
      <c r="G265" s="6" t="n"/>
      <c r="H265" s="7" t="n"/>
      <c r="I265" s="6" t="n"/>
      <c r="J265" s="7" t="n"/>
      <c r="K265" s="5">
        <f>IF(B265="","",IF(OR(F265="",G265=""),"НЕ ОТПРАВЛЕНО",IF(J265="","НЕТ ДОКАЗАТЕЛЬСТВА",IF(I265="","ОТПРАВЛЕНО, ЖДЁМ ПОЛУЧЕНИЯ","ПЕРЕДАНО"))))</f>
        <v/>
      </c>
    </row>
    <row r="266">
      <c r="A266" s="5" t="n">
        <v>262</v>
      </c>
      <c r="B266" s="7" t="n"/>
      <c r="C266" s="7" t="n"/>
      <c r="D266" s="7" t="n"/>
      <c r="E266" s="7" t="n"/>
      <c r="F266" s="7" t="n"/>
      <c r="G266" s="6" t="n"/>
      <c r="H266" s="7" t="n"/>
      <c r="I266" s="6" t="n"/>
      <c r="J266" s="7" t="n"/>
      <c r="K266" s="5">
        <f>IF(B266="","",IF(OR(F266="",G266=""),"НЕ ОТПРАВЛЕНО",IF(J266="","НЕТ ДОКАЗАТЕЛЬСТВА",IF(I266="","ОТПРАВЛЕНО, ЖДЁМ ПОЛУЧЕНИЯ","ПЕРЕДАНО"))))</f>
        <v/>
      </c>
    </row>
    <row r="267">
      <c r="A267" s="5" t="n">
        <v>263</v>
      </c>
      <c r="B267" s="7" t="n"/>
      <c r="C267" s="7" t="n"/>
      <c r="D267" s="7" t="n"/>
      <c r="E267" s="7" t="n"/>
      <c r="F267" s="7" t="n"/>
      <c r="G267" s="6" t="n"/>
      <c r="H267" s="7" t="n"/>
      <c r="I267" s="6" t="n"/>
      <c r="J267" s="7" t="n"/>
      <c r="K267" s="5">
        <f>IF(B267="","",IF(OR(F267="",G267=""),"НЕ ОТПРАВЛЕНО",IF(J267="","НЕТ ДОКАЗАТЕЛЬСТВА",IF(I267="","ОТПРАВЛЕНО, ЖДЁМ ПОЛУЧЕНИЯ","ПЕРЕДАНО"))))</f>
        <v/>
      </c>
    </row>
    <row r="268">
      <c r="A268" s="5" t="n">
        <v>264</v>
      </c>
      <c r="B268" s="7" t="n"/>
      <c r="C268" s="7" t="n"/>
      <c r="D268" s="7" t="n"/>
      <c r="E268" s="7" t="n"/>
      <c r="F268" s="7" t="n"/>
      <c r="G268" s="6" t="n"/>
      <c r="H268" s="7" t="n"/>
      <c r="I268" s="6" t="n"/>
      <c r="J268" s="7" t="n"/>
      <c r="K268" s="5">
        <f>IF(B268="","",IF(OR(F268="",G268=""),"НЕ ОТПРАВЛЕНО",IF(J268="","НЕТ ДОКАЗАТЕЛЬСТВА",IF(I268="","ОТПРАВЛЕНО, ЖДЁМ ПОЛУЧЕНИЯ","ПЕРЕДАНО"))))</f>
        <v/>
      </c>
    </row>
    <row r="269">
      <c r="A269" s="5" t="n">
        <v>265</v>
      </c>
      <c r="B269" s="7" t="n"/>
      <c r="C269" s="7" t="n"/>
      <c r="D269" s="7" t="n"/>
      <c r="E269" s="7" t="n"/>
      <c r="F269" s="7" t="n"/>
      <c r="G269" s="6" t="n"/>
      <c r="H269" s="7" t="n"/>
      <c r="I269" s="6" t="n"/>
      <c r="J269" s="7" t="n"/>
      <c r="K269" s="5">
        <f>IF(B269="","",IF(OR(F269="",G269=""),"НЕ ОТПРАВЛЕНО",IF(J269="","НЕТ ДОКАЗАТЕЛЬСТВА",IF(I269="","ОТПРАВЛЕНО, ЖДЁМ ПОЛУЧЕНИЯ","ПЕРЕДАНО"))))</f>
        <v/>
      </c>
    </row>
    <row r="270">
      <c r="A270" s="5" t="n">
        <v>266</v>
      </c>
      <c r="B270" s="7" t="n"/>
      <c r="C270" s="7" t="n"/>
      <c r="D270" s="7" t="n"/>
      <c r="E270" s="7" t="n"/>
      <c r="F270" s="7" t="n"/>
      <c r="G270" s="6" t="n"/>
      <c r="H270" s="7" t="n"/>
      <c r="I270" s="6" t="n"/>
      <c r="J270" s="7" t="n"/>
      <c r="K270" s="5">
        <f>IF(B270="","",IF(OR(F270="",G270=""),"НЕ ОТПРАВЛЕНО",IF(J270="","НЕТ ДОКАЗАТЕЛЬСТВА",IF(I270="","ОТПРАВЛЕНО, ЖДЁМ ПОЛУЧЕНИЯ","ПЕРЕДАНО"))))</f>
        <v/>
      </c>
    </row>
    <row r="271">
      <c r="A271" s="5" t="n">
        <v>267</v>
      </c>
      <c r="B271" s="7" t="n"/>
      <c r="C271" s="7" t="n"/>
      <c r="D271" s="7" t="n"/>
      <c r="E271" s="7" t="n"/>
      <c r="F271" s="7" t="n"/>
      <c r="G271" s="6" t="n"/>
      <c r="H271" s="7" t="n"/>
      <c r="I271" s="6" t="n"/>
      <c r="J271" s="7" t="n"/>
      <c r="K271" s="5">
        <f>IF(B271="","",IF(OR(F271="",G271=""),"НЕ ОТПРАВЛЕНО",IF(J271="","НЕТ ДОКАЗАТЕЛЬСТВА",IF(I271="","ОТПРАВЛЕНО, ЖДЁМ ПОЛУЧЕНИЯ","ПЕРЕДАНО"))))</f>
        <v/>
      </c>
    </row>
    <row r="272">
      <c r="A272" s="5" t="n">
        <v>268</v>
      </c>
      <c r="B272" s="7" t="n"/>
      <c r="C272" s="7" t="n"/>
      <c r="D272" s="7" t="n"/>
      <c r="E272" s="7" t="n"/>
      <c r="F272" s="7" t="n"/>
      <c r="G272" s="6" t="n"/>
      <c r="H272" s="7" t="n"/>
      <c r="I272" s="6" t="n"/>
      <c r="J272" s="7" t="n"/>
      <c r="K272" s="5">
        <f>IF(B272="","",IF(OR(F272="",G272=""),"НЕ ОТПРАВЛЕНО",IF(J272="","НЕТ ДОКАЗАТЕЛЬСТВА",IF(I272="","ОТПРАВЛЕНО, ЖДЁМ ПОЛУЧЕНИЯ","ПЕРЕДАНО"))))</f>
        <v/>
      </c>
    </row>
    <row r="273">
      <c r="A273" s="5" t="n">
        <v>269</v>
      </c>
      <c r="B273" s="7" t="n"/>
      <c r="C273" s="7" t="n"/>
      <c r="D273" s="7" t="n"/>
      <c r="E273" s="7" t="n"/>
      <c r="F273" s="7" t="n"/>
      <c r="G273" s="6" t="n"/>
      <c r="H273" s="7" t="n"/>
      <c r="I273" s="6" t="n"/>
      <c r="J273" s="7" t="n"/>
      <c r="K273" s="5">
        <f>IF(B273="","",IF(OR(F273="",G273=""),"НЕ ОТПРАВЛЕНО",IF(J273="","НЕТ ДОКАЗАТЕЛЬСТВА",IF(I273="","ОТПРАВЛЕНО, ЖДЁМ ПОЛУЧЕНИЯ","ПЕРЕДАНО"))))</f>
        <v/>
      </c>
    </row>
    <row r="274">
      <c r="A274" s="5" t="n">
        <v>270</v>
      </c>
      <c r="B274" s="7" t="n"/>
      <c r="C274" s="7" t="n"/>
      <c r="D274" s="7" t="n"/>
      <c r="E274" s="7" t="n"/>
      <c r="F274" s="7" t="n"/>
      <c r="G274" s="6" t="n"/>
      <c r="H274" s="7" t="n"/>
      <c r="I274" s="6" t="n"/>
      <c r="J274" s="7" t="n"/>
      <c r="K274" s="5">
        <f>IF(B274="","",IF(OR(F274="",G274=""),"НЕ ОТПРАВЛЕНО",IF(J274="","НЕТ ДОКАЗАТЕЛЬСТВА",IF(I274="","ОТПРАВЛЕНО, ЖДЁМ ПОЛУЧЕНИЯ","ПЕРЕДАНО"))))</f>
        <v/>
      </c>
    </row>
    <row r="275">
      <c r="A275" s="5" t="n">
        <v>271</v>
      </c>
      <c r="B275" s="7" t="n"/>
      <c r="C275" s="7" t="n"/>
      <c r="D275" s="7" t="n"/>
      <c r="E275" s="7" t="n"/>
      <c r="F275" s="7" t="n"/>
      <c r="G275" s="6" t="n"/>
      <c r="H275" s="7" t="n"/>
      <c r="I275" s="6" t="n"/>
      <c r="J275" s="7" t="n"/>
      <c r="K275" s="5">
        <f>IF(B275="","",IF(OR(F275="",G275=""),"НЕ ОТПРАВЛЕНО",IF(J275="","НЕТ ДОКАЗАТЕЛЬСТВА",IF(I275="","ОТПРАВЛЕНО, ЖДЁМ ПОЛУЧЕНИЯ","ПЕРЕДАНО"))))</f>
        <v/>
      </c>
    </row>
    <row r="276">
      <c r="A276" s="5" t="n">
        <v>272</v>
      </c>
      <c r="B276" s="7" t="n"/>
      <c r="C276" s="7" t="n"/>
      <c r="D276" s="7" t="n"/>
      <c r="E276" s="7" t="n"/>
      <c r="F276" s="7" t="n"/>
      <c r="G276" s="6" t="n"/>
      <c r="H276" s="7" t="n"/>
      <c r="I276" s="6" t="n"/>
      <c r="J276" s="7" t="n"/>
      <c r="K276" s="5">
        <f>IF(B276="","",IF(OR(F276="",G276=""),"НЕ ОТПРАВЛЕНО",IF(J276="","НЕТ ДОКАЗАТЕЛЬСТВА",IF(I276="","ОТПРАВЛЕНО, ЖДЁМ ПОЛУЧЕНИЯ","ПЕРЕДАНО"))))</f>
        <v/>
      </c>
    </row>
    <row r="277">
      <c r="A277" s="5" t="n">
        <v>273</v>
      </c>
      <c r="B277" s="7" t="n"/>
      <c r="C277" s="7" t="n"/>
      <c r="D277" s="7" t="n"/>
      <c r="E277" s="7" t="n"/>
      <c r="F277" s="7" t="n"/>
      <c r="G277" s="6" t="n"/>
      <c r="H277" s="7" t="n"/>
      <c r="I277" s="6" t="n"/>
      <c r="J277" s="7" t="n"/>
      <c r="K277" s="5">
        <f>IF(B277="","",IF(OR(F277="",G277=""),"НЕ ОТПРАВЛЕНО",IF(J277="","НЕТ ДОКАЗАТЕЛЬСТВА",IF(I277="","ОТПРАВЛЕНО, ЖДЁМ ПОЛУЧЕНИЯ","ПЕРЕДАНО"))))</f>
        <v/>
      </c>
    </row>
    <row r="278">
      <c r="A278" s="5" t="n">
        <v>274</v>
      </c>
      <c r="B278" s="7" t="n"/>
      <c r="C278" s="7" t="n"/>
      <c r="D278" s="7" t="n"/>
      <c r="E278" s="7" t="n"/>
      <c r="F278" s="7" t="n"/>
      <c r="G278" s="6" t="n"/>
      <c r="H278" s="7" t="n"/>
      <c r="I278" s="6" t="n"/>
      <c r="J278" s="7" t="n"/>
      <c r="K278" s="5">
        <f>IF(B278="","",IF(OR(F278="",G278=""),"НЕ ОТПРАВЛЕНО",IF(J278="","НЕТ ДОКАЗАТЕЛЬСТВА",IF(I278="","ОТПРАВЛЕНО, ЖДЁМ ПОЛУЧЕНИЯ","ПЕРЕДАНО"))))</f>
        <v/>
      </c>
    </row>
    <row r="279">
      <c r="A279" s="5" t="n">
        <v>275</v>
      </c>
      <c r="B279" s="7" t="n"/>
      <c r="C279" s="7" t="n"/>
      <c r="D279" s="7" t="n"/>
      <c r="E279" s="7" t="n"/>
      <c r="F279" s="7" t="n"/>
      <c r="G279" s="6" t="n"/>
      <c r="H279" s="7" t="n"/>
      <c r="I279" s="6" t="n"/>
      <c r="J279" s="7" t="n"/>
      <c r="K279" s="5">
        <f>IF(B279="","",IF(OR(F279="",G279=""),"НЕ ОТПРАВЛЕНО",IF(J279="","НЕТ ДОКАЗАТЕЛЬСТВА",IF(I279="","ОТПРАВЛЕНО, ЖДЁМ ПОЛУЧЕНИЯ","ПЕРЕДАНО"))))</f>
        <v/>
      </c>
    </row>
    <row r="280">
      <c r="A280" s="5" t="n">
        <v>276</v>
      </c>
      <c r="B280" s="7" t="n"/>
      <c r="C280" s="7" t="n"/>
      <c r="D280" s="7" t="n"/>
      <c r="E280" s="7" t="n"/>
      <c r="F280" s="7" t="n"/>
      <c r="G280" s="6" t="n"/>
      <c r="H280" s="7" t="n"/>
      <c r="I280" s="6" t="n"/>
      <c r="J280" s="7" t="n"/>
      <c r="K280" s="5">
        <f>IF(B280="","",IF(OR(F280="",G280=""),"НЕ ОТПРАВЛЕНО",IF(J280="","НЕТ ДОКАЗАТЕЛЬСТВА",IF(I280="","ОТПРАВЛЕНО, ЖДЁМ ПОЛУЧЕНИЯ","ПЕРЕДАНО"))))</f>
        <v/>
      </c>
    </row>
    <row r="281">
      <c r="A281" s="5" t="n">
        <v>277</v>
      </c>
      <c r="B281" s="7" t="n"/>
      <c r="C281" s="7" t="n"/>
      <c r="D281" s="7" t="n"/>
      <c r="E281" s="7" t="n"/>
      <c r="F281" s="7" t="n"/>
      <c r="G281" s="6" t="n"/>
      <c r="H281" s="7" t="n"/>
      <c r="I281" s="6" t="n"/>
      <c r="J281" s="7" t="n"/>
      <c r="K281" s="5">
        <f>IF(B281="","",IF(OR(F281="",G281=""),"НЕ ОТПРАВЛЕНО",IF(J281="","НЕТ ДОКАЗАТЕЛЬСТВА",IF(I281="","ОТПРАВЛЕНО, ЖДЁМ ПОЛУЧЕНИЯ","ПЕРЕДАНО"))))</f>
        <v/>
      </c>
    </row>
    <row r="282">
      <c r="A282" s="5" t="n">
        <v>278</v>
      </c>
      <c r="B282" s="7" t="n"/>
      <c r="C282" s="7" t="n"/>
      <c r="D282" s="7" t="n"/>
      <c r="E282" s="7" t="n"/>
      <c r="F282" s="7" t="n"/>
      <c r="G282" s="6" t="n"/>
      <c r="H282" s="7" t="n"/>
      <c r="I282" s="6" t="n"/>
      <c r="J282" s="7" t="n"/>
      <c r="K282" s="5">
        <f>IF(B282="","",IF(OR(F282="",G282=""),"НЕ ОТПРАВЛЕНО",IF(J282="","НЕТ ДОКАЗАТЕЛЬСТВА",IF(I282="","ОТПРАВЛЕНО, ЖДЁМ ПОЛУЧЕНИЯ","ПЕРЕДАНО"))))</f>
        <v/>
      </c>
    </row>
    <row r="283">
      <c r="A283" s="5" t="n">
        <v>279</v>
      </c>
      <c r="B283" s="7" t="n"/>
      <c r="C283" s="7" t="n"/>
      <c r="D283" s="7" t="n"/>
      <c r="E283" s="7" t="n"/>
      <c r="F283" s="7" t="n"/>
      <c r="G283" s="6" t="n"/>
      <c r="H283" s="7" t="n"/>
      <c r="I283" s="6" t="n"/>
      <c r="J283" s="7" t="n"/>
      <c r="K283" s="5">
        <f>IF(B283="","",IF(OR(F283="",G283=""),"НЕ ОТПРАВЛЕНО",IF(J283="","НЕТ ДОКАЗАТЕЛЬСТВА",IF(I283="","ОТПРАВЛЕНО, ЖДЁМ ПОЛУЧЕНИЯ","ПЕРЕДАНО"))))</f>
        <v/>
      </c>
    </row>
    <row r="284">
      <c r="A284" s="5" t="n">
        <v>280</v>
      </c>
      <c r="B284" s="7" t="n"/>
      <c r="C284" s="7" t="n"/>
      <c r="D284" s="7" t="n"/>
      <c r="E284" s="7" t="n"/>
      <c r="F284" s="7" t="n"/>
      <c r="G284" s="6" t="n"/>
      <c r="H284" s="7" t="n"/>
      <c r="I284" s="6" t="n"/>
      <c r="J284" s="7" t="n"/>
      <c r="K284" s="5">
        <f>IF(B284="","",IF(OR(F284="",G284=""),"НЕ ОТПРАВЛЕНО",IF(J284="","НЕТ ДОКАЗАТЕЛЬСТВА",IF(I284="","ОТПРАВЛЕНО, ЖДЁМ ПОЛУЧЕНИЯ","ПЕРЕДАНО"))))</f>
        <v/>
      </c>
    </row>
    <row r="285">
      <c r="A285" s="5" t="n">
        <v>281</v>
      </c>
      <c r="B285" s="7" t="n"/>
      <c r="C285" s="7" t="n"/>
      <c r="D285" s="7" t="n"/>
      <c r="E285" s="7" t="n"/>
      <c r="F285" s="7" t="n"/>
      <c r="G285" s="6" t="n"/>
      <c r="H285" s="7" t="n"/>
      <c r="I285" s="6" t="n"/>
      <c r="J285" s="7" t="n"/>
      <c r="K285" s="5">
        <f>IF(B285="","",IF(OR(F285="",G285=""),"НЕ ОТПРАВЛЕНО",IF(J285="","НЕТ ДОКАЗАТЕЛЬСТВА",IF(I285="","ОТПРАВЛЕНО, ЖДЁМ ПОЛУЧЕНИЯ","ПЕРЕДАНО"))))</f>
        <v/>
      </c>
    </row>
    <row r="286">
      <c r="A286" s="5" t="n">
        <v>282</v>
      </c>
      <c r="B286" s="7" t="n"/>
      <c r="C286" s="7" t="n"/>
      <c r="D286" s="7" t="n"/>
      <c r="E286" s="7" t="n"/>
      <c r="F286" s="7" t="n"/>
      <c r="G286" s="6" t="n"/>
      <c r="H286" s="7" t="n"/>
      <c r="I286" s="6" t="n"/>
      <c r="J286" s="7" t="n"/>
      <c r="K286" s="5">
        <f>IF(B286="","",IF(OR(F286="",G286=""),"НЕ ОТПРАВЛЕНО",IF(J286="","НЕТ ДОКАЗАТЕЛЬСТВА",IF(I286="","ОТПРАВЛЕНО, ЖДЁМ ПОЛУЧЕНИЯ","ПЕРЕДАНО"))))</f>
        <v/>
      </c>
    </row>
    <row r="287">
      <c r="A287" s="5" t="n">
        <v>283</v>
      </c>
      <c r="B287" s="7" t="n"/>
      <c r="C287" s="7" t="n"/>
      <c r="D287" s="7" t="n"/>
      <c r="E287" s="7" t="n"/>
      <c r="F287" s="7" t="n"/>
      <c r="G287" s="6" t="n"/>
      <c r="H287" s="7" t="n"/>
      <c r="I287" s="6" t="n"/>
      <c r="J287" s="7" t="n"/>
      <c r="K287" s="5">
        <f>IF(B287="","",IF(OR(F287="",G287=""),"НЕ ОТПРАВЛЕНО",IF(J287="","НЕТ ДОКАЗАТЕЛЬСТВА",IF(I287="","ОТПРАВЛЕНО, ЖДЁМ ПОЛУЧЕНИЯ","ПЕРЕДАНО"))))</f>
        <v/>
      </c>
    </row>
    <row r="288">
      <c r="A288" s="5" t="n">
        <v>284</v>
      </c>
      <c r="B288" s="7" t="n"/>
      <c r="C288" s="7" t="n"/>
      <c r="D288" s="7" t="n"/>
      <c r="E288" s="7" t="n"/>
      <c r="F288" s="7" t="n"/>
      <c r="G288" s="6" t="n"/>
      <c r="H288" s="7" t="n"/>
      <c r="I288" s="6" t="n"/>
      <c r="J288" s="7" t="n"/>
      <c r="K288" s="5">
        <f>IF(B288="","",IF(OR(F288="",G288=""),"НЕ ОТПРАВЛЕНО",IF(J288="","НЕТ ДОКАЗАТЕЛЬСТВА",IF(I288="","ОТПРАВЛЕНО, ЖДЁМ ПОЛУЧЕНИЯ","ПЕРЕДАНО"))))</f>
        <v/>
      </c>
    </row>
    <row r="289">
      <c r="A289" s="5" t="n">
        <v>285</v>
      </c>
      <c r="B289" s="7" t="n"/>
      <c r="C289" s="7" t="n"/>
      <c r="D289" s="7" t="n"/>
      <c r="E289" s="7" t="n"/>
      <c r="F289" s="7" t="n"/>
      <c r="G289" s="6" t="n"/>
      <c r="H289" s="7" t="n"/>
      <c r="I289" s="6" t="n"/>
      <c r="J289" s="7" t="n"/>
      <c r="K289" s="5">
        <f>IF(B289="","",IF(OR(F289="",G289=""),"НЕ ОТПРАВЛЕНО",IF(J289="","НЕТ ДОКАЗАТЕЛЬСТВА",IF(I289="","ОТПРАВЛЕНО, ЖДЁМ ПОЛУЧЕНИЯ","ПЕРЕДАНО"))))</f>
        <v/>
      </c>
    </row>
    <row r="290">
      <c r="A290" s="5" t="n">
        <v>286</v>
      </c>
      <c r="B290" s="7" t="n"/>
      <c r="C290" s="7" t="n"/>
      <c r="D290" s="7" t="n"/>
      <c r="E290" s="7" t="n"/>
      <c r="F290" s="7" t="n"/>
      <c r="G290" s="6" t="n"/>
      <c r="H290" s="7" t="n"/>
      <c r="I290" s="6" t="n"/>
      <c r="J290" s="7" t="n"/>
      <c r="K290" s="5">
        <f>IF(B290="","",IF(OR(F290="",G290=""),"НЕ ОТПРАВЛЕНО",IF(J290="","НЕТ ДОКАЗАТЕЛЬСТВА",IF(I290="","ОТПРАВЛЕНО, ЖДЁМ ПОЛУЧЕНИЯ","ПЕРЕДАНО"))))</f>
        <v/>
      </c>
    </row>
    <row r="291">
      <c r="A291" s="5" t="n">
        <v>287</v>
      </c>
      <c r="B291" s="7" t="n"/>
      <c r="C291" s="7" t="n"/>
      <c r="D291" s="7" t="n"/>
      <c r="E291" s="7" t="n"/>
      <c r="F291" s="7" t="n"/>
      <c r="G291" s="6" t="n"/>
      <c r="H291" s="7" t="n"/>
      <c r="I291" s="6" t="n"/>
      <c r="J291" s="7" t="n"/>
      <c r="K291" s="5">
        <f>IF(B291="","",IF(OR(F291="",G291=""),"НЕ ОТПРАВЛЕНО",IF(J291="","НЕТ ДОКАЗАТЕЛЬСТВА",IF(I291="","ОТПРАВЛЕНО, ЖДЁМ ПОЛУЧЕНИЯ","ПЕРЕДАНО"))))</f>
        <v/>
      </c>
    </row>
    <row r="292">
      <c r="A292" s="5" t="n">
        <v>288</v>
      </c>
      <c r="B292" s="7" t="n"/>
      <c r="C292" s="7" t="n"/>
      <c r="D292" s="7" t="n"/>
      <c r="E292" s="7" t="n"/>
      <c r="F292" s="7" t="n"/>
      <c r="G292" s="6" t="n"/>
      <c r="H292" s="7" t="n"/>
      <c r="I292" s="6" t="n"/>
      <c r="J292" s="7" t="n"/>
      <c r="K292" s="5">
        <f>IF(B292="","",IF(OR(F292="",G292=""),"НЕ ОТПРАВЛЕНО",IF(J292="","НЕТ ДОКАЗАТЕЛЬСТВА",IF(I292="","ОТПРАВЛЕНО, ЖДЁМ ПОЛУЧЕНИЯ","ПЕРЕДАНО"))))</f>
        <v/>
      </c>
    </row>
    <row r="293">
      <c r="A293" s="5" t="n">
        <v>289</v>
      </c>
      <c r="B293" s="7" t="n"/>
      <c r="C293" s="7" t="n"/>
      <c r="D293" s="7" t="n"/>
      <c r="E293" s="7" t="n"/>
      <c r="F293" s="7" t="n"/>
      <c r="G293" s="6" t="n"/>
      <c r="H293" s="7" t="n"/>
      <c r="I293" s="6" t="n"/>
      <c r="J293" s="7" t="n"/>
      <c r="K293" s="5">
        <f>IF(B293="","",IF(OR(F293="",G293=""),"НЕ ОТПРАВЛЕНО",IF(J293="","НЕТ ДОКАЗАТЕЛЬСТВА",IF(I293="","ОТПРАВЛЕНО, ЖДЁМ ПОЛУЧЕНИЯ","ПЕРЕДАНО"))))</f>
        <v/>
      </c>
    </row>
    <row r="294">
      <c r="A294" s="5" t="n">
        <v>290</v>
      </c>
      <c r="B294" s="7" t="n"/>
      <c r="C294" s="7" t="n"/>
      <c r="D294" s="7" t="n"/>
      <c r="E294" s="7" t="n"/>
      <c r="F294" s="7" t="n"/>
      <c r="G294" s="6" t="n"/>
      <c r="H294" s="7" t="n"/>
      <c r="I294" s="6" t="n"/>
      <c r="J294" s="7" t="n"/>
      <c r="K294" s="5">
        <f>IF(B294="","",IF(OR(F294="",G294=""),"НЕ ОТПРАВЛЕНО",IF(J294="","НЕТ ДОКАЗАТЕЛЬСТВА",IF(I294="","ОТПРАВЛЕНО, ЖДЁМ ПОЛУЧЕНИЯ","ПЕРЕДАНО"))))</f>
        <v/>
      </c>
    </row>
    <row r="295">
      <c r="A295" s="5" t="n">
        <v>291</v>
      </c>
      <c r="B295" s="7" t="n"/>
      <c r="C295" s="7" t="n"/>
      <c r="D295" s="7" t="n"/>
      <c r="E295" s="7" t="n"/>
      <c r="F295" s="7" t="n"/>
      <c r="G295" s="6" t="n"/>
      <c r="H295" s="7" t="n"/>
      <c r="I295" s="6" t="n"/>
      <c r="J295" s="7" t="n"/>
      <c r="K295" s="5">
        <f>IF(B295="","",IF(OR(F295="",G295=""),"НЕ ОТПРАВЛЕНО",IF(J295="","НЕТ ДОКАЗАТЕЛЬСТВА",IF(I295="","ОТПРАВЛЕНО, ЖДЁМ ПОЛУЧЕНИЯ","ПЕРЕДАНО"))))</f>
        <v/>
      </c>
    </row>
    <row r="296">
      <c r="A296" s="5" t="n">
        <v>292</v>
      </c>
      <c r="B296" s="7" t="n"/>
      <c r="C296" s="7" t="n"/>
      <c r="D296" s="7" t="n"/>
      <c r="E296" s="7" t="n"/>
      <c r="F296" s="7" t="n"/>
      <c r="G296" s="6" t="n"/>
      <c r="H296" s="7" t="n"/>
      <c r="I296" s="6" t="n"/>
      <c r="J296" s="7" t="n"/>
      <c r="K296" s="5">
        <f>IF(B296="","",IF(OR(F296="",G296=""),"НЕ ОТПРАВЛЕНО",IF(J296="","НЕТ ДОКАЗАТЕЛЬСТВА",IF(I296="","ОТПРАВЛЕНО, ЖДЁМ ПОЛУЧЕНИЯ","ПЕРЕДАНО"))))</f>
        <v/>
      </c>
    </row>
    <row r="297">
      <c r="A297" s="5" t="n">
        <v>293</v>
      </c>
      <c r="B297" s="7" t="n"/>
      <c r="C297" s="7" t="n"/>
      <c r="D297" s="7" t="n"/>
      <c r="E297" s="7" t="n"/>
      <c r="F297" s="7" t="n"/>
      <c r="G297" s="6" t="n"/>
      <c r="H297" s="7" t="n"/>
      <c r="I297" s="6" t="n"/>
      <c r="J297" s="7" t="n"/>
      <c r="K297" s="5">
        <f>IF(B297="","",IF(OR(F297="",G297=""),"НЕ ОТПРАВЛЕНО",IF(J297="","НЕТ ДОКАЗАТЕЛЬСТВА",IF(I297="","ОТПРАВЛЕНО, ЖДЁМ ПОЛУЧЕНИЯ","ПЕРЕДАНО"))))</f>
        <v/>
      </c>
    </row>
    <row r="298">
      <c r="A298" s="5" t="n">
        <v>294</v>
      </c>
      <c r="B298" s="7" t="n"/>
      <c r="C298" s="7" t="n"/>
      <c r="D298" s="7" t="n"/>
      <c r="E298" s="7" t="n"/>
      <c r="F298" s="7" t="n"/>
      <c r="G298" s="6" t="n"/>
      <c r="H298" s="7" t="n"/>
      <c r="I298" s="6" t="n"/>
      <c r="J298" s="7" t="n"/>
      <c r="K298" s="5">
        <f>IF(B298="","",IF(OR(F298="",G298=""),"НЕ ОТПРАВЛЕНО",IF(J298="","НЕТ ДОКАЗАТЕЛЬСТВА",IF(I298="","ОТПРАВЛЕНО, ЖДЁМ ПОЛУЧЕНИЯ","ПЕРЕДАНО"))))</f>
        <v/>
      </c>
    </row>
    <row r="299">
      <c r="A299" s="5" t="n">
        <v>295</v>
      </c>
      <c r="B299" s="7" t="n"/>
      <c r="C299" s="7" t="n"/>
      <c r="D299" s="7" t="n"/>
      <c r="E299" s="7" t="n"/>
      <c r="F299" s="7" t="n"/>
      <c r="G299" s="6" t="n"/>
      <c r="H299" s="7" t="n"/>
      <c r="I299" s="6" t="n"/>
      <c r="J299" s="7" t="n"/>
      <c r="K299" s="5">
        <f>IF(B299="","",IF(OR(F299="",G299=""),"НЕ ОТПРАВЛЕНО",IF(J299="","НЕТ ДОКАЗАТЕЛЬСТВА",IF(I299="","ОТПРАВЛЕНО, ЖДЁМ ПОЛУЧЕНИЯ","ПЕРЕДАНО"))))</f>
        <v/>
      </c>
    </row>
    <row r="300">
      <c r="A300" s="5" t="n">
        <v>296</v>
      </c>
      <c r="B300" s="7" t="n"/>
      <c r="C300" s="7" t="n"/>
      <c r="D300" s="7" t="n"/>
      <c r="E300" s="7" t="n"/>
      <c r="F300" s="7" t="n"/>
      <c r="G300" s="6" t="n"/>
      <c r="H300" s="7" t="n"/>
      <c r="I300" s="6" t="n"/>
      <c r="J300" s="7" t="n"/>
      <c r="K300" s="5">
        <f>IF(B300="","",IF(OR(F300="",G300=""),"НЕ ОТПРАВЛЕНО",IF(J300="","НЕТ ДОКАЗАТЕЛЬСТВА",IF(I300="","ОТПРАВЛЕНО, ЖДЁМ ПОЛУЧЕНИЯ","ПЕРЕДАНО"))))</f>
        <v/>
      </c>
    </row>
    <row r="301">
      <c r="A301" s="5" t="n">
        <v>297</v>
      </c>
      <c r="B301" s="7" t="n"/>
      <c r="C301" s="7" t="n"/>
      <c r="D301" s="7" t="n"/>
      <c r="E301" s="7" t="n"/>
      <c r="F301" s="7" t="n"/>
      <c r="G301" s="6" t="n"/>
      <c r="H301" s="7" t="n"/>
      <c r="I301" s="6" t="n"/>
      <c r="J301" s="7" t="n"/>
      <c r="K301" s="5">
        <f>IF(B301="","",IF(OR(F301="",G301=""),"НЕ ОТПРАВЛЕНО",IF(J301="","НЕТ ДОКАЗАТЕЛЬСТВА",IF(I301="","ОТПРАВЛЕНО, ЖДЁМ ПОЛУЧЕНИЯ","ПЕРЕДАНО"))))</f>
        <v/>
      </c>
    </row>
    <row r="302">
      <c r="A302" s="5" t="n">
        <v>298</v>
      </c>
      <c r="B302" s="7" t="n"/>
      <c r="C302" s="7" t="n"/>
      <c r="D302" s="7" t="n"/>
      <c r="E302" s="7" t="n"/>
      <c r="F302" s="7" t="n"/>
      <c r="G302" s="6" t="n"/>
      <c r="H302" s="7" t="n"/>
      <c r="I302" s="6" t="n"/>
      <c r="J302" s="7" t="n"/>
      <c r="K302" s="5">
        <f>IF(B302="","",IF(OR(F302="",G302=""),"НЕ ОТПРАВЛЕНО",IF(J302="","НЕТ ДОКАЗАТЕЛЬСТВА",IF(I302="","ОТПРАВЛЕНО, ЖДЁМ ПОЛУЧЕНИЯ","ПЕРЕДАНО"))))</f>
        <v/>
      </c>
    </row>
    <row r="303">
      <c r="A303" s="5" t="n">
        <v>299</v>
      </c>
      <c r="B303" s="7" t="n"/>
      <c r="C303" s="7" t="n"/>
      <c r="D303" s="7" t="n"/>
      <c r="E303" s="7" t="n"/>
      <c r="F303" s="7" t="n"/>
      <c r="G303" s="6" t="n"/>
      <c r="H303" s="7" t="n"/>
      <c r="I303" s="6" t="n"/>
      <c r="J303" s="7" t="n"/>
      <c r="K303" s="5">
        <f>IF(B303="","",IF(OR(F303="",G303=""),"НЕ ОТПРАВЛЕНО",IF(J303="","НЕТ ДОКАЗАТЕЛЬСТВА",IF(I303="","ОТПРАВЛЕНО, ЖДЁМ ПОЛУЧЕНИЯ","ПЕРЕДАНО"))))</f>
        <v/>
      </c>
    </row>
    <row r="304">
      <c r="A304" s="5" t="n">
        <v>300</v>
      </c>
      <c r="B304" s="7" t="n"/>
      <c r="C304" s="7" t="n"/>
      <c r="D304" s="7" t="n"/>
      <c r="E304" s="7" t="n"/>
      <c r="F304" s="7" t="n"/>
      <c r="G304" s="6" t="n"/>
      <c r="H304" s="7" t="n"/>
      <c r="I304" s="6" t="n"/>
      <c r="J304" s="7" t="n"/>
      <c r="K304" s="5">
        <f>IF(B304="","",IF(OR(F304="",G304=""),"НЕ ОТПРАВЛЕНО",IF(J304="","НЕТ ДОКАЗАТЕЛЬСТВА",IF(I304="","ОТПРАВЛЕНО, ЖДЁМ ПОЛУЧЕНИЯ","ПЕРЕДАНО"))))</f>
        <v/>
      </c>
    </row>
    <row r="306">
      <c r="B306" t="inlineStr">
        <is>
          <t>Отправлений без доказательства</t>
        </is>
      </c>
      <c r="K306">
        <f>COUNTIF(K5:K304,"НЕТ ДОКАЗАТЕЛЬСТВА")</f>
        <v/>
      </c>
    </row>
  </sheetData>
  <dataValidations count="1">
    <dataValidation sqref="F5:F304" showDropDown="0" showInputMessage="0" showErrorMessage="0" allowBlank="1" errorTitle="Недопустимое значение" error="Выберите значение из списка" type="list">
      <formula1>"Нарочно с отметкой о получении,Почта: ценное письмо с описью и уведомлением,ЭДО,Электронная почта по договору,Курьерская служба с описью"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30" customWidth="1" min="4" max="4"/>
    <col width="16" customWidth="1" min="5" max="5"/>
    <col width="16" customWidth="1" min="6" max="6"/>
    <col width="16" customWidth="1" min="7" max="7"/>
    <col width="18" customWidth="1" min="8" max="8"/>
    <col width="44" customWidth="1" min="10" max="10"/>
    <col width="30" customWidth="1" min="11" max="11"/>
  </cols>
  <sheetData>
    <row r="1">
      <c r="A1" s="1" t="inlineStr">
        <is>
          <t>Реестр взаиморасчётов</t>
        </is>
      </c>
    </row>
    <row r="2">
      <c r="A2" s="2" t="inlineStr">
        <is>
          <t>Одна строка — одна операция. Начисления вводите положительными суммами, оплаты и зачёты — тоже положительными: знак ставит тип операции. Строк 500; записи ниже таблицы блокируют итог, а не отбрасываются.</t>
        </is>
      </c>
    </row>
    <row r="4">
      <c r="A4" s="4" t="inlineStr">
        <is>
          <t>№</t>
        </is>
      </c>
      <c r="B4" s="4" t="inlineStr">
        <is>
          <t>Дата</t>
        </is>
      </c>
      <c r="C4" s="4" t="inlineStr">
        <is>
          <t>Тип операции</t>
        </is>
      </c>
      <c r="D4" s="4" t="inlineStr">
        <is>
          <t>Документ (№, дата)</t>
        </is>
      </c>
      <c r="E4" s="4" t="inlineStr">
        <is>
          <t>Сумма, руб.</t>
        </is>
      </c>
      <c r="F4" s="4" t="inlineStr">
        <is>
          <t>Влияние на бесспорный долг</t>
        </is>
      </c>
      <c r="G4" s="4" t="inlineStr">
        <is>
          <t>Спорная сумма (граница B2)</t>
        </is>
      </c>
      <c r="H4" s="4" t="inlineStr">
        <is>
          <t>Бесспорный долг нарастающим итогом</t>
        </is>
      </c>
      <c r="J4" s="8" t="inlineStr">
        <is>
          <t>Начислено по актам</t>
        </is>
      </c>
      <c r="K4" s="9">
        <f>SUMIF(C5:C504,"Начисление по акту",E5:E504)</f>
        <v/>
      </c>
    </row>
    <row r="5">
      <c r="A5" s="5" t="n">
        <v>1</v>
      </c>
      <c r="B5" s="6" t="n"/>
      <c r="C5" s="7" t="n"/>
      <c r="D5" s="7" t="n"/>
      <c r="E5" s="10" t="n"/>
      <c r="F5" s="9">
        <f>IF(OR(C5="",E5=""),0,IF(C5="Начисление по акту",E5,IF(OR(C5="Оплата",C5="Зачёт аванса по договору"),-E5,IF(C5="Корректировка (подписана обеими сторонами)",E5,0))))</f>
        <v/>
      </c>
      <c r="G5" s="9">
        <f>IF(OR(C5="Удержание",C5="Зачёт встречного требования",C5="Неустойка заявлена"),N(E5),0)</f>
        <v/>
      </c>
      <c r="H5" s="9">
        <f>F5</f>
        <v/>
      </c>
      <c r="J5" s="8" t="inlineStr">
        <is>
          <t>Оплачено</t>
        </is>
      </c>
      <c r="K5" s="9">
        <f>SUMIF(C5:C504,"Оплата",E5:E504)</f>
        <v/>
      </c>
    </row>
    <row r="6">
      <c r="A6" s="5" t="n">
        <v>2</v>
      </c>
      <c r="B6" s="6" t="n"/>
      <c r="C6" s="7" t="n"/>
      <c r="D6" s="7" t="n"/>
      <c r="E6" s="10" t="n"/>
      <c r="F6" s="9">
        <f>IF(OR(C6="",E6=""),0,IF(C6="Начисление по акту",E6,IF(OR(C6="Оплата",C6="Зачёт аванса по договору"),-E6,IF(C6="Корректировка (подписана обеими сторонами)",E6,0))))</f>
        <v/>
      </c>
      <c r="G6" s="9">
        <f>IF(OR(C6="Удержание",C6="Зачёт встречного требования",C6="Неустойка заявлена"),N(E6),0)</f>
        <v/>
      </c>
      <c r="H6" s="9">
        <f>H5+F6</f>
        <v/>
      </c>
      <c r="J6" s="8" t="inlineStr">
        <is>
          <t>Зачтён аванс</t>
        </is>
      </c>
      <c r="K6" s="9">
        <f>SUMIF(C5:C504,"Зачёт аванса по договору",E5:E504)</f>
        <v/>
      </c>
    </row>
    <row r="7">
      <c r="A7" s="5" t="n">
        <v>3</v>
      </c>
      <c r="B7" s="6" t="n"/>
      <c r="C7" s="7" t="n"/>
      <c r="D7" s="7" t="n"/>
      <c r="E7" s="10" t="n"/>
      <c r="F7" s="9">
        <f>IF(OR(C7="",E7=""),0,IF(C7="Начисление по акту",E7,IF(OR(C7="Оплата",C7="Зачёт аванса по договору"),-E7,IF(C7="Корректировка (подписана обеими сторонами)",E7,0))))</f>
        <v/>
      </c>
      <c r="G7" s="9">
        <f>IF(OR(C7="Удержание",C7="Зачёт встречного требования",C7="Неустойка заявлена"),N(E7),0)</f>
        <v/>
      </c>
      <c r="H7" s="9">
        <f>H6+F7</f>
        <v/>
      </c>
      <c r="J7" s="8" t="inlineStr">
        <is>
          <t>Корректировки</t>
        </is>
      </c>
      <c r="K7" s="9">
        <f>SUMIF(C5:C504,"Корректировка (подписана обеими сторонами)",E5:E504)</f>
        <v/>
      </c>
    </row>
    <row r="8">
      <c r="A8" s="5" t="n">
        <v>4</v>
      </c>
      <c r="B8" s="6" t="n"/>
      <c r="C8" s="7" t="n"/>
      <c r="D8" s="7" t="n"/>
      <c r="E8" s="10" t="n"/>
      <c r="F8" s="9">
        <f>IF(OR(C8="",E8=""),0,IF(C8="Начисление по акту",E8,IF(OR(C8="Оплата",C8="Зачёт аванса по договору"),-E8,IF(C8="Корректировка (подписана обеими сторонами)",E8,0))))</f>
        <v/>
      </c>
      <c r="G8" s="9">
        <f>IF(OR(C8="Удержание",C8="Зачёт встречного требования",C8="Неустойка заявлена"),N(E8),0)</f>
        <v/>
      </c>
      <c r="H8" s="9">
        <f>H7+F8</f>
        <v/>
      </c>
      <c r="J8" s="8" t="inlineStr">
        <is>
          <t>Спорные операции (удержание, зачёт, неустойка)</t>
        </is>
      </c>
      <c r="K8" s="9">
        <f>SUM(G5:G504)</f>
        <v/>
      </c>
    </row>
    <row r="9">
      <c r="A9" s="5" t="n">
        <v>5</v>
      </c>
      <c r="B9" s="6" t="n"/>
      <c r="C9" s="7" t="n"/>
      <c r="D9" s="7" t="n"/>
      <c r="E9" s="10" t="n"/>
      <c r="F9" s="9">
        <f>IF(OR(C9="",E9=""),0,IF(C9="Начисление по акту",E9,IF(OR(C9="Оплата",C9="Зачёт аванса по договору"),-E9,IF(C9="Корректировка (подписана обеими сторонами)",E9,0))))</f>
        <v/>
      </c>
      <c r="G9" s="9">
        <f>IF(OR(C9="Удержание",C9="Зачёт встречного требования",C9="Неустойка заявлена"),N(E9),0)</f>
        <v/>
      </c>
      <c r="H9" s="9">
        <f>H8+F9</f>
        <v/>
      </c>
      <c r="J9" s="8" t="inlineStr">
        <is>
          <t>Операций ниже таблицы (не учтены)</t>
        </is>
      </c>
      <c r="K9" s="9">
        <f>COUNTA(A505:H3000)</f>
        <v/>
      </c>
    </row>
    <row r="10">
      <c r="A10" s="5" t="n">
        <v>6</v>
      </c>
      <c r="B10" s="6" t="n"/>
      <c r="C10" s="7" t="n"/>
      <c r="D10" s="7" t="n"/>
      <c r="E10" s="10" t="n"/>
      <c r="F10" s="9">
        <f>IF(OR(C10="",E10=""),0,IF(C10="Начисление по акту",E10,IF(OR(C10="Оплата",C10="Зачёт аванса по договору"),-E10,IF(C10="Корректировка (подписана обеими сторонами)",E10,0))))</f>
        <v/>
      </c>
      <c r="G10" s="9">
        <f>IF(OR(C10="Удержание",C10="Зачёт встречного требования",C10="Неустойка заявлена"),N(E10),0)</f>
        <v/>
      </c>
      <c r="H10" s="9">
        <f>H9+F10</f>
        <v/>
      </c>
      <c r="J10" s="8" t="inlineStr">
        <is>
          <t>БЕССПОРНЫЙ ДОЛГ, руб.</t>
        </is>
      </c>
      <c r="K10" s="9">
        <f>IF(OR(K9&gt;0,K12&gt;0),"ИТОГ ЗАБЛОКИРОВАН: см. строки свода",K4-K5-K6+K7)</f>
        <v/>
      </c>
    </row>
    <row r="11">
      <c r="A11" s="5" t="n">
        <v>7</v>
      </c>
      <c r="B11" s="6" t="n"/>
      <c r="C11" s="7" t="n"/>
      <c r="D11" s="7" t="n"/>
      <c r="E11" s="10" t="n"/>
      <c r="F11" s="9">
        <f>IF(OR(C11="",E11=""),0,IF(C11="Начисление по акту",E11,IF(OR(C11="Оплата",C11="Зачёт аванса по договору"),-E11,IF(C11="Корректировка (подписана обеими сторонами)",E11,0))))</f>
        <v/>
      </c>
      <c r="G11" s="9">
        <f>IF(OR(C11="Удержание",C11="Зачёт встречного требования",C11="Неустойка заявлена"),N(E11),0)</f>
        <v/>
      </c>
      <c r="H11" s="9">
        <f>H10+F11</f>
        <v/>
      </c>
      <c r="J11" s="8" t="inlineStr">
        <is>
          <t>Граница</t>
        </is>
      </c>
      <c r="K11" s="9">
        <f>IF(K8&gt;0,"ГРАНИЦА B2: спорные операции на сумму "&amp;FIXED(K8,2)&amp;" руб. — к специалисту","нет")</f>
        <v/>
      </c>
    </row>
    <row r="12">
      <c r="A12" s="5" t="n">
        <v>8</v>
      </c>
      <c r="B12" s="6" t="n"/>
      <c r="C12" s="7" t="n"/>
      <c r="D12" s="7" t="n"/>
      <c r="E12" s="10" t="n"/>
      <c r="F12" s="9">
        <f>IF(OR(C12="",E12=""),0,IF(C12="Начисление по акту",E12,IF(OR(C12="Оплата",C12="Зачёт аванса по договору"),-E12,IF(C12="Корректировка (подписана обеими сторонами)",E12,0))))</f>
        <v/>
      </c>
      <c r="G12" s="9">
        <f>IF(OR(C12="Удержание",C12="Зачёт встречного требования",C12="Неустойка заявлена"),N(E12),0)</f>
        <v/>
      </c>
      <c r="H12" s="9">
        <f>H11+F12</f>
        <v/>
      </c>
      <c r="J12" s="8" t="inlineStr">
        <is>
          <t>Операций без типа или суммы</t>
        </is>
      </c>
      <c r="K12" s="9">
        <f>SUMPRODUCT((B5:B504&lt;&gt;"")*(((C5:C504="")+(E5:E504=""))&gt;0))</f>
        <v/>
      </c>
    </row>
    <row r="13">
      <c r="A13" s="5" t="n">
        <v>9</v>
      </c>
      <c r="B13" s="6" t="n"/>
      <c r="C13" s="7" t="n"/>
      <c r="D13" s="7" t="n"/>
      <c r="E13" s="10" t="n"/>
      <c r="F13" s="9">
        <f>IF(OR(C13="",E13=""),0,IF(C13="Начисление по акту",E13,IF(OR(C13="Оплата",C13="Зачёт аванса по договору"),-E13,IF(C13="Корректировка (подписана обеими сторонами)",E13,0))))</f>
        <v/>
      </c>
      <c r="G13" s="9">
        <f>IF(OR(C13="Удержание",C13="Зачёт встречного требования",C13="Неустойка заявлена"),N(E13),0)</f>
        <v/>
      </c>
      <c r="H13" s="9">
        <f>H12+F13</f>
        <v/>
      </c>
    </row>
    <row r="14">
      <c r="A14" s="5" t="n">
        <v>10</v>
      </c>
      <c r="B14" s="6" t="n"/>
      <c r="C14" s="7" t="n"/>
      <c r="D14" s="7" t="n"/>
      <c r="E14" s="10" t="n"/>
      <c r="F14" s="9">
        <f>IF(OR(C14="",E14=""),0,IF(C14="Начисление по акту",E14,IF(OR(C14="Оплата",C14="Зачёт аванса по договору"),-E14,IF(C14="Корректировка (подписана обеими сторонами)",E14,0))))</f>
        <v/>
      </c>
      <c r="G14" s="9">
        <f>IF(OR(C14="Удержание",C14="Зачёт встречного требования",C14="Неустойка заявлена"),N(E14),0)</f>
        <v/>
      </c>
      <c r="H14" s="9">
        <f>H13+F14</f>
        <v/>
      </c>
    </row>
    <row r="15">
      <c r="A15" s="5" t="n">
        <v>11</v>
      </c>
      <c r="B15" s="6" t="n"/>
      <c r="C15" s="7" t="n"/>
      <c r="D15" s="7" t="n"/>
      <c r="E15" s="10" t="n"/>
      <c r="F15" s="9">
        <f>IF(OR(C15="",E15=""),0,IF(C15="Начисление по акту",E15,IF(OR(C15="Оплата",C15="Зачёт аванса по договору"),-E15,IF(C15="Корректировка (подписана обеими сторонами)",E15,0))))</f>
        <v/>
      </c>
      <c r="G15" s="9">
        <f>IF(OR(C15="Удержание",C15="Зачёт встречного требования",C15="Неустойка заявлена"),N(E15),0)</f>
        <v/>
      </c>
      <c r="H15" s="9">
        <f>H14+F15</f>
        <v/>
      </c>
    </row>
    <row r="16">
      <c r="A16" s="5" t="n">
        <v>12</v>
      </c>
      <c r="B16" s="6" t="n"/>
      <c r="C16" s="7" t="n"/>
      <c r="D16" s="7" t="n"/>
      <c r="E16" s="10" t="n"/>
      <c r="F16" s="9">
        <f>IF(OR(C16="",E16=""),0,IF(C16="Начисление по акту",E16,IF(OR(C16="Оплата",C16="Зачёт аванса по договору"),-E16,IF(C16="Корректировка (подписана обеими сторонами)",E16,0))))</f>
        <v/>
      </c>
      <c r="G16" s="9">
        <f>IF(OR(C16="Удержание",C16="Зачёт встречного требования",C16="Неустойка заявлена"),N(E16),0)</f>
        <v/>
      </c>
      <c r="H16" s="9">
        <f>H15+F16</f>
        <v/>
      </c>
    </row>
    <row r="17">
      <c r="A17" s="5" t="n">
        <v>13</v>
      </c>
      <c r="B17" s="6" t="n"/>
      <c r="C17" s="7" t="n"/>
      <c r="D17" s="7" t="n"/>
      <c r="E17" s="10" t="n"/>
      <c r="F17" s="9">
        <f>IF(OR(C17="",E17=""),0,IF(C17="Начисление по акту",E17,IF(OR(C17="Оплата",C17="Зачёт аванса по договору"),-E17,IF(C17="Корректировка (подписана обеими сторонами)",E17,0))))</f>
        <v/>
      </c>
      <c r="G17" s="9">
        <f>IF(OR(C17="Удержание",C17="Зачёт встречного требования",C17="Неустойка заявлена"),N(E17),0)</f>
        <v/>
      </c>
      <c r="H17" s="9">
        <f>H16+F17</f>
        <v/>
      </c>
    </row>
    <row r="18">
      <c r="A18" s="5" t="n">
        <v>14</v>
      </c>
      <c r="B18" s="6" t="n"/>
      <c r="C18" s="7" t="n"/>
      <c r="D18" s="7" t="n"/>
      <c r="E18" s="10" t="n"/>
      <c r="F18" s="9">
        <f>IF(OR(C18="",E18=""),0,IF(C18="Начисление по акту",E18,IF(OR(C18="Оплата",C18="Зачёт аванса по договору"),-E18,IF(C18="Корректировка (подписана обеими сторонами)",E18,0))))</f>
        <v/>
      </c>
      <c r="G18" s="9">
        <f>IF(OR(C18="Удержание",C18="Зачёт встречного требования",C18="Неустойка заявлена"),N(E18),0)</f>
        <v/>
      </c>
      <c r="H18" s="9">
        <f>H17+F18</f>
        <v/>
      </c>
    </row>
    <row r="19">
      <c r="A19" s="5" t="n">
        <v>15</v>
      </c>
      <c r="B19" s="6" t="n"/>
      <c r="C19" s="7" t="n"/>
      <c r="D19" s="7" t="n"/>
      <c r="E19" s="10" t="n"/>
      <c r="F19" s="9">
        <f>IF(OR(C19="",E19=""),0,IF(C19="Начисление по акту",E19,IF(OR(C19="Оплата",C19="Зачёт аванса по договору"),-E19,IF(C19="Корректировка (подписана обеими сторонами)",E19,0))))</f>
        <v/>
      </c>
      <c r="G19" s="9">
        <f>IF(OR(C19="Удержание",C19="Зачёт встречного требования",C19="Неустойка заявлена"),N(E19),0)</f>
        <v/>
      </c>
      <c r="H19" s="9">
        <f>H18+F19</f>
        <v/>
      </c>
    </row>
    <row r="20">
      <c r="A20" s="5" t="n">
        <v>16</v>
      </c>
      <c r="B20" s="6" t="n"/>
      <c r="C20" s="7" t="n"/>
      <c r="D20" s="7" t="n"/>
      <c r="E20" s="10" t="n"/>
      <c r="F20" s="9">
        <f>IF(OR(C20="",E20=""),0,IF(C20="Начисление по акту",E20,IF(OR(C20="Оплата",C20="Зачёт аванса по договору"),-E20,IF(C20="Корректировка (подписана обеими сторонами)",E20,0))))</f>
        <v/>
      </c>
      <c r="G20" s="9">
        <f>IF(OR(C20="Удержание",C20="Зачёт встречного требования",C20="Неустойка заявлена"),N(E20),0)</f>
        <v/>
      </c>
      <c r="H20" s="9">
        <f>H19+F20</f>
        <v/>
      </c>
    </row>
    <row r="21">
      <c r="A21" s="5" t="n">
        <v>17</v>
      </c>
      <c r="B21" s="6" t="n"/>
      <c r="C21" s="7" t="n"/>
      <c r="D21" s="7" t="n"/>
      <c r="E21" s="10" t="n"/>
      <c r="F21" s="9">
        <f>IF(OR(C21="",E21=""),0,IF(C21="Начисление по акту",E21,IF(OR(C21="Оплата",C21="Зачёт аванса по договору"),-E21,IF(C21="Корректировка (подписана обеими сторонами)",E21,0))))</f>
        <v/>
      </c>
      <c r="G21" s="9">
        <f>IF(OR(C21="Удержание",C21="Зачёт встречного требования",C21="Неустойка заявлена"),N(E21),0)</f>
        <v/>
      </c>
      <c r="H21" s="9">
        <f>H20+F21</f>
        <v/>
      </c>
    </row>
    <row r="22">
      <c r="A22" s="5" t="n">
        <v>18</v>
      </c>
      <c r="B22" s="6" t="n"/>
      <c r="C22" s="7" t="n"/>
      <c r="D22" s="7" t="n"/>
      <c r="E22" s="10" t="n"/>
      <c r="F22" s="9">
        <f>IF(OR(C22="",E22=""),0,IF(C22="Начисление по акту",E22,IF(OR(C22="Оплата",C22="Зачёт аванса по договору"),-E22,IF(C22="Корректировка (подписана обеими сторонами)",E22,0))))</f>
        <v/>
      </c>
      <c r="G22" s="9">
        <f>IF(OR(C22="Удержание",C22="Зачёт встречного требования",C22="Неустойка заявлена"),N(E22),0)</f>
        <v/>
      </c>
      <c r="H22" s="9">
        <f>H21+F22</f>
        <v/>
      </c>
    </row>
    <row r="23">
      <c r="A23" s="5" t="n">
        <v>19</v>
      </c>
      <c r="B23" s="6" t="n"/>
      <c r="C23" s="7" t="n"/>
      <c r="D23" s="7" t="n"/>
      <c r="E23" s="10" t="n"/>
      <c r="F23" s="9">
        <f>IF(OR(C23="",E23=""),0,IF(C23="Начисление по акту",E23,IF(OR(C23="Оплата",C23="Зачёт аванса по договору"),-E23,IF(C23="Корректировка (подписана обеими сторонами)",E23,0))))</f>
        <v/>
      </c>
      <c r="G23" s="9">
        <f>IF(OR(C23="Удержание",C23="Зачёт встречного требования",C23="Неустойка заявлена"),N(E23),0)</f>
        <v/>
      </c>
      <c r="H23" s="9">
        <f>H22+F23</f>
        <v/>
      </c>
    </row>
    <row r="24">
      <c r="A24" s="5" t="n">
        <v>20</v>
      </c>
      <c r="B24" s="6" t="n"/>
      <c r="C24" s="7" t="n"/>
      <c r="D24" s="7" t="n"/>
      <c r="E24" s="10" t="n"/>
      <c r="F24" s="9">
        <f>IF(OR(C24="",E24=""),0,IF(C24="Начисление по акту",E24,IF(OR(C24="Оплата",C24="Зачёт аванса по договору"),-E24,IF(C24="Корректировка (подписана обеими сторонами)",E24,0))))</f>
        <v/>
      </c>
      <c r="G24" s="9">
        <f>IF(OR(C24="Удержание",C24="Зачёт встречного требования",C24="Неустойка заявлена"),N(E24),0)</f>
        <v/>
      </c>
      <c r="H24" s="9">
        <f>H23+F24</f>
        <v/>
      </c>
    </row>
    <row r="25">
      <c r="A25" s="5" t="n">
        <v>21</v>
      </c>
      <c r="B25" s="6" t="n"/>
      <c r="C25" s="7" t="n"/>
      <c r="D25" s="7" t="n"/>
      <c r="E25" s="10" t="n"/>
      <c r="F25" s="9">
        <f>IF(OR(C25="",E25=""),0,IF(C25="Начисление по акту",E25,IF(OR(C25="Оплата",C25="Зачёт аванса по договору"),-E25,IF(C25="Корректировка (подписана обеими сторонами)",E25,0))))</f>
        <v/>
      </c>
      <c r="G25" s="9">
        <f>IF(OR(C25="Удержание",C25="Зачёт встречного требования",C25="Неустойка заявлена"),N(E25),0)</f>
        <v/>
      </c>
      <c r="H25" s="9">
        <f>H24+F25</f>
        <v/>
      </c>
    </row>
    <row r="26">
      <c r="A26" s="5" t="n">
        <v>22</v>
      </c>
      <c r="B26" s="6" t="n"/>
      <c r="C26" s="7" t="n"/>
      <c r="D26" s="7" t="n"/>
      <c r="E26" s="10" t="n"/>
      <c r="F26" s="9">
        <f>IF(OR(C26="",E26=""),0,IF(C26="Начисление по акту",E26,IF(OR(C26="Оплата",C26="Зачёт аванса по договору"),-E26,IF(C26="Корректировка (подписана обеими сторонами)",E26,0))))</f>
        <v/>
      </c>
      <c r="G26" s="9">
        <f>IF(OR(C26="Удержание",C26="Зачёт встречного требования",C26="Неустойка заявлена"),N(E26),0)</f>
        <v/>
      </c>
      <c r="H26" s="9">
        <f>H25+F26</f>
        <v/>
      </c>
    </row>
    <row r="27">
      <c r="A27" s="5" t="n">
        <v>23</v>
      </c>
      <c r="B27" s="6" t="n"/>
      <c r="C27" s="7" t="n"/>
      <c r="D27" s="7" t="n"/>
      <c r="E27" s="10" t="n"/>
      <c r="F27" s="9">
        <f>IF(OR(C27="",E27=""),0,IF(C27="Начисление по акту",E27,IF(OR(C27="Оплата",C27="Зачёт аванса по договору"),-E27,IF(C27="Корректировка (подписана обеими сторонами)",E27,0))))</f>
        <v/>
      </c>
      <c r="G27" s="9">
        <f>IF(OR(C27="Удержание",C27="Зачёт встречного требования",C27="Неустойка заявлена"),N(E27),0)</f>
        <v/>
      </c>
      <c r="H27" s="9">
        <f>H26+F27</f>
        <v/>
      </c>
    </row>
    <row r="28">
      <c r="A28" s="5" t="n">
        <v>24</v>
      </c>
      <c r="B28" s="6" t="n"/>
      <c r="C28" s="7" t="n"/>
      <c r="D28" s="7" t="n"/>
      <c r="E28" s="10" t="n"/>
      <c r="F28" s="9">
        <f>IF(OR(C28="",E28=""),0,IF(C28="Начисление по акту",E28,IF(OR(C28="Оплата",C28="Зачёт аванса по договору"),-E28,IF(C28="Корректировка (подписана обеими сторонами)",E28,0))))</f>
        <v/>
      </c>
      <c r="G28" s="9">
        <f>IF(OR(C28="Удержание",C28="Зачёт встречного требования",C28="Неустойка заявлена"),N(E28),0)</f>
        <v/>
      </c>
      <c r="H28" s="9">
        <f>H27+F28</f>
        <v/>
      </c>
    </row>
    <row r="29">
      <c r="A29" s="5" t="n">
        <v>25</v>
      </c>
      <c r="B29" s="6" t="n"/>
      <c r="C29" s="7" t="n"/>
      <c r="D29" s="7" t="n"/>
      <c r="E29" s="10" t="n"/>
      <c r="F29" s="9">
        <f>IF(OR(C29="",E29=""),0,IF(C29="Начисление по акту",E29,IF(OR(C29="Оплата",C29="Зачёт аванса по договору"),-E29,IF(C29="Корректировка (подписана обеими сторонами)",E29,0))))</f>
        <v/>
      </c>
      <c r="G29" s="9">
        <f>IF(OR(C29="Удержание",C29="Зачёт встречного требования",C29="Неустойка заявлена"),N(E29),0)</f>
        <v/>
      </c>
      <c r="H29" s="9">
        <f>H28+F29</f>
        <v/>
      </c>
    </row>
    <row r="30">
      <c r="A30" s="5" t="n">
        <v>26</v>
      </c>
      <c r="B30" s="6" t="n"/>
      <c r="C30" s="7" t="n"/>
      <c r="D30" s="7" t="n"/>
      <c r="E30" s="10" t="n"/>
      <c r="F30" s="9">
        <f>IF(OR(C30="",E30=""),0,IF(C30="Начисление по акту",E30,IF(OR(C30="Оплата",C30="Зачёт аванса по договору"),-E30,IF(C30="Корректировка (подписана обеими сторонами)",E30,0))))</f>
        <v/>
      </c>
      <c r="G30" s="9">
        <f>IF(OR(C30="Удержание",C30="Зачёт встречного требования",C30="Неустойка заявлена"),N(E30),0)</f>
        <v/>
      </c>
      <c r="H30" s="9">
        <f>H29+F30</f>
        <v/>
      </c>
    </row>
    <row r="31">
      <c r="A31" s="5" t="n">
        <v>27</v>
      </c>
      <c r="B31" s="6" t="n"/>
      <c r="C31" s="7" t="n"/>
      <c r="D31" s="7" t="n"/>
      <c r="E31" s="10" t="n"/>
      <c r="F31" s="9">
        <f>IF(OR(C31="",E31=""),0,IF(C31="Начисление по акту",E31,IF(OR(C31="Оплата",C31="Зачёт аванса по договору"),-E31,IF(C31="Корректировка (подписана обеими сторонами)",E31,0))))</f>
        <v/>
      </c>
      <c r="G31" s="9">
        <f>IF(OR(C31="Удержание",C31="Зачёт встречного требования",C31="Неустойка заявлена"),N(E31),0)</f>
        <v/>
      </c>
      <c r="H31" s="9">
        <f>H30+F31</f>
        <v/>
      </c>
    </row>
    <row r="32">
      <c r="A32" s="5" t="n">
        <v>28</v>
      </c>
      <c r="B32" s="6" t="n"/>
      <c r="C32" s="7" t="n"/>
      <c r="D32" s="7" t="n"/>
      <c r="E32" s="10" t="n"/>
      <c r="F32" s="9">
        <f>IF(OR(C32="",E32=""),0,IF(C32="Начисление по акту",E32,IF(OR(C32="Оплата",C32="Зачёт аванса по договору"),-E32,IF(C32="Корректировка (подписана обеими сторонами)",E32,0))))</f>
        <v/>
      </c>
      <c r="G32" s="9">
        <f>IF(OR(C32="Удержание",C32="Зачёт встречного требования",C32="Неустойка заявлена"),N(E32),0)</f>
        <v/>
      </c>
      <c r="H32" s="9">
        <f>H31+F32</f>
        <v/>
      </c>
    </row>
    <row r="33">
      <c r="A33" s="5" t="n">
        <v>29</v>
      </c>
      <c r="B33" s="6" t="n"/>
      <c r="C33" s="7" t="n"/>
      <c r="D33" s="7" t="n"/>
      <c r="E33" s="10" t="n"/>
      <c r="F33" s="9">
        <f>IF(OR(C33="",E33=""),0,IF(C33="Начисление по акту",E33,IF(OR(C33="Оплата",C33="Зачёт аванса по договору"),-E33,IF(C33="Корректировка (подписана обеими сторонами)",E33,0))))</f>
        <v/>
      </c>
      <c r="G33" s="9">
        <f>IF(OR(C33="Удержание",C33="Зачёт встречного требования",C33="Неустойка заявлена"),N(E33),0)</f>
        <v/>
      </c>
      <c r="H33" s="9">
        <f>H32+F33</f>
        <v/>
      </c>
    </row>
    <row r="34">
      <c r="A34" s="5" t="n">
        <v>30</v>
      </c>
      <c r="B34" s="6" t="n"/>
      <c r="C34" s="7" t="n"/>
      <c r="D34" s="7" t="n"/>
      <c r="E34" s="10" t="n"/>
      <c r="F34" s="9">
        <f>IF(OR(C34="",E34=""),0,IF(C34="Начисление по акту",E34,IF(OR(C34="Оплата",C34="Зачёт аванса по договору"),-E34,IF(C34="Корректировка (подписана обеими сторонами)",E34,0))))</f>
        <v/>
      </c>
      <c r="G34" s="9">
        <f>IF(OR(C34="Удержание",C34="Зачёт встречного требования",C34="Неустойка заявлена"),N(E34),0)</f>
        <v/>
      </c>
      <c r="H34" s="9">
        <f>H33+F34</f>
        <v/>
      </c>
    </row>
    <row r="35">
      <c r="A35" s="5" t="n">
        <v>31</v>
      </c>
      <c r="B35" s="6" t="n"/>
      <c r="C35" s="7" t="n"/>
      <c r="D35" s="7" t="n"/>
      <c r="E35" s="10" t="n"/>
      <c r="F35" s="9">
        <f>IF(OR(C35="",E35=""),0,IF(C35="Начисление по акту",E35,IF(OR(C35="Оплата",C35="Зачёт аванса по договору"),-E35,IF(C35="Корректировка (подписана обеими сторонами)",E35,0))))</f>
        <v/>
      </c>
      <c r="G35" s="9">
        <f>IF(OR(C35="Удержание",C35="Зачёт встречного требования",C35="Неустойка заявлена"),N(E35),0)</f>
        <v/>
      </c>
      <c r="H35" s="9">
        <f>H34+F35</f>
        <v/>
      </c>
    </row>
    <row r="36">
      <c r="A36" s="5" t="n">
        <v>32</v>
      </c>
      <c r="B36" s="6" t="n"/>
      <c r="C36" s="7" t="n"/>
      <c r="D36" s="7" t="n"/>
      <c r="E36" s="10" t="n"/>
      <c r="F36" s="9">
        <f>IF(OR(C36="",E36=""),0,IF(C36="Начисление по акту",E36,IF(OR(C36="Оплата",C36="Зачёт аванса по договору"),-E36,IF(C36="Корректировка (подписана обеими сторонами)",E36,0))))</f>
        <v/>
      </c>
      <c r="G36" s="9">
        <f>IF(OR(C36="Удержание",C36="Зачёт встречного требования",C36="Неустойка заявлена"),N(E36),0)</f>
        <v/>
      </c>
      <c r="H36" s="9">
        <f>H35+F36</f>
        <v/>
      </c>
    </row>
    <row r="37">
      <c r="A37" s="5" t="n">
        <v>33</v>
      </c>
      <c r="B37" s="6" t="n"/>
      <c r="C37" s="7" t="n"/>
      <c r="D37" s="7" t="n"/>
      <c r="E37" s="10" t="n"/>
      <c r="F37" s="9">
        <f>IF(OR(C37="",E37=""),0,IF(C37="Начисление по акту",E37,IF(OR(C37="Оплата",C37="Зачёт аванса по договору"),-E37,IF(C37="Корректировка (подписана обеими сторонами)",E37,0))))</f>
        <v/>
      </c>
      <c r="G37" s="9">
        <f>IF(OR(C37="Удержание",C37="Зачёт встречного требования",C37="Неустойка заявлена"),N(E37),0)</f>
        <v/>
      </c>
      <c r="H37" s="9">
        <f>H36+F37</f>
        <v/>
      </c>
    </row>
    <row r="38">
      <c r="A38" s="5" t="n">
        <v>34</v>
      </c>
      <c r="B38" s="6" t="n"/>
      <c r="C38" s="7" t="n"/>
      <c r="D38" s="7" t="n"/>
      <c r="E38" s="10" t="n"/>
      <c r="F38" s="9">
        <f>IF(OR(C38="",E38=""),0,IF(C38="Начисление по акту",E38,IF(OR(C38="Оплата",C38="Зачёт аванса по договору"),-E38,IF(C38="Корректировка (подписана обеими сторонами)",E38,0))))</f>
        <v/>
      </c>
      <c r="G38" s="9">
        <f>IF(OR(C38="Удержание",C38="Зачёт встречного требования",C38="Неустойка заявлена"),N(E38),0)</f>
        <v/>
      </c>
      <c r="H38" s="9">
        <f>H37+F38</f>
        <v/>
      </c>
    </row>
    <row r="39">
      <c r="A39" s="5" t="n">
        <v>35</v>
      </c>
      <c r="B39" s="6" t="n"/>
      <c r="C39" s="7" t="n"/>
      <c r="D39" s="7" t="n"/>
      <c r="E39" s="10" t="n"/>
      <c r="F39" s="9">
        <f>IF(OR(C39="",E39=""),0,IF(C39="Начисление по акту",E39,IF(OR(C39="Оплата",C39="Зачёт аванса по договору"),-E39,IF(C39="Корректировка (подписана обеими сторонами)",E39,0))))</f>
        <v/>
      </c>
      <c r="G39" s="9">
        <f>IF(OR(C39="Удержание",C39="Зачёт встречного требования",C39="Неустойка заявлена"),N(E39),0)</f>
        <v/>
      </c>
      <c r="H39" s="9">
        <f>H38+F39</f>
        <v/>
      </c>
    </row>
    <row r="40">
      <c r="A40" s="5" t="n">
        <v>36</v>
      </c>
      <c r="B40" s="6" t="n"/>
      <c r="C40" s="7" t="n"/>
      <c r="D40" s="7" t="n"/>
      <c r="E40" s="10" t="n"/>
      <c r="F40" s="9">
        <f>IF(OR(C40="",E40=""),0,IF(C40="Начисление по акту",E40,IF(OR(C40="Оплата",C40="Зачёт аванса по договору"),-E40,IF(C40="Корректировка (подписана обеими сторонами)",E40,0))))</f>
        <v/>
      </c>
      <c r="G40" s="9">
        <f>IF(OR(C40="Удержание",C40="Зачёт встречного требования",C40="Неустойка заявлена"),N(E40),0)</f>
        <v/>
      </c>
      <c r="H40" s="9">
        <f>H39+F40</f>
        <v/>
      </c>
    </row>
    <row r="41">
      <c r="A41" s="5" t="n">
        <v>37</v>
      </c>
      <c r="B41" s="6" t="n"/>
      <c r="C41" s="7" t="n"/>
      <c r="D41" s="7" t="n"/>
      <c r="E41" s="10" t="n"/>
      <c r="F41" s="9">
        <f>IF(OR(C41="",E41=""),0,IF(C41="Начисление по акту",E41,IF(OR(C41="Оплата",C41="Зачёт аванса по договору"),-E41,IF(C41="Корректировка (подписана обеими сторонами)",E41,0))))</f>
        <v/>
      </c>
      <c r="G41" s="9">
        <f>IF(OR(C41="Удержание",C41="Зачёт встречного требования",C41="Неустойка заявлена"),N(E41),0)</f>
        <v/>
      </c>
      <c r="H41" s="9">
        <f>H40+F41</f>
        <v/>
      </c>
    </row>
    <row r="42">
      <c r="A42" s="5" t="n">
        <v>38</v>
      </c>
      <c r="B42" s="6" t="n"/>
      <c r="C42" s="7" t="n"/>
      <c r="D42" s="7" t="n"/>
      <c r="E42" s="10" t="n"/>
      <c r="F42" s="9">
        <f>IF(OR(C42="",E42=""),0,IF(C42="Начисление по акту",E42,IF(OR(C42="Оплата",C42="Зачёт аванса по договору"),-E42,IF(C42="Корректировка (подписана обеими сторонами)",E42,0))))</f>
        <v/>
      </c>
      <c r="G42" s="9">
        <f>IF(OR(C42="Удержание",C42="Зачёт встречного требования",C42="Неустойка заявлена"),N(E42),0)</f>
        <v/>
      </c>
      <c r="H42" s="9">
        <f>H41+F42</f>
        <v/>
      </c>
    </row>
    <row r="43">
      <c r="A43" s="5" t="n">
        <v>39</v>
      </c>
      <c r="B43" s="6" t="n"/>
      <c r="C43" s="7" t="n"/>
      <c r="D43" s="7" t="n"/>
      <c r="E43" s="10" t="n"/>
      <c r="F43" s="9">
        <f>IF(OR(C43="",E43=""),0,IF(C43="Начисление по акту",E43,IF(OR(C43="Оплата",C43="Зачёт аванса по договору"),-E43,IF(C43="Корректировка (подписана обеими сторонами)",E43,0))))</f>
        <v/>
      </c>
      <c r="G43" s="9">
        <f>IF(OR(C43="Удержание",C43="Зачёт встречного требования",C43="Неустойка заявлена"),N(E43),0)</f>
        <v/>
      </c>
      <c r="H43" s="9">
        <f>H42+F43</f>
        <v/>
      </c>
    </row>
    <row r="44">
      <c r="A44" s="5" t="n">
        <v>40</v>
      </c>
      <c r="B44" s="6" t="n"/>
      <c r="C44" s="7" t="n"/>
      <c r="D44" s="7" t="n"/>
      <c r="E44" s="10" t="n"/>
      <c r="F44" s="9">
        <f>IF(OR(C44="",E44=""),0,IF(C44="Начисление по акту",E44,IF(OR(C44="Оплата",C44="Зачёт аванса по договору"),-E44,IF(C44="Корректировка (подписана обеими сторонами)",E44,0))))</f>
        <v/>
      </c>
      <c r="G44" s="9">
        <f>IF(OR(C44="Удержание",C44="Зачёт встречного требования",C44="Неустойка заявлена"),N(E44),0)</f>
        <v/>
      </c>
      <c r="H44" s="9">
        <f>H43+F44</f>
        <v/>
      </c>
    </row>
    <row r="45">
      <c r="A45" s="5" t="n">
        <v>41</v>
      </c>
      <c r="B45" s="6" t="n"/>
      <c r="C45" s="7" t="n"/>
      <c r="D45" s="7" t="n"/>
      <c r="E45" s="10" t="n"/>
      <c r="F45" s="9">
        <f>IF(OR(C45="",E45=""),0,IF(C45="Начисление по акту",E45,IF(OR(C45="Оплата",C45="Зачёт аванса по договору"),-E45,IF(C45="Корректировка (подписана обеими сторонами)",E45,0))))</f>
        <v/>
      </c>
      <c r="G45" s="9">
        <f>IF(OR(C45="Удержание",C45="Зачёт встречного требования",C45="Неустойка заявлена"),N(E45),0)</f>
        <v/>
      </c>
      <c r="H45" s="9">
        <f>H44+F45</f>
        <v/>
      </c>
    </row>
    <row r="46">
      <c r="A46" s="5" t="n">
        <v>42</v>
      </c>
      <c r="B46" s="6" t="n"/>
      <c r="C46" s="7" t="n"/>
      <c r="D46" s="7" t="n"/>
      <c r="E46" s="10" t="n"/>
      <c r="F46" s="9">
        <f>IF(OR(C46="",E46=""),0,IF(C46="Начисление по акту",E46,IF(OR(C46="Оплата",C46="Зачёт аванса по договору"),-E46,IF(C46="Корректировка (подписана обеими сторонами)",E46,0))))</f>
        <v/>
      </c>
      <c r="G46" s="9">
        <f>IF(OR(C46="Удержание",C46="Зачёт встречного требования",C46="Неустойка заявлена"),N(E46),0)</f>
        <v/>
      </c>
      <c r="H46" s="9">
        <f>H45+F46</f>
        <v/>
      </c>
    </row>
    <row r="47">
      <c r="A47" s="5" t="n">
        <v>43</v>
      </c>
      <c r="B47" s="6" t="n"/>
      <c r="C47" s="7" t="n"/>
      <c r="D47" s="7" t="n"/>
      <c r="E47" s="10" t="n"/>
      <c r="F47" s="9">
        <f>IF(OR(C47="",E47=""),0,IF(C47="Начисление по акту",E47,IF(OR(C47="Оплата",C47="Зачёт аванса по договору"),-E47,IF(C47="Корректировка (подписана обеими сторонами)",E47,0))))</f>
        <v/>
      </c>
      <c r="G47" s="9">
        <f>IF(OR(C47="Удержание",C47="Зачёт встречного требования",C47="Неустойка заявлена"),N(E47),0)</f>
        <v/>
      </c>
      <c r="H47" s="9">
        <f>H46+F47</f>
        <v/>
      </c>
    </row>
    <row r="48">
      <c r="A48" s="5" t="n">
        <v>44</v>
      </c>
      <c r="B48" s="6" t="n"/>
      <c r="C48" s="7" t="n"/>
      <c r="D48" s="7" t="n"/>
      <c r="E48" s="10" t="n"/>
      <c r="F48" s="9">
        <f>IF(OR(C48="",E48=""),0,IF(C48="Начисление по акту",E48,IF(OR(C48="Оплата",C48="Зачёт аванса по договору"),-E48,IF(C48="Корректировка (подписана обеими сторонами)",E48,0))))</f>
        <v/>
      </c>
      <c r="G48" s="9">
        <f>IF(OR(C48="Удержание",C48="Зачёт встречного требования",C48="Неустойка заявлена"),N(E48),0)</f>
        <v/>
      </c>
      <c r="H48" s="9">
        <f>H47+F48</f>
        <v/>
      </c>
    </row>
    <row r="49">
      <c r="A49" s="5" t="n">
        <v>45</v>
      </c>
      <c r="B49" s="6" t="n"/>
      <c r="C49" s="7" t="n"/>
      <c r="D49" s="7" t="n"/>
      <c r="E49" s="10" t="n"/>
      <c r="F49" s="9">
        <f>IF(OR(C49="",E49=""),0,IF(C49="Начисление по акту",E49,IF(OR(C49="Оплата",C49="Зачёт аванса по договору"),-E49,IF(C49="Корректировка (подписана обеими сторонами)",E49,0))))</f>
        <v/>
      </c>
      <c r="G49" s="9">
        <f>IF(OR(C49="Удержание",C49="Зачёт встречного требования",C49="Неустойка заявлена"),N(E49),0)</f>
        <v/>
      </c>
      <c r="H49" s="9">
        <f>H48+F49</f>
        <v/>
      </c>
    </row>
    <row r="50">
      <c r="A50" s="5" t="n">
        <v>46</v>
      </c>
      <c r="B50" s="6" t="n"/>
      <c r="C50" s="7" t="n"/>
      <c r="D50" s="7" t="n"/>
      <c r="E50" s="10" t="n"/>
      <c r="F50" s="9">
        <f>IF(OR(C50="",E50=""),0,IF(C50="Начисление по акту",E50,IF(OR(C50="Оплата",C50="Зачёт аванса по договору"),-E50,IF(C50="Корректировка (подписана обеими сторонами)",E50,0))))</f>
        <v/>
      </c>
      <c r="G50" s="9">
        <f>IF(OR(C50="Удержание",C50="Зачёт встречного требования",C50="Неустойка заявлена"),N(E50),0)</f>
        <v/>
      </c>
      <c r="H50" s="9">
        <f>H49+F50</f>
        <v/>
      </c>
    </row>
    <row r="51">
      <c r="A51" s="5" t="n">
        <v>47</v>
      </c>
      <c r="B51" s="6" t="n"/>
      <c r="C51" s="7" t="n"/>
      <c r="D51" s="7" t="n"/>
      <c r="E51" s="10" t="n"/>
      <c r="F51" s="9">
        <f>IF(OR(C51="",E51=""),0,IF(C51="Начисление по акту",E51,IF(OR(C51="Оплата",C51="Зачёт аванса по договору"),-E51,IF(C51="Корректировка (подписана обеими сторонами)",E51,0))))</f>
        <v/>
      </c>
      <c r="G51" s="9">
        <f>IF(OR(C51="Удержание",C51="Зачёт встречного требования",C51="Неустойка заявлена"),N(E51),0)</f>
        <v/>
      </c>
      <c r="H51" s="9">
        <f>H50+F51</f>
        <v/>
      </c>
    </row>
    <row r="52">
      <c r="A52" s="5" t="n">
        <v>48</v>
      </c>
      <c r="B52" s="6" t="n"/>
      <c r="C52" s="7" t="n"/>
      <c r="D52" s="7" t="n"/>
      <c r="E52" s="10" t="n"/>
      <c r="F52" s="9">
        <f>IF(OR(C52="",E52=""),0,IF(C52="Начисление по акту",E52,IF(OR(C52="Оплата",C52="Зачёт аванса по договору"),-E52,IF(C52="Корректировка (подписана обеими сторонами)",E52,0))))</f>
        <v/>
      </c>
      <c r="G52" s="9">
        <f>IF(OR(C52="Удержание",C52="Зачёт встречного требования",C52="Неустойка заявлена"),N(E52),0)</f>
        <v/>
      </c>
      <c r="H52" s="9">
        <f>H51+F52</f>
        <v/>
      </c>
    </row>
    <row r="53">
      <c r="A53" s="5" t="n">
        <v>49</v>
      </c>
      <c r="B53" s="6" t="n"/>
      <c r="C53" s="7" t="n"/>
      <c r="D53" s="7" t="n"/>
      <c r="E53" s="10" t="n"/>
      <c r="F53" s="9">
        <f>IF(OR(C53="",E53=""),0,IF(C53="Начисление по акту",E53,IF(OR(C53="Оплата",C53="Зачёт аванса по договору"),-E53,IF(C53="Корректировка (подписана обеими сторонами)",E53,0))))</f>
        <v/>
      </c>
      <c r="G53" s="9">
        <f>IF(OR(C53="Удержание",C53="Зачёт встречного требования",C53="Неустойка заявлена"),N(E53),0)</f>
        <v/>
      </c>
      <c r="H53" s="9">
        <f>H52+F53</f>
        <v/>
      </c>
    </row>
    <row r="54">
      <c r="A54" s="5" t="n">
        <v>50</v>
      </c>
      <c r="B54" s="6" t="n"/>
      <c r="C54" s="7" t="n"/>
      <c r="D54" s="7" t="n"/>
      <c r="E54" s="10" t="n"/>
      <c r="F54" s="9">
        <f>IF(OR(C54="",E54=""),0,IF(C54="Начисление по акту",E54,IF(OR(C54="Оплата",C54="Зачёт аванса по договору"),-E54,IF(C54="Корректировка (подписана обеими сторонами)",E54,0))))</f>
        <v/>
      </c>
      <c r="G54" s="9">
        <f>IF(OR(C54="Удержание",C54="Зачёт встречного требования",C54="Неустойка заявлена"),N(E54),0)</f>
        <v/>
      </c>
      <c r="H54" s="9">
        <f>H53+F54</f>
        <v/>
      </c>
    </row>
    <row r="55">
      <c r="A55" s="5" t="n">
        <v>51</v>
      </c>
      <c r="B55" s="6" t="n"/>
      <c r="C55" s="7" t="n"/>
      <c r="D55" s="7" t="n"/>
      <c r="E55" s="10" t="n"/>
      <c r="F55" s="9">
        <f>IF(OR(C55="",E55=""),0,IF(C55="Начисление по акту",E55,IF(OR(C55="Оплата",C55="Зачёт аванса по договору"),-E55,IF(C55="Корректировка (подписана обеими сторонами)",E55,0))))</f>
        <v/>
      </c>
      <c r="G55" s="9">
        <f>IF(OR(C55="Удержание",C55="Зачёт встречного требования",C55="Неустойка заявлена"),N(E55),0)</f>
        <v/>
      </c>
      <c r="H55" s="9">
        <f>H54+F55</f>
        <v/>
      </c>
    </row>
    <row r="56">
      <c r="A56" s="5" t="n">
        <v>52</v>
      </c>
      <c r="B56" s="6" t="n"/>
      <c r="C56" s="7" t="n"/>
      <c r="D56" s="7" t="n"/>
      <c r="E56" s="10" t="n"/>
      <c r="F56" s="9">
        <f>IF(OR(C56="",E56=""),0,IF(C56="Начисление по акту",E56,IF(OR(C56="Оплата",C56="Зачёт аванса по договору"),-E56,IF(C56="Корректировка (подписана обеими сторонами)",E56,0))))</f>
        <v/>
      </c>
      <c r="G56" s="9">
        <f>IF(OR(C56="Удержание",C56="Зачёт встречного требования",C56="Неустойка заявлена"),N(E56),0)</f>
        <v/>
      </c>
      <c r="H56" s="9">
        <f>H55+F56</f>
        <v/>
      </c>
    </row>
    <row r="57">
      <c r="A57" s="5" t="n">
        <v>53</v>
      </c>
      <c r="B57" s="6" t="n"/>
      <c r="C57" s="7" t="n"/>
      <c r="D57" s="7" t="n"/>
      <c r="E57" s="10" t="n"/>
      <c r="F57" s="9">
        <f>IF(OR(C57="",E57=""),0,IF(C57="Начисление по акту",E57,IF(OR(C57="Оплата",C57="Зачёт аванса по договору"),-E57,IF(C57="Корректировка (подписана обеими сторонами)",E57,0))))</f>
        <v/>
      </c>
      <c r="G57" s="9">
        <f>IF(OR(C57="Удержание",C57="Зачёт встречного требования",C57="Неустойка заявлена"),N(E57),0)</f>
        <v/>
      </c>
      <c r="H57" s="9">
        <f>H56+F57</f>
        <v/>
      </c>
    </row>
    <row r="58">
      <c r="A58" s="5" t="n">
        <v>54</v>
      </c>
      <c r="B58" s="6" t="n"/>
      <c r="C58" s="7" t="n"/>
      <c r="D58" s="7" t="n"/>
      <c r="E58" s="10" t="n"/>
      <c r="F58" s="9">
        <f>IF(OR(C58="",E58=""),0,IF(C58="Начисление по акту",E58,IF(OR(C58="Оплата",C58="Зачёт аванса по договору"),-E58,IF(C58="Корректировка (подписана обеими сторонами)",E58,0))))</f>
        <v/>
      </c>
      <c r="G58" s="9">
        <f>IF(OR(C58="Удержание",C58="Зачёт встречного требования",C58="Неустойка заявлена"),N(E58),0)</f>
        <v/>
      </c>
      <c r="H58" s="9">
        <f>H57+F58</f>
        <v/>
      </c>
    </row>
    <row r="59">
      <c r="A59" s="5" t="n">
        <v>55</v>
      </c>
      <c r="B59" s="6" t="n"/>
      <c r="C59" s="7" t="n"/>
      <c r="D59" s="7" t="n"/>
      <c r="E59" s="10" t="n"/>
      <c r="F59" s="9">
        <f>IF(OR(C59="",E59=""),0,IF(C59="Начисление по акту",E59,IF(OR(C59="Оплата",C59="Зачёт аванса по договору"),-E59,IF(C59="Корректировка (подписана обеими сторонами)",E59,0))))</f>
        <v/>
      </c>
      <c r="G59" s="9">
        <f>IF(OR(C59="Удержание",C59="Зачёт встречного требования",C59="Неустойка заявлена"),N(E59),0)</f>
        <v/>
      </c>
      <c r="H59" s="9">
        <f>H58+F59</f>
        <v/>
      </c>
    </row>
    <row r="60">
      <c r="A60" s="5" t="n">
        <v>56</v>
      </c>
      <c r="B60" s="6" t="n"/>
      <c r="C60" s="7" t="n"/>
      <c r="D60" s="7" t="n"/>
      <c r="E60" s="10" t="n"/>
      <c r="F60" s="9">
        <f>IF(OR(C60="",E60=""),0,IF(C60="Начисление по акту",E60,IF(OR(C60="Оплата",C60="Зачёт аванса по договору"),-E60,IF(C60="Корректировка (подписана обеими сторонами)",E60,0))))</f>
        <v/>
      </c>
      <c r="G60" s="9">
        <f>IF(OR(C60="Удержание",C60="Зачёт встречного требования",C60="Неустойка заявлена"),N(E60),0)</f>
        <v/>
      </c>
      <c r="H60" s="9">
        <f>H59+F60</f>
        <v/>
      </c>
    </row>
    <row r="61">
      <c r="A61" s="5" t="n">
        <v>57</v>
      </c>
      <c r="B61" s="6" t="n"/>
      <c r="C61" s="7" t="n"/>
      <c r="D61" s="7" t="n"/>
      <c r="E61" s="10" t="n"/>
      <c r="F61" s="9">
        <f>IF(OR(C61="",E61=""),0,IF(C61="Начисление по акту",E61,IF(OR(C61="Оплата",C61="Зачёт аванса по договору"),-E61,IF(C61="Корректировка (подписана обеими сторонами)",E61,0))))</f>
        <v/>
      </c>
      <c r="G61" s="9">
        <f>IF(OR(C61="Удержание",C61="Зачёт встречного требования",C61="Неустойка заявлена"),N(E61),0)</f>
        <v/>
      </c>
      <c r="H61" s="9">
        <f>H60+F61</f>
        <v/>
      </c>
    </row>
    <row r="62">
      <c r="A62" s="5" t="n">
        <v>58</v>
      </c>
      <c r="B62" s="6" t="n"/>
      <c r="C62" s="7" t="n"/>
      <c r="D62" s="7" t="n"/>
      <c r="E62" s="10" t="n"/>
      <c r="F62" s="9">
        <f>IF(OR(C62="",E62=""),0,IF(C62="Начисление по акту",E62,IF(OR(C62="Оплата",C62="Зачёт аванса по договору"),-E62,IF(C62="Корректировка (подписана обеими сторонами)",E62,0))))</f>
        <v/>
      </c>
      <c r="G62" s="9">
        <f>IF(OR(C62="Удержание",C62="Зачёт встречного требования",C62="Неустойка заявлена"),N(E62),0)</f>
        <v/>
      </c>
      <c r="H62" s="9">
        <f>H61+F62</f>
        <v/>
      </c>
    </row>
    <row r="63">
      <c r="A63" s="5" t="n">
        <v>59</v>
      </c>
      <c r="B63" s="6" t="n"/>
      <c r="C63" s="7" t="n"/>
      <c r="D63" s="7" t="n"/>
      <c r="E63" s="10" t="n"/>
      <c r="F63" s="9">
        <f>IF(OR(C63="",E63=""),0,IF(C63="Начисление по акту",E63,IF(OR(C63="Оплата",C63="Зачёт аванса по договору"),-E63,IF(C63="Корректировка (подписана обеими сторонами)",E63,0))))</f>
        <v/>
      </c>
      <c r="G63" s="9">
        <f>IF(OR(C63="Удержание",C63="Зачёт встречного требования",C63="Неустойка заявлена"),N(E63),0)</f>
        <v/>
      </c>
      <c r="H63" s="9">
        <f>H62+F63</f>
        <v/>
      </c>
    </row>
    <row r="64">
      <c r="A64" s="5" t="n">
        <v>60</v>
      </c>
      <c r="B64" s="6" t="n"/>
      <c r="C64" s="7" t="n"/>
      <c r="D64" s="7" t="n"/>
      <c r="E64" s="10" t="n"/>
      <c r="F64" s="9">
        <f>IF(OR(C64="",E64=""),0,IF(C64="Начисление по акту",E64,IF(OR(C64="Оплата",C64="Зачёт аванса по договору"),-E64,IF(C64="Корректировка (подписана обеими сторонами)",E64,0))))</f>
        <v/>
      </c>
      <c r="G64" s="9">
        <f>IF(OR(C64="Удержание",C64="Зачёт встречного требования",C64="Неустойка заявлена"),N(E64),0)</f>
        <v/>
      </c>
      <c r="H64" s="9">
        <f>H63+F64</f>
        <v/>
      </c>
    </row>
    <row r="65">
      <c r="A65" s="5" t="n">
        <v>61</v>
      </c>
      <c r="B65" s="6" t="n"/>
      <c r="C65" s="7" t="n"/>
      <c r="D65" s="7" t="n"/>
      <c r="E65" s="10" t="n"/>
      <c r="F65" s="9">
        <f>IF(OR(C65="",E65=""),0,IF(C65="Начисление по акту",E65,IF(OR(C65="Оплата",C65="Зачёт аванса по договору"),-E65,IF(C65="Корректировка (подписана обеими сторонами)",E65,0))))</f>
        <v/>
      </c>
      <c r="G65" s="9">
        <f>IF(OR(C65="Удержание",C65="Зачёт встречного требования",C65="Неустойка заявлена"),N(E65),0)</f>
        <v/>
      </c>
      <c r="H65" s="9">
        <f>H64+F65</f>
        <v/>
      </c>
    </row>
    <row r="66">
      <c r="A66" s="5" t="n">
        <v>62</v>
      </c>
      <c r="B66" s="6" t="n"/>
      <c r="C66" s="7" t="n"/>
      <c r="D66" s="7" t="n"/>
      <c r="E66" s="10" t="n"/>
      <c r="F66" s="9">
        <f>IF(OR(C66="",E66=""),0,IF(C66="Начисление по акту",E66,IF(OR(C66="Оплата",C66="Зачёт аванса по договору"),-E66,IF(C66="Корректировка (подписана обеими сторонами)",E66,0))))</f>
        <v/>
      </c>
      <c r="G66" s="9">
        <f>IF(OR(C66="Удержание",C66="Зачёт встречного требования",C66="Неустойка заявлена"),N(E66),0)</f>
        <v/>
      </c>
      <c r="H66" s="9">
        <f>H65+F66</f>
        <v/>
      </c>
    </row>
    <row r="67">
      <c r="A67" s="5" t="n">
        <v>63</v>
      </c>
      <c r="B67" s="6" t="n"/>
      <c r="C67" s="7" t="n"/>
      <c r="D67" s="7" t="n"/>
      <c r="E67" s="10" t="n"/>
      <c r="F67" s="9">
        <f>IF(OR(C67="",E67=""),0,IF(C67="Начисление по акту",E67,IF(OR(C67="Оплата",C67="Зачёт аванса по договору"),-E67,IF(C67="Корректировка (подписана обеими сторонами)",E67,0))))</f>
        <v/>
      </c>
      <c r="G67" s="9">
        <f>IF(OR(C67="Удержание",C67="Зачёт встречного требования",C67="Неустойка заявлена"),N(E67),0)</f>
        <v/>
      </c>
      <c r="H67" s="9">
        <f>H66+F67</f>
        <v/>
      </c>
    </row>
    <row r="68">
      <c r="A68" s="5" t="n">
        <v>64</v>
      </c>
      <c r="B68" s="6" t="n"/>
      <c r="C68" s="7" t="n"/>
      <c r="D68" s="7" t="n"/>
      <c r="E68" s="10" t="n"/>
      <c r="F68" s="9">
        <f>IF(OR(C68="",E68=""),0,IF(C68="Начисление по акту",E68,IF(OR(C68="Оплата",C68="Зачёт аванса по договору"),-E68,IF(C68="Корректировка (подписана обеими сторонами)",E68,0))))</f>
        <v/>
      </c>
      <c r="G68" s="9">
        <f>IF(OR(C68="Удержание",C68="Зачёт встречного требования",C68="Неустойка заявлена"),N(E68),0)</f>
        <v/>
      </c>
      <c r="H68" s="9">
        <f>H67+F68</f>
        <v/>
      </c>
    </row>
    <row r="69">
      <c r="A69" s="5" t="n">
        <v>65</v>
      </c>
      <c r="B69" s="6" t="n"/>
      <c r="C69" s="7" t="n"/>
      <c r="D69" s="7" t="n"/>
      <c r="E69" s="10" t="n"/>
      <c r="F69" s="9">
        <f>IF(OR(C69="",E69=""),0,IF(C69="Начисление по акту",E69,IF(OR(C69="Оплата",C69="Зачёт аванса по договору"),-E69,IF(C69="Корректировка (подписана обеими сторонами)",E69,0))))</f>
        <v/>
      </c>
      <c r="G69" s="9">
        <f>IF(OR(C69="Удержание",C69="Зачёт встречного требования",C69="Неустойка заявлена"),N(E69),0)</f>
        <v/>
      </c>
      <c r="H69" s="9">
        <f>H68+F69</f>
        <v/>
      </c>
    </row>
    <row r="70">
      <c r="A70" s="5" t="n">
        <v>66</v>
      </c>
      <c r="B70" s="6" t="n"/>
      <c r="C70" s="7" t="n"/>
      <c r="D70" s="7" t="n"/>
      <c r="E70" s="10" t="n"/>
      <c r="F70" s="9">
        <f>IF(OR(C70="",E70=""),0,IF(C70="Начисление по акту",E70,IF(OR(C70="Оплата",C70="Зачёт аванса по договору"),-E70,IF(C70="Корректировка (подписана обеими сторонами)",E70,0))))</f>
        <v/>
      </c>
      <c r="G70" s="9">
        <f>IF(OR(C70="Удержание",C70="Зачёт встречного требования",C70="Неустойка заявлена"),N(E70),0)</f>
        <v/>
      </c>
      <c r="H70" s="9">
        <f>H69+F70</f>
        <v/>
      </c>
    </row>
    <row r="71">
      <c r="A71" s="5" t="n">
        <v>67</v>
      </c>
      <c r="B71" s="6" t="n"/>
      <c r="C71" s="7" t="n"/>
      <c r="D71" s="7" t="n"/>
      <c r="E71" s="10" t="n"/>
      <c r="F71" s="9">
        <f>IF(OR(C71="",E71=""),0,IF(C71="Начисление по акту",E71,IF(OR(C71="Оплата",C71="Зачёт аванса по договору"),-E71,IF(C71="Корректировка (подписана обеими сторонами)",E71,0))))</f>
        <v/>
      </c>
      <c r="G71" s="9">
        <f>IF(OR(C71="Удержание",C71="Зачёт встречного требования",C71="Неустойка заявлена"),N(E71),0)</f>
        <v/>
      </c>
      <c r="H71" s="9">
        <f>H70+F71</f>
        <v/>
      </c>
    </row>
    <row r="72">
      <c r="A72" s="5" t="n">
        <v>68</v>
      </c>
      <c r="B72" s="6" t="n"/>
      <c r="C72" s="7" t="n"/>
      <c r="D72" s="7" t="n"/>
      <c r="E72" s="10" t="n"/>
      <c r="F72" s="9">
        <f>IF(OR(C72="",E72=""),0,IF(C72="Начисление по акту",E72,IF(OR(C72="Оплата",C72="Зачёт аванса по договору"),-E72,IF(C72="Корректировка (подписана обеими сторонами)",E72,0))))</f>
        <v/>
      </c>
      <c r="G72" s="9">
        <f>IF(OR(C72="Удержание",C72="Зачёт встречного требования",C72="Неустойка заявлена"),N(E72),0)</f>
        <v/>
      </c>
      <c r="H72" s="9">
        <f>H71+F72</f>
        <v/>
      </c>
    </row>
    <row r="73">
      <c r="A73" s="5" t="n">
        <v>69</v>
      </c>
      <c r="B73" s="6" t="n"/>
      <c r="C73" s="7" t="n"/>
      <c r="D73" s="7" t="n"/>
      <c r="E73" s="10" t="n"/>
      <c r="F73" s="9">
        <f>IF(OR(C73="",E73=""),0,IF(C73="Начисление по акту",E73,IF(OR(C73="Оплата",C73="Зачёт аванса по договору"),-E73,IF(C73="Корректировка (подписана обеими сторонами)",E73,0))))</f>
        <v/>
      </c>
      <c r="G73" s="9">
        <f>IF(OR(C73="Удержание",C73="Зачёт встречного требования",C73="Неустойка заявлена"),N(E73),0)</f>
        <v/>
      </c>
      <c r="H73" s="9">
        <f>H72+F73</f>
        <v/>
      </c>
    </row>
    <row r="74">
      <c r="A74" s="5" t="n">
        <v>70</v>
      </c>
      <c r="B74" s="6" t="n"/>
      <c r="C74" s="7" t="n"/>
      <c r="D74" s="7" t="n"/>
      <c r="E74" s="10" t="n"/>
      <c r="F74" s="9">
        <f>IF(OR(C74="",E74=""),0,IF(C74="Начисление по акту",E74,IF(OR(C74="Оплата",C74="Зачёт аванса по договору"),-E74,IF(C74="Корректировка (подписана обеими сторонами)",E74,0))))</f>
        <v/>
      </c>
      <c r="G74" s="9">
        <f>IF(OR(C74="Удержание",C74="Зачёт встречного требования",C74="Неустойка заявлена"),N(E74),0)</f>
        <v/>
      </c>
      <c r="H74" s="9">
        <f>H73+F74</f>
        <v/>
      </c>
    </row>
    <row r="75">
      <c r="A75" s="5" t="n">
        <v>71</v>
      </c>
      <c r="B75" s="6" t="n"/>
      <c r="C75" s="7" t="n"/>
      <c r="D75" s="7" t="n"/>
      <c r="E75" s="10" t="n"/>
      <c r="F75" s="9">
        <f>IF(OR(C75="",E75=""),0,IF(C75="Начисление по акту",E75,IF(OR(C75="Оплата",C75="Зачёт аванса по договору"),-E75,IF(C75="Корректировка (подписана обеими сторонами)",E75,0))))</f>
        <v/>
      </c>
      <c r="G75" s="9">
        <f>IF(OR(C75="Удержание",C75="Зачёт встречного требования",C75="Неустойка заявлена"),N(E75),0)</f>
        <v/>
      </c>
      <c r="H75" s="9">
        <f>H74+F75</f>
        <v/>
      </c>
    </row>
    <row r="76">
      <c r="A76" s="5" t="n">
        <v>72</v>
      </c>
      <c r="B76" s="6" t="n"/>
      <c r="C76" s="7" t="n"/>
      <c r="D76" s="7" t="n"/>
      <c r="E76" s="10" t="n"/>
      <c r="F76" s="9">
        <f>IF(OR(C76="",E76=""),0,IF(C76="Начисление по акту",E76,IF(OR(C76="Оплата",C76="Зачёт аванса по договору"),-E76,IF(C76="Корректировка (подписана обеими сторонами)",E76,0))))</f>
        <v/>
      </c>
      <c r="G76" s="9">
        <f>IF(OR(C76="Удержание",C76="Зачёт встречного требования",C76="Неустойка заявлена"),N(E76),0)</f>
        <v/>
      </c>
      <c r="H76" s="9">
        <f>H75+F76</f>
        <v/>
      </c>
    </row>
    <row r="77">
      <c r="A77" s="5" t="n">
        <v>73</v>
      </c>
      <c r="B77" s="6" t="n"/>
      <c r="C77" s="7" t="n"/>
      <c r="D77" s="7" t="n"/>
      <c r="E77" s="10" t="n"/>
      <c r="F77" s="9">
        <f>IF(OR(C77="",E77=""),0,IF(C77="Начисление по акту",E77,IF(OR(C77="Оплата",C77="Зачёт аванса по договору"),-E77,IF(C77="Корректировка (подписана обеими сторонами)",E77,0))))</f>
        <v/>
      </c>
      <c r="G77" s="9">
        <f>IF(OR(C77="Удержание",C77="Зачёт встречного требования",C77="Неустойка заявлена"),N(E77),0)</f>
        <v/>
      </c>
      <c r="H77" s="9">
        <f>H76+F77</f>
        <v/>
      </c>
    </row>
    <row r="78">
      <c r="A78" s="5" t="n">
        <v>74</v>
      </c>
      <c r="B78" s="6" t="n"/>
      <c r="C78" s="7" t="n"/>
      <c r="D78" s="7" t="n"/>
      <c r="E78" s="10" t="n"/>
      <c r="F78" s="9">
        <f>IF(OR(C78="",E78=""),0,IF(C78="Начисление по акту",E78,IF(OR(C78="Оплата",C78="Зачёт аванса по договору"),-E78,IF(C78="Корректировка (подписана обеими сторонами)",E78,0))))</f>
        <v/>
      </c>
      <c r="G78" s="9">
        <f>IF(OR(C78="Удержание",C78="Зачёт встречного требования",C78="Неустойка заявлена"),N(E78),0)</f>
        <v/>
      </c>
      <c r="H78" s="9">
        <f>H77+F78</f>
        <v/>
      </c>
    </row>
    <row r="79">
      <c r="A79" s="5" t="n">
        <v>75</v>
      </c>
      <c r="B79" s="6" t="n"/>
      <c r="C79" s="7" t="n"/>
      <c r="D79" s="7" t="n"/>
      <c r="E79" s="10" t="n"/>
      <c r="F79" s="9">
        <f>IF(OR(C79="",E79=""),0,IF(C79="Начисление по акту",E79,IF(OR(C79="Оплата",C79="Зачёт аванса по договору"),-E79,IF(C79="Корректировка (подписана обеими сторонами)",E79,0))))</f>
        <v/>
      </c>
      <c r="G79" s="9">
        <f>IF(OR(C79="Удержание",C79="Зачёт встречного требования",C79="Неустойка заявлена"),N(E79),0)</f>
        <v/>
      </c>
      <c r="H79" s="9">
        <f>H78+F79</f>
        <v/>
      </c>
    </row>
    <row r="80">
      <c r="A80" s="5" t="n">
        <v>76</v>
      </c>
      <c r="B80" s="6" t="n"/>
      <c r="C80" s="7" t="n"/>
      <c r="D80" s="7" t="n"/>
      <c r="E80" s="10" t="n"/>
      <c r="F80" s="9">
        <f>IF(OR(C80="",E80=""),0,IF(C80="Начисление по акту",E80,IF(OR(C80="Оплата",C80="Зачёт аванса по договору"),-E80,IF(C80="Корректировка (подписана обеими сторонами)",E80,0))))</f>
        <v/>
      </c>
      <c r="G80" s="9">
        <f>IF(OR(C80="Удержание",C80="Зачёт встречного требования",C80="Неустойка заявлена"),N(E80),0)</f>
        <v/>
      </c>
      <c r="H80" s="9">
        <f>H79+F80</f>
        <v/>
      </c>
    </row>
    <row r="81">
      <c r="A81" s="5" t="n">
        <v>77</v>
      </c>
      <c r="B81" s="6" t="n"/>
      <c r="C81" s="7" t="n"/>
      <c r="D81" s="7" t="n"/>
      <c r="E81" s="10" t="n"/>
      <c r="F81" s="9">
        <f>IF(OR(C81="",E81=""),0,IF(C81="Начисление по акту",E81,IF(OR(C81="Оплата",C81="Зачёт аванса по договору"),-E81,IF(C81="Корректировка (подписана обеими сторонами)",E81,0))))</f>
        <v/>
      </c>
      <c r="G81" s="9">
        <f>IF(OR(C81="Удержание",C81="Зачёт встречного требования",C81="Неустойка заявлена"),N(E81),0)</f>
        <v/>
      </c>
      <c r="H81" s="9">
        <f>H80+F81</f>
        <v/>
      </c>
    </row>
    <row r="82">
      <c r="A82" s="5" t="n">
        <v>78</v>
      </c>
      <c r="B82" s="6" t="n"/>
      <c r="C82" s="7" t="n"/>
      <c r="D82" s="7" t="n"/>
      <c r="E82" s="10" t="n"/>
      <c r="F82" s="9">
        <f>IF(OR(C82="",E82=""),0,IF(C82="Начисление по акту",E82,IF(OR(C82="Оплата",C82="Зачёт аванса по договору"),-E82,IF(C82="Корректировка (подписана обеими сторонами)",E82,0))))</f>
        <v/>
      </c>
      <c r="G82" s="9">
        <f>IF(OR(C82="Удержание",C82="Зачёт встречного требования",C82="Неустойка заявлена"),N(E82),0)</f>
        <v/>
      </c>
      <c r="H82" s="9">
        <f>H81+F82</f>
        <v/>
      </c>
    </row>
    <row r="83">
      <c r="A83" s="5" t="n">
        <v>79</v>
      </c>
      <c r="B83" s="6" t="n"/>
      <c r="C83" s="7" t="n"/>
      <c r="D83" s="7" t="n"/>
      <c r="E83" s="10" t="n"/>
      <c r="F83" s="9">
        <f>IF(OR(C83="",E83=""),0,IF(C83="Начисление по акту",E83,IF(OR(C83="Оплата",C83="Зачёт аванса по договору"),-E83,IF(C83="Корректировка (подписана обеими сторонами)",E83,0))))</f>
        <v/>
      </c>
      <c r="G83" s="9">
        <f>IF(OR(C83="Удержание",C83="Зачёт встречного требования",C83="Неустойка заявлена"),N(E83),0)</f>
        <v/>
      </c>
      <c r="H83" s="9">
        <f>H82+F83</f>
        <v/>
      </c>
    </row>
    <row r="84">
      <c r="A84" s="5" t="n">
        <v>80</v>
      </c>
      <c r="B84" s="6" t="n"/>
      <c r="C84" s="7" t="n"/>
      <c r="D84" s="7" t="n"/>
      <c r="E84" s="10" t="n"/>
      <c r="F84" s="9">
        <f>IF(OR(C84="",E84=""),0,IF(C84="Начисление по акту",E84,IF(OR(C84="Оплата",C84="Зачёт аванса по договору"),-E84,IF(C84="Корректировка (подписана обеими сторонами)",E84,0))))</f>
        <v/>
      </c>
      <c r="G84" s="9">
        <f>IF(OR(C84="Удержание",C84="Зачёт встречного требования",C84="Неустойка заявлена"),N(E84),0)</f>
        <v/>
      </c>
      <c r="H84" s="9">
        <f>H83+F84</f>
        <v/>
      </c>
    </row>
    <row r="85">
      <c r="A85" s="5" t="n">
        <v>81</v>
      </c>
      <c r="B85" s="6" t="n"/>
      <c r="C85" s="7" t="n"/>
      <c r="D85" s="7" t="n"/>
      <c r="E85" s="10" t="n"/>
      <c r="F85" s="9">
        <f>IF(OR(C85="",E85=""),0,IF(C85="Начисление по акту",E85,IF(OR(C85="Оплата",C85="Зачёт аванса по договору"),-E85,IF(C85="Корректировка (подписана обеими сторонами)",E85,0))))</f>
        <v/>
      </c>
      <c r="G85" s="9">
        <f>IF(OR(C85="Удержание",C85="Зачёт встречного требования",C85="Неустойка заявлена"),N(E85),0)</f>
        <v/>
      </c>
      <c r="H85" s="9">
        <f>H84+F85</f>
        <v/>
      </c>
    </row>
    <row r="86">
      <c r="A86" s="5" t="n">
        <v>82</v>
      </c>
      <c r="B86" s="6" t="n"/>
      <c r="C86" s="7" t="n"/>
      <c r="D86" s="7" t="n"/>
      <c r="E86" s="10" t="n"/>
      <c r="F86" s="9">
        <f>IF(OR(C86="",E86=""),0,IF(C86="Начисление по акту",E86,IF(OR(C86="Оплата",C86="Зачёт аванса по договору"),-E86,IF(C86="Корректировка (подписана обеими сторонами)",E86,0))))</f>
        <v/>
      </c>
      <c r="G86" s="9">
        <f>IF(OR(C86="Удержание",C86="Зачёт встречного требования",C86="Неустойка заявлена"),N(E86),0)</f>
        <v/>
      </c>
      <c r="H86" s="9">
        <f>H85+F86</f>
        <v/>
      </c>
    </row>
    <row r="87">
      <c r="A87" s="5" t="n">
        <v>83</v>
      </c>
      <c r="B87" s="6" t="n"/>
      <c r="C87" s="7" t="n"/>
      <c r="D87" s="7" t="n"/>
      <c r="E87" s="10" t="n"/>
      <c r="F87" s="9">
        <f>IF(OR(C87="",E87=""),0,IF(C87="Начисление по акту",E87,IF(OR(C87="Оплата",C87="Зачёт аванса по договору"),-E87,IF(C87="Корректировка (подписана обеими сторонами)",E87,0))))</f>
        <v/>
      </c>
      <c r="G87" s="9">
        <f>IF(OR(C87="Удержание",C87="Зачёт встречного требования",C87="Неустойка заявлена"),N(E87),0)</f>
        <v/>
      </c>
      <c r="H87" s="9">
        <f>H86+F87</f>
        <v/>
      </c>
    </row>
    <row r="88">
      <c r="A88" s="5" t="n">
        <v>84</v>
      </c>
      <c r="B88" s="6" t="n"/>
      <c r="C88" s="7" t="n"/>
      <c r="D88" s="7" t="n"/>
      <c r="E88" s="10" t="n"/>
      <c r="F88" s="9">
        <f>IF(OR(C88="",E88=""),0,IF(C88="Начисление по акту",E88,IF(OR(C88="Оплата",C88="Зачёт аванса по договору"),-E88,IF(C88="Корректировка (подписана обеими сторонами)",E88,0))))</f>
        <v/>
      </c>
      <c r="G88" s="9">
        <f>IF(OR(C88="Удержание",C88="Зачёт встречного требования",C88="Неустойка заявлена"),N(E88),0)</f>
        <v/>
      </c>
      <c r="H88" s="9">
        <f>H87+F88</f>
        <v/>
      </c>
    </row>
    <row r="89">
      <c r="A89" s="5" t="n">
        <v>85</v>
      </c>
      <c r="B89" s="6" t="n"/>
      <c r="C89" s="7" t="n"/>
      <c r="D89" s="7" t="n"/>
      <c r="E89" s="10" t="n"/>
      <c r="F89" s="9">
        <f>IF(OR(C89="",E89=""),0,IF(C89="Начисление по акту",E89,IF(OR(C89="Оплата",C89="Зачёт аванса по договору"),-E89,IF(C89="Корректировка (подписана обеими сторонами)",E89,0))))</f>
        <v/>
      </c>
      <c r="G89" s="9">
        <f>IF(OR(C89="Удержание",C89="Зачёт встречного требования",C89="Неустойка заявлена"),N(E89),0)</f>
        <v/>
      </c>
      <c r="H89" s="9">
        <f>H88+F89</f>
        <v/>
      </c>
    </row>
    <row r="90">
      <c r="A90" s="5" t="n">
        <v>86</v>
      </c>
      <c r="B90" s="6" t="n"/>
      <c r="C90" s="7" t="n"/>
      <c r="D90" s="7" t="n"/>
      <c r="E90" s="10" t="n"/>
      <c r="F90" s="9">
        <f>IF(OR(C90="",E90=""),0,IF(C90="Начисление по акту",E90,IF(OR(C90="Оплата",C90="Зачёт аванса по договору"),-E90,IF(C90="Корректировка (подписана обеими сторонами)",E90,0))))</f>
        <v/>
      </c>
      <c r="G90" s="9">
        <f>IF(OR(C90="Удержание",C90="Зачёт встречного требования",C90="Неустойка заявлена"),N(E90),0)</f>
        <v/>
      </c>
      <c r="H90" s="9">
        <f>H89+F90</f>
        <v/>
      </c>
    </row>
    <row r="91">
      <c r="A91" s="5" t="n">
        <v>87</v>
      </c>
      <c r="B91" s="6" t="n"/>
      <c r="C91" s="7" t="n"/>
      <c r="D91" s="7" t="n"/>
      <c r="E91" s="10" t="n"/>
      <c r="F91" s="9">
        <f>IF(OR(C91="",E91=""),0,IF(C91="Начисление по акту",E91,IF(OR(C91="Оплата",C91="Зачёт аванса по договору"),-E91,IF(C91="Корректировка (подписана обеими сторонами)",E91,0))))</f>
        <v/>
      </c>
      <c r="G91" s="9">
        <f>IF(OR(C91="Удержание",C91="Зачёт встречного требования",C91="Неустойка заявлена"),N(E91),0)</f>
        <v/>
      </c>
      <c r="H91" s="9">
        <f>H90+F91</f>
        <v/>
      </c>
    </row>
    <row r="92">
      <c r="A92" s="5" t="n">
        <v>88</v>
      </c>
      <c r="B92" s="6" t="n"/>
      <c r="C92" s="7" t="n"/>
      <c r="D92" s="7" t="n"/>
      <c r="E92" s="10" t="n"/>
      <c r="F92" s="9">
        <f>IF(OR(C92="",E92=""),0,IF(C92="Начисление по акту",E92,IF(OR(C92="Оплата",C92="Зачёт аванса по договору"),-E92,IF(C92="Корректировка (подписана обеими сторонами)",E92,0))))</f>
        <v/>
      </c>
      <c r="G92" s="9">
        <f>IF(OR(C92="Удержание",C92="Зачёт встречного требования",C92="Неустойка заявлена"),N(E92),0)</f>
        <v/>
      </c>
      <c r="H92" s="9">
        <f>H91+F92</f>
        <v/>
      </c>
    </row>
    <row r="93">
      <c r="A93" s="5" t="n">
        <v>89</v>
      </c>
      <c r="B93" s="6" t="n"/>
      <c r="C93" s="7" t="n"/>
      <c r="D93" s="7" t="n"/>
      <c r="E93" s="10" t="n"/>
      <c r="F93" s="9">
        <f>IF(OR(C93="",E93=""),0,IF(C93="Начисление по акту",E93,IF(OR(C93="Оплата",C93="Зачёт аванса по договору"),-E93,IF(C93="Корректировка (подписана обеими сторонами)",E93,0))))</f>
        <v/>
      </c>
      <c r="G93" s="9">
        <f>IF(OR(C93="Удержание",C93="Зачёт встречного требования",C93="Неустойка заявлена"),N(E93),0)</f>
        <v/>
      </c>
      <c r="H93" s="9">
        <f>H92+F93</f>
        <v/>
      </c>
    </row>
    <row r="94">
      <c r="A94" s="5" t="n">
        <v>90</v>
      </c>
      <c r="B94" s="6" t="n"/>
      <c r="C94" s="7" t="n"/>
      <c r="D94" s="7" t="n"/>
      <c r="E94" s="10" t="n"/>
      <c r="F94" s="9">
        <f>IF(OR(C94="",E94=""),0,IF(C94="Начисление по акту",E94,IF(OR(C94="Оплата",C94="Зачёт аванса по договору"),-E94,IF(C94="Корректировка (подписана обеими сторонами)",E94,0))))</f>
        <v/>
      </c>
      <c r="G94" s="9">
        <f>IF(OR(C94="Удержание",C94="Зачёт встречного требования",C94="Неустойка заявлена"),N(E94),0)</f>
        <v/>
      </c>
      <c r="H94" s="9">
        <f>H93+F94</f>
        <v/>
      </c>
    </row>
    <row r="95">
      <c r="A95" s="5" t="n">
        <v>91</v>
      </c>
      <c r="B95" s="6" t="n"/>
      <c r="C95" s="7" t="n"/>
      <c r="D95" s="7" t="n"/>
      <c r="E95" s="10" t="n"/>
      <c r="F95" s="9">
        <f>IF(OR(C95="",E95=""),0,IF(C95="Начисление по акту",E95,IF(OR(C95="Оплата",C95="Зачёт аванса по договору"),-E95,IF(C95="Корректировка (подписана обеими сторонами)",E95,0))))</f>
        <v/>
      </c>
      <c r="G95" s="9">
        <f>IF(OR(C95="Удержание",C95="Зачёт встречного требования",C95="Неустойка заявлена"),N(E95),0)</f>
        <v/>
      </c>
      <c r="H95" s="9">
        <f>H94+F95</f>
        <v/>
      </c>
    </row>
    <row r="96">
      <c r="A96" s="5" t="n">
        <v>92</v>
      </c>
      <c r="B96" s="6" t="n"/>
      <c r="C96" s="7" t="n"/>
      <c r="D96" s="7" t="n"/>
      <c r="E96" s="10" t="n"/>
      <c r="F96" s="9">
        <f>IF(OR(C96="",E96=""),0,IF(C96="Начисление по акту",E96,IF(OR(C96="Оплата",C96="Зачёт аванса по договору"),-E96,IF(C96="Корректировка (подписана обеими сторонами)",E96,0))))</f>
        <v/>
      </c>
      <c r="G96" s="9">
        <f>IF(OR(C96="Удержание",C96="Зачёт встречного требования",C96="Неустойка заявлена"),N(E96),0)</f>
        <v/>
      </c>
      <c r="H96" s="9">
        <f>H95+F96</f>
        <v/>
      </c>
    </row>
    <row r="97">
      <c r="A97" s="5" t="n">
        <v>93</v>
      </c>
      <c r="B97" s="6" t="n"/>
      <c r="C97" s="7" t="n"/>
      <c r="D97" s="7" t="n"/>
      <c r="E97" s="10" t="n"/>
      <c r="F97" s="9">
        <f>IF(OR(C97="",E97=""),0,IF(C97="Начисление по акту",E97,IF(OR(C97="Оплата",C97="Зачёт аванса по договору"),-E97,IF(C97="Корректировка (подписана обеими сторонами)",E97,0))))</f>
        <v/>
      </c>
      <c r="G97" s="9">
        <f>IF(OR(C97="Удержание",C97="Зачёт встречного требования",C97="Неустойка заявлена"),N(E97),0)</f>
        <v/>
      </c>
      <c r="H97" s="9">
        <f>H96+F97</f>
        <v/>
      </c>
    </row>
    <row r="98">
      <c r="A98" s="5" t="n">
        <v>94</v>
      </c>
      <c r="B98" s="6" t="n"/>
      <c r="C98" s="7" t="n"/>
      <c r="D98" s="7" t="n"/>
      <c r="E98" s="10" t="n"/>
      <c r="F98" s="9">
        <f>IF(OR(C98="",E98=""),0,IF(C98="Начисление по акту",E98,IF(OR(C98="Оплата",C98="Зачёт аванса по договору"),-E98,IF(C98="Корректировка (подписана обеими сторонами)",E98,0))))</f>
        <v/>
      </c>
      <c r="G98" s="9">
        <f>IF(OR(C98="Удержание",C98="Зачёт встречного требования",C98="Неустойка заявлена"),N(E98),0)</f>
        <v/>
      </c>
      <c r="H98" s="9">
        <f>H97+F98</f>
        <v/>
      </c>
    </row>
    <row r="99">
      <c r="A99" s="5" t="n">
        <v>95</v>
      </c>
      <c r="B99" s="6" t="n"/>
      <c r="C99" s="7" t="n"/>
      <c r="D99" s="7" t="n"/>
      <c r="E99" s="10" t="n"/>
      <c r="F99" s="9">
        <f>IF(OR(C99="",E99=""),0,IF(C99="Начисление по акту",E99,IF(OR(C99="Оплата",C99="Зачёт аванса по договору"),-E99,IF(C99="Корректировка (подписана обеими сторонами)",E99,0))))</f>
        <v/>
      </c>
      <c r="G99" s="9">
        <f>IF(OR(C99="Удержание",C99="Зачёт встречного требования",C99="Неустойка заявлена"),N(E99),0)</f>
        <v/>
      </c>
      <c r="H99" s="9">
        <f>H98+F99</f>
        <v/>
      </c>
    </row>
    <row r="100">
      <c r="A100" s="5" t="n">
        <v>96</v>
      </c>
      <c r="B100" s="6" t="n"/>
      <c r="C100" s="7" t="n"/>
      <c r="D100" s="7" t="n"/>
      <c r="E100" s="10" t="n"/>
      <c r="F100" s="9">
        <f>IF(OR(C100="",E100=""),0,IF(C100="Начисление по акту",E100,IF(OR(C100="Оплата",C100="Зачёт аванса по договору"),-E100,IF(C100="Корректировка (подписана обеими сторонами)",E100,0))))</f>
        <v/>
      </c>
      <c r="G100" s="9">
        <f>IF(OR(C100="Удержание",C100="Зачёт встречного требования",C100="Неустойка заявлена"),N(E100),0)</f>
        <v/>
      </c>
      <c r="H100" s="9">
        <f>H99+F100</f>
        <v/>
      </c>
    </row>
    <row r="101">
      <c r="A101" s="5" t="n">
        <v>97</v>
      </c>
      <c r="B101" s="6" t="n"/>
      <c r="C101" s="7" t="n"/>
      <c r="D101" s="7" t="n"/>
      <c r="E101" s="10" t="n"/>
      <c r="F101" s="9">
        <f>IF(OR(C101="",E101=""),0,IF(C101="Начисление по акту",E101,IF(OR(C101="Оплата",C101="Зачёт аванса по договору"),-E101,IF(C101="Корректировка (подписана обеими сторонами)",E101,0))))</f>
        <v/>
      </c>
      <c r="G101" s="9">
        <f>IF(OR(C101="Удержание",C101="Зачёт встречного требования",C101="Неустойка заявлена"),N(E101),0)</f>
        <v/>
      </c>
      <c r="H101" s="9">
        <f>H100+F101</f>
        <v/>
      </c>
    </row>
    <row r="102">
      <c r="A102" s="5" t="n">
        <v>98</v>
      </c>
      <c r="B102" s="6" t="n"/>
      <c r="C102" s="7" t="n"/>
      <c r="D102" s="7" t="n"/>
      <c r="E102" s="10" t="n"/>
      <c r="F102" s="9">
        <f>IF(OR(C102="",E102=""),0,IF(C102="Начисление по акту",E102,IF(OR(C102="Оплата",C102="Зачёт аванса по договору"),-E102,IF(C102="Корректировка (подписана обеими сторонами)",E102,0))))</f>
        <v/>
      </c>
      <c r="G102" s="9">
        <f>IF(OR(C102="Удержание",C102="Зачёт встречного требования",C102="Неустойка заявлена"),N(E102),0)</f>
        <v/>
      </c>
      <c r="H102" s="9">
        <f>H101+F102</f>
        <v/>
      </c>
    </row>
    <row r="103">
      <c r="A103" s="5" t="n">
        <v>99</v>
      </c>
      <c r="B103" s="6" t="n"/>
      <c r="C103" s="7" t="n"/>
      <c r="D103" s="7" t="n"/>
      <c r="E103" s="10" t="n"/>
      <c r="F103" s="9">
        <f>IF(OR(C103="",E103=""),0,IF(C103="Начисление по акту",E103,IF(OR(C103="Оплата",C103="Зачёт аванса по договору"),-E103,IF(C103="Корректировка (подписана обеими сторонами)",E103,0))))</f>
        <v/>
      </c>
      <c r="G103" s="9">
        <f>IF(OR(C103="Удержание",C103="Зачёт встречного требования",C103="Неустойка заявлена"),N(E103),0)</f>
        <v/>
      </c>
      <c r="H103" s="9">
        <f>H102+F103</f>
        <v/>
      </c>
    </row>
    <row r="104">
      <c r="A104" s="5" t="n">
        <v>100</v>
      </c>
      <c r="B104" s="6" t="n"/>
      <c r="C104" s="7" t="n"/>
      <c r="D104" s="7" t="n"/>
      <c r="E104" s="10" t="n"/>
      <c r="F104" s="9">
        <f>IF(OR(C104="",E104=""),0,IF(C104="Начисление по акту",E104,IF(OR(C104="Оплата",C104="Зачёт аванса по договору"),-E104,IF(C104="Корректировка (подписана обеими сторонами)",E104,0))))</f>
        <v/>
      </c>
      <c r="G104" s="9">
        <f>IF(OR(C104="Удержание",C104="Зачёт встречного требования",C104="Неустойка заявлена"),N(E104),0)</f>
        <v/>
      </c>
      <c r="H104" s="9">
        <f>H103+F104</f>
        <v/>
      </c>
    </row>
    <row r="105">
      <c r="A105" s="5" t="n">
        <v>101</v>
      </c>
      <c r="B105" s="6" t="n"/>
      <c r="C105" s="7" t="n"/>
      <c r="D105" s="7" t="n"/>
      <c r="E105" s="10" t="n"/>
      <c r="F105" s="9">
        <f>IF(OR(C105="",E105=""),0,IF(C105="Начисление по акту",E105,IF(OR(C105="Оплата",C105="Зачёт аванса по договору"),-E105,IF(C105="Корректировка (подписана обеими сторонами)",E105,0))))</f>
        <v/>
      </c>
      <c r="G105" s="9">
        <f>IF(OR(C105="Удержание",C105="Зачёт встречного требования",C105="Неустойка заявлена"),N(E105),0)</f>
        <v/>
      </c>
      <c r="H105" s="9">
        <f>H104+F105</f>
        <v/>
      </c>
    </row>
    <row r="106">
      <c r="A106" s="5" t="n">
        <v>102</v>
      </c>
      <c r="B106" s="6" t="n"/>
      <c r="C106" s="7" t="n"/>
      <c r="D106" s="7" t="n"/>
      <c r="E106" s="10" t="n"/>
      <c r="F106" s="9">
        <f>IF(OR(C106="",E106=""),0,IF(C106="Начисление по акту",E106,IF(OR(C106="Оплата",C106="Зачёт аванса по договору"),-E106,IF(C106="Корректировка (подписана обеими сторонами)",E106,0))))</f>
        <v/>
      </c>
      <c r="G106" s="9">
        <f>IF(OR(C106="Удержание",C106="Зачёт встречного требования",C106="Неустойка заявлена"),N(E106),0)</f>
        <v/>
      </c>
      <c r="H106" s="9">
        <f>H105+F106</f>
        <v/>
      </c>
    </row>
    <row r="107">
      <c r="A107" s="5" t="n">
        <v>103</v>
      </c>
      <c r="B107" s="6" t="n"/>
      <c r="C107" s="7" t="n"/>
      <c r="D107" s="7" t="n"/>
      <c r="E107" s="10" t="n"/>
      <c r="F107" s="9">
        <f>IF(OR(C107="",E107=""),0,IF(C107="Начисление по акту",E107,IF(OR(C107="Оплата",C107="Зачёт аванса по договору"),-E107,IF(C107="Корректировка (подписана обеими сторонами)",E107,0))))</f>
        <v/>
      </c>
      <c r="G107" s="9">
        <f>IF(OR(C107="Удержание",C107="Зачёт встречного требования",C107="Неустойка заявлена"),N(E107),0)</f>
        <v/>
      </c>
      <c r="H107" s="9">
        <f>H106+F107</f>
        <v/>
      </c>
    </row>
    <row r="108">
      <c r="A108" s="5" t="n">
        <v>104</v>
      </c>
      <c r="B108" s="6" t="n"/>
      <c r="C108" s="7" t="n"/>
      <c r="D108" s="7" t="n"/>
      <c r="E108" s="10" t="n"/>
      <c r="F108" s="9">
        <f>IF(OR(C108="",E108=""),0,IF(C108="Начисление по акту",E108,IF(OR(C108="Оплата",C108="Зачёт аванса по договору"),-E108,IF(C108="Корректировка (подписана обеими сторонами)",E108,0))))</f>
        <v/>
      </c>
      <c r="G108" s="9">
        <f>IF(OR(C108="Удержание",C108="Зачёт встречного требования",C108="Неустойка заявлена"),N(E108),0)</f>
        <v/>
      </c>
      <c r="H108" s="9">
        <f>H107+F108</f>
        <v/>
      </c>
    </row>
    <row r="109">
      <c r="A109" s="5" t="n">
        <v>105</v>
      </c>
      <c r="B109" s="6" t="n"/>
      <c r="C109" s="7" t="n"/>
      <c r="D109" s="7" t="n"/>
      <c r="E109" s="10" t="n"/>
      <c r="F109" s="9">
        <f>IF(OR(C109="",E109=""),0,IF(C109="Начисление по акту",E109,IF(OR(C109="Оплата",C109="Зачёт аванса по договору"),-E109,IF(C109="Корректировка (подписана обеими сторонами)",E109,0))))</f>
        <v/>
      </c>
      <c r="G109" s="9">
        <f>IF(OR(C109="Удержание",C109="Зачёт встречного требования",C109="Неустойка заявлена"),N(E109),0)</f>
        <v/>
      </c>
      <c r="H109" s="9">
        <f>H108+F109</f>
        <v/>
      </c>
    </row>
    <row r="110">
      <c r="A110" s="5" t="n">
        <v>106</v>
      </c>
      <c r="B110" s="6" t="n"/>
      <c r="C110" s="7" t="n"/>
      <c r="D110" s="7" t="n"/>
      <c r="E110" s="10" t="n"/>
      <c r="F110" s="9">
        <f>IF(OR(C110="",E110=""),0,IF(C110="Начисление по акту",E110,IF(OR(C110="Оплата",C110="Зачёт аванса по договору"),-E110,IF(C110="Корректировка (подписана обеими сторонами)",E110,0))))</f>
        <v/>
      </c>
      <c r="G110" s="9">
        <f>IF(OR(C110="Удержание",C110="Зачёт встречного требования",C110="Неустойка заявлена"),N(E110),0)</f>
        <v/>
      </c>
      <c r="H110" s="9">
        <f>H109+F110</f>
        <v/>
      </c>
    </row>
    <row r="111">
      <c r="A111" s="5" t="n">
        <v>107</v>
      </c>
      <c r="B111" s="6" t="n"/>
      <c r="C111" s="7" t="n"/>
      <c r="D111" s="7" t="n"/>
      <c r="E111" s="10" t="n"/>
      <c r="F111" s="9">
        <f>IF(OR(C111="",E111=""),0,IF(C111="Начисление по акту",E111,IF(OR(C111="Оплата",C111="Зачёт аванса по договору"),-E111,IF(C111="Корректировка (подписана обеими сторонами)",E111,0))))</f>
        <v/>
      </c>
      <c r="G111" s="9">
        <f>IF(OR(C111="Удержание",C111="Зачёт встречного требования",C111="Неустойка заявлена"),N(E111),0)</f>
        <v/>
      </c>
      <c r="H111" s="9">
        <f>H110+F111</f>
        <v/>
      </c>
    </row>
    <row r="112">
      <c r="A112" s="5" t="n">
        <v>108</v>
      </c>
      <c r="B112" s="6" t="n"/>
      <c r="C112" s="7" t="n"/>
      <c r="D112" s="7" t="n"/>
      <c r="E112" s="10" t="n"/>
      <c r="F112" s="9">
        <f>IF(OR(C112="",E112=""),0,IF(C112="Начисление по акту",E112,IF(OR(C112="Оплата",C112="Зачёт аванса по договору"),-E112,IF(C112="Корректировка (подписана обеими сторонами)",E112,0))))</f>
        <v/>
      </c>
      <c r="G112" s="9">
        <f>IF(OR(C112="Удержание",C112="Зачёт встречного требования",C112="Неустойка заявлена"),N(E112),0)</f>
        <v/>
      </c>
      <c r="H112" s="9">
        <f>H111+F112</f>
        <v/>
      </c>
    </row>
    <row r="113">
      <c r="A113" s="5" t="n">
        <v>109</v>
      </c>
      <c r="B113" s="6" t="n"/>
      <c r="C113" s="7" t="n"/>
      <c r="D113" s="7" t="n"/>
      <c r="E113" s="10" t="n"/>
      <c r="F113" s="9">
        <f>IF(OR(C113="",E113=""),0,IF(C113="Начисление по акту",E113,IF(OR(C113="Оплата",C113="Зачёт аванса по договору"),-E113,IF(C113="Корректировка (подписана обеими сторонами)",E113,0))))</f>
        <v/>
      </c>
      <c r="G113" s="9">
        <f>IF(OR(C113="Удержание",C113="Зачёт встречного требования",C113="Неустойка заявлена"),N(E113),0)</f>
        <v/>
      </c>
      <c r="H113" s="9">
        <f>H112+F113</f>
        <v/>
      </c>
    </row>
    <row r="114">
      <c r="A114" s="5" t="n">
        <v>110</v>
      </c>
      <c r="B114" s="6" t="n"/>
      <c r="C114" s="7" t="n"/>
      <c r="D114" s="7" t="n"/>
      <c r="E114" s="10" t="n"/>
      <c r="F114" s="9">
        <f>IF(OR(C114="",E114=""),0,IF(C114="Начисление по акту",E114,IF(OR(C114="Оплата",C114="Зачёт аванса по договору"),-E114,IF(C114="Корректировка (подписана обеими сторонами)",E114,0))))</f>
        <v/>
      </c>
      <c r="G114" s="9">
        <f>IF(OR(C114="Удержание",C114="Зачёт встречного требования",C114="Неустойка заявлена"),N(E114),0)</f>
        <v/>
      </c>
      <c r="H114" s="9">
        <f>H113+F114</f>
        <v/>
      </c>
    </row>
    <row r="115">
      <c r="A115" s="5" t="n">
        <v>111</v>
      </c>
      <c r="B115" s="6" t="n"/>
      <c r="C115" s="7" t="n"/>
      <c r="D115" s="7" t="n"/>
      <c r="E115" s="10" t="n"/>
      <c r="F115" s="9">
        <f>IF(OR(C115="",E115=""),0,IF(C115="Начисление по акту",E115,IF(OR(C115="Оплата",C115="Зачёт аванса по договору"),-E115,IF(C115="Корректировка (подписана обеими сторонами)",E115,0))))</f>
        <v/>
      </c>
      <c r="G115" s="9">
        <f>IF(OR(C115="Удержание",C115="Зачёт встречного требования",C115="Неустойка заявлена"),N(E115),0)</f>
        <v/>
      </c>
      <c r="H115" s="9">
        <f>H114+F115</f>
        <v/>
      </c>
    </row>
    <row r="116">
      <c r="A116" s="5" t="n">
        <v>112</v>
      </c>
      <c r="B116" s="6" t="n"/>
      <c r="C116" s="7" t="n"/>
      <c r="D116" s="7" t="n"/>
      <c r="E116" s="10" t="n"/>
      <c r="F116" s="9">
        <f>IF(OR(C116="",E116=""),0,IF(C116="Начисление по акту",E116,IF(OR(C116="Оплата",C116="Зачёт аванса по договору"),-E116,IF(C116="Корректировка (подписана обеими сторонами)",E116,0))))</f>
        <v/>
      </c>
      <c r="G116" s="9">
        <f>IF(OR(C116="Удержание",C116="Зачёт встречного требования",C116="Неустойка заявлена"),N(E116),0)</f>
        <v/>
      </c>
      <c r="H116" s="9">
        <f>H115+F116</f>
        <v/>
      </c>
    </row>
    <row r="117">
      <c r="A117" s="5" t="n">
        <v>113</v>
      </c>
      <c r="B117" s="6" t="n"/>
      <c r="C117" s="7" t="n"/>
      <c r="D117" s="7" t="n"/>
      <c r="E117" s="10" t="n"/>
      <c r="F117" s="9">
        <f>IF(OR(C117="",E117=""),0,IF(C117="Начисление по акту",E117,IF(OR(C117="Оплата",C117="Зачёт аванса по договору"),-E117,IF(C117="Корректировка (подписана обеими сторонами)",E117,0))))</f>
        <v/>
      </c>
      <c r="G117" s="9">
        <f>IF(OR(C117="Удержание",C117="Зачёт встречного требования",C117="Неустойка заявлена"),N(E117),0)</f>
        <v/>
      </c>
      <c r="H117" s="9">
        <f>H116+F117</f>
        <v/>
      </c>
    </row>
    <row r="118">
      <c r="A118" s="5" t="n">
        <v>114</v>
      </c>
      <c r="B118" s="6" t="n"/>
      <c r="C118" s="7" t="n"/>
      <c r="D118" s="7" t="n"/>
      <c r="E118" s="10" t="n"/>
      <c r="F118" s="9">
        <f>IF(OR(C118="",E118=""),0,IF(C118="Начисление по акту",E118,IF(OR(C118="Оплата",C118="Зачёт аванса по договору"),-E118,IF(C118="Корректировка (подписана обеими сторонами)",E118,0))))</f>
        <v/>
      </c>
      <c r="G118" s="9">
        <f>IF(OR(C118="Удержание",C118="Зачёт встречного требования",C118="Неустойка заявлена"),N(E118),0)</f>
        <v/>
      </c>
      <c r="H118" s="9">
        <f>H117+F118</f>
        <v/>
      </c>
    </row>
    <row r="119">
      <c r="A119" s="5" t="n">
        <v>115</v>
      </c>
      <c r="B119" s="6" t="n"/>
      <c r="C119" s="7" t="n"/>
      <c r="D119" s="7" t="n"/>
      <c r="E119" s="10" t="n"/>
      <c r="F119" s="9">
        <f>IF(OR(C119="",E119=""),0,IF(C119="Начисление по акту",E119,IF(OR(C119="Оплата",C119="Зачёт аванса по договору"),-E119,IF(C119="Корректировка (подписана обеими сторонами)",E119,0))))</f>
        <v/>
      </c>
      <c r="G119" s="9">
        <f>IF(OR(C119="Удержание",C119="Зачёт встречного требования",C119="Неустойка заявлена"),N(E119),0)</f>
        <v/>
      </c>
      <c r="H119" s="9">
        <f>H118+F119</f>
        <v/>
      </c>
    </row>
    <row r="120">
      <c r="A120" s="5" t="n">
        <v>116</v>
      </c>
      <c r="B120" s="6" t="n"/>
      <c r="C120" s="7" t="n"/>
      <c r="D120" s="7" t="n"/>
      <c r="E120" s="10" t="n"/>
      <c r="F120" s="9">
        <f>IF(OR(C120="",E120=""),0,IF(C120="Начисление по акту",E120,IF(OR(C120="Оплата",C120="Зачёт аванса по договору"),-E120,IF(C120="Корректировка (подписана обеими сторонами)",E120,0))))</f>
        <v/>
      </c>
      <c r="G120" s="9">
        <f>IF(OR(C120="Удержание",C120="Зачёт встречного требования",C120="Неустойка заявлена"),N(E120),0)</f>
        <v/>
      </c>
      <c r="H120" s="9">
        <f>H119+F120</f>
        <v/>
      </c>
    </row>
    <row r="121">
      <c r="A121" s="5" t="n">
        <v>117</v>
      </c>
      <c r="B121" s="6" t="n"/>
      <c r="C121" s="7" t="n"/>
      <c r="D121" s="7" t="n"/>
      <c r="E121" s="10" t="n"/>
      <c r="F121" s="9">
        <f>IF(OR(C121="",E121=""),0,IF(C121="Начисление по акту",E121,IF(OR(C121="Оплата",C121="Зачёт аванса по договору"),-E121,IF(C121="Корректировка (подписана обеими сторонами)",E121,0))))</f>
        <v/>
      </c>
      <c r="G121" s="9">
        <f>IF(OR(C121="Удержание",C121="Зачёт встречного требования",C121="Неустойка заявлена"),N(E121),0)</f>
        <v/>
      </c>
      <c r="H121" s="9">
        <f>H120+F121</f>
        <v/>
      </c>
    </row>
    <row r="122">
      <c r="A122" s="5" t="n">
        <v>118</v>
      </c>
      <c r="B122" s="6" t="n"/>
      <c r="C122" s="7" t="n"/>
      <c r="D122" s="7" t="n"/>
      <c r="E122" s="10" t="n"/>
      <c r="F122" s="9">
        <f>IF(OR(C122="",E122=""),0,IF(C122="Начисление по акту",E122,IF(OR(C122="Оплата",C122="Зачёт аванса по договору"),-E122,IF(C122="Корректировка (подписана обеими сторонами)",E122,0))))</f>
        <v/>
      </c>
      <c r="G122" s="9">
        <f>IF(OR(C122="Удержание",C122="Зачёт встречного требования",C122="Неустойка заявлена"),N(E122),0)</f>
        <v/>
      </c>
      <c r="H122" s="9">
        <f>H121+F122</f>
        <v/>
      </c>
    </row>
    <row r="123">
      <c r="A123" s="5" t="n">
        <v>119</v>
      </c>
      <c r="B123" s="6" t="n"/>
      <c r="C123" s="7" t="n"/>
      <c r="D123" s="7" t="n"/>
      <c r="E123" s="10" t="n"/>
      <c r="F123" s="9">
        <f>IF(OR(C123="",E123=""),0,IF(C123="Начисление по акту",E123,IF(OR(C123="Оплата",C123="Зачёт аванса по договору"),-E123,IF(C123="Корректировка (подписана обеими сторонами)",E123,0))))</f>
        <v/>
      </c>
      <c r="G123" s="9">
        <f>IF(OR(C123="Удержание",C123="Зачёт встречного требования",C123="Неустойка заявлена"),N(E123),0)</f>
        <v/>
      </c>
      <c r="H123" s="9">
        <f>H122+F123</f>
        <v/>
      </c>
    </row>
    <row r="124">
      <c r="A124" s="5" t="n">
        <v>120</v>
      </c>
      <c r="B124" s="6" t="n"/>
      <c r="C124" s="7" t="n"/>
      <c r="D124" s="7" t="n"/>
      <c r="E124" s="10" t="n"/>
      <c r="F124" s="9">
        <f>IF(OR(C124="",E124=""),0,IF(C124="Начисление по акту",E124,IF(OR(C124="Оплата",C124="Зачёт аванса по договору"),-E124,IF(C124="Корректировка (подписана обеими сторонами)",E124,0))))</f>
        <v/>
      </c>
      <c r="G124" s="9">
        <f>IF(OR(C124="Удержание",C124="Зачёт встречного требования",C124="Неустойка заявлена"),N(E124),0)</f>
        <v/>
      </c>
      <c r="H124" s="9">
        <f>H123+F124</f>
        <v/>
      </c>
    </row>
    <row r="125">
      <c r="A125" s="5" t="n">
        <v>121</v>
      </c>
      <c r="B125" s="6" t="n"/>
      <c r="C125" s="7" t="n"/>
      <c r="D125" s="7" t="n"/>
      <c r="E125" s="10" t="n"/>
      <c r="F125" s="9">
        <f>IF(OR(C125="",E125=""),0,IF(C125="Начисление по акту",E125,IF(OR(C125="Оплата",C125="Зачёт аванса по договору"),-E125,IF(C125="Корректировка (подписана обеими сторонами)",E125,0))))</f>
        <v/>
      </c>
      <c r="G125" s="9">
        <f>IF(OR(C125="Удержание",C125="Зачёт встречного требования",C125="Неустойка заявлена"),N(E125),0)</f>
        <v/>
      </c>
      <c r="H125" s="9">
        <f>H124+F125</f>
        <v/>
      </c>
    </row>
    <row r="126">
      <c r="A126" s="5" t="n">
        <v>122</v>
      </c>
      <c r="B126" s="6" t="n"/>
      <c r="C126" s="7" t="n"/>
      <c r="D126" s="7" t="n"/>
      <c r="E126" s="10" t="n"/>
      <c r="F126" s="9">
        <f>IF(OR(C126="",E126=""),0,IF(C126="Начисление по акту",E126,IF(OR(C126="Оплата",C126="Зачёт аванса по договору"),-E126,IF(C126="Корректировка (подписана обеими сторонами)",E126,0))))</f>
        <v/>
      </c>
      <c r="G126" s="9">
        <f>IF(OR(C126="Удержание",C126="Зачёт встречного требования",C126="Неустойка заявлена"),N(E126),0)</f>
        <v/>
      </c>
      <c r="H126" s="9">
        <f>H125+F126</f>
        <v/>
      </c>
    </row>
    <row r="127">
      <c r="A127" s="5" t="n">
        <v>123</v>
      </c>
      <c r="B127" s="6" t="n"/>
      <c r="C127" s="7" t="n"/>
      <c r="D127" s="7" t="n"/>
      <c r="E127" s="10" t="n"/>
      <c r="F127" s="9">
        <f>IF(OR(C127="",E127=""),0,IF(C127="Начисление по акту",E127,IF(OR(C127="Оплата",C127="Зачёт аванса по договору"),-E127,IF(C127="Корректировка (подписана обеими сторонами)",E127,0))))</f>
        <v/>
      </c>
      <c r="G127" s="9">
        <f>IF(OR(C127="Удержание",C127="Зачёт встречного требования",C127="Неустойка заявлена"),N(E127),0)</f>
        <v/>
      </c>
      <c r="H127" s="9">
        <f>H126+F127</f>
        <v/>
      </c>
    </row>
    <row r="128">
      <c r="A128" s="5" t="n">
        <v>124</v>
      </c>
      <c r="B128" s="6" t="n"/>
      <c r="C128" s="7" t="n"/>
      <c r="D128" s="7" t="n"/>
      <c r="E128" s="10" t="n"/>
      <c r="F128" s="9">
        <f>IF(OR(C128="",E128=""),0,IF(C128="Начисление по акту",E128,IF(OR(C128="Оплата",C128="Зачёт аванса по договору"),-E128,IF(C128="Корректировка (подписана обеими сторонами)",E128,0))))</f>
        <v/>
      </c>
      <c r="G128" s="9">
        <f>IF(OR(C128="Удержание",C128="Зачёт встречного требования",C128="Неустойка заявлена"),N(E128),0)</f>
        <v/>
      </c>
      <c r="H128" s="9">
        <f>H127+F128</f>
        <v/>
      </c>
    </row>
    <row r="129">
      <c r="A129" s="5" t="n">
        <v>125</v>
      </c>
      <c r="B129" s="6" t="n"/>
      <c r="C129" s="7" t="n"/>
      <c r="D129" s="7" t="n"/>
      <c r="E129" s="10" t="n"/>
      <c r="F129" s="9">
        <f>IF(OR(C129="",E129=""),0,IF(C129="Начисление по акту",E129,IF(OR(C129="Оплата",C129="Зачёт аванса по договору"),-E129,IF(C129="Корректировка (подписана обеими сторонами)",E129,0))))</f>
        <v/>
      </c>
      <c r="G129" s="9">
        <f>IF(OR(C129="Удержание",C129="Зачёт встречного требования",C129="Неустойка заявлена"),N(E129),0)</f>
        <v/>
      </c>
      <c r="H129" s="9">
        <f>H128+F129</f>
        <v/>
      </c>
    </row>
    <row r="130">
      <c r="A130" s="5" t="n">
        <v>126</v>
      </c>
      <c r="B130" s="6" t="n"/>
      <c r="C130" s="7" t="n"/>
      <c r="D130" s="7" t="n"/>
      <c r="E130" s="10" t="n"/>
      <c r="F130" s="9">
        <f>IF(OR(C130="",E130=""),0,IF(C130="Начисление по акту",E130,IF(OR(C130="Оплата",C130="Зачёт аванса по договору"),-E130,IF(C130="Корректировка (подписана обеими сторонами)",E130,0))))</f>
        <v/>
      </c>
      <c r="G130" s="9">
        <f>IF(OR(C130="Удержание",C130="Зачёт встречного требования",C130="Неустойка заявлена"),N(E130),0)</f>
        <v/>
      </c>
      <c r="H130" s="9">
        <f>H129+F130</f>
        <v/>
      </c>
    </row>
    <row r="131">
      <c r="A131" s="5" t="n">
        <v>127</v>
      </c>
      <c r="B131" s="6" t="n"/>
      <c r="C131" s="7" t="n"/>
      <c r="D131" s="7" t="n"/>
      <c r="E131" s="10" t="n"/>
      <c r="F131" s="9">
        <f>IF(OR(C131="",E131=""),0,IF(C131="Начисление по акту",E131,IF(OR(C131="Оплата",C131="Зачёт аванса по договору"),-E131,IF(C131="Корректировка (подписана обеими сторонами)",E131,0))))</f>
        <v/>
      </c>
      <c r="G131" s="9">
        <f>IF(OR(C131="Удержание",C131="Зачёт встречного требования",C131="Неустойка заявлена"),N(E131),0)</f>
        <v/>
      </c>
      <c r="H131" s="9">
        <f>H130+F131</f>
        <v/>
      </c>
    </row>
    <row r="132">
      <c r="A132" s="5" t="n">
        <v>128</v>
      </c>
      <c r="B132" s="6" t="n"/>
      <c r="C132" s="7" t="n"/>
      <c r="D132" s="7" t="n"/>
      <c r="E132" s="10" t="n"/>
      <c r="F132" s="9">
        <f>IF(OR(C132="",E132=""),0,IF(C132="Начисление по акту",E132,IF(OR(C132="Оплата",C132="Зачёт аванса по договору"),-E132,IF(C132="Корректировка (подписана обеими сторонами)",E132,0))))</f>
        <v/>
      </c>
      <c r="G132" s="9">
        <f>IF(OR(C132="Удержание",C132="Зачёт встречного требования",C132="Неустойка заявлена"),N(E132),0)</f>
        <v/>
      </c>
      <c r="H132" s="9">
        <f>H131+F132</f>
        <v/>
      </c>
    </row>
    <row r="133">
      <c r="A133" s="5" t="n">
        <v>129</v>
      </c>
      <c r="B133" s="6" t="n"/>
      <c r="C133" s="7" t="n"/>
      <c r="D133" s="7" t="n"/>
      <c r="E133" s="10" t="n"/>
      <c r="F133" s="9">
        <f>IF(OR(C133="",E133=""),0,IF(C133="Начисление по акту",E133,IF(OR(C133="Оплата",C133="Зачёт аванса по договору"),-E133,IF(C133="Корректировка (подписана обеими сторонами)",E133,0))))</f>
        <v/>
      </c>
      <c r="G133" s="9">
        <f>IF(OR(C133="Удержание",C133="Зачёт встречного требования",C133="Неустойка заявлена"),N(E133),0)</f>
        <v/>
      </c>
      <c r="H133" s="9">
        <f>H132+F133</f>
        <v/>
      </c>
    </row>
    <row r="134">
      <c r="A134" s="5" t="n">
        <v>130</v>
      </c>
      <c r="B134" s="6" t="n"/>
      <c r="C134" s="7" t="n"/>
      <c r="D134" s="7" t="n"/>
      <c r="E134" s="10" t="n"/>
      <c r="F134" s="9">
        <f>IF(OR(C134="",E134=""),0,IF(C134="Начисление по акту",E134,IF(OR(C134="Оплата",C134="Зачёт аванса по договору"),-E134,IF(C134="Корректировка (подписана обеими сторонами)",E134,0))))</f>
        <v/>
      </c>
      <c r="G134" s="9">
        <f>IF(OR(C134="Удержание",C134="Зачёт встречного требования",C134="Неустойка заявлена"),N(E134),0)</f>
        <v/>
      </c>
      <c r="H134" s="9">
        <f>H133+F134</f>
        <v/>
      </c>
    </row>
    <row r="135">
      <c r="A135" s="5" t="n">
        <v>131</v>
      </c>
      <c r="B135" s="6" t="n"/>
      <c r="C135" s="7" t="n"/>
      <c r="D135" s="7" t="n"/>
      <c r="E135" s="10" t="n"/>
      <c r="F135" s="9">
        <f>IF(OR(C135="",E135=""),0,IF(C135="Начисление по акту",E135,IF(OR(C135="Оплата",C135="Зачёт аванса по договору"),-E135,IF(C135="Корректировка (подписана обеими сторонами)",E135,0))))</f>
        <v/>
      </c>
      <c r="G135" s="9">
        <f>IF(OR(C135="Удержание",C135="Зачёт встречного требования",C135="Неустойка заявлена"),N(E135),0)</f>
        <v/>
      </c>
      <c r="H135" s="9">
        <f>H134+F135</f>
        <v/>
      </c>
    </row>
    <row r="136">
      <c r="A136" s="5" t="n">
        <v>132</v>
      </c>
      <c r="B136" s="6" t="n"/>
      <c r="C136" s="7" t="n"/>
      <c r="D136" s="7" t="n"/>
      <c r="E136" s="10" t="n"/>
      <c r="F136" s="9">
        <f>IF(OR(C136="",E136=""),0,IF(C136="Начисление по акту",E136,IF(OR(C136="Оплата",C136="Зачёт аванса по договору"),-E136,IF(C136="Корректировка (подписана обеими сторонами)",E136,0))))</f>
        <v/>
      </c>
      <c r="G136" s="9">
        <f>IF(OR(C136="Удержание",C136="Зачёт встречного требования",C136="Неустойка заявлена"),N(E136),0)</f>
        <v/>
      </c>
      <c r="H136" s="9">
        <f>H135+F136</f>
        <v/>
      </c>
    </row>
    <row r="137">
      <c r="A137" s="5" t="n">
        <v>133</v>
      </c>
      <c r="B137" s="6" t="n"/>
      <c r="C137" s="7" t="n"/>
      <c r="D137" s="7" t="n"/>
      <c r="E137" s="10" t="n"/>
      <c r="F137" s="9">
        <f>IF(OR(C137="",E137=""),0,IF(C137="Начисление по акту",E137,IF(OR(C137="Оплата",C137="Зачёт аванса по договору"),-E137,IF(C137="Корректировка (подписана обеими сторонами)",E137,0))))</f>
        <v/>
      </c>
      <c r="G137" s="9">
        <f>IF(OR(C137="Удержание",C137="Зачёт встречного требования",C137="Неустойка заявлена"),N(E137),0)</f>
        <v/>
      </c>
      <c r="H137" s="9">
        <f>H136+F137</f>
        <v/>
      </c>
    </row>
    <row r="138">
      <c r="A138" s="5" t="n">
        <v>134</v>
      </c>
      <c r="B138" s="6" t="n"/>
      <c r="C138" s="7" t="n"/>
      <c r="D138" s="7" t="n"/>
      <c r="E138" s="10" t="n"/>
      <c r="F138" s="9">
        <f>IF(OR(C138="",E138=""),0,IF(C138="Начисление по акту",E138,IF(OR(C138="Оплата",C138="Зачёт аванса по договору"),-E138,IF(C138="Корректировка (подписана обеими сторонами)",E138,0))))</f>
        <v/>
      </c>
      <c r="G138" s="9">
        <f>IF(OR(C138="Удержание",C138="Зачёт встречного требования",C138="Неустойка заявлена"),N(E138),0)</f>
        <v/>
      </c>
      <c r="H138" s="9">
        <f>H137+F138</f>
        <v/>
      </c>
    </row>
    <row r="139">
      <c r="A139" s="5" t="n">
        <v>135</v>
      </c>
      <c r="B139" s="6" t="n"/>
      <c r="C139" s="7" t="n"/>
      <c r="D139" s="7" t="n"/>
      <c r="E139" s="10" t="n"/>
      <c r="F139" s="9">
        <f>IF(OR(C139="",E139=""),0,IF(C139="Начисление по акту",E139,IF(OR(C139="Оплата",C139="Зачёт аванса по договору"),-E139,IF(C139="Корректировка (подписана обеими сторонами)",E139,0))))</f>
        <v/>
      </c>
      <c r="G139" s="9">
        <f>IF(OR(C139="Удержание",C139="Зачёт встречного требования",C139="Неустойка заявлена"),N(E139),0)</f>
        <v/>
      </c>
      <c r="H139" s="9">
        <f>H138+F139</f>
        <v/>
      </c>
    </row>
    <row r="140">
      <c r="A140" s="5" t="n">
        <v>136</v>
      </c>
      <c r="B140" s="6" t="n"/>
      <c r="C140" s="7" t="n"/>
      <c r="D140" s="7" t="n"/>
      <c r="E140" s="10" t="n"/>
      <c r="F140" s="9">
        <f>IF(OR(C140="",E140=""),0,IF(C140="Начисление по акту",E140,IF(OR(C140="Оплата",C140="Зачёт аванса по договору"),-E140,IF(C140="Корректировка (подписана обеими сторонами)",E140,0))))</f>
        <v/>
      </c>
      <c r="G140" s="9">
        <f>IF(OR(C140="Удержание",C140="Зачёт встречного требования",C140="Неустойка заявлена"),N(E140),0)</f>
        <v/>
      </c>
      <c r="H140" s="9">
        <f>H139+F140</f>
        <v/>
      </c>
    </row>
    <row r="141">
      <c r="A141" s="5" t="n">
        <v>137</v>
      </c>
      <c r="B141" s="6" t="n"/>
      <c r="C141" s="7" t="n"/>
      <c r="D141" s="7" t="n"/>
      <c r="E141" s="10" t="n"/>
      <c r="F141" s="9">
        <f>IF(OR(C141="",E141=""),0,IF(C141="Начисление по акту",E141,IF(OR(C141="Оплата",C141="Зачёт аванса по договору"),-E141,IF(C141="Корректировка (подписана обеими сторонами)",E141,0))))</f>
        <v/>
      </c>
      <c r="G141" s="9">
        <f>IF(OR(C141="Удержание",C141="Зачёт встречного требования",C141="Неустойка заявлена"),N(E141),0)</f>
        <v/>
      </c>
      <c r="H141" s="9">
        <f>H140+F141</f>
        <v/>
      </c>
    </row>
    <row r="142">
      <c r="A142" s="5" t="n">
        <v>138</v>
      </c>
      <c r="B142" s="6" t="n"/>
      <c r="C142" s="7" t="n"/>
      <c r="D142" s="7" t="n"/>
      <c r="E142" s="10" t="n"/>
      <c r="F142" s="9">
        <f>IF(OR(C142="",E142=""),0,IF(C142="Начисление по акту",E142,IF(OR(C142="Оплата",C142="Зачёт аванса по договору"),-E142,IF(C142="Корректировка (подписана обеими сторонами)",E142,0))))</f>
        <v/>
      </c>
      <c r="G142" s="9">
        <f>IF(OR(C142="Удержание",C142="Зачёт встречного требования",C142="Неустойка заявлена"),N(E142),0)</f>
        <v/>
      </c>
      <c r="H142" s="9">
        <f>H141+F142</f>
        <v/>
      </c>
    </row>
    <row r="143">
      <c r="A143" s="5" t="n">
        <v>139</v>
      </c>
      <c r="B143" s="6" t="n"/>
      <c r="C143" s="7" t="n"/>
      <c r="D143" s="7" t="n"/>
      <c r="E143" s="10" t="n"/>
      <c r="F143" s="9">
        <f>IF(OR(C143="",E143=""),0,IF(C143="Начисление по акту",E143,IF(OR(C143="Оплата",C143="Зачёт аванса по договору"),-E143,IF(C143="Корректировка (подписана обеими сторонами)",E143,0))))</f>
        <v/>
      </c>
      <c r="G143" s="9">
        <f>IF(OR(C143="Удержание",C143="Зачёт встречного требования",C143="Неустойка заявлена"),N(E143),0)</f>
        <v/>
      </c>
      <c r="H143" s="9">
        <f>H142+F143</f>
        <v/>
      </c>
    </row>
    <row r="144">
      <c r="A144" s="5" t="n">
        <v>140</v>
      </c>
      <c r="B144" s="6" t="n"/>
      <c r="C144" s="7" t="n"/>
      <c r="D144" s="7" t="n"/>
      <c r="E144" s="10" t="n"/>
      <c r="F144" s="9">
        <f>IF(OR(C144="",E144=""),0,IF(C144="Начисление по акту",E144,IF(OR(C144="Оплата",C144="Зачёт аванса по договору"),-E144,IF(C144="Корректировка (подписана обеими сторонами)",E144,0))))</f>
        <v/>
      </c>
      <c r="G144" s="9">
        <f>IF(OR(C144="Удержание",C144="Зачёт встречного требования",C144="Неустойка заявлена"),N(E144),0)</f>
        <v/>
      </c>
      <c r="H144" s="9">
        <f>H143+F144</f>
        <v/>
      </c>
    </row>
    <row r="145">
      <c r="A145" s="5" t="n">
        <v>141</v>
      </c>
      <c r="B145" s="6" t="n"/>
      <c r="C145" s="7" t="n"/>
      <c r="D145" s="7" t="n"/>
      <c r="E145" s="10" t="n"/>
      <c r="F145" s="9">
        <f>IF(OR(C145="",E145=""),0,IF(C145="Начисление по акту",E145,IF(OR(C145="Оплата",C145="Зачёт аванса по договору"),-E145,IF(C145="Корректировка (подписана обеими сторонами)",E145,0))))</f>
        <v/>
      </c>
      <c r="G145" s="9">
        <f>IF(OR(C145="Удержание",C145="Зачёт встречного требования",C145="Неустойка заявлена"),N(E145),0)</f>
        <v/>
      </c>
      <c r="H145" s="9">
        <f>H144+F145</f>
        <v/>
      </c>
    </row>
    <row r="146">
      <c r="A146" s="5" t="n">
        <v>142</v>
      </c>
      <c r="B146" s="6" t="n"/>
      <c r="C146" s="7" t="n"/>
      <c r="D146" s="7" t="n"/>
      <c r="E146" s="10" t="n"/>
      <c r="F146" s="9">
        <f>IF(OR(C146="",E146=""),0,IF(C146="Начисление по акту",E146,IF(OR(C146="Оплата",C146="Зачёт аванса по договору"),-E146,IF(C146="Корректировка (подписана обеими сторонами)",E146,0))))</f>
        <v/>
      </c>
      <c r="G146" s="9">
        <f>IF(OR(C146="Удержание",C146="Зачёт встречного требования",C146="Неустойка заявлена"),N(E146),0)</f>
        <v/>
      </c>
      <c r="H146" s="9">
        <f>H145+F146</f>
        <v/>
      </c>
    </row>
    <row r="147">
      <c r="A147" s="5" t="n">
        <v>143</v>
      </c>
      <c r="B147" s="6" t="n"/>
      <c r="C147" s="7" t="n"/>
      <c r="D147" s="7" t="n"/>
      <c r="E147" s="10" t="n"/>
      <c r="F147" s="9">
        <f>IF(OR(C147="",E147=""),0,IF(C147="Начисление по акту",E147,IF(OR(C147="Оплата",C147="Зачёт аванса по договору"),-E147,IF(C147="Корректировка (подписана обеими сторонами)",E147,0))))</f>
        <v/>
      </c>
      <c r="G147" s="9">
        <f>IF(OR(C147="Удержание",C147="Зачёт встречного требования",C147="Неустойка заявлена"),N(E147),0)</f>
        <v/>
      </c>
      <c r="H147" s="9">
        <f>H146+F147</f>
        <v/>
      </c>
    </row>
    <row r="148">
      <c r="A148" s="5" t="n">
        <v>144</v>
      </c>
      <c r="B148" s="6" t="n"/>
      <c r="C148" s="7" t="n"/>
      <c r="D148" s="7" t="n"/>
      <c r="E148" s="10" t="n"/>
      <c r="F148" s="9">
        <f>IF(OR(C148="",E148=""),0,IF(C148="Начисление по акту",E148,IF(OR(C148="Оплата",C148="Зачёт аванса по договору"),-E148,IF(C148="Корректировка (подписана обеими сторонами)",E148,0))))</f>
        <v/>
      </c>
      <c r="G148" s="9">
        <f>IF(OR(C148="Удержание",C148="Зачёт встречного требования",C148="Неустойка заявлена"),N(E148),0)</f>
        <v/>
      </c>
      <c r="H148" s="9">
        <f>H147+F148</f>
        <v/>
      </c>
    </row>
    <row r="149">
      <c r="A149" s="5" t="n">
        <v>145</v>
      </c>
      <c r="B149" s="6" t="n"/>
      <c r="C149" s="7" t="n"/>
      <c r="D149" s="7" t="n"/>
      <c r="E149" s="10" t="n"/>
      <c r="F149" s="9">
        <f>IF(OR(C149="",E149=""),0,IF(C149="Начисление по акту",E149,IF(OR(C149="Оплата",C149="Зачёт аванса по договору"),-E149,IF(C149="Корректировка (подписана обеими сторонами)",E149,0))))</f>
        <v/>
      </c>
      <c r="G149" s="9">
        <f>IF(OR(C149="Удержание",C149="Зачёт встречного требования",C149="Неустойка заявлена"),N(E149),0)</f>
        <v/>
      </c>
      <c r="H149" s="9">
        <f>H148+F149</f>
        <v/>
      </c>
    </row>
    <row r="150">
      <c r="A150" s="5" t="n">
        <v>146</v>
      </c>
      <c r="B150" s="6" t="n"/>
      <c r="C150" s="7" t="n"/>
      <c r="D150" s="7" t="n"/>
      <c r="E150" s="10" t="n"/>
      <c r="F150" s="9">
        <f>IF(OR(C150="",E150=""),0,IF(C150="Начисление по акту",E150,IF(OR(C150="Оплата",C150="Зачёт аванса по договору"),-E150,IF(C150="Корректировка (подписана обеими сторонами)",E150,0))))</f>
        <v/>
      </c>
      <c r="G150" s="9">
        <f>IF(OR(C150="Удержание",C150="Зачёт встречного требования",C150="Неустойка заявлена"),N(E150),0)</f>
        <v/>
      </c>
      <c r="H150" s="9">
        <f>H149+F150</f>
        <v/>
      </c>
    </row>
    <row r="151">
      <c r="A151" s="5" t="n">
        <v>147</v>
      </c>
      <c r="B151" s="6" t="n"/>
      <c r="C151" s="7" t="n"/>
      <c r="D151" s="7" t="n"/>
      <c r="E151" s="10" t="n"/>
      <c r="F151" s="9">
        <f>IF(OR(C151="",E151=""),0,IF(C151="Начисление по акту",E151,IF(OR(C151="Оплата",C151="Зачёт аванса по договору"),-E151,IF(C151="Корректировка (подписана обеими сторонами)",E151,0))))</f>
        <v/>
      </c>
      <c r="G151" s="9">
        <f>IF(OR(C151="Удержание",C151="Зачёт встречного требования",C151="Неустойка заявлена"),N(E151),0)</f>
        <v/>
      </c>
      <c r="H151" s="9">
        <f>H150+F151</f>
        <v/>
      </c>
    </row>
    <row r="152">
      <c r="A152" s="5" t="n">
        <v>148</v>
      </c>
      <c r="B152" s="6" t="n"/>
      <c r="C152" s="7" t="n"/>
      <c r="D152" s="7" t="n"/>
      <c r="E152" s="10" t="n"/>
      <c r="F152" s="9">
        <f>IF(OR(C152="",E152=""),0,IF(C152="Начисление по акту",E152,IF(OR(C152="Оплата",C152="Зачёт аванса по договору"),-E152,IF(C152="Корректировка (подписана обеими сторонами)",E152,0))))</f>
        <v/>
      </c>
      <c r="G152" s="9">
        <f>IF(OR(C152="Удержание",C152="Зачёт встречного требования",C152="Неустойка заявлена"),N(E152),0)</f>
        <v/>
      </c>
      <c r="H152" s="9">
        <f>H151+F152</f>
        <v/>
      </c>
    </row>
    <row r="153">
      <c r="A153" s="5" t="n">
        <v>149</v>
      </c>
      <c r="B153" s="6" t="n"/>
      <c r="C153" s="7" t="n"/>
      <c r="D153" s="7" t="n"/>
      <c r="E153" s="10" t="n"/>
      <c r="F153" s="9">
        <f>IF(OR(C153="",E153=""),0,IF(C153="Начисление по акту",E153,IF(OR(C153="Оплата",C153="Зачёт аванса по договору"),-E153,IF(C153="Корректировка (подписана обеими сторонами)",E153,0))))</f>
        <v/>
      </c>
      <c r="G153" s="9">
        <f>IF(OR(C153="Удержание",C153="Зачёт встречного требования",C153="Неустойка заявлена"),N(E153),0)</f>
        <v/>
      </c>
      <c r="H153" s="9">
        <f>H152+F153</f>
        <v/>
      </c>
    </row>
    <row r="154">
      <c r="A154" s="5" t="n">
        <v>150</v>
      </c>
      <c r="B154" s="6" t="n"/>
      <c r="C154" s="7" t="n"/>
      <c r="D154" s="7" t="n"/>
      <c r="E154" s="10" t="n"/>
      <c r="F154" s="9">
        <f>IF(OR(C154="",E154=""),0,IF(C154="Начисление по акту",E154,IF(OR(C154="Оплата",C154="Зачёт аванса по договору"),-E154,IF(C154="Корректировка (подписана обеими сторонами)",E154,0))))</f>
        <v/>
      </c>
      <c r="G154" s="9">
        <f>IF(OR(C154="Удержание",C154="Зачёт встречного требования",C154="Неустойка заявлена"),N(E154),0)</f>
        <v/>
      </c>
      <c r="H154" s="9">
        <f>H153+F154</f>
        <v/>
      </c>
    </row>
    <row r="155">
      <c r="A155" s="5" t="n">
        <v>151</v>
      </c>
      <c r="B155" s="6" t="n"/>
      <c r="C155" s="7" t="n"/>
      <c r="D155" s="7" t="n"/>
      <c r="E155" s="10" t="n"/>
      <c r="F155" s="9">
        <f>IF(OR(C155="",E155=""),0,IF(C155="Начисление по акту",E155,IF(OR(C155="Оплата",C155="Зачёт аванса по договору"),-E155,IF(C155="Корректировка (подписана обеими сторонами)",E155,0))))</f>
        <v/>
      </c>
      <c r="G155" s="9">
        <f>IF(OR(C155="Удержание",C155="Зачёт встречного требования",C155="Неустойка заявлена"),N(E155),0)</f>
        <v/>
      </c>
      <c r="H155" s="9">
        <f>H154+F155</f>
        <v/>
      </c>
    </row>
    <row r="156">
      <c r="A156" s="5" t="n">
        <v>152</v>
      </c>
      <c r="B156" s="6" t="n"/>
      <c r="C156" s="7" t="n"/>
      <c r="D156" s="7" t="n"/>
      <c r="E156" s="10" t="n"/>
      <c r="F156" s="9">
        <f>IF(OR(C156="",E156=""),0,IF(C156="Начисление по акту",E156,IF(OR(C156="Оплата",C156="Зачёт аванса по договору"),-E156,IF(C156="Корректировка (подписана обеими сторонами)",E156,0))))</f>
        <v/>
      </c>
      <c r="G156" s="9">
        <f>IF(OR(C156="Удержание",C156="Зачёт встречного требования",C156="Неустойка заявлена"),N(E156),0)</f>
        <v/>
      </c>
      <c r="H156" s="9">
        <f>H155+F156</f>
        <v/>
      </c>
    </row>
    <row r="157">
      <c r="A157" s="5" t="n">
        <v>153</v>
      </c>
      <c r="B157" s="6" t="n"/>
      <c r="C157" s="7" t="n"/>
      <c r="D157" s="7" t="n"/>
      <c r="E157" s="10" t="n"/>
      <c r="F157" s="9">
        <f>IF(OR(C157="",E157=""),0,IF(C157="Начисление по акту",E157,IF(OR(C157="Оплата",C157="Зачёт аванса по договору"),-E157,IF(C157="Корректировка (подписана обеими сторонами)",E157,0))))</f>
        <v/>
      </c>
      <c r="G157" s="9">
        <f>IF(OR(C157="Удержание",C157="Зачёт встречного требования",C157="Неустойка заявлена"),N(E157),0)</f>
        <v/>
      </c>
      <c r="H157" s="9">
        <f>H156+F157</f>
        <v/>
      </c>
    </row>
    <row r="158">
      <c r="A158" s="5" t="n">
        <v>154</v>
      </c>
      <c r="B158" s="6" t="n"/>
      <c r="C158" s="7" t="n"/>
      <c r="D158" s="7" t="n"/>
      <c r="E158" s="10" t="n"/>
      <c r="F158" s="9">
        <f>IF(OR(C158="",E158=""),0,IF(C158="Начисление по акту",E158,IF(OR(C158="Оплата",C158="Зачёт аванса по договору"),-E158,IF(C158="Корректировка (подписана обеими сторонами)",E158,0))))</f>
        <v/>
      </c>
      <c r="G158" s="9">
        <f>IF(OR(C158="Удержание",C158="Зачёт встречного требования",C158="Неустойка заявлена"),N(E158),0)</f>
        <v/>
      </c>
      <c r="H158" s="9">
        <f>H157+F158</f>
        <v/>
      </c>
    </row>
    <row r="159">
      <c r="A159" s="5" t="n">
        <v>155</v>
      </c>
      <c r="B159" s="6" t="n"/>
      <c r="C159" s="7" t="n"/>
      <c r="D159" s="7" t="n"/>
      <c r="E159" s="10" t="n"/>
      <c r="F159" s="9">
        <f>IF(OR(C159="",E159=""),0,IF(C159="Начисление по акту",E159,IF(OR(C159="Оплата",C159="Зачёт аванса по договору"),-E159,IF(C159="Корректировка (подписана обеими сторонами)",E159,0))))</f>
        <v/>
      </c>
      <c r="G159" s="9">
        <f>IF(OR(C159="Удержание",C159="Зачёт встречного требования",C159="Неустойка заявлена"),N(E159),0)</f>
        <v/>
      </c>
      <c r="H159" s="9">
        <f>H158+F159</f>
        <v/>
      </c>
    </row>
    <row r="160">
      <c r="A160" s="5" t="n">
        <v>156</v>
      </c>
      <c r="B160" s="6" t="n"/>
      <c r="C160" s="7" t="n"/>
      <c r="D160" s="7" t="n"/>
      <c r="E160" s="10" t="n"/>
      <c r="F160" s="9">
        <f>IF(OR(C160="",E160=""),0,IF(C160="Начисление по акту",E160,IF(OR(C160="Оплата",C160="Зачёт аванса по договору"),-E160,IF(C160="Корректировка (подписана обеими сторонами)",E160,0))))</f>
        <v/>
      </c>
      <c r="G160" s="9">
        <f>IF(OR(C160="Удержание",C160="Зачёт встречного требования",C160="Неустойка заявлена"),N(E160),0)</f>
        <v/>
      </c>
      <c r="H160" s="9">
        <f>H159+F160</f>
        <v/>
      </c>
    </row>
    <row r="161">
      <c r="A161" s="5" t="n">
        <v>157</v>
      </c>
      <c r="B161" s="6" t="n"/>
      <c r="C161" s="7" t="n"/>
      <c r="D161" s="7" t="n"/>
      <c r="E161" s="10" t="n"/>
      <c r="F161" s="9">
        <f>IF(OR(C161="",E161=""),0,IF(C161="Начисление по акту",E161,IF(OR(C161="Оплата",C161="Зачёт аванса по договору"),-E161,IF(C161="Корректировка (подписана обеими сторонами)",E161,0))))</f>
        <v/>
      </c>
      <c r="G161" s="9">
        <f>IF(OR(C161="Удержание",C161="Зачёт встречного требования",C161="Неустойка заявлена"),N(E161),0)</f>
        <v/>
      </c>
      <c r="H161" s="9">
        <f>H160+F161</f>
        <v/>
      </c>
    </row>
    <row r="162">
      <c r="A162" s="5" t="n">
        <v>158</v>
      </c>
      <c r="B162" s="6" t="n"/>
      <c r="C162" s="7" t="n"/>
      <c r="D162" s="7" t="n"/>
      <c r="E162" s="10" t="n"/>
      <c r="F162" s="9">
        <f>IF(OR(C162="",E162=""),0,IF(C162="Начисление по акту",E162,IF(OR(C162="Оплата",C162="Зачёт аванса по договору"),-E162,IF(C162="Корректировка (подписана обеими сторонами)",E162,0))))</f>
        <v/>
      </c>
      <c r="G162" s="9">
        <f>IF(OR(C162="Удержание",C162="Зачёт встречного требования",C162="Неустойка заявлена"),N(E162),0)</f>
        <v/>
      </c>
      <c r="H162" s="9">
        <f>H161+F162</f>
        <v/>
      </c>
    </row>
    <row r="163">
      <c r="A163" s="5" t="n">
        <v>159</v>
      </c>
      <c r="B163" s="6" t="n"/>
      <c r="C163" s="7" t="n"/>
      <c r="D163" s="7" t="n"/>
      <c r="E163" s="10" t="n"/>
      <c r="F163" s="9">
        <f>IF(OR(C163="",E163=""),0,IF(C163="Начисление по акту",E163,IF(OR(C163="Оплата",C163="Зачёт аванса по договору"),-E163,IF(C163="Корректировка (подписана обеими сторонами)",E163,0))))</f>
        <v/>
      </c>
      <c r="G163" s="9">
        <f>IF(OR(C163="Удержание",C163="Зачёт встречного требования",C163="Неустойка заявлена"),N(E163),0)</f>
        <v/>
      </c>
      <c r="H163" s="9">
        <f>H162+F163</f>
        <v/>
      </c>
    </row>
    <row r="164">
      <c r="A164" s="5" t="n">
        <v>160</v>
      </c>
      <c r="B164" s="6" t="n"/>
      <c r="C164" s="7" t="n"/>
      <c r="D164" s="7" t="n"/>
      <c r="E164" s="10" t="n"/>
      <c r="F164" s="9">
        <f>IF(OR(C164="",E164=""),0,IF(C164="Начисление по акту",E164,IF(OR(C164="Оплата",C164="Зачёт аванса по договору"),-E164,IF(C164="Корректировка (подписана обеими сторонами)",E164,0))))</f>
        <v/>
      </c>
      <c r="G164" s="9">
        <f>IF(OR(C164="Удержание",C164="Зачёт встречного требования",C164="Неустойка заявлена"),N(E164),0)</f>
        <v/>
      </c>
      <c r="H164" s="9">
        <f>H163+F164</f>
        <v/>
      </c>
    </row>
    <row r="165">
      <c r="A165" s="5" t="n">
        <v>161</v>
      </c>
      <c r="B165" s="6" t="n"/>
      <c r="C165" s="7" t="n"/>
      <c r="D165" s="7" t="n"/>
      <c r="E165" s="10" t="n"/>
      <c r="F165" s="9">
        <f>IF(OR(C165="",E165=""),0,IF(C165="Начисление по акту",E165,IF(OR(C165="Оплата",C165="Зачёт аванса по договору"),-E165,IF(C165="Корректировка (подписана обеими сторонами)",E165,0))))</f>
        <v/>
      </c>
      <c r="G165" s="9">
        <f>IF(OR(C165="Удержание",C165="Зачёт встречного требования",C165="Неустойка заявлена"),N(E165),0)</f>
        <v/>
      </c>
      <c r="H165" s="9">
        <f>H164+F165</f>
        <v/>
      </c>
    </row>
    <row r="166">
      <c r="A166" s="5" t="n">
        <v>162</v>
      </c>
      <c r="B166" s="6" t="n"/>
      <c r="C166" s="7" t="n"/>
      <c r="D166" s="7" t="n"/>
      <c r="E166" s="10" t="n"/>
      <c r="F166" s="9">
        <f>IF(OR(C166="",E166=""),0,IF(C166="Начисление по акту",E166,IF(OR(C166="Оплата",C166="Зачёт аванса по договору"),-E166,IF(C166="Корректировка (подписана обеими сторонами)",E166,0))))</f>
        <v/>
      </c>
      <c r="G166" s="9">
        <f>IF(OR(C166="Удержание",C166="Зачёт встречного требования",C166="Неустойка заявлена"),N(E166),0)</f>
        <v/>
      </c>
      <c r="H166" s="9">
        <f>H165+F166</f>
        <v/>
      </c>
    </row>
    <row r="167">
      <c r="A167" s="5" t="n">
        <v>163</v>
      </c>
      <c r="B167" s="6" t="n"/>
      <c r="C167" s="7" t="n"/>
      <c r="D167" s="7" t="n"/>
      <c r="E167" s="10" t="n"/>
      <c r="F167" s="9">
        <f>IF(OR(C167="",E167=""),0,IF(C167="Начисление по акту",E167,IF(OR(C167="Оплата",C167="Зачёт аванса по договору"),-E167,IF(C167="Корректировка (подписана обеими сторонами)",E167,0))))</f>
        <v/>
      </c>
      <c r="G167" s="9">
        <f>IF(OR(C167="Удержание",C167="Зачёт встречного требования",C167="Неустойка заявлена"),N(E167),0)</f>
        <v/>
      </c>
      <c r="H167" s="9">
        <f>H166+F167</f>
        <v/>
      </c>
    </row>
    <row r="168">
      <c r="A168" s="5" t="n">
        <v>164</v>
      </c>
      <c r="B168" s="6" t="n"/>
      <c r="C168" s="7" t="n"/>
      <c r="D168" s="7" t="n"/>
      <c r="E168" s="10" t="n"/>
      <c r="F168" s="9">
        <f>IF(OR(C168="",E168=""),0,IF(C168="Начисление по акту",E168,IF(OR(C168="Оплата",C168="Зачёт аванса по договору"),-E168,IF(C168="Корректировка (подписана обеими сторонами)",E168,0))))</f>
        <v/>
      </c>
      <c r="G168" s="9">
        <f>IF(OR(C168="Удержание",C168="Зачёт встречного требования",C168="Неустойка заявлена"),N(E168),0)</f>
        <v/>
      </c>
      <c r="H168" s="9">
        <f>H167+F168</f>
        <v/>
      </c>
    </row>
    <row r="169">
      <c r="A169" s="5" t="n">
        <v>165</v>
      </c>
      <c r="B169" s="6" t="n"/>
      <c r="C169" s="7" t="n"/>
      <c r="D169" s="7" t="n"/>
      <c r="E169" s="10" t="n"/>
      <c r="F169" s="9">
        <f>IF(OR(C169="",E169=""),0,IF(C169="Начисление по акту",E169,IF(OR(C169="Оплата",C169="Зачёт аванса по договору"),-E169,IF(C169="Корректировка (подписана обеими сторонами)",E169,0))))</f>
        <v/>
      </c>
      <c r="G169" s="9">
        <f>IF(OR(C169="Удержание",C169="Зачёт встречного требования",C169="Неустойка заявлена"),N(E169),0)</f>
        <v/>
      </c>
      <c r="H169" s="9">
        <f>H168+F169</f>
        <v/>
      </c>
    </row>
    <row r="170">
      <c r="A170" s="5" t="n">
        <v>166</v>
      </c>
      <c r="B170" s="6" t="n"/>
      <c r="C170" s="7" t="n"/>
      <c r="D170" s="7" t="n"/>
      <c r="E170" s="10" t="n"/>
      <c r="F170" s="9">
        <f>IF(OR(C170="",E170=""),0,IF(C170="Начисление по акту",E170,IF(OR(C170="Оплата",C170="Зачёт аванса по договору"),-E170,IF(C170="Корректировка (подписана обеими сторонами)",E170,0))))</f>
        <v/>
      </c>
      <c r="G170" s="9">
        <f>IF(OR(C170="Удержание",C170="Зачёт встречного требования",C170="Неустойка заявлена"),N(E170),0)</f>
        <v/>
      </c>
      <c r="H170" s="9">
        <f>H169+F170</f>
        <v/>
      </c>
    </row>
    <row r="171">
      <c r="A171" s="5" t="n">
        <v>167</v>
      </c>
      <c r="B171" s="6" t="n"/>
      <c r="C171" s="7" t="n"/>
      <c r="D171" s="7" t="n"/>
      <c r="E171" s="10" t="n"/>
      <c r="F171" s="9">
        <f>IF(OR(C171="",E171=""),0,IF(C171="Начисление по акту",E171,IF(OR(C171="Оплата",C171="Зачёт аванса по договору"),-E171,IF(C171="Корректировка (подписана обеими сторонами)",E171,0))))</f>
        <v/>
      </c>
      <c r="G171" s="9">
        <f>IF(OR(C171="Удержание",C171="Зачёт встречного требования",C171="Неустойка заявлена"),N(E171),0)</f>
        <v/>
      </c>
      <c r="H171" s="9">
        <f>H170+F171</f>
        <v/>
      </c>
    </row>
    <row r="172">
      <c r="A172" s="5" t="n">
        <v>168</v>
      </c>
      <c r="B172" s="6" t="n"/>
      <c r="C172" s="7" t="n"/>
      <c r="D172" s="7" t="n"/>
      <c r="E172" s="10" t="n"/>
      <c r="F172" s="9">
        <f>IF(OR(C172="",E172=""),0,IF(C172="Начисление по акту",E172,IF(OR(C172="Оплата",C172="Зачёт аванса по договору"),-E172,IF(C172="Корректировка (подписана обеими сторонами)",E172,0))))</f>
        <v/>
      </c>
      <c r="G172" s="9">
        <f>IF(OR(C172="Удержание",C172="Зачёт встречного требования",C172="Неустойка заявлена"),N(E172),0)</f>
        <v/>
      </c>
      <c r="H172" s="9">
        <f>H171+F172</f>
        <v/>
      </c>
    </row>
    <row r="173">
      <c r="A173" s="5" t="n">
        <v>169</v>
      </c>
      <c r="B173" s="6" t="n"/>
      <c r="C173" s="7" t="n"/>
      <c r="D173" s="7" t="n"/>
      <c r="E173" s="10" t="n"/>
      <c r="F173" s="9">
        <f>IF(OR(C173="",E173=""),0,IF(C173="Начисление по акту",E173,IF(OR(C173="Оплата",C173="Зачёт аванса по договору"),-E173,IF(C173="Корректировка (подписана обеими сторонами)",E173,0))))</f>
        <v/>
      </c>
      <c r="G173" s="9">
        <f>IF(OR(C173="Удержание",C173="Зачёт встречного требования",C173="Неустойка заявлена"),N(E173),0)</f>
        <v/>
      </c>
      <c r="H173" s="9">
        <f>H172+F173</f>
        <v/>
      </c>
    </row>
    <row r="174">
      <c r="A174" s="5" t="n">
        <v>170</v>
      </c>
      <c r="B174" s="6" t="n"/>
      <c r="C174" s="7" t="n"/>
      <c r="D174" s="7" t="n"/>
      <c r="E174" s="10" t="n"/>
      <c r="F174" s="9">
        <f>IF(OR(C174="",E174=""),0,IF(C174="Начисление по акту",E174,IF(OR(C174="Оплата",C174="Зачёт аванса по договору"),-E174,IF(C174="Корректировка (подписана обеими сторонами)",E174,0))))</f>
        <v/>
      </c>
      <c r="G174" s="9">
        <f>IF(OR(C174="Удержание",C174="Зачёт встречного требования",C174="Неустойка заявлена"),N(E174),0)</f>
        <v/>
      </c>
      <c r="H174" s="9">
        <f>H173+F174</f>
        <v/>
      </c>
    </row>
    <row r="175">
      <c r="A175" s="5" t="n">
        <v>171</v>
      </c>
      <c r="B175" s="6" t="n"/>
      <c r="C175" s="7" t="n"/>
      <c r="D175" s="7" t="n"/>
      <c r="E175" s="10" t="n"/>
      <c r="F175" s="9">
        <f>IF(OR(C175="",E175=""),0,IF(C175="Начисление по акту",E175,IF(OR(C175="Оплата",C175="Зачёт аванса по договору"),-E175,IF(C175="Корректировка (подписана обеими сторонами)",E175,0))))</f>
        <v/>
      </c>
      <c r="G175" s="9">
        <f>IF(OR(C175="Удержание",C175="Зачёт встречного требования",C175="Неустойка заявлена"),N(E175),0)</f>
        <v/>
      </c>
      <c r="H175" s="9">
        <f>H174+F175</f>
        <v/>
      </c>
    </row>
    <row r="176">
      <c r="A176" s="5" t="n">
        <v>172</v>
      </c>
      <c r="B176" s="6" t="n"/>
      <c r="C176" s="7" t="n"/>
      <c r="D176" s="7" t="n"/>
      <c r="E176" s="10" t="n"/>
      <c r="F176" s="9">
        <f>IF(OR(C176="",E176=""),0,IF(C176="Начисление по акту",E176,IF(OR(C176="Оплата",C176="Зачёт аванса по договору"),-E176,IF(C176="Корректировка (подписана обеими сторонами)",E176,0))))</f>
        <v/>
      </c>
      <c r="G176" s="9">
        <f>IF(OR(C176="Удержание",C176="Зачёт встречного требования",C176="Неустойка заявлена"),N(E176),0)</f>
        <v/>
      </c>
      <c r="H176" s="9">
        <f>H175+F176</f>
        <v/>
      </c>
    </row>
    <row r="177">
      <c r="A177" s="5" t="n">
        <v>173</v>
      </c>
      <c r="B177" s="6" t="n"/>
      <c r="C177" s="7" t="n"/>
      <c r="D177" s="7" t="n"/>
      <c r="E177" s="10" t="n"/>
      <c r="F177" s="9">
        <f>IF(OR(C177="",E177=""),0,IF(C177="Начисление по акту",E177,IF(OR(C177="Оплата",C177="Зачёт аванса по договору"),-E177,IF(C177="Корректировка (подписана обеими сторонами)",E177,0))))</f>
        <v/>
      </c>
      <c r="G177" s="9">
        <f>IF(OR(C177="Удержание",C177="Зачёт встречного требования",C177="Неустойка заявлена"),N(E177),0)</f>
        <v/>
      </c>
      <c r="H177" s="9">
        <f>H176+F177</f>
        <v/>
      </c>
    </row>
    <row r="178">
      <c r="A178" s="5" t="n">
        <v>174</v>
      </c>
      <c r="B178" s="6" t="n"/>
      <c r="C178" s="7" t="n"/>
      <c r="D178" s="7" t="n"/>
      <c r="E178" s="10" t="n"/>
      <c r="F178" s="9">
        <f>IF(OR(C178="",E178=""),0,IF(C178="Начисление по акту",E178,IF(OR(C178="Оплата",C178="Зачёт аванса по договору"),-E178,IF(C178="Корректировка (подписана обеими сторонами)",E178,0))))</f>
        <v/>
      </c>
      <c r="G178" s="9">
        <f>IF(OR(C178="Удержание",C178="Зачёт встречного требования",C178="Неустойка заявлена"),N(E178),0)</f>
        <v/>
      </c>
      <c r="H178" s="9">
        <f>H177+F178</f>
        <v/>
      </c>
    </row>
    <row r="179">
      <c r="A179" s="5" t="n">
        <v>175</v>
      </c>
      <c r="B179" s="6" t="n"/>
      <c r="C179" s="7" t="n"/>
      <c r="D179" s="7" t="n"/>
      <c r="E179" s="10" t="n"/>
      <c r="F179" s="9">
        <f>IF(OR(C179="",E179=""),0,IF(C179="Начисление по акту",E179,IF(OR(C179="Оплата",C179="Зачёт аванса по договору"),-E179,IF(C179="Корректировка (подписана обеими сторонами)",E179,0))))</f>
        <v/>
      </c>
      <c r="G179" s="9">
        <f>IF(OR(C179="Удержание",C179="Зачёт встречного требования",C179="Неустойка заявлена"),N(E179),0)</f>
        <v/>
      </c>
      <c r="H179" s="9">
        <f>H178+F179</f>
        <v/>
      </c>
    </row>
    <row r="180">
      <c r="A180" s="5" t="n">
        <v>176</v>
      </c>
      <c r="B180" s="6" t="n"/>
      <c r="C180" s="7" t="n"/>
      <c r="D180" s="7" t="n"/>
      <c r="E180" s="10" t="n"/>
      <c r="F180" s="9">
        <f>IF(OR(C180="",E180=""),0,IF(C180="Начисление по акту",E180,IF(OR(C180="Оплата",C180="Зачёт аванса по договору"),-E180,IF(C180="Корректировка (подписана обеими сторонами)",E180,0))))</f>
        <v/>
      </c>
      <c r="G180" s="9">
        <f>IF(OR(C180="Удержание",C180="Зачёт встречного требования",C180="Неустойка заявлена"),N(E180),0)</f>
        <v/>
      </c>
      <c r="H180" s="9">
        <f>H179+F180</f>
        <v/>
      </c>
    </row>
    <row r="181">
      <c r="A181" s="5" t="n">
        <v>177</v>
      </c>
      <c r="B181" s="6" t="n"/>
      <c r="C181" s="7" t="n"/>
      <c r="D181" s="7" t="n"/>
      <c r="E181" s="10" t="n"/>
      <c r="F181" s="9">
        <f>IF(OR(C181="",E181=""),0,IF(C181="Начисление по акту",E181,IF(OR(C181="Оплата",C181="Зачёт аванса по договору"),-E181,IF(C181="Корректировка (подписана обеими сторонами)",E181,0))))</f>
        <v/>
      </c>
      <c r="G181" s="9">
        <f>IF(OR(C181="Удержание",C181="Зачёт встречного требования",C181="Неустойка заявлена"),N(E181),0)</f>
        <v/>
      </c>
      <c r="H181" s="9">
        <f>H180+F181</f>
        <v/>
      </c>
    </row>
    <row r="182">
      <c r="A182" s="5" t="n">
        <v>178</v>
      </c>
      <c r="B182" s="6" t="n"/>
      <c r="C182" s="7" t="n"/>
      <c r="D182" s="7" t="n"/>
      <c r="E182" s="10" t="n"/>
      <c r="F182" s="9">
        <f>IF(OR(C182="",E182=""),0,IF(C182="Начисление по акту",E182,IF(OR(C182="Оплата",C182="Зачёт аванса по договору"),-E182,IF(C182="Корректировка (подписана обеими сторонами)",E182,0))))</f>
        <v/>
      </c>
      <c r="G182" s="9">
        <f>IF(OR(C182="Удержание",C182="Зачёт встречного требования",C182="Неустойка заявлена"),N(E182),0)</f>
        <v/>
      </c>
      <c r="H182" s="9">
        <f>H181+F182</f>
        <v/>
      </c>
    </row>
    <row r="183">
      <c r="A183" s="5" t="n">
        <v>179</v>
      </c>
      <c r="B183" s="6" t="n"/>
      <c r="C183" s="7" t="n"/>
      <c r="D183" s="7" t="n"/>
      <c r="E183" s="10" t="n"/>
      <c r="F183" s="9">
        <f>IF(OR(C183="",E183=""),0,IF(C183="Начисление по акту",E183,IF(OR(C183="Оплата",C183="Зачёт аванса по договору"),-E183,IF(C183="Корректировка (подписана обеими сторонами)",E183,0))))</f>
        <v/>
      </c>
      <c r="G183" s="9">
        <f>IF(OR(C183="Удержание",C183="Зачёт встречного требования",C183="Неустойка заявлена"),N(E183),0)</f>
        <v/>
      </c>
      <c r="H183" s="9">
        <f>H182+F183</f>
        <v/>
      </c>
    </row>
    <row r="184">
      <c r="A184" s="5" t="n">
        <v>180</v>
      </c>
      <c r="B184" s="6" t="n"/>
      <c r="C184" s="7" t="n"/>
      <c r="D184" s="7" t="n"/>
      <c r="E184" s="10" t="n"/>
      <c r="F184" s="9">
        <f>IF(OR(C184="",E184=""),0,IF(C184="Начисление по акту",E184,IF(OR(C184="Оплата",C184="Зачёт аванса по договору"),-E184,IF(C184="Корректировка (подписана обеими сторонами)",E184,0))))</f>
        <v/>
      </c>
      <c r="G184" s="9">
        <f>IF(OR(C184="Удержание",C184="Зачёт встречного требования",C184="Неустойка заявлена"),N(E184),0)</f>
        <v/>
      </c>
      <c r="H184" s="9">
        <f>H183+F184</f>
        <v/>
      </c>
    </row>
    <row r="185">
      <c r="A185" s="5" t="n">
        <v>181</v>
      </c>
      <c r="B185" s="6" t="n"/>
      <c r="C185" s="7" t="n"/>
      <c r="D185" s="7" t="n"/>
      <c r="E185" s="10" t="n"/>
      <c r="F185" s="9">
        <f>IF(OR(C185="",E185=""),0,IF(C185="Начисление по акту",E185,IF(OR(C185="Оплата",C185="Зачёт аванса по договору"),-E185,IF(C185="Корректировка (подписана обеими сторонами)",E185,0))))</f>
        <v/>
      </c>
      <c r="G185" s="9">
        <f>IF(OR(C185="Удержание",C185="Зачёт встречного требования",C185="Неустойка заявлена"),N(E185),0)</f>
        <v/>
      </c>
      <c r="H185" s="9">
        <f>H184+F185</f>
        <v/>
      </c>
    </row>
    <row r="186">
      <c r="A186" s="5" t="n">
        <v>182</v>
      </c>
      <c r="B186" s="6" t="n"/>
      <c r="C186" s="7" t="n"/>
      <c r="D186" s="7" t="n"/>
      <c r="E186" s="10" t="n"/>
      <c r="F186" s="9">
        <f>IF(OR(C186="",E186=""),0,IF(C186="Начисление по акту",E186,IF(OR(C186="Оплата",C186="Зачёт аванса по договору"),-E186,IF(C186="Корректировка (подписана обеими сторонами)",E186,0))))</f>
        <v/>
      </c>
      <c r="G186" s="9">
        <f>IF(OR(C186="Удержание",C186="Зачёт встречного требования",C186="Неустойка заявлена"),N(E186),0)</f>
        <v/>
      </c>
      <c r="H186" s="9">
        <f>H185+F186</f>
        <v/>
      </c>
    </row>
    <row r="187">
      <c r="A187" s="5" t="n">
        <v>183</v>
      </c>
      <c r="B187" s="6" t="n"/>
      <c r="C187" s="7" t="n"/>
      <c r="D187" s="7" t="n"/>
      <c r="E187" s="10" t="n"/>
      <c r="F187" s="9">
        <f>IF(OR(C187="",E187=""),0,IF(C187="Начисление по акту",E187,IF(OR(C187="Оплата",C187="Зачёт аванса по договору"),-E187,IF(C187="Корректировка (подписана обеими сторонами)",E187,0))))</f>
        <v/>
      </c>
      <c r="G187" s="9">
        <f>IF(OR(C187="Удержание",C187="Зачёт встречного требования",C187="Неустойка заявлена"),N(E187),0)</f>
        <v/>
      </c>
      <c r="H187" s="9">
        <f>H186+F187</f>
        <v/>
      </c>
    </row>
    <row r="188">
      <c r="A188" s="5" t="n">
        <v>184</v>
      </c>
      <c r="B188" s="6" t="n"/>
      <c r="C188" s="7" t="n"/>
      <c r="D188" s="7" t="n"/>
      <c r="E188" s="10" t="n"/>
      <c r="F188" s="9">
        <f>IF(OR(C188="",E188=""),0,IF(C188="Начисление по акту",E188,IF(OR(C188="Оплата",C188="Зачёт аванса по договору"),-E188,IF(C188="Корректировка (подписана обеими сторонами)",E188,0))))</f>
        <v/>
      </c>
      <c r="G188" s="9">
        <f>IF(OR(C188="Удержание",C188="Зачёт встречного требования",C188="Неустойка заявлена"),N(E188),0)</f>
        <v/>
      </c>
      <c r="H188" s="9">
        <f>H187+F188</f>
        <v/>
      </c>
    </row>
    <row r="189">
      <c r="A189" s="5" t="n">
        <v>185</v>
      </c>
      <c r="B189" s="6" t="n"/>
      <c r="C189" s="7" t="n"/>
      <c r="D189" s="7" t="n"/>
      <c r="E189" s="10" t="n"/>
      <c r="F189" s="9">
        <f>IF(OR(C189="",E189=""),0,IF(C189="Начисление по акту",E189,IF(OR(C189="Оплата",C189="Зачёт аванса по договору"),-E189,IF(C189="Корректировка (подписана обеими сторонами)",E189,0))))</f>
        <v/>
      </c>
      <c r="G189" s="9">
        <f>IF(OR(C189="Удержание",C189="Зачёт встречного требования",C189="Неустойка заявлена"),N(E189),0)</f>
        <v/>
      </c>
      <c r="H189" s="9">
        <f>H188+F189</f>
        <v/>
      </c>
    </row>
    <row r="190">
      <c r="A190" s="5" t="n">
        <v>186</v>
      </c>
      <c r="B190" s="6" t="n"/>
      <c r="C190" s="7" t="n"/>
      <c r="D190" s="7" t="n"/>
      <c r="E190" s="10" t="n"/>
      <c r="F190" s="9">
        <f>IF(OR(C190="",E190=""),0,IF(C190="Начисление по акту",E190,IF(OR(C190="Оплата",C190="Зачёт аванса по договору"),-E190,IF(C190="Корректировка (подписана обеими сторонами)",E190,0))))</f>
        <v/>
      </c>
      <c r="G190" s="9">
        <f>IF(OR(C190="Удержание",C190="Зачёт встречного требования",C190="Неустойка заявлена"),N(E190),0)</f>
        <v/>
      </c>
      <c r="H190" s="9">
        <f>H189+F190</f>
        <v/>
      </c>
    </row>
    <row r="191">
      <c r="A191" s="5" t="n">
        <v>187</v>
      </c>
      <c r="B191" s="6" t="n"/>
      <c r="C191" s="7" t="n"/>
      <c r="D191" s="7" t="n"/>
      <c r="E191" s="10" t="n"/>
      <c r="F191" s="9">
        <f>IF(OR(C191="",E191=""),0,IF(C191="Начисление по акту",E191,IF(OR(C191="Оплата",C191="Зачёт аванса по договору"),-E191,IF(C191="Корректировка (подписана обеими сторонами)",E191,0))))</f>
        <v/>
      </c>
      <c r="G191" s="9">
        <f>IF(OR(C191="Удержание",C191="Зачёт встречного требования",C191="Неустойка заявлена"),N(E191),0)</f>
        <v/>
      </c>
      <c r="H191" s="9">
        <f>H190+F191</f>
        <v/>
      </c>
    </row>
    <row r="192">
      <c r="A192" s="5" t="n">
        <v>188</v>
      </c>
      <c r="B192" s="6" t="n"/>
      <c r="C192" s="7" t="n"/>
      <c r="D192" s="7" t="n"/>
      <c r="E192" s="10" t="n"/>
      <c r="F192" s="9">
        <f>IF(OR(C192="",E192=""),0,IF(C192="Начисление по акту",E192,IF(OR(C192="Оплата",C192="Зачёт аванса по договору"),-E192,IF(C192="Корректировка (подписана обеими сторонами)",E192,0))))</f>
        <v/>
      </c>
      <c r="G192" s="9">
        <f>IF(OR(C192="Удержание",C192="Зачёт встречного требования",C192="Неустойка заявлена"),N(E192),0)</f>
        <v/>
      </c>
      <c r="H192" s="9">
        <f>H191+F192</f>
        <v/>
      </c>
    </row>
    <row r="193">
      <c r="A193" s="5" t="n">
        <v>189</v>
      </c>
      <c r="B193" s="6" t="n"/>
      <c r="C193" s="7" t="n"/>
      <c r="D193" s="7" t="n"/>
      <c r="E193" s="10" t="n"/>
      <c r="F193" s="9">
        <f>IF(OR(C193="",E193=""),0,IF(C193="Начисление по акту",E193,IF(OR(C193="Оплата",C193="Зачёт аванса по договору"),-E193,IF(C193="Корректировка (подписана обеими сторонами)",E193,0))))</f>
        <v/>
      </c>
      <c r="G193" s="9">
        <f>IF(OR(C193="Удержание",C193="Зачёт встречного требования",C193="Неустойка заявлена"),N(E193),0)</f>
        <v/>
      </c>
      <c r="H193" s="9">
        <f>H192+F193</f>
        <v/>
      </c>
    </row>
    <row r="194">
      <c r="A194" s="5" t="n">
        <v>190</v>
      </c>
      <c r="B194" s="6" t="n"/>
      <c r="C194" s="7" t="n"/>
      <c r="D194" s="7" t="n"/>
      <c r="E194" s="10" t="n"/>
      <c r="F194" s="9">
        <f>IF(OR(C194="",E194=""),0,IF(C194="Начисление по акту",E194,IF(OR(C194="Оплата",C194="Зачёт аванса по договору"),-E194,IF(C194="Корректировка (подписана обеими сторонами)",E194,0))))</f>
        <v/>
      </c>
      <c r="G194" s="9">
        <f>IF(OR(C194="Удержание",C194="Зачёт встречного требования",C194="Неустойка заявлена"),N(E194),0)</f>
        <v/>
      </c>
      <c r="H194" s="9">
        <f>H193+F194</f>
        <v/>
      </c>
    </row>
    <row r="195">
      <c r="A195" s="5" t="n">
        <v>191</v>
      </c>
      <c r="B195" s="6" t="n"/>
      <c r="C195" s="7" t="n"/>
      <c r="D195" s="7" t="n"/>
      <c r="E195" s="10" t="n"/>
      <c r="F195" s="9">
        <f>IF(OR(C195="",E195=""),0,IF(C195="Начисление по акту",E195,IF(OR(C195="Оплата",C195="Зачёт аванса по договору"),-E195,IF(C195="Корректировка (подписана обеими сторонами)",E195,0))))</f>
        <v/>
      </c>
      <c r="G195" s="9">
        <f>IF(OR(C195="Удержание",C195="Зачёт встречного требования",C195="Неустойка заявлена"),N(E195),0)</f>
        <v/>
      </c>
      <c r="H195" s="9">
        <f>H194+F195</f>
        <v/>
      </c>
    </row>
    <row r="196">
      <c r="A196" s="5" t="n">
        <v>192</v>
      </c>
      <c r="B196" s="6" t="n"/>
      <c r="C196" s="7" t="n"/>
      <c r="D196" s="7" t="n"/>
      <c r="E196" s="10" t="n"/>
      <c r="F196" s="9">
        <f>IF(OR(C196="",E196=""),0,IF(C196="Начисление по акту",E196,IF(OR(C196="Оплата",C196="Зачёт аванса по договору"),-E196,IF(C196="Корректировка (подписана обеими сторонами)",E196,0))))</f>
        <v/>
      </c>
      <c r="G196" s="9">
        <f>IF(OR(C196="Удержание",C196="Зачёт встречного требования",C196="Неустойка заявлена"),N(E196),0)</f>
        <v/>
      </c>
      <c r="H196" s="9">
        <f>H195+F196</f>
        <v/>
      </c>
    </row>
    <row r="197">
      <c r="A197" s="5" t="n">
        <v>193</v>
      </c>
      <c r="B197" s="6" t="n"/>
      <c r="C197" s="7" t="n"/>
      <c r="D197" s="7" t="n"/>
      <c r="E197" s="10" t="n"/>
      <c r="F197" s="9">
        <f>IF(OR(C197="",E197=""),0,IF(C197="Начисление по акту",E197,IF(OR(C197="Оплата",C197="Зачёт аванса по договору"),-E197,IF(C197="Корректировка (подписана обеими сторонами)",E197,0))))</f>
        <v/>
      </c>
      <c r="G197" s="9">
        <f>IF(OR(C197="Удержание",C197="Зачёт встречного требования",C197="Неустойка заявлена"),N(E197),0)</f>
        <v/>
      </c>
      <c r="H197" s="9">
        <f>H196+F197</f>
        <v/>
      </c>
    </row>
    <row r="198">
      <c r="A198" s="5" t="n">
        <v>194</v>
      </c>
      <c r="B198" s="6" t="n"/>
      <c r="C198" s="7" t="n"/>
      <c r="D198" s="7" t="n"/>
      <c r="E198" s="10" t="n"/>
      <c r="F198" s="9">
        <f>IF(OR(C198="",E198=""),0,IF(C198="Начисление по акту",E198,IF(OR(C198="Оплата",C198="Зачёт аванса по договору"),-E198,IF(C198="Корректировка (подписана обеими сторонами)",E198,0))))</f>
        <v/>
      </c>
      <c r="G198" s="9">
        <f>IF(OR(C198="Удержание",C198="Зачёт встречного требования",C198="Неустойка заявлена"),N(E198),0)</f>
        <v/>
      </c>
      <c r="H198" s="9">
        <f>H197+F198</f>
        <v/>
      </c>
    </row>
    <row r="199">
      <c r="A199" s="5" t="n">
        <v>195</v>
      </c>
      <c r="B199" s="6" t="n"/>
      <c r="C199" s="7" t="n"/>
      <c r="D199" s="7" t="n"/>
      <c r="E199" s="10" t="n"/>
      <c r="F199" s="9">
        <f>IF(OR(C199="",E199=""),0,IF(C199="Начисление по акту",E199,IF(OR(C199="Оплата",C199="Зачёт аванса по договору"),-E199,IF(C199="Корректировка (подписана обеими сторонами)",E199,0))))</f>
        <v/>
      </c>
      <c r="G199" s="9">
        <f>IF(OR(C199="Удержание",C199="Зачёт встречного требования",C199="Неустойка заявлена"),N(E199),0)</f>
        <v/>
      </c>
      <c r="H199" s="9">
        <f>H198+F199</f>
        <v/>
      </c>
    </row>
    <row r="200">
      <c r="A200" s="5" t="n">
        <v>196</v>
      </c>
      <c r="B200" s="6" t="n"/>
      <c r="C200" s="7" t="n"/>
      <c r="D200" s="7" t="n"/>
      <c r="E200" s="10" t="n"/>
      <c r="F200" s="9">
        <f>IF(OR(C200="",E200=""),0,IF(C200="Начисление по акту",E200,IF(OR(C200="Оплата",C200="Зачёт аванса по договору"),-E200,IF(C200="Корректировка (подписана обеими сторонами)",E200,0))))</f>
        <v/>
      </c>
      <c r="G200" s="9">
        <f>IF(OR(C200="Удержание",C200="Зачёт встречного требования",C200="Неустойка заявлена"),N(E200),0)</f>
        <v/>
      </c>
      <c r="H200" s="9">
        <f>H199+F200</f>
        <v/>
      </c>
    </row>
    <row r="201">
      <c r="A201" s="5" t="n">
        <v>197</v>
      </c>
      <c r="B201" s="6" t="n"/>
      <c r="C201" s="7" t="n"/>
      <c r="D201" s="7" t="n"/>
      <c r="E201" s="10" t="n"/>
      <c r="F201" s="9">
        <f>IF(OR(C201="",E201=""),0,IF(C201="Начисление по акту",E201,IF(OR(C201="Оплата",C201="Зачёт аванса по договору"),-E201,IF(C201="Корректировка (подписана обеими сторонами)",E201,0))))</f>
        <v/>
      </c>
      <c r="G201" s="9">
        <f>IF(OR(C201="Удержание",C201="Зачёт встречного требования",C201="Неустойка заявлена"),N(E201),0)</f>
        <v/>
      </c>
      <c r="H201" s="9">
        <f>H200+F201</f>
        <v/>
      </c>
    </row>
    <row r="202">
      <c r="A202" s="5" t="n">
        <v>198</v>
      </c>
      <c r="B202" s="6" t="n"/>
      <c r="C202" s="7" t="n"/>
      <c r="D202" s="7" t="n"/>
      <c r="E202" s="10" t="n"/>
      <c r="F202" s="9">
        <f>IF(OR(C202="",E202=""),0,IF(C202="Начисление по акту",E202,IF(OR(C202="Оплата",C202="Зачёт аванса по договору"),-E202,IF(C202="Корректировка (подписана обеими сторонами)",E202,0))))</f>
        <v/>
      </c>
      <c r="G202" s="9">
        <f>IF(OR(C202="Удержание",C202="Зачёт встречного требования",C202="Неустойка заявлена"),N(E202),0)</f>
        <v/>
      </c>
      <c r="H202" s="9">
        <f>H201+F202</f>
        <v/>
      </c>
    </row>
    <row r="203">
      <c r="A203" s="5" t="n">
        <v>199</v>
      </c>
      <c r="B203" s="6" t="n"/>
      <c r="C203" s="7" t="n"/>
      <c r="D203" s="7" t="n"/>
      <c r="E203" s="10" t="n"/>
      <c r="F203" s="9">
        <f>IF(OR(C203="",E203=""),0,IF(C203="Начисление по акту",E203,IF(OR(C203="Оплата",C203="Зачёт аванса по договору"),-E203,IF(C203="Корректировка (подписана обеими сторонами)",E203,0))))</f>
        <v/>
      </c>
      <c r="G203" s="9">
        <f>IF(OR(C203="Удержание",C203="Зачёт встречного требования",C203="Неустойка заявлена"),N(E203),0)</f>
        <v/>
      </c>
      <c r="H203" s="9">
        <f>H202+F203</f>
        <v/>
      </c>
    </row>
    <row r="204">
      <c r="A204" s="5" t="n">
        <v>200</v>
      </c>
      <c r="B204" s="6" t="n"/>
      <c r="C204" s="7" t="n"/>
      <c r="D204" s="7" t="n"/>
      <c r="E204" s="10" t="n"/>
      <c r="F204" s="9">
        <f>IF(OR(C204="",E204=""),0,IF(C204="Начисление по акту",E204,IF(OR(C204="Оплата",C204="Зачёт аванса по договору"),-E204,IF(C204="Корректировка (подписана обеими сторонами)",E204,0))))</f>
        <v/>
      </c>
      <c r="G204" s="9">
        <f>IF(OR(C204="Удержание",C204="Зачёт встречного требования",C204="Неустойка заявлена"),N(E204),0)</f>
        <v/>
      </c>
      <c r="H204" s="9">
        <f>H203+F204</f>
        <v/>
      </c>
    </row>
    <row r="205">
      <c r="A205" s="5" t="n">
        <v>201</v>
      </c>
      <c r="B205" s="6" t="n"/>
      <c r="C205" s="7" t="n"/>
      <c r="D205" s="7" t="n"/>
      <c r="E205" s="10" t="n"/>
      <c r="F205" s="9">
        <f>IF(OR(C205="",E205=""),0,IF(C205="Начисление по акту",E205,IF(OR(C205="Оплата",C205="Зачёт аванса по договору"),-E205,IF(C205="Корректировка (подписана обеими сторонами)",E205,0))))</f>
        <v/>
      </c>
      <c r="G205" s="9">
        <f>IF(OR(C205="Удержание",C205="Зачёт встречного требования",C205="Неустойка заявлена"),N(E205),0)</f>
        <v/>
      </c>
      <c r="H205" s="9">
        <f>H204+F205</f>
        <v/>
      </c>
    </row>
    <row r="206">
      <c r="A206" s="5" t="n">
        <v>202</v>
      </c>
      <c r="B206" s="6" t="n"/>
      <c r="C206" s="7" t="n"/>
      <c r="D206" s="7" t="n"/>
      <c r="E206" s="10" t="n"/>
      <c r="F206" s="9">
        <f>IF(OR(C206="",E206=""),0,IF(C206="Начисление по акту",E206,IF(OR(C206="Оплата",C206="Зачёт аванса по договору"),-E206,IF(C206="Корректировка (подписана обеими сторонами)",E206,0))))</f>
        <v/>
      </c>
      <c r="G206" s="9">
        <f>IF(OR(C206="Удержание",C206="Зачёт встречного требования",C206="Неустойка заявлена"),N(E206),0)</f>
        <v/>
      </c>
      <c r="H206" s="9">
        <f>H205+F206</f>
        <v/>
      </c>
    </row>
    <row r="207">
      <c r="A207" s="5" t="n">
        <v>203</v>
      </c>
      <c r="B207" s="6" t="n"/>
      <c r="C207" s="7" t="n"/>
      <c r="D207" s="7" t="n"/>
      <c r="E207" s="10" t="n"/>
      <c r="F207" s="9">
        <f>IF(OR(C207="",E207=""),0,IF(C207="Начисление по акту",E207,IF(OR(C207="Оплата",C207="Зачёт аванса по договору"),-E207,IF(C207="Корректировка (подписана обеими сторонами)",E207,0))))</f>
        <v/>
      </c>
      <c r="G207" s="9">
        <f>IF(OR(C207="Удержание",C207="Зачёт встречного требования",C207="Неустойка заявлена"),N(E207),0)</f>
        <v/>
      </c>
      <c r="H207" s="9">
        <f>H206+F207</f>
        <v/>
      </c>
    </row>
    <row r="208">
      <c r="A208" s="5" t="n">
        <v>204</v>
      </c>
      <c r="B208" s="6" t="n"/>
      <c r="C208" s="7" t="n"/>
      <c r="D208" s="7" t="n"/>
      <c r="E208" s="10" t="n"/>
      <c r="F208" s="9">
        <f>IF(OR(C208="",E208=""),0,IF(C208="Начисление по акту",E208,IF(OR(C208="Оплата",C208="Зачёт аванса по договору"),-E208,IF(C208="Корректировка (подписана обеими сторонами)",E208,0))))</f>
        <v/>
      </c>
      <c r="G208" s="9">
        <f>IF(OR(C208="Удержание",C208="Зачёт встречного требования",C208="Неустойка заявлена"),N(E208),0)</f>
        <v/>
      </c>
      <c r="H208" s="9">
        <f>H207+F208</f>
        <v/>
      </c>
    </row>
    <row r="209">
      <c r="A209" s="5" t="n">
        <v>205</v>
      </c>
      <c r="B209" s="6" t="n"/>
      <c r="C209" s="7" t="n"/>
      <c r="D209" s="7" t="n"/>
      <c r="E209" s="10" t="n"/>
      <c r="F209" s="9">
        <f>IF(OR(C209="",E209=""),0,IF(C209="Начисление по акту",E209,IF(OR(C209="Оплата",C209="Зачёт аванса по договору"),-E209,IF(C209="Корректировка (подписана обеими сторонами)",E209,0))))</f>
        <v/>
      </c>
      <c r="G209" s="9">
        <f>IF(OR(C209="Удержание",C209="Зачёт встречного требования",C209="Неустойка заявлена"),N(E209),0)</f>
        <v/>
      </c>
      <c r="H209" s="9">
        <f>H208+F209</f>
        <v/>
      </c>
    </row>
    <row r="210">
      <c r="A210" s="5" t="n">
        <v>206</v>
      </c>
      <c r="B210" s="6" t="n"/>
      <c r="C210" s="7" t="n"/>
      <c r="D210" s="7" t="n"/>
      <c r="E210" s="10" t="n"/>
      <c r="F210" s="9">
        <f>IF(OR(C210="",E210=""),0,IF(C210="Начисление по акту",E210,IF(OR(C210="Оплата",C210="Зачёт аванса по договору"),-E210,IF(C210="Корректировка (подписана обеими сторонами)",E210,0))))</f>
        <v/>
      </c>
      <c r="G210" s="9">
        <f>IF(OR(C210="Удержание",C210="Зачёт встречного требования",C210="Неустойка заявлена"),N(E210),0)</f>
        <v/>
      </c>
      <c r="H210" s="9">
        <f>H209+F210</f>
        <v/>
      </c>
    </row>
    <row r="211">
      <c r="A211" s="5" t="n">
        <v>207</v>
      </c>
      <c r="B211" s="6" t="n"/>
      <c r="C211" s="7" t="n"/>
      <c r="D211" s="7" t="n"/>
      <c r="E211" s="10" t="n"/>
      <c r="F211" s="9">
        <f>IF(OR(C211="",E211=""),0,IF(C211="Начисление по акту",E211,IF(OR(C211="Оплата",C211="Зачёт аванса по договору"),-E211,IF(C211="Корректировка (подписана обеими сторонами)",E211,0))))</f>
        <v/>
      </c>
      <c r="G211" s="9">
        <f>IF(OR(C211="Удержание",C211="Зачёт встречного требования",C211="Неустойка заявлена"),N(E211),0)</f>
        <v/>
      </c>
      <c r="H211" s="9">
        <f>H210+F211</f>
        <v/>
      </c>
    </row>
    <row r="212">
      <c r="A212" s="5" t="n">
        <v>208</v>
      </c>
      <c r="B212" s="6" t="n"/>
      <c r="C212" s="7" t="n"/>
      <c r="D212" s="7" t="n"/>
      <c r="E212" s="10" t="n"/>
      <c r="F212" s="9">
        <f>IF(OR(C212="",E212=""),0,IF(C212="Начисление по акту",E212,IF(OR(C212="Оплата",C212="Зачёт аванса по договору"),-E212,IF(C212="Корректировка (подписана обеими сторонами)",E212,0))))</f>
        <v/>
      </c>
      <c r="G212" s="9">
        <f>IF(OR(C212="Удержание",C212="Зачёт встречного требования",C212="Неустойка заявлена"),N(E212),0)</f>
        <v/>
      </c>
      <c r="H212" s="9">
        <f>H211+F212</f>
        <v/>
      </c>
    </row>
    <row r="213">
      <c r="A213" s="5" t="n">
        <v>209</v>
      </c>
      <c r="B213" s="6" t="n"/>
      <c r="C213" s="7" t="n"/>
      <c r="D213" s="7" t="n"/>
      <c r="E213" s="10" t="n"/>
      <c r="F213" s="9">
        <f>IF(OR(C213="",E213=""),0,IF(C213="Начисление по акту",E213,IF(OR(C213="Оплата",C213="Зачёт аванса по договору"),-E213,IF(C213="Корректировка (подписана обеими сторонами)",E213,0))))</f>
        <v/>
      </c>
      <c r="G213" s="9">
        <f>IF(OR(C213="Удержание",C213="Зачёт встречного требования",C213="Неустойка заявлена"),N(E213),0)</f>
        <v/>
      </c>
      <c r="H213" s="9">
        <f>H212+F213</f>
        <v/>
      </c>
    </row>
    <row r="214">
      <c r="A214" s="5" t="n">
        <v>210</v>
      </c>
      <c r="B214" s="6" t="n"/>
      <c r="C214" s="7" t="n"/>
      <c r="D214" s="7" t="n"/>
      <c r="E214" s="10" t="n"/>
      <c r="F214" s="9">
        <f>IF(OR(C214="",E214=""),0,IF(C214="Начисление по акту",E214,IF(OR(C214="Оплата",C214="Зачёт аванса по договору"),-E214,IF(C214="Корректировка (подписана обеими сторонами)",E214,0))))</f>
        <v/>
      </c>
      <c r="G214" s="9">
        <f>IF(OR(C214="Удержание",C214="Зачёт встречного требования",C214="Неустойка заявлена"),N(E214),0)</f>
        <v/>
      </c>
      <c r="H214" s="9">
        <f>H213+F214</f>
        <v/>
      </c>
    </row>
    <row r="215">
      <c r="A215" s="5" t="n">
        <v>211</v>
      </c>
      <c r="B215" s="6" t="n"/>
      <c r="C215" s="7" t="n"/>
      <c r="D215" s="7" t="n"/>
      <c r="E215" s="10" t="n"/>
      <c r="F215" s="9">
        <f>IF(OR(C215="",E215=""),0,IF(C215="Начисление по акту",E215,IF(OR(C215="Оплата",C215="Зачёт аванса по договору"),-E215,IF(C215="Корректировка (подписана обеими сторонами)",E215,0))))</f>
        <v/>
      </c>
      <c r="G215" s="9">
        <f>IF(OR(C215="Удержание",C215="Зачёт встречного требования",C215="Неустойка заявлена"),N(E215),0)</f>
        <v/>
      </c>
      <c r="H215" s="9">
        <f>H214+F215</f>
        <v/>
      </c>
    </row>
    <row r="216">
      <c r="A216" s="5" t="n">
        <v>212</v>
      </c>
      <c r="B216" s="6" t="n"/>
      <c r="C216" s="7" t="n"/>
      <c r="D216" s="7" t="n"/>
      <c r="E216" s="10" t="n"/>
      <c r="F216" s="9">
        <f>IF(OR(C216="",E216=""),0,IF(C216="Начисление по акту",E216,IF(OR(C216="Оплата",C216="Зачёт аванса по договору"),-E216,IF(C216="Корректировка (подписана обеими сторонами)",E216,0))))</f>
        <v/>
      </c>
      <c r="G216" s="9">
        <f>IF(OR(C216="Удержание",C216="Зачёт встречного требования",C216="Неустойка заявлена"),N(E216),0)</f>
        <v/>
      </c>
      <c r="H216" s="9">
        <f>H215+F216</f>
        <v/>
      </c>
    </row>
    <row r="217">
      <c r="A217" s="5" t="n">
        <v>213</v>
      </c>
      <c r="B217" s="6" t="n"/>
      <c r="C217" s="7" t="n"/>
      <c r="D217" s="7" t="n"/>
      <c r="E217" s="10" t="n"/>
      <c r="F217" s="9">
        <f>IF(OR(C217="",E217=""),0,IF(C217="Начисление по акту",E217,IF(OR(C217="Оплата",C217="Зачёт аванса по договору"),-E217,IF(C217="Корректировка (подписана обеими сторонами)",E217,0))))</f>
        <v/>
      </c>
      <c r="G217" s="9">
        <f>IF(OR(C217="Удержание",C217="Зачёт встречного требования",C217="Неустойка заявлена"),N(E217),0)</f>
        <v/>
      </c>
      <c r="H217" s="9">
        <f>H216+F217</f>
        <v/>
      </c>
    </row>
    <row r="218">
      <c r="A218" s="5" t="n">
        <v>214</v>
      </c>
      <c r="B218" s="6" t="n"/>
      <c r="C218" s="7" t="n"/>
      <c r="D218" s="7" t="n"/>
      <c r="E218" s="10" t="n"/>
      <c r="F218" s="9">
        <f>IF(OR(C218="",E218=""),0,IF(C218="Начисление по акту",E218,IF(OR(C218="Оплата",C218="Зачёт аванса по договору"),-E218,IF(C218="Корректировка (подписана обеими сторонами)",E218,0))))</f>
        <v/>
      </c>
      <c r="G218" s="9">
        <f>IF(OR(C218="Удержание",C218="Зачёт встречного требования",C218="Неустойка заявлена"),N(E218),0)</f>
        <v/>
      </c>
      <c r="H218" s="9">
        <f>H217+F218</f>
        <v/>
      </c>
    </row>
    <row r="219">
      <c r="A219" s="5" t="n">
        <v>215</v>
      </c>
      <c r="B219" s="6" t="n"/>
      <c r="C219" s="7" t="n"/>
      <c r="D219" s="7" t="n"/>
      <c r="E219" s="10" t="n"/>
      <c r="F219" s="9">
        <f>IF(OR(C219="",E219=""),0,IF(C219="Начисление по акту",E219,IF(OR(C219="Оплата",C219="Зачёт аванса по договору"),-E219,IF(C219="Корректировка (подписана обеими сторонами)",E219,0))))</f>
        <v/>
      </c>
      <c r="G219" s="9">
        <f>IF(OR(C219="Удержание",C219="Зачёт встречного требования",C219="Неустойка заявлена"),N(E219),0)</f>
        <v/>
      </c>
      <c r="H219" s="9">
        <f>H218+F219</f>
        <v/>
      </c>
    </row>
    <row r="220">
      <c r="A220" s="5" t="n">
        <v>216</v>
      </c>
      <c r="B220" s="6" t="n"/>
      <c r="C220" s="7" t="n"/>
      <c r="D220" s="7" t="n"/>
      <c r="E220" s="10" t="n"/>
      <c r="F220" s="9">
        <f>IF(OR(C220="",E220=""),0,IF(C220="Начисление по акту",E220,IF(OR(C220="Оплата",C220="Зачёт аванса по договору"),-E220,IF(C220="Корректировка (подписана обеими сторонами)",E220,0))))</f>
        <v/>
      </c>
      <c r="G220" s="9">
        <f>IF(OR(C220="Удержание",C220="Зачёт встречного требования",C220="Неустойка заявлена"),N(E220),0)</f>
        <v/>
      </c>
      <c r="H220" s="9">
        <f>H219+F220</f>
        <v/>
      </c>
    </row>
    <row r="221">
      <c r="A221" s="5" t="n">
        <v>217</v>
      </c>
      <c r="B221" s="6" t="n"/>
      <c r="C221" s="7" t="n"/>
      <c r="D221" s="7" t="n"/>
      <c r="E221" s="10" t="n"/>
      <c r="F221" s="9">
        <f>IF(OR(C221="",E221=""),0,IF(C221="Начисление по акту",E221,IF(OR(C221="Оплата",C221="Зачёт аванса по договору"),-E221,IF(C221="Корректировка (подписана обеими сторонами)",E221,0))))</f>
        <v/>
      </c>
      <c r="G221" s="9">
        <f>IF(OR(C221="Удержание",C221="Зачёт встречного требования",C221="Неустойка заявлена"),N(E221),0)</f>
        <v/>
      </c>
      <c r="H221" s="9">
        <f>H220+F221</f>
        <v/>
      </c>
    </row>
    <row r="222">
      <c r="A222" s="5" t="n">
        <v>218</v>
      </c>
      <c r="B222" s="6" t="n"/>
      <c r="C222" s="7" t="n"/>
      <c r="D222" s="7" t="n"/>
      <c r="E222" s="10" t="n"/>
      <c r="F222" s="9">
        <f>IF(OR(C222="",E222=""),0,IF(C222="Начисление по акту",E222,IF(OR(C222="Оплата",C222="Зачёт аванса по договору"),-E222,IF(C222="Корректировка (подписана обеими сторонами)",E222,0))))</f>
        <v/>
      </c>
      <c r="G222" s="9">
        <f>IF(OR(C222="Удержание",C222="Зачёт встречного требования",C222="Неустойка заявлена"),N(E222),0)</f>
        <v/>
      </c>
      <c r="H222" s="9">
        <f>H221+F222</f>
        <v/>
      </c>
    </row>
    <row r="223">
      <c r="A223" s="5" t="n">
        <v>219</v>
      </c>
      <c r="B223" s="6" t="n"/>
      <c r="C223" s="7" t="n"/>
      <c r="D223" s="7" t="n"/>
      <c r="E223" s="10" t="n"/>
      <c r="F223" s="9">
        <f>IF(OR(C223="",E223=""),0,IF(C223="Начисление по акту",E223,IF(OR(C223="Оплата",C223="Зачёт аванса по договору"),-E223,IF(C223="Корректировка (подписана обеими сторонами)",E223,0))))</f>
        <v/>
      </c>
      <c r="G223" s="9">
        <f>IF(OR(C223="Удержание",C223="Зачёт встречного требования",C223="Неустойка заявлена"),N(E223),0)</f>
        <v/>
      </c>
      <c r="H223" s="9">
        <f>H222+F223</f>
        <v/>
      </c>
    </row>
    <row r="224">
      <c r="A224" s="5" t="n">
        <v>220</v>
      </c>
      <c r="B224" s="6" t="n"/>
      <c r="C224" s="7" t="n"/>
      <c r="D224" s="7" t="n"/>
      <c r="E224" s="10" t="n"/>
      <c r="F224" s="9">
        <f>IF(OR(C224="",E224=""),0,IF(C224="Начисление по акту",E224,IF(OR(C224="Оплата",C224="Зачёт аванса по договору"),-E224,IF(C224="Корректировка (подписана обеими сторонами)",E224,0))))</f>
        <v/>
      </c>
      <c r="G224" s="9">
        <f>IF(OR(C224="Удержание",C224="Зачёт встречного требования",C224="Неустойка заявлена"),N(E224),0)</f>
        <v/>
      </c>
      <c r="H224" s="9">
        <f>H223+F224</f>
        <v/>
      </c>
    </row>
    <row r="225">
      <c r="A225" s="5" t="n">
        <v>221</v>
      </c>
      <c r="B225" s="6" t="n"/>
      <c r="C225" s="7" t="n"/>
      <c r="D225" s="7" t="n"/>
      <c r="E225" s="10" t="n"/>
      <c r="F225" s="9">
        <f>IF(OR(C225="",E225=""),0,IF(C225="Начисление по акту",E225,IF(OR(C225="Оплата",C225="Зачёт аванса по договору"),-E225,IF(C225="Корректировка (подписана обеими сторонами)",E225,0))))</f>
        <v/>
      </c>
      <c r="G225" s="9">
        <f>IF(OR(C225="Удержание",C225="Зачёт встречного требования",C225="Неустойка заявлена"),N(E225),0)</f>
        <v/>
      </c>
      <c r="H225" s="9">
        <f>H224+F225</f>
        <v/>
      </c>
    </row>
    <row r="226">
      <c r="A226" s="5" t="n">
        <v>222</v>
      </c>
      <c r="B226" s="6" t="n"/>
      <c r="C226" s="7" t="n"/>
      <c r="D226" s="7" t="n"/>
      <c r="E226" s="10" t="n"/>
      <c r="F226" s="9">
        <f>IF(OR(C226="",E226=""),0,IF(C226="Начисление по акту",E226,IF(OR(C226="Оплата",C226="Зачёт аванса по договору"),-E226,IF(C226="Корректировка (подписана обеими сторонами)",E226,0))))</f>
        <v/>
      </c>
      <c r="G226" s="9">
        <f>IF(OR(C226="Удержание",C226="Зачёт встречного требования",C226="Неустойка заявлена"),N(E226),0)</f>
        <v/>
      </c>
      <c r="H226" s="9">
        <f>H225+F226</f>
        <v/>
      </c>
    </row>
    <row r="227">
      <c r="A227" s="5" t="n">
        <v>223</v>
      </c>
      <c r="B227" s="6" t="n"/>
      <c r="C227" s="7" t="n"/>
      <c r="D227" s="7" t="n"/>
      <c r="E227" s="10" t="n"/>
      <c r="F227" s="9">
        <f>IF(OR(C227="",E227=""),0,IF(C227="Начисление по акту",E227,IF(OR(C227="Оплата",C227="Зачёт аванса по договору"),-E227,IF(C227="Корректировка (подписана обеими сторонами)",E227,0))))</f>
        <v/>
      </c>
      <c r="G227" s="9">
        <f>IF(OR(C227="Удержание",C227="Зачёт встречного требования",C227="Неустойка заявлена"),N(E227),0)</f>
        <v/>
      </c>
      <c r="H227" s="9">
        <f>H226+F227</f>
        <v/>
      </c>
    </row>
    <row r="228">
      <c r="A228" s="5" t="n">
        <v>224</v>
      </c>
      <c r="B228" s="6" t="n"/>
      <c r="C228" s="7" t="n"/>
      <c r="D228" s="7" t="n"/>
      <c r="E228" s="10" t="n"/>
      <c r="F228" s="9">
        <f>IF(OR(C228="",E228=""),0,IF(C228="Начисление по акту",E228,IF(OR(C228="Оплата",C228="Зачёт аванса по договору"),-E228,IF(C228="Корректировка (подписана обеими сторонами)",E228,0))))</f>
        <v/>
      </c>
      <c r="G228" s="9">
        <f>IF(OR(C228="Удержание",C228="Зачёт встречного требования",C228="Неустойка заявлена"),N(E228),0)</f>
        <v/>
      </c>
      <c r="H228" s="9">
        <f>H227+F228</f>
        <v/>
      </c>
    </row>
    <row r="229">
      <c r="A229" s="5" t="n">
        <v>225</v>
      </c>
      <c r="B229" s="6" t="n"/>
      <c r="C229" s="7" t="n"/>
      <c r="D229" s="7" t="n"/>
      <c r="E229" s="10" t="n"/>
      <c r="F229" s="9">
        <f>IF(OR(C229="",E229=""),0,IF(C229="Начисление по акту",E229,IF(OR(C229="Оплата",C229="Зачёт аванса по договору"),-E229,IF(C229="Корректировка (подписана обеими сторонами)",E229,0))))</f>
        <v/>
      </c>
      <c r="G229" s="9">
        <f>IF(OR(C229="Удержание",C229="Зачёт встречного требования",C229="Неустойка заявлена"),N(E229),0)</f>
        <v/>
      </c>
      <c r="H229" s="9">
        <f>H228+F229</f>
        <v/>
      </c>
    </row>
    <row r="230">
      <c r="A230" s="5" t="n">
        <v>226</v>
      </c>
      <c r="B230" s="6" t="n"/>
      <c r="C230" s="7" t="n"/>
      <c r="D230" s="7" t="n"/>
      <c r="E230" s="10" t="n"/>
      <c r="F230" s="9">
        <f>IF(OR(C230="",E230=""),0,IF(C230="Начисление по акту",E230,IF(OR(C230="Оплата",C230="Зачёт аванса по договору"),-E230,IF(C230="Корректировка (подписана обеими сторонами)",E230,0))))</f>
        <v/>
      </c>
      <c r="G230" s="9">
        <f>IF(OR(C230="Удержание",C230="Зачёт встречного требования",C230="Неустойка заявлена"),N(E230),0)</f>
        <v/>
      </c>
      <c r="H230" s="9">
        <f>H229+F230</f>
        <v/>
      </c>
    </row>
    <row r="231">
      <c r="A231" s="5" t="n">
        <v>227</v>
      </c>
      <c r="B231" s="6" t="n"/>
      <c r="C231" s="7" t="n"/>
      <c r="D231" s="7" t="n"/>
      <c r="E231" s="10" t="n"/>
      <c r="F231" s="9">
        <f>IF(OR(C231="",E231=""),0,IF(C231="Начисление по акту",E231,IF(OR(C231="Оплата",C231="Зачёт аванса по договору"),-E231,IF(C231="Корректировка (подписана обеими сторонами)",E231,0))))</f>
        <v/>
      </c>
      <c r="G231" s="9">
        <f>IF(OR(C231="Удержание",C231="Зачёт встречного требования",C231="Неустойка заявлена"),N(E231),0)</f>
        <v/>
      </c>
      <c r="H231" s="9">
        <f>H230+F231</f>
        <v/>
      </c>
    </row>
    <row r="232">
      <c r="A232" s="5" t="n">
        <v>228</v>
      </c>
      <c r="B232" s="6" t="n"/>
      <c r="C232" s="7" t="n"/>
      <c r="D232" s="7" t="n"/>
      <c r="E232" s="10" t="n"/>
      <c r="F232" s="9">
        <f>IF(OR(C232="",E232=""),0,IF(C232="Начисление по акту",E232,IF(OR(C232="Оплата",C232="Зачёт аванса по договору"),-E232,IF(C232="Корректировка (подписана обеими сторонами)",E232,0))))</f>
        <v/>
      </c>
      <c r="G232" s="9">
        <f>IF(OR(C232="Удержание",C232="Зачёт встречного требования",C232="Неустойка заявлена"),N(E232),0)</f>
        <v/>
      </c>
      <c r="H232" s="9">
        <f>H231+F232</f>
        <v/>
      </c>
    </row>
    <row r="233">
      <c r="A233" s="5" t="n">
        <v>229</v>
      </c>
      <c r="B233" s="6" t="n"/>
      <c r="C233" s="7" t="n"/>
      <c r="D233" s="7" t="n"/>
      <c r="E233" s="10" t="n"/>
      <c r="F233" s="9">
        <f>IF(OR(C233="",E233=""),0,IF(C233="Начисление по акту",E233,IF(OR(C233="Оплата",C233="Зачёт аванса по договору"),-E233,IF(C233="Корректировка (подписана обеими сторонами)",E233,0))))</f>
        <v/>
      </c>
      <c r="G233" s="9">
        <f>IF(OR(C233="Удержание",C233="Зачёт встречного требования",C233="Неустойка заявлена"),N(E233),0)</f>
        <v/>
      </c>
      <c r="H233" s="9">
        <f>H232+F233</f>
        <v/>
      </c>
    </row>
    <row r="234">
      <c r="A234" s="5" t="n">
        <v>230</v>
      </c>
      <c r="B234" s="6" t="n"/>
      <c r="C234" s="7" t="n"/>
      <c r="D234" s="7" t="n"/>
      <c r="E234" s="10" t="n"/>
      <c r="F234" s="9">
        <f>IF(OR(C234="",E234=""),0,IF(C234="Начисление по акту",E234,IF(OR(C234="Оплата",C234="Зачёт аванса по договору"),-E234,IF(C234="Корректировка (подписана обеими сторонами)",E234,0))))</f>
        <v/>
      </c>
      <c r="G234" s="9">
        <f>IF(OR(C234="Удержание",C234="Зачёт встречного требования",C234="Неустойка заявлена"),N(E234),0)</f>
        <v/>
      </c>
      <c r="H234" s="9">
        <f>H233+F234</f>
        <v/>
      </c>
    </row>
    <row r="235">
      <c r="A235" s="5" t="n">
        <v>231</v>
      </c>
      <c r="B235" s="6" t="n"/>
      <c r="C235" s="7" t="n"/>
      <c r="D235" s="7" t="n"/>
      <c r="E235" s="10" t="n"/>
      <c r="F235" s="9">
        <f>IF(OR(C235="",E235=""),0,IF(C235="Начисление по акту",E235,IF(OR(C235="Оплата",C235="Зачёт аванса по договору"),-E235,IF(C235="Корректировка (подписана обеими сторонами)",E235,0))))</f>
        <v/>
      </c>
      <c r="G235" s="9">
        <f>IF(OR(C235="Удержание",C235="Зачёт встречного требования",C235="Неустойка заявлена"),N(E235),0)</f>
        <v/>
      </c>
      <c r="H235" s="9">
        <f>H234+F235</f>
        <v/>
      </c>
    </row>
    <row r="236">
      <c r="A236" s="5" t="n">
        <v>232</v>
      </c>
      <c r="B236" s="6" t="n"/>
      <c r="C236" s="7" t="n"/>
      <c r="D236" s="7" t="n"/>
      <c r="E236" s="10" t="n"/>
      <c r="F236" s="9">
        <f>IF(OR(C236="",E236=""),0,IF(C236="Начисление по акту",E236,IF(OR(C236="Оплата",C236="Зачёт аванса по договору"),-E236,IF(C236="Корректировка (подписана обеими сторонами)",E236,0))))</f>
        <v/>
      </c>
      <c r="G236" s="9">
        <f>IF(OR(C236="Удержание",C236="Зачёт встречного требования",C236="Неустойка заявлена"),N(E236),0)</f>
        <v/>
      </c>
      <c r="H236" s="9">
        <f>H235+F236</f>
        <v/>
      </c>
    </row>
    <row r="237">
      <c r="A237" s="5" t="n">
        <v>233</v>
      </c>
      <c r="B237" s="6" t="n"/>
      <c r="C237" s="7" t="n"/>
      <c r="D237" s="7" t="n"/>
      <c r="E237" s="10" t="n"/>
      <c r="F237" s="9">
        <f>IF(OR(C237="",E237=""),0,IF(C237="Начисление по акту",E237,IF(OR(C237="Оплата",C237="Зачёт аванса по договору"),-E237,IF(C237="Корректировка (подписана обеими сторонами)",E237,0))))</f>
        <v/>
      </c>
      <c r="G237" s="9">
        <f>IF(OR(C237="Удержание",C237="Зачёт встречного требования",C237="Неустойка заявлена"),N(E237),0)</f>
        <v/>
      </c>
      <c r="H237" s="9">
        <f>H236+F237</f>
        <v/>
      </c>
    </row>
    <row r="238">
      <c r="A238" s="5" t="n">
        <v>234</v>
      </c>
      <c r="B238" s="6" t="n"/>
      <c r="C238" s="7" t="n"/>
      <c r="D238" s="7" t="n"/>
      <c r="E238" s="10" t="n"/>
      <c r="F238" s="9">
        <f>IF(OR(C238="",E238=""),0,IF(C238="Начисление по акту",E238,IF(OR(C238="Оплата",C238="Зачёт аванса по договору"),-E238,IF(C238="Корректировка (подписана обеими сторонами)",E238,0))))</f>
        <v/>
      </c>
      <c r="G238" s="9">
        <f>IF(OR(C238="Удержание",C238="Зачёт встречного требования",C238="Неустойка заявлена"),N(E238),0)</f>
        <v/>
      </c>
      <c r="H238" s="9">
        <f>H237+F238</f>
        <v/>
      </c>
    </row>
    <row r="239">
      <c r="A239" s="5" t="n">
        <v>235</v>
      </c>
      <c r="B239" s="6" t="n"/>
      <c r="C239" s="7" t="n"/>
      <c r="D239" s="7" t="n"/>
      <c r="E239" s="10" t="n"/>
      <c r="F239" s="9">
        <f>IF(OR(C239="",E239=""),0,IF(C239="Начисление по акту",E239,IF(OR(C239="Оплата",C239="Зачёт аванса по договору"),-E239,IF(C239="Корректировка (подписана обеими сторонами)",E239,0))))</f>
        <v/>
      </c>
      <c r="G239" s="9">
        <f>IF(OR(C239="Удержание",C239="Зачёт встречного требования",C239="Неустойка заявлена"),N(E239),0)</f>
        <v/>
      </c>
      <c r="H239" s="9">
        <f>H238+F239</f>
        <v/>
      </c>
    </row>
    <row r="240">
      <c r="A240" s="5" t="n">
        <v>236</v>
      </c>
      <c r="B240" s="6" t="n"/>
      <c r="C240" s="7" t="n"/>
      <c r="D240" s="7" t="n"/>
      <c r="E240" s="10" t="n"/>
      <c r="F240" s="9">
        <f>IF(OR(C240="",E240=""),0,IF(C240="Начисление по акту",E240,IF(OR(C240="Оплата",C240="Зачёт аванса по договору"),-E240,IF(C240="Корректировка (подписана обеими сторонами)",E240,0))))</f>
        <v/>
      </c>
      <c r="G240" s="9">
        <f>IF(OR(C240="Удержание",C240="Зачёт встречного требования",C240="Неустойка заявлена"),N(E240),0)</f>
        <v/>
      </c>
      <c r="H240" s="9">
        <f>H239+F240</f>
        <v/>
      </c>
    </row>
    <row r="241">
      <c r="A241" s="5" t="n">
        <v>237</v>
      </c>
      <c r="B241" s="6" t="n"/>
      <c r="C241" s="7" t="n"/>
      <c r="D241" s="7" t="n"/>
      <c r="E241" s="10" t="n"/>
      <c r="F241" s="9">
        <f>IF(OR(C241="",E241=""),0,IF(C241="Начисление по акту",E241,IF(OR(C241="Оплата",C241="Зачёт аванса по договору"),-E241,IF(C241="Корректировка (подписана обеими сторонами)",E241,0))))</f>
        <v/>
      </c>
      <c r="G241" s="9">
        <f>IF(OR(C241="Удержание",C241="Зачёт встречного требования",C241="Неустойка заявлена"),N(E241),0)</f>
        <v/>
      </c>
      <c r="H241" s="9">
        <f>H240+F241</f>
        <v/>
      </c>
    </row>
    <row r="242">
      <c r="A242" s="5" t="n">
        <v>238</v>
      </c>
      <c r="B242" s="6" t="n"/>
      <c r="C242" s="7" t="n"/>
      <c r="D242" s="7" t="n"/>
      <c r="E242" s="10" t="n"/>
      <c r="F242" s="9">
        <f>IF(OR(C242="",E242=""),0,IF(C242="Начисление по акту",E242,IF(OR(C242="Оплата",C242="Зачёт аванса по договору"),-E242,IF(C242="Корректировка (подписана обеими сторонами)",E242,0))))</f>
        <v/>
      </c>
      <c r="G242" s="9">
        <f>IF(OR(C242="Удержание",C242="Зачёт встречного требования",C242="Неустойка заявлена"),N(E242),0)</f>
        <v/>
      </c>
      <c r="H242" s="9">
        <f>H241+F242</f>
        <v/>
      </c>
    </row>
    <row r="243">
      <c r="A243" s="5" t="n">
        <v>239</v>
      </c>
      <c r="B243" s="6" t="n"/>
      <c r="C243" s="7" t="n"/>
      <c r="D243" s="7" t="n"/>
      <c r="E243" s="10" t="n"/>
      <c r="F243" s="9">
        <f>IF(OR(C243="",E243=""),0,IF(C243="Начисление по акту",E243,IF(OR(C243="Оплата",C243="Зачёт аванса по договору"),-E243,IF(C243="Корректировка (подписана обеими сторонами)",E243,0))))</f>
        <v/>
      </c>
      <c r="G243" s="9">
        <f>IF(OR(C243="Удержание",C243="Зачёт встречного требования",C243="Неустойка заявлена"),N(E243),0)</f>
        <v/>
      </c>
      <c r="H243" s="9">
        <f>H242+F243</f>
        <v/>
      </c>
    </row>
    <row r="244">
      <c r="A244" s="5" t="n">
        <v>240</v>
      </c>
      <c r="B244" s="6" t="n"/>
      <c r="C244" s="7" t="n"/>
      <c r="D244" s="7" t="n"/>
      <c r="E244" s="10" t="n"/>
      <c r="F244" s="9">
        <f>IF(OR(C244="",E244=""),0,IF(C244="Начисление по акту",E244,IF(OR(C244="Оплата",C244="Зачёт аванса по договору"),-E244,IF(C244="Корректировка (подписана обеими сторонами)",E244,0))))</f>
        <v/>
      </c>
      <c r="G244" s="9">
        <f>IF(OR(C244="Удержание",C244="Зачёт встречного требования",C244="Неустойка заявлена"),N(E244),0)</f>
        <v/>
      </c>
      <c r="H244" s="9">
        <f>H243+F244</f>
        <v/>
      </c>
    </row>
    <row r="245">
      <c r="A245" s="5" t="n">
        <v>241</v>
      </c>
      <c r="B245" s="6" t="n"/>
      <c r="C245" s="7" t="n"/>
      <c r="D245" s="7" t="n"/>
      <c r="E245" s="10" t="n"/>
      <c r="F245" s="9">
        <f>IF(OR(C245="",E245=""),0,IF(C245="Начисление по акту",E245,IF(OR(C245="Оплата",C245="Зачёт аванса по договору"),-E245,IF(C245="Корректировка (подписана обеими сторонами)",E245,0))))</f>
        <v/>
      </c>
      <c r="G245" s="9">
        <f>IF(OR(C245="Удержание",C245="Зачёт встречного требования",C245="Неустойка заявлена"),N(E245),0)</f>
        <v/>
      </c>
      <c r="H245" s="9">
        <f>H244+F245</f>
        <v/>
      </c>
    </row>
    <row r="246">
      <c r="A246" s="5" t="n">
        <v>242</v>
      </c>
      <c r="B246" s="6" t="n"/>
      <c r="C246" s="7" t="n"/>
      <c r="D246" s="7" t="n"/>
      <c r="E246" s="10" t="n"/>
      <c r="F246" s="9">
        <f>IF(OR(C246="",E246=""),0,IF(C246="Начисление по акту",E246,IF(OR(C246="Оплата",C246="Зачёт аванса по договору"),-E246,IF(C246="Корректировка (подписана обеими сторонами)",E246,0))))</f>
        <v/>
      </c>
      <c r="G246" s="9">
        <f>IF(OR(C246="Удержание",C246="Зачёт встречного требования",C246="Неустойка заявлена"),N(E246),0)</f>
        <v/>
      </c>
      <c r="H246" s="9">
        <f>H245+F246</f>
        <v/>
      </c>
    </row>
    <row r="247">
      <c r="A247" s="5" t="n">
        <v>243</v>
      </c>
      <c r="B247" s="6" t="n"/>
      <c r="C247" s="7" t="n"/>
      <c r="D247" s="7" t="n"/>
      <c r="E247" s="10" t="n"/>
      <c r="F247" s="9">
        <f>IF(OR(C247="",E247=""),0,IF(C247="Начисление по акту",E247,IF(OR(C247="Оплата",C247="Зачёт аванса по договору"),-E247,IF(C247="Корректировка (подписана обеими сторонами)",E247,0))))</f>
        <v/>
      </c>
      <c r="G247" s="9">
        <f>IF(OR(C247="Удержание",C247="Зачёт встречного требования",C247="Неустойка заявлена"),N(E247),0)</f>
        <v/>
      </c>
      <c r="H247" s="9">
        <f>H246+F247</f>
        <v/>
      </c>
    </row>
    <row r="248">
      <c r="A248" s="5" t="n">
        <v>244</v>
      </c>
      <c r="B248" s="6" t="n"/>
      <c r="C248" s="7" t="n"/>
      <c r="D248" s="7" t="n"/>
      <c r="E248" s="10" t="n"/>
      <c r="F248" s="9">
        <f>IF(OR(C248="",E248=""),0,IF(C248="Начисление по акту",E248,IF(OR(C248="Оплата",C248="Зачёт аванса по договору"),-E248,IF(C248="Корректировка (подписана обеими сторонами)",E248,0))))</f>
        <v/>
      </c>
      <c r="G248" s="9">
        <f>IF(OR(C248="Удержание",C248="Зачёт встречного требования",C248="Неустойка заявлена"),N(E248),0)</f>
        <v/>
      </c>
      <c r="H248" s="9">
        <f>H247+F248</f>
        <v/>
      </c>
    </row>
    <row r="249">
      <c r="A249" s="5" t="n">
        <v>245</v>
      </c>
      <c r="B249" s="6" t="n"/>
      <c r="C249" s="7" t="n"/>
      <c r="D249" s="7" t="n"/>
      <c r="E249" s="10" t="n"/>
      <c r="F249" s="9">
        <f>IF(OR(C249="",E249=""),0,IF(C249="Начисление по акту",E249,IF(OR(C249="Оплата",C249="Зачёт аванса по договору"),-E249,IF(C249="Корректировка (подписана обеими сторонами)",E249,0))))</f>
        <v/>
      </c>
      <c r="G249" s="9">
        <f>IF(OR(C249="Удержание",C249="Зачёт встречного требования",C249="Неустойка заявлена"),N(E249),0)</f>
        <v/>
      </c>
      <c r="H249" s="9">
        <f>H248+F249</f>
        <v/>
      </c>
    </row>
    <row r="250">
      <c r="A250" s="5" t="n">
        <v>246</v>
      </c>
      <c r="B250" s="6" t="n"/>
      <c r="C250" s="7" t="n"/>
      <c r="D250" s="7" t="n"/>
      <c r="E250" s="10" t="n"/>
      <c r="F250" s="9">
        <f>IF(OR(C250="",E250=""),0,IF(C250="Начисление по акту",E250,IF(OR(C250="Оплата",C250="Зачёт аванса по договору"),-E250,IF(C250="Корректировка (подписана обеими сторонами)",E250,0))))</f>
        <v/>
      </c>
      <c r="G250" s="9">
        <f>IF(OR(C250="Удержание",C250="Зачёт встречного требования",C250="Неустойка заявлена"),N(E250),0)</f>
        <v/>
      </c>
      <c r="H250" s="9">
        <f>H249+F250</f>
        <v/>
      </c>
    </row>
    <row r="251">
      <c r="A251" s="5" t="n">
        <v>247</v>
      </c>
      <c r="B251" s="6" t="n"/>
      <c r="C251" s="7" t="n"/>
      <c r="D251" s="7" t="n"/>
      <c r="E251" s="10" t="n"/>
      <c r="F251" s="9">
        <f>IF(OR(C251="",E251=""),0,IF(C251="Начисление по акту",E251,IF(OR(C251="Оплата",C251="Зачёт аванса по договору"),-E251,IF(C251="Корректировка (подписана обеими сторонами)",E251,0))))</f>
        <v/>
      </c>
      <c r="G251" s="9">
        <f>IF(OR(C251="Удержание",C251="Зачёт встречного требования",C251="Неустойка заявлена"),N(E251),0)</f>
        <v/>
      </c>
      <c r="H251" s="9">
        <f>H250+F251</f>
        <v/>
      </c>
    </row>
    <row r="252">
      <c r="A252" s="5" t="n">
        <v>248</v>
      </c>
      <c r="B252" s="6" t="n"/>
      <c r="C252" s="7" t="n"/>
      <c r="D252" s="7" t="n"/>
      <c r="E252" s="10" t="n"/>
      <c r="F252" s="9">
        <f>IF(OR(C252="",E252=""),0,IF(C252="Начисление по акту",E252,IF(OR(C252="Оплата",C252="Зачёт аванса по договору"),-E252,IF(C252="Корректировка (подписана обеими сторонами)",E252,0))))</f>
        <v/>
      </c>
      <c r="G252" s="9">
        <f>IF(OR(C252="Удержание",C252="Зачёт встречного требования",C252="Неустойка заявлена"),N(E252),0)</f>
        <v/>
      </c>
      <c r="H252" s="9">
        <f>H251+F252</f>
        <v/>
      </c>
    </row>
    <row r="253">
      <c r="A253" s="5" t="n">
        <v>249</v>
      </c>
      <c r="B253" s="6" t="n"/>
      <c r="C253" s="7" t="n"/>
      <c r="D253" s="7" t="n"/>
      <c r="E253" s="10" t="n"/>
      <c r="F253" s="9">
        <f>IF(OR(C253="",E253=""),0,IF(C253="Начисление по акту",E253,IF(OR(C253="Оплата",C253="Зачёт аванса по договору"),-E253,IF(C253="Корректировка (подписана обеими сторонами)",E253,0))))</f>
        <v/>
      </c>
      <c r="G253" s="9">
        <f>IF(OR(C253="Удержание",C253="Зачёт встречного требования",C253="Неустойка заявлена"),N(E253),0)</f>
        <v/>
      </c>
      <c r="H253" s="9">
        <f>H252+F253</f>
        <v/>
      </c>
    </row>
    <row r="254">
      <c r="A254" s="5" t="n">
        <v>250</v>
      </c>
      <c r="B254" s="6" t="n"/>
      <c r="C254" s="7" t="n"/>
      <c r="D254" s="7" t="n"/>
      <c r="E254" s="10" t="n"/>
      <c r="F254" s="9">
        <f>IF(OR(C254="",E254=""),0,IF(C254="Начисление по акту",E254,IF(OR(C254="Оплата",C254="Зачёт аванса по договору"),-E254,IF(C254="Корректировка (подписана обеими сторонами)",E254,0))))</f>
        <v/>
      </c>
      <c r="G254" s="9">
        <f>IF(OR(C254="Удержание",C254="Зачёт встречного требования",C254="Неустойка заявлена"),N(E254),0)</f>
        <v/>
      </c>
      <c r="H254" s="9">
        <f>H253+F254</f>
        <v/>
      </c>
    </row>
    <row r="255">
      <c r="A255" s="5" t="n">
        <v>251</v>
      </c>
      <c r="B255" s="6" t="n"/>
      <c r="C255" s="7" t="n"/>
      <c r="D255" s="7" t="n"/>
      <c r="E255" s="10" t="n"/>
      <c r="F255" s="9">
        <f>IF(OR(C255="",E255=""),0,IF(C255="Начисление по акту",E255,IF(OR(C255="Оплата",C255="Зачёт аванса по договору"),-E255,IF(C255="Корректировка (подписана обеими сторонами)",E255,0))))</f>
        <v/>
      </c>
      <c r="G255" s="9">
        <f>IF(OR(C255="Удержание",C255="Зачёт встречного требования",C255="Неустойка заявлена"),N(E255),0)</f>
        <v/>
      </c>
      <c r="H255" s="9">
        <f>H254+F255</f>
        <v/>
      </c>
    </row>
    <row r="256">
      <c r="A256" s="5" t="n">
        <v>252</v>
      </c>
      <c r="B256" s="6" t="n"/>
      <c r="C256" s="7" t="n"/>
      <c r="D256" s="7" t="n"/>
      <c r="E256" s="10" t="n"/>
      <c r="F256" s="9">
        <f>IF(OR(C256="",E256=""),0,IF(C256="Начисление по акту",E256,IF(OR(C256="Оплата",C256="Зачёт аванса по договору"),-E256,IF(C256="Корректировка (подписана обеими сторонами)",E256,0))))</f>
        <v/>
      </c>
      <c r="G256" s="9">
        <f>IF(OR(C256="Удержание",C256="Зачёт встречного требования",C256="Неустойка заявлена"),N(E256),0)</f>
        <v/>
      </c>
      <c r="H256" s="9">
        <f>H255+F256</f>
        <v/>
      </c>
    </row>
    <row r="257">
      <c r="A257" s="5" t="n">
        <v>253</v>
      </c>
      <c r="B257" s="6" t="n"/>
      <c r="C257" s="7" t="n"/>
      <c r="D257" s="7" t="n"/>
      <c r="E257" s="10" t="n"/>
      <c r="F257" s="9">
        <f>IF(OR(C257="",E257=""),0,IF(C257="Начисление по акту",E257,IF(OR(C257="Оплата",C257="Зачёт аванса по договору"),-E257,IF(C257="Корректировка (подписана обеими сторонами)",E257,0))))</f>
        <v/>
      </c>
      <c r="G257" s="9">
        <f>IF(OR(C257="Удержание",C257="Зачёт встречного требования",C257="Неустойка заявлена"),N(E257),0)</f>
        <v/>
      </c>
      <c r="H257" s="9">
        <f>H256+F257</f>
        <v/>
      </c>
    </row>
    <row r="258">
      <c r="A258" s="5" t="n">
        <v>254</v>
      </c>
      <c r="B258" s="6" t="n"/>
      <c r="C258" s="7" t="n"/>
      <c r="D258" s="7" t="n"/>
      <c r="E258" s="10" t="n"/>
      <c r="F258" s="9">
        <f>IF(OR(C258="",E258=""),0,IF(C258="Начисление по акту",E258,IF(OR(C258="Оплата",C258="Зачёт аванса по договору"),-E258,IF(C258="Корректировка (подписана обеими сторонами)",E258,0))))</f>
        <v/>
      </c>
      <c r="G258" s="9">
        <f>IF(OR(C258="Удержание",C258="Зачёт встречного требования",C258="Неустойка заявлена"),N(E258),0)</f>
        <v/>
      </c>
      <c r="H258" s="9">
        <f>H257+F258</f>
        <v/>
      </c>
    </row>
    <row r="259">
      <c r="A259" s="5" t="n">
        <v>255</v>
      </c>
      <c r="B259" s="6" t="n"/>
      <c r="C259" s="7" t="n"/>
      <c r="D259" s="7" t="n"/>
      <c r="E259" s="10" t="n"/>
      <c r="F259" s="9">
        <f>IF(OR(C259="",E259=""),0,IF(C259="Начисление по акту",E259,IF(OR(C259="Оплата",C259="Зачёт аванса по договору"),-E259,IF(C259="Корректировка (подписана обеими сторонами)",E259,0))))</f>
        <v/>
      </c>
      <c r="G259" s="9">
        <f>IF(OR(C259="Удержание",C259="Зачёт встречного требования",C259="Неустойка заявлена"),N(E259),0)</f>
        <v/>
      </c>
      <c r="H259" s="9">
        <f>H258+F259</f>
        <v/>
      </c>
    </row>
    <row r="260">
      <c r="A260" s="5" t="n">
        <v>256</v>
      </c>
      <c r="B260" s="6" t="n"/>
      <c r="C260" s="7" t="n"/>
      <c r="D260" s="7" t="n"/>
      <c r="E260" s="10" t="n"/>
      <c r="F260" s="9">
        <f>IF(OR(C260="",E260=""),0,IF(C260="Начисление по акту",E260,IF(OR(C260="Оплата",C260="Зачёт аванса по договору"),-E260,IF(C260="Корректировка (подписана обеими сторонами)",E260,0))))</f>
        <v/>
      </c>
      <c r="G260" s="9">
        <f>IF(OR(C260="Удержание",C260="Зачёт встречного требования",C260="Неустойка заявлена"),N(E260),0)</f>
        <v/>
      </c>
      <c r="H260" s="9">
        <f>H259+F260</f>
        <v/>
      </c>
    </row>
    <row r="261">
      <c r="A261" s="5" t="n">
        <v>257</v>
      </c>
      <c r="B261" s="6" t="n"/>
      <c r="C261" s="7" t="n"/>
      <c r="D261" s="7" t="n"/>
      <c r="E261" s="10" t="n"/>
      <c r="F261" s="9">
        <f>IF(OR(C261="",E261=""),0,IF(C261="Начисление по акту",E261,IF(OR(C261="Оплата",C261="Зачёт аванса по договору"),-E261,IF(C261="Корректировка (подписана обеими сторонами)",E261,0))))</f>
        <v/>
      </c>
      <c r="G261" s="9">
        <f>IF(OR(C261="Удержание",C261="Зачёт встречного требования",C261="Неустойка заявлена"),N(E261),0)</f>
        <v/>
      </c>
      <c r="H261" s="9">
        <f>H260+F261</f>
        <v/>
      </c>
    </row>
    <row r="262">
      <c r="A262" s="5" t="n">
        <v>258</v>
      </c>
      <c r="B262" s="6" t="n"/>
      <c r="C262" s="7" t="n"/>
      <c r="D262" s="7" t="n"/>
      <c r="E262" s="10" t="n"/>
      <c r="F262" s="9">
        <f>IF(OR(C262="",E262=""),0,IF(C262="Начисление по акту",E262,IF(OR(C262="Оплата",C262="Зачёт аванса по договору"),-E262,IF(C262="Корректировка (подписана обеими сторонами)",E262,0))))</f>
        <v/>
      </c>
      <c r="G262" s="9">
        <f>IF(OR(C262="Удержание",C262="Зачёт встречного требования",C262="Неустойка заявлена"),N(E262),0)</f>
        <v/>
      </c>
      <c r="H262" s="9">
        <f>H261+F262</f>
        <v/>
      </c>
    </row>
    <row r="263">
      <c r="A263" s="5" t="n">
        <v>259</v>
      </c>
      <c r="B263" s="6" t="n"/>
      <c r="C263" s="7" t="n"/>
      <c r="D263" s="7" t="n"/>
      <c r="E263" s="10" t="n"/>
      <c r="F263" s="9">
        <f>IF(OR(C263="",E263=""),0,IF(C263="Начисление по акту",E263,IF(OR(C263="Оплата",C263="Зачёт аванса по договору"),-E263,IF(C263="Корректировка (подписана обеими сторонами)",E263,0))))</f>
        <v/>
      </c>
      <c r="G263" s="9">
        <f>IF(OR(C263="Удержание",C263="Зачёт встречного требования",C263="Неустойка заявлена"),N(E263),0)</f>
        <v/>
      </c>
      <c r="H263" s="9">
        <f>H262+F263</f>
        <v/>
      </c>
    </row>
    <row r="264">
      <c r="A264" s="5" t="n">
        <v>260</v>
      </c>
      <c r="B264" s="6" t="n"/>
      <c r="C264" s="7" t="n"/>
      <c r="D264" s="7" t="n"/>
      <c r="E264" s="10" t="n"/>
      <c r="F264" s="9">
        <f>IF(OR(C264="",E264=""),0,IF(C264="Начисление по акту",E264,IF(OR(C264="Оплата",C264="Зачёт аванса по договору"),-E264,IF(C264="Корректировка (подписана обеими сторонами)",E264,0))))</f>
        <v/>
      </c>
      <c r="G264" s="9">
        <f>IF(OR(C264="Удержание",C264="Зачёт встречного требования",C264="Неустойка заявлена"),N(E264),0)</f>
        <v/>
      </c>
      <c r="H264" s="9">
        <f>H263+F264</f>
        <v/>
      </c>
    </row>
    <row r="265">
      <c r="A265" s="5" t="n">
        <v>261</v>
      </c>
      <c r="B265" s="6" t="n"/>
      <c r="C265" s="7" t="n"/>
      <c r="D265" s="7" t="n"/>
      <c r="E265" s="10" t="n"/>
      <c r="F265" s="9">
        <f>IF(OR(C265="",E265=""),0,IF(C265="Начисление по акту",E265,IF(OR(C265="Оплата",C265="Зачёт аванса по договору"),-E265,IF(C265="Корректировка (подписана обеими сторонами)",E265,0))))</f>
        <v/>
      </c>
      <c r="G265" s="9">
        <f>IF(OR(C265="Удержание",C265="Зачёт встречного требования",C265="Неустойка заявлена"),N(E265),0)</f>
        <v/>
      </c>
      <c r="H265" s="9">
        <f>H264+F265</f>
        <v/>
      </c>
    </row>
    <row r="266">
      <c r="A266" s="5" t="n">
        <v>262</v>
      </c>
      <c r="B266" s="6" t="n"/>
      <c r="C266" s="7" t="n"/>
      <c r="D266" s="7" t="n"/>
      <c r="E266" s="10" t="n"/>
      <c r="F266" s="9">
        <f>IF(OR(C266="",E266=""),0,IF(C266="Начисление по акту",E266,IF(OR(C266="Оплата",C266="Зачёт аванса по договору"),-E266,IF(C266="Корректировка (подписана обеими сторонами)",E266,0))))</f>
        <v/>
      </c>
      <c r="G266" s="9">
        <f>IF(OR(C266="Удержание",C266="Зачёт встречного требования",C266="Неустойка заявлена"),N(E266),0)</f>
        <v/>
      </c>
      <c r="H266" s="9">
        <f>H265+F266</f>
        <v/>
      </c>
    </row>
    <row r="267">
      <c r="A267" s="5" t="n">
        <v>263</v>
      </c>
      <c r="B267" s="6" t="n"/>
      <c r="C267" s="7" t="n"/>
      <c r="D267" s="7" t="n"/>
      <c r="E267" s="10" t="n"/>
      <c r="F267" s="9">
        <f>IF(OR(C267="",E267=""),0,IF(C267="Начисление по акту",E267,IF(OR(C267="Оплата",C267="Зачёт аванса по договору"),-E267,IF(C267="Корректировка (подписана обеими сторонами)",E267,0))))</f>
        <v/>
      </c>
      <c r="G267" s="9">
        <f>IF(OR(C267="Удержание",C267="Зачёт встречного требования",C267="Неустойка заявлена"),N(E267),0)</f>
        <v/>
      </c>
      <c r="H267" s="9">
        <f>H266+F267</f>
        <v/>
      </c>
    </row>
    <row r="268">
      <c r="A268" s="5" t="n">
        <v>264</v>
      </c>
      <c r="B268" s="6" t="n"/>
      <c r="C268" s="7" t="n"/>
      <c r="D268" s="7" t="n"/>
      <c r="E268" s="10" t="n"/>
      <c r="F268" s="9">
        <f>IF(OR(C268="",E268=""),0,IF(C268="Начисление по акту",E268,IF(OR(C268="Оплата",C268="Зачёт аванса по договору"),-E268,IF(C268="Корректировка (подписана обеими сторонами)",E268,0))))</f>
        <v/>
      </c>
      <c r="G268" s="9">
        <f>IF(OR(C268="Удержание",C268="Зачёт встречного требования",C268="Неустойка заявлена"),N(E268),0)</f>
        <v/>
      </c>
      <c r="H268" s="9">
        <f>H267+F268</f>
        <v/>
      </c>
    </row>
    <row r="269">
      <c r="A269" s="5" t="n">
        <v>265</v>
      </c>
      <c r="B269" s="6" t="n"/>
      <c r="C269" s="7" t="n"/>
      <c r="D269" s="7" t="n"/>
      <c r="E269" s="10" t="n"/>
      <c r="F269" s="9">
        <f>IF(OR(C269="",E269=""),0,IF(C269="Начисление по акту",E269,IF(OR(C269="Оплата",C269="Зачёт аванса по договору"),-E269,IF(C269="Корректировка (подписана обеими сторонами)",E269,0))))</f>
        <v/>
      </c>
      <c r="G269" s="9">
        <f>IF(OR(C269="Удержание",C269="Зачёт встречного требования",C269="Неустойка заявлена"),N(E269),0)</f>
        <v/>
      </c>
      <c r="H269" s="9">
        <f>H268+F269</f>
        <v/>
      </c>
    </row>
    <row r="270">
      <c r="A270" s="5" t="n">
        <v>266</v>
      </c>
      <c r="B270" s="6" t="n"/>
      <c r="C270" s="7" t="n"/>
      <c r="D270" s="7" t="n"/>
      <c r="E270" s="10" t="n"/>
      <c r="F270" s="9">
        <f>IF(OR(C270="",E270=""),0,IF(C270="Начисление по акту",E270,IF(OR(C270="Оплата",C270="Зачёт аванса по договору"),-E270,IF(C270="Корректировка (подписана обеими сторонами)",E270,0))))</f>
        <v/>
      </c>
      <c r="G270" s="9">
        <f>IF(OR(C270="Удержание",C270="Зачёт встречного требования",C270="Неустойка заявлена"),N(E270),0)</f>
        <v/>
      </c>
      <c r="H270" s="9">
        <f>H269+F270</f>
        <v/>
      </c>
    </row>
    <row r="271">
      <c r="A271" s="5" t="n">
        <v>267</v>
      </c>
      <c r="B271" s="6" t="n"/>
      <c r="C271" s="7" t="n"/>
      <c r="D271" s="7" t="n"/>
      <c r="E271" s="10" t="n"/>
      <c r="F271" s="9">
        <f>IF(OR(C271="",E271=""),0,IF(C271="Начисление по акту",E271,IF(OR(C271="Оплата",C271="Зачёт аванса по договору"),-E271,IF(C271="Корректировка (подписана обеими сторонами)",E271,0))))</f>
        <v/>
      </c>
      <c r="G271" s="9">
        <f>IF(OR(C271="Удержание",C271="Зачёт встречного требования",C271="Неустойка заявлена"),N(E271),0)</f>
        <v/>
      </c>
      <c r="H271" s="9">
        <f>H270+F271</f>
        <v/>
      </c>
    </row>
    <row r="272">
      <c r="A272" s="5" t="n">
        <v>268</v>
      </c>
      <c r="B272" s="6" t="n"/>
      <c r="C272" s="7" t="n"/>
      <c r="D272" s="7" t="n"/>
      <c r="E272" s="10" t="n"/>
      <c r="F272" s="9">
        <f>IF(OR(C272="",E272=""),0,IF(C272="Начисление по акту",E272,IF(OR(C272="Оплата",C272="Зачёт аванса по договору"),-E272,IF(C272="Корректировка (подписана обеими сторонами)",E272,0))))</f>
        <v/>
      </c>
      <c r="G272" s="9">
        <f>IF(OR(C272="Удержание",C272="Зачёт встречного требования",C272="Неустойка заявлена"),N(E272),0)</f>
        <v/>
      </c>
      <c r="H272" s="9">
        <f>H271+F272</f>
        <v/>
      </c>
    </row>
    <row r="273">
      <c r="A273" s="5" t="n">
        <v>269</v>
      </c>
      <c r="B273" s="6" t="n"/>
      <c r="C273" s="7" t="n"/>
      <c r="D273" s="7" t="n"/>
      <c r="E273" s="10" t="n"/>
      <c r="F273" s="9">
        <f>IF(OR(C273="",E273=""),0,IF(C273="Начисление по акту",E273,IF(OR(C273="Оплата",C273="Зачёт аванса по договору"),-E273,IF(C273="Корректировка (подписана обеими сторонами)",E273,0))))</f>
        <v/>
      </c>
      <c r="G273" s="9">
        <f>IF(OR(C273="Удержание",C273="Зачёт встречного требования",C273="Неустойка заявлена"),N(E273),0)</f>
        <v/>
      </c>
      <c r="H273" s="9">
        <f>H272+F273</f>
        <v/>
      </c>
    </row>
    <row r="274">
      <c r="A274" s="5" t="n">
        <v>270</v>
      </c>
      <c r="B274" s="6" t="n"/>
      <c r="C274" s="7" t="n"/>
      <c r="D274" s="7" t="n"/>
      <c r="E274" s="10" t="n"/>
      <c r="F274" s="9">
        <f>IF(OR(C274="",E274=""),0,IF(C274="Начисление по акту",E274,IF(OR(C274="Оплата",C274="Зачёт аванса по договору"),-E274,IF(C274="Корректировка (подписана обеими сторонами)",E274,0))))</f>
        <v/>
      </c>
      <c r="G274" s="9">
        <f>IF(OR(C274="Удержание",C274="Зачёт встречного требования",C274="Неустойка заявлена"),N(E274),0)</f>
        <v/>
      </c>
      <c r="H274" s="9">
        <f>H273+F274</f>
        <v/>
      </c>
    </row>
    <row r="275">
      <c r="A275" s="5" t="n">
        <v>271</v>
      </c>
      <c r="B275" s="6" t="n"/>
      <c r="C275" s="7" t="n"/>
      <c r="D275" s="7" t="n"/>
      <c r="E275" s="10" t="n"/>
      <c r="F275" s="9">
        <f>IF(OR(C275="",E275=""),0,IF(C275="Начисление по акту",E275,IF(OR(C275="Оплата",C275="Зачёт аванса по договору"),-E275,IF(C275="Корректировка (подписана обеими сторонами)",E275,0))))</f>
        <v/>
      </c>
      <c r="G275" s="9">
        <f>IF(OR(C275="Удержание",C275="Зачёт встречного требования",C275="Неустойка заявлена"),N(E275),0)</f>
        <v/>
      </c>
      <c r="H275" s="9">
        <f>H274+F275</f>
        <v/>
      </c>
    </row>
    <row r="276">
      <c r="A276" s="5" t="n">
        <v>272</v>
      </c>
      <c r="B276" s="6" t="n"/>
      <c r="C276" s="7" t="n"/>
      <c r="D276" s="7" t="n"/>
      <c r="E276" s="10" t="n"/>
      <c r="F276" s="9">
        <f>IF(OR(C276="",E276=""),0,IF(C276="Начисление по акту",E276,IF(OR(C276="Оплата",C276="Зачёт аванса по договору"),-E276,IF(C276="Корректировка (подписана обеими сторонами)",E276,0))))</f>
        <v/>
      </c>
      <c r="G276" s="9">
        <f>IF(OR(C276="Удержание",C276="Зачёт встречного требования",C276="Неустойка заявлена"),N(E276),0)</f>
        <v/>
      </c>
      <c r="H276" s="9">
        <f>H275+F276</f>
        <v/>
      </c>
    </row>
    <row r="277">
      <c r="A277" s="5" t="n">
        <v>273</v>
      </c>
      <c r="B277" s="6" t="n"/>
      <c r="C277" s="7" t="n"/>
      <c r="D277" s="7" t="n"/>
      <c r="E277" s="10" t="n"/>
      <c r="F277" s="9">
        <f>IF(OR(C277="",E277=""),0,IF(C277="Начисление по акту",E277,IF(OR(C277="Оплата",C277="Зачёт аванса по договору"),-E277,IF(C277="Корректировка (подписана обеими сторонами)",E277,0))))</f>
        <v/>
      </c>
      <c r="G277" s="9">
        <f>IF(OR(C277="Удержание",C277="Зачёт встречного требования",C277="Неустойка заявлена"),N(E277),0)</f>
        <v/>
      </c>
      <c r="H277" s="9">
        <f>H276+F277</f>
        <v/>
      </c>
    </row>
    <row r="278">
      <c r="A278" s="5" t="n">
        <v>274</v>
      </c>
      <c r="B278" s="6" t="n"/>
      <c r="C278" s="7" t="n"/>
      <c r="D278" s="7" t="n"/>
      <c r="E278" s="10" t="n"/>
      <c r="F278" s="9">
        <f>IF(OR(C278="",E278=""),0,IF(C278="Начисление по акту",E278,IF(OR(C278="Оплата",C278="Зачёт аванса по договору"),-E278,IF(C278="Корректировка (подписана обеими сторонами)",E278,0))))</f>
        <v/>
      </c>
      <c r="G278" s="9">
        <f>IF(OR(C278="Удержание",C278="Зачёт встречного требования",C278="Неустойка заявлена"),N(E278),0)</f>
        <v/>
      </c>
      <c r="H278" s="9">
        <f>H277+F278</f>
        <v/>
      </c>
    </row>
    <row r="279">
      <c r="A279" s="5" t="n">
        <v>275</v>
      </c>
      <c r="B279" s="6" t="n"/>
      <c r="C279" s="7" t="n"/>
      <c r="D279" s="7" t="n"/>
      <c r="E279" s="10" t="n"/>
      <c r="F279" s="9">
        <f>IF(OR(C279="",E279=""),0,IF(C279="Начисление по акту",E279,IF(OR(C279="Оплата",C279="Зачёт аванса по договору"),-E279,IF(C279="Корректировка (подписана обеими сторонами)",E279,0))))</f>
        <v/>
      </c>
      <c r="G279" s="9">
        <f>IF(OR(C279="Удержание",C279="Зачёт встречного требования",C279="Неустойка заявлена"),N(E279),0)</f>
        <v/>
      </c>
      <c r="H279" s="9">
        <f>H278+F279</f>
        <v/>
      </c>
    </row>
    <row r="280">
      <c r="A280" s="5" t="n">
        <v>276</v>
      </c>
      <c r="B280" s="6" t="n"/>
      <c r="C280" s="7" t="n"/>
      <c r="D280" s="7" t="n"/>
      <c r="E280" s="10" t="n"/>
      <c r="F280" s="9">
        <f>IF(OR(C280="",E280=""),0,IF(C280="Начисление по акту",E280,IF(OR(C280="Оплата",C280="Зачёт аванса по договору"),-E280,IF(C280="Корректировка (подписана обеими сторонами)",E280,0))))</f>
        <v/>
      </c>
      <c r="G280" s="9">
        <f>IF(OR(C280="Удержание",C280="Зачёт встречного требования",C280="Неустойка заявлена"),N(E280),0)</f>
        <v/>
      </c>
      <c r="H280" s="9">
        <f>H279+F280</f>
        <v/>
      </c>
    </row>
    <row r="281">
      <c r="A281" s="5" t="n">
        <v>277</v>
      </c>
      <c r="B281" s="6" t="n"/>
      <c r="C281" s="7" t="n"/>
      <c r="D281" s="7" t="n"/>
      <c r="E281" s="10" t="n"/>
      <c r="F281" s="9">
        <f>IF(OR(C281="",E281=""),0,IF(C281="Начисление по акту",E281,IF(OR(C281="Оплата",C281="Зачёт аванса по договору"),-E281,IF(C281="Корректировка (подписана обеими сторонами)",E281,0))))</f>
        <v/>
      </c>
      <c r="G281" s="9">
        <f>IF(OR(C281="Удержание",C281="Зачёт встречного требования",C281="Неустойка заявлена"),N(E281),0)</f>
        <v/>
      </c>
      <c r="H281" s="9">
        <f>H280+F281</f>
        <v/>
      </c>
    </row>
    <row r="282">
      <c r="A282" s="5" t="n">
        <v>278</v>
      </c>
      <c r="B282" s="6" t="n"/>
      <c r="C282" s="7" t="n"/>
      <c r="D282" s="7" t="n"/>
      <c r="E282" s="10" t="n"/>
      <c r="F282" s="9">
        <f>IF(OR(C282="",E282=""),0,IF(C282="Начисление по акту",E282,IF(OR(C282="Оплата",C282="Зачёт аванса по договору"),-E282,IF(C282="Корректировка (подписана обеими сторонами)",E282,0))))</f>
        <v/>
      </c>
      <c r="G282" s="9">
        <f>IF(OR(C282="Удержание",C282="Зачёт встречного требования",C282="Неустойка заявлена"),N(E282),0)</f>
        <v/>
      </c>
      <c r="H282" s="9">
        <f>H281+F282</f>
        <v/>
      </c>
    </row>
    <row r="283">
      <c r="A283" s="5" t="n">
        <v>279</v>
      </c>
      <c r="B283" s="6" t="n"/>
      <c r="C283" s="7" t="n"/>
      <c r="D283" s="7" t="n"/>
      <c r="E283" s="10" t="n"/>
      <c r="F283" s="9">
        <f>IF(OR(C283="",E283=""),0,IF(C283="Начисление по акту",E283,IF(OR(C283="Оплата",C283="Зачёт аванса по договору"),-E283,IF(C283="Корректировка (подписана обеими сторонами)",E283,0))))</f>
        <v/>
      </c>
      <c r="G283" s="9">
        <f>IF(OR(C283="Удержание",C283="Зачёт встречного требования",C283="Неустойка заявлена"),N(E283),0)</f>
        <v/>
      </c>
      <c r="H283" s="9">
        <f>H282+F283</f>
        <v/>
      </c>
    </row>
    <row r="284">
      <c r="A284" s="5" t="n">
        <v>280</v>
      </c>
      <c r="B284" s="6" t="n"/>
      <c r="C284" s="7" t="n"/>
      <c r="D284" s="7" t="n"/>
      <c r="E284" s="10" t="n"/>
      <c r="F284" s="9">
        <f>IF(OR(C284="",E284=""),0,IF(C284="Начисление по акту",E284,IF(OR(C284="Оплата",C284="Зачёт аванса по договору"),-E284,IF(C284="Корректировка (подписана обеими сторонами)",E284,0))))</f>
        <v/>
      </c>
      <c r="G284" s="9">
        <f>IF(OR(C284="Удержание",C284="Зачёт встречного требования",C284="Неустойка заявлена"),N(E284),0)</f>
        <v/>
      </c>
      <c r="H284" s="9">
        <f>H283+F284</f>
        <v/>
      </c>
    </row>
    <row r="285">
      <c r="A285" s="5" t="n">
        <v>281</v>
      </c>
      <c r="B285" s="6" t="n"/>
      <c r="C285" s="7" t="n"/>
      <c r="D285" s="7" t="n"/>
      <c r="E285" s="10" t="n"/>
      <c r="F285" s="9">
        <f>IF(OR(C285="",E285=""),0,IF(C285="Начисление по акту",E285,IF(OR(C285="Оплата",C285="Зачёт аванса по договору"),-E285,IF(C285="Корректировка (подписана обеими сторонами)",E285,0))))</f>
        <v/>
      </c>
      <c r="G285" s="9">
        <f>IF(OR(C285="Удержание",C285="Зачёт встречного требования",C285="Неустойка заявлена"),N(E285),0)</f>
        <v/>
      </c>
      <c r="H285" s="9">
        <f>H284+F285</f>
        <v/>
      </c>
    </row>
    <row r="286">
      <c r="A286" s="5" t="n">
        <v>282</v>
      </c>
      <c r="B286" s="6" t="n"/>
      <c r="C286" s="7" t="n"/>
      <c r="D286" s="7" t="n"/>
      <c r="E286" s="10" t="n"/>
      <c r="F286" s="9">
        <f>IF(OR(C286="",E286=""),0,IF(C286="Начисление по акту",E286,IF(OR(C286="Оплата",C286="Зачёт аванса по договору"),-E286,IF(C286="Корректировка (подписана обеими сторонами)",E286,0))))</f>
        <v/>
      </c>
      <c r="G286" s="9">
        <f>IF(OR(C286="Удержание",C286="Зачёт встречного требования",C286="Неустойка заявлена"),N(E286),0)</f>
        <v/>
      </c>
      <c r="H286" s="9">
        <f>H285+F286</f>
        <v/>
      </c>
    </row>
    <row r="287">
      <c r="A287" s="5" t="n">
        <v>283</v>
      </c>
      <c r="B287" s="6" t="n"/>
      <c r="C287" s="7" t="n"/>
      <c r="D287" s="7" t="n"/>
      <c r="E287" s="10" t="n"/>
      <c r="F287" s="9">
        <f>IF(OR(C287="",E287=""),0,IF(C287="Начисление по акту",E287,IF(OR(C287="Оплата",C287="Зачёт аванса по договору"),-E287,IF(C287="Корректировка (подписана обеими сторонами)",E287,0))))</f>
        <v/>
      </c>
      <c r="G287" s="9">
        <f>IF(OR(C287="Удержание",C287="Зачёт встречного требования",C287="Неустойка заявлена"),N(E287),0)</f>
        <v/>
      </c>
      <c r="H287" s="9">
        <f>H286+F287</f>
        <v/>
      </c>
    </row>
    <row r="288">
      <c r="A288" s="5" t="n">
        <v>284</v>
      </c>
      <c r="B288" s="6" t="n"/>
      <c r="C288" s="7" t="n"/>
      <c r="D288" s="7" t="n"/>
      <c r="E288" s="10" t="n"/>
      <c r="F288" s="9">
        <f>IF(OR(C288="",E288=""),0,IF(C288="Начисление по акту",E288,IF(OR(C288="Оплата",C288="Зачёт аванса по договору"),-E288,IF(C288="Корректировка (подписана обеими сторонами)",E288,0))))</f>
        <v/>
      </c>
      <c r="G288" s="9">
        <f>IF(OR(C288="Удержание",C288="Зачёт встречного требования",C288="Неустойка заявлена"),N(E288),0)</f>
        <v/>
      </c>
      <c r="H288" s="9">
        <f>H287+F288</f>
        <v/>
      </c>
    </row>
    <row r="289">
      <c r="A289" s="5" t="n">
        <v>285</v>
      </c>
      <c r="B289" s="6" t="n"/>
      <c r="C289" s="7" t="n"/>
      <c r="D289" s="7" t="n"/>
      <c r="E289" s="10" t="n"/>
      <c r="F289" s="9">
        <f>IF(OR(C289="",E289=""),0,IF(C289="Начисление по акту",E289,IF(OR(C289="Оплата",C289="Зачёт аванса по договору"),-E289,IF(C289="Корректировка (подписана обеими сторонами)",E289,0))))</f>
        <v/>
      </c>
      <c r="G289" s="9">
        <f>IF(OR(C289="Удержание",C289="Зачёт встречного требования",C289="Неустойка заявлена"),N(E289),0)</f>
        <v/>
      </c>
      <c r="H289" s="9">
        <f>H288+F289</f>
        <v/>
      </c>
    </row>
    <row r="290">
      <c r="A290" s="5" t="n">
        <v>286</v>
      </c>
      <c r="B290" s="6" t="n"/>
      <c r="C290" s="7" t="n"/>
      <c r="D290" s="7" t="n"/>
      <c r="E290" s="10" t="n"/>
      <c r="F290" s="9">
        <f>IF(OR(C290="",E290=""),0,IF(C290="Начисление по акту",E290,IF(OR(C290="Оплата",C290="Зачёт аванса по договору"),-E290,IF(C290="Корректировка (подписана обеими сторонами)",E290,0))))</f>
        <v/>
      </c>
      <c r="G290" s="9">
        <f>IF(OR(C290="Удержание",C290="Зачёт встречного требования",C290="Неустойка заявлена"),N(E290),0)</f>
        <v/>
      </c>
      <c r="H290" s="9">
        <f>H289+F290</f>
        <v/>
      </c>
    </row>
    <row r="291">
      <c r="A291" s="5" t="n">
        <v>287</v>
      </c>
      <c r="B291" s="6" t="n"/>
      <c r="C291" s="7" t="n"/>
      <c r="D291" s="7" t="n"/>
      <c r="E291" s="10" t="n"/>
      <c r="F291" s="9">
        <f>IF(OR(C291="",E291=""),0,IF(C291="Начисление по акту",E291,IF(OR(C291="Оплата",C291="Зачёт аванса по договору"),-E291,IF(C291="Корректировка (подписана обеими сторонами)",E291,0))))</f>
        <v/>
      </c>
      <c r="G291" s="9">
        <f>IF(OR(C291="Удержание",C291="Зачёт встречного требования",C291="Неустойка заявлена"),N(E291),0)</f>
        <v/>
      </c>
      <c r="H291" s="9">
        <f>H290+F291</f>
        <v/>
      </c>
    </row>
    <row r="292">
      <c r="A292" s="5" t="n">
        <v>288</v>
      </c>
      <c r="B292" s="6" t="n"/>
      <c r="C292" s="7" t="n"/>
      <c r="D292" s="7" t="n"/>
      <c r="E292" s="10" t="n"/>
      <c r="F292" s="9">
        <f>IF(OR(C292="",E292=""),0,IF(C292="Начисление по акту",E292,IF(OR(C292="Оплата",C292="Зачёт аванса по договору"),-E292,IF(C292="Корректировка (подписана обеими сторонами)",E292,0))))</f>
        <v/>
      </c>
      <c r="G292" s="9">
        <f>IF(OR(C292="Удержание",C292="Зачёт встречного требования",C292="Неустойка заявлена"),N(E292),0)</f>
        <v/>
      </c>
      <c r="H292" s="9">
        <f>H291+F292</f>
        <v/>
      </c>
    </row>
    <row r="293">
      <c r="A293" s="5" t="n">
        <v>289</v>
      </c>
      <c r="B293" s="6" t="n"/>
      <c r="C293" s="7" t="n"/>
      <c r="D293" s="7" t="n"/>
      <c r="E293" s="10" t="n"/>
      <c r="F293" s="9">
        <f>IF(OR(C293="",E293=""),0,IF(C293="Начисление по акту",E293,IF(OR(C293="Оплата",C293="Зачёт аванса по договору"),-E293,IF(C293="Корректировка (подписана обеими сторонами)",E293,0))))</f>
        <v/>
      </c>
      <c r="G293" s="9">
        <f>IF(OR(C293="Удержание",C293="Зачёт встречного требования",C293="Неустойка заявлена"),N(E293),0)</f>
        <v/>
      </c>
      <c r="H293" s="9">
        <f>H292+F293</f>
        <v/>
      </c>
    </row>
    <row r="294">
      <c r="A294" s="5" t="n">
        <v>290</v>
      </c>
      <c r="B294" s="6" t="n"/>
      <c r="C294" s="7" t="n"/>
      <c r="D294" s="7" t="n"/>
      <c r="E294" s="10" t="n"/>
      <c r="F294" s="9">
        <f>IF(OR(C294="",E294=""),0,IF(C294="Начисление по акту",E294,IF(OR(C294="Оплата",C294="Зачёт аванса по договору"),-E294,IF(C294="Корректировка (подписана обеими сторонами)",E294,0))))</f>
        <v/>
      </c>
      <c r="G294" s="9">
        <f>IF(OR(C294="Удержание",C294="Зачёт встречного требования",C294="Неустойка заявлена"),N(E294),0)</f>
        <v/>
      </c>
      <c r="H294" s="9">
        <f>H293+F294</f>
        <v/>
      </c>
    </row>
    <row r="295">
      <c r="A295" s="5" t="n">
        <v>291</v>
      </c>
      <c r="B295" s="6" t="n"/>
      <c r="C295" s="7" t="n"/>
      <c r="D295" s="7" t="n"/>
      <c r="E295" s="10" t="n"/>
      <c r="F295" s="9">
        <f>IF(OR(C295="",E295=""),0,IF(C295="Начисление по акту",E295,IF(OR(C295="Оплата",C295="Зачёт аванса по договору"),-E295,IF(C295="Корректировка (подписана обеими сторонами)",E295,0))))</f>
        <v/>
      </c>
      <c r="G295" s="9">
        <f>IF(OR(C295="Удержание",C295="Зачёт встречного требования",C295="Неустойка заявлена"),N(E295),0)</f>
        <v/>
      </c>
      <c r="H295" s="9">
        <f>H294+F295</f>
        <v/>
      </c>
    </row>
    <row r="296">
      <c r="A296" s="5" t="n">
        <v>292</v>
      </c>
      <c r="B296" s="6" t="n"/>
      <c r="C296" s="7" t="n"/>
      <c r="D296" s="7" t="n"/>
      <c r="E296" s="10" t="n"/>
      <c r="F296" s="9">
        <f>IF(OR(C296="",E296=""),0,IF(C296="Начисление по акту",E296,IF(OR(C296="Оплата",C296="Зачёт аванса по договору"),-E296,IF(C296="Корректировка (подписана обеими сторонами)",E296,0))))</f>
        <v/>
      </c>
      <c r="G296" s="9">
        <f>IF(OR(C296="Удержание",C296="Зачёт встречного требования",C296="Неустойка заявлена"),N(E296),0)</f>
        <v/>
      </c>
      <c r="H296" s="9">
        <f>H295+F296</f>
        <v/>
      </c>
    </row>
    <row r="297">
      <c r="A297" s="5" t="n">
        <v>293</v>
      </c>
      <c r="B297" s="6" t="n"/>
      <c r="C297" s="7" t="n"/>
      <c r="D297" s="7" t="n"/>
      <c r="E297" s="10" t="n"/>
      <c r="F297" s="9">
        <f>IF(OR(C297="",E297=""),0,IF(C297="Начисление по акту",E297,IF(OR(C297="Оплата",C297="Зачёт аванса по договору"),-E297,IF(C297="Корректировка (подписана обеими сторонами)",E297,0))))</f>
        <v/>
      </c>
      <c r="G297" s="9">
        <f>IF(OR(C297="Удержание",C297="Зачёт встречного требования",C297="Неустойка заявлена"),N(E297),0)</f>
        <v/>
      </c>
      <c r="H297" s="9">
        <f>H296+F297</f>
        <v/>
      </c>
    </row>
    <row r="298">
      <c r="A298" s="5" t="n">
        <v>294</v>
      </c>
      <c r="B298" s="6" t="n"/>
      <c r="C298" s="7" t="n"/>
      <c r="D298" s="7" t="n"/>
      <c r="E298" s="10" t="n"/>
      <c r="F298" s="9">
        <f>IF(OR(C298="",E298=""),0,IF(C298="Начисление по акту",E298,IF(OR(C298="Оплата",C298="Зачёт аванса по договору"),-E298,IF(C298="Корректировка (подписана обеими сторонами)",E298,0))))</f>
        <v/>
      </c>
      <c r="G298" s="9">
        <f>IF(OR(C298="Удержание",C298="Зачёт встречного требования",C298="Неустойка заявлена"),N(E298),0)</f>
        <v/>
      </c>
      <c r="H298" s="9">
        <f>H297+F298</f>
        <v/>
      </c>
    </row>
    <row r="299">
      <c r="A299" s="5" t="n">
        <v>295</v>
      </c>
      <c r="B299" s="6" t="n"/>
      <c r="C299" s="7" t="n"/>
      <c r="D299" s="7" t="n"/>
      <c r="E299" s="10" t="n"/>
      <c r="F299" s="9">
        <f>IF(OR(C299="",E299=""),0,IF(C299="Начисление по акту",E299,IF(OR(C299="Оплата",C299="Зачёт аванса по договору"),-E299,IF(C299="Корректировка (подписана обеими сторонами)",E299,0))))</f>
        <v/>
      </c>
      <c r="G299" s="9">
        <f>IF(OR(C299="Удержание",C299="Зачёт встречного требования",C299="Неустойка заявлена"),N(E299),0)</f>
        <v/>
      </c>
      <c r="H299" s="9">
        <f>H298+F299</f>
        <v/>
      </c>
    </row>
    <row r="300">
      <c r="A300" s="5" t="n">
        <v>296</v>
      </c>
      <c r="B300" s="6" t="n"/>
      <c r="C300" s="7" t="n"/>
      <c r="D300" s="7" t="n"/>
      <c r="E300" s="10" t="n"/>
      <c r="F300" s="9">
        <f>IF(OR(C300="",E300=""),0,IF(C300="Начисление по акту",E300,IF(OR(C300="Оплата",C300="Зачёт аванса по договору"),-E300,IF(C300="Корректировка (подписана обеими сторонами)",E300,0))))</f>
        <v/>
      </c>
      <c r="G300" s="9">
        <f>IF(OR(C300="Удержание",C300="Зачёт встречного требования",C300="Неустойка заявлена"),N(E300),0)</f>
        <v/>
      </c>
      <c r="H300" s="9">
        <f>H299+F300</f>
        <v/>
      </c>
    </row>
    <row r="301">
      <c r="A301" s="5" t="n">
        <v>297</v>
      </c>
      <c r="B301" s="6" t="n"/>
      <c r="C301" s="7" t="n"/>
      <c r="D301" s="7" t="n"/>
      <c r="E301" s="10" t="n"/>
      <c r="F301" s="9">
        <f>IF(OR(C301="",E301=""),0,IF(C301="Начисление по акту",E301,IF(OR(C301="Оплата",C301="Зачёт аванса по договору"),-E301,IF(C301="Корректировка (подписана обеими сторонами)",E301,0))))</f>
        <v/>
      </c>
      <c r="G301" s="9">
        <f>IF(OR(C301="Удержание",C301="Зачёт встречного требования",C301="Неустойка заявлена"),N(E301),0)</f>
        <v/>
      </c>
      <c r="H301" s="9">
        <f>H300+F301</f>
        <v/>
      </c>
    </row>
    <row r="302">
      <c r="A302" s="5" t="n">
        <v>298</v>
      </c>
      <c r="B302" s="6" t="n"/>
      <c r="C302" s="7" t="n"/>
      <c r="D302" s="7" t="n"/>
      <c r="E302" s="10" t="n"/>
      <c r="F302" s="9">
        <f>IF(OR(C302="",E302=""),0,IF(C302="Начисление по акту",E302,IF(OR(C302="Оплата",C302="Зачёт аванса по договору"),-E302,IF(C302="Корректировка (подписана обеими сторонами)",E302,0))))</f>
        <v/>
      </c>
      <c r="G302" s="9">
        <f>IF(OR(C302="Удержание",C302="Зачёт встречного требования",C302="Неустойка заявлена"),N(E302),0)</f>
        <v/>
      </c>
      <c r="H302" s="9">
        <f>H301+F302</f>
        <v/>
      </c>
    </row>
    <row r="303">
      <c r="A303" s="5" t="n">
        <v>299</v>
      </c>
      <c r="B303" s="6" t="n"/>
      <c r="C303" s="7" t="n"/>
      <c r="D303" s="7" t="n"/>
      <c r="E303" s="10" t="n"/>
      <c r="F303" s="9">
        <f>IF(OR(C303="",E303=""),0,IF(C303="Начисление по акту",E303,IF(OR(C303="Оплата",C303="Зачёт аванса по договору"),-E303,IF(C303="Корректировка (подписана обеими сторонами)",E303,0))))</f>
        <v/>
      </c>
      <c r="G303" s="9">
        <f>IF(OR(C303="Удержание",C303="Зачёт встречного требования",C303="Неустойка заявлена"),N(E303),0)</f>
        <v/>
      </c>
      <c r="H303" s="9">
        <f>H302+F303</f>
        <v/>
      </c>
    </row>
    <row r="304">
      <c r="A304" s="5" t="n">
        <v>300</v>
      </c>
      <c r="B304" s="6" t="n"/>
      <c r="C304" s="7" t="n"/>
      <c r="D304" s="7" t="n"/>
      <c r="E304" s="10" t="n"/>
      <c r="F304" s="9">
        <f>IF(OR(C304="",E304=""),0,IF(C304="Начисление по акту",E304,IF(OR(C304="Оплата",C304="Зачёт аванса по договору"),-E304,IF(C304="Корректировка (подписана обеими сторонами)",E304,0))))</f>
        <v/>
      </c>
      <c r="G304" s="9">
        <f>IF(OR(C304="Удержание",C304="Зачёт встречного требования",C304="Неустойка заявлена"),N(E304),0)</f>
        <v/>
      </c>
      <c r="H304" s="9">
        <f>H303+F304</f>
        <v/>
      </c>
    </row>
    <row r="305">
      <c r="A305" s="5" t="n">
        <v>301</v>
      </c>
      <c r="B305" s="6" t="n"/>
      <c r="C305" s="7" t="n"/>
      <c r="D305" s="7" t="n"/>
      <c r="E305" s="10" t="n"/>
      <c r="F305" s="9">
        <f>IF(OR(C305="",E305=""),0,IF(C305="Начисление по акту",E305,IF(OR(C305="Оплата",C305="Зачёт аванса по договору"),-E305,IF(C305="Корректировка (подписана обеими сторонами)",E305,0))))</f>
        <v/>
      </c>
      <c r="G305" s="9">
        <f>IF(OR(C305="Удержание",C305="Зачёт встречного требования",C305="Неустойка заявлена"),N(E305),0)</f>
        <v/>
      </c>
      <c r="H305" s="9">
        <f>H304+F305</f>
        <v/>
      </c>
    </row>
    <row r="306">
      <c r="A306" s="5" t="n">
        <v>302</v>
      </c>
      <c r="B306" s="6" t="n"/>
      <c r="C306" s="7" t="n"/>
      <c r="D306" s="7" t="n"/>
      <c r="E306" s="10" t="n"/>
      <c r="F306" s="9">
        <f>IF(OR(C306="",E306=""),0,IF(C306="Начисление по акту",E306,IF(OR(C306="Оплата",C306="Зачёт аванса по договору"),-E306,IF(C306="Корректировка (подписана обеими сторонами)",E306,0))))</f>
        <v/>
      </c>
      <c r="G306" s="9">
        <f>IF(OR(C306="Удержание",C306="Зачёт встречного требования",C306="Неустойка заявлена"),N(E306),0)</f>
        <v/>
      </c>
      <c r="H306" s="9">
        <f>H305+F306</f>
        <v/>
      </c>
    </row>
    <row r="307">
      <c r="A307" s="5" t="n">
        <v>303</v>
      </c>
      <c r="B307" s="6" t="n"/>
      <c r="C307" s="7" t="n"/>
      <c r="D307" s="7" t="n"/>
      <c r="E307" s="10" t="n"/>
      <c r="F307" s="9">
        <f>IF(OR(C307="",E307=""),0,IF(C307="Начисление по акту",E307,IF(OR(C307="Оплата",C307="Зачёт аванса по договору"),-E307,IF(C307="Корректировка (подписана обеими сторонами)",E307,0))))</f>
        <v/>
      </c>
      <c r="G307" s="9">
        <f>IF(OR(C307="Удержание",C307="Зачёт встречного требования",C307="Неустойка заявлена"),N(E307),0)</f>
        <v/>
      </c>
      <c r="H307" s="9">
        <f>H306+F307</f>
        <v/>
      </c>
    </row>
    <row r="308">
      <c r="A308" s="5" t="n">
        <v>304</v>
      </c>
      <c r="B308" s="6" t="n"/>
      <c r="C308" s="7" t="n"/>
      <c r="D308" s="7" t="n"/>
      <c r="E308" s="10" t="n"/>
      <c r="F308" s="9">
        <f>IF(OR(C308="",E308=""),0,IF(C308="Начисление по акту",E308,IF(OR(C308="Оплата",C308="Зачёт аванса по договору"),-E308,IF(C308="Корректировка (подписана обеими сторонами)",E308,0))))</f>
        <v/>
      </c>
      <c r="G308" s="9">
        <f>IF(OR(C308="Удержание",C308="Зачёт встречного требования",C308="Неустойка заявлена"),N(E308),0)</f>
        <v/>
      </c>
      <c r="H308" s="9">
        <f>H307+F308</f>
        <v/>
      </c>
    </row>
    <row r="309">
      <c r="A309" s="5" t="n">
        <v>305</v>
      </c>
      <c r="B309" s="6" t="n"/>
      <c r="C309" s="7" t="n"/>
      <c r="D309" s="7" t="n"/>
      <c r="E309" s="10" t="n"/>
      <c r="F309" s="9">
        <f>IF(OR(C309="",E309=""),0,IF(C309="Начисление по акту",E309,IF(OR(C309="Оплата",C309="Зачёт аванса по договору"),-E309,IF(C309="Корректировка (подписана обеими сторонами)",E309,0))))</f>
        <v/>
      </c>
      <c r="G309" s="9">
        <f>IF(OR(C309="Удержание",C309="Зачёт встречного требования",C309="Неустойка заявлена"),N(E309),0)</f>
        <v/>
      </c>
      <c r="H309" s="9">
        <f>H308+F309</f>
        <v/>
      </c>
    </row>
    <row r="310">
      <c r="A310" s="5" t="n">
        <v>306</v>
      </c>
      <c r="B310" s="6" t="n"/>
      <c r="C310" s="7" t="n"/>
      <c r="D310" s="7" t="n"/>
      <c r="E310" s="10" t="n"/>
      <c r="F310" s="9">
        <f>IF(OR(C310="",E310=""),0,IF(C310="Начисление по акту",E310,IF(OR(C310="Оплата",C310="Зачёт аванса по договору"),-E310,IF(C310="Корректировка (подписана обеими сторонами)",E310,0))))</f>
        <v/>
      </c>
      <c r="G310" s="9">
        <f>IF(OR(C310="Удержание",C310="Зачёт встречного требования",C310="Неустойка заявлена"),N(E310),0)</f>
        <v/>
      </c>
      <c r="H310" s="9">
        <f>H309+F310</f>
        <v/>
      </c>
    </row>
    <row r="311">
      <c r="A311" s="5" t="n">
        <v>307</v>
      </c>
      <c r="B311" s="6" t="n"/>
      <c r="C311" s="7" t="n"/>
      <c r="D311" s="7" t="n"/>
      <c r="E311" s="10" t="n"/>
      <c r="F311" s="9">
        <f>IF(OR(C311="",E311=""),0,IF(C311="Начисление по акту",E311,IF(OR(C311="Оплата",C311="Зачёт аванса по договору"),-E311,IF(C311="Корректировка (подписана обеими сторонами)",E311,0))))</f>
        <v/>
      </c>
      <c r="G311" s="9">
        <f>IF(OR(C311="Удержание",C311="Зачёт встречного требования",C311="Неустойка заявлена"),N(E311),0)</f>
        <v/>
      </c>
      <c r="H311" s="9">
        <f>H310+F311</f>
        <v/>
      </c>
    </row>
    <row r="312">
      <c r="A312" s="5" t="n">
        <v>308</v>
      </c>
      <c r="B312" s="6" t="n"/>
      <c r="C312" s="7" t="n"/>
      <c r="D312" s="7" t="n"/>
      <c r="E312" s="10" t="n"/>
      <c r="F312" s="9">
        <f>IF(OR(C312="",E312=""),0,IF(C312="Начисление по акту",E312,IF(OR(C312="Оплата",C312="Зачёт аванса по договору"),-E312,IF(C312="Корректировка (подписана обеими сторонами)",E312,0))))</f>
        <v/>
      </c>
      <c r="G312" s="9">
        <f>IF(OR(C312="Удержание",C312="Зачёт встречного требования",C312="Неустойка заявлена"),N(E312),0)</f>
        <v/>
      </c>
      <c r="H312" s="9">
        <f>H311+F312</f>
        <v/>
      </c>
    </row>
    <row r="313">
      <c r="A313" s="5" t="n">
        <v>309</v>
      </c>
      <c r="B313" s="6" t="n"/>
      <c r="C313" s="7" t="n"/>
      <c r="D313" s="7" t="n"/>
      <c r="E313" s="10" t="n"/>
      <c r="F313" s="9">
        <f>IF(OR(C313="",E313=""),0,IF(C313="Начисление по акту",E313,IF(OR(C313="Оплата",C313="Зачёт аванса по договору"),-E313,IF(C313="Корректировка (подписана обеими сторонами)",E313,0))))</f>
        <v/>
      </c>
      <c r="G313" s="9">
        <f>IF(OR(C313="Удержание",C313="Зачёт встречного требования",C313="Неустойка заявлена"),N(E313),0)</f>
        <v/>
      </c>
      <c r="H313" s="9">
        <f>H312+F313</f>
        <v/>
      </c>
    </row>
    <row r="314">
      <c r="A314" s="5" t="n">
        <v>310</v>
      </c>
      <c r="B314" s="6" t="n"/>
      <c r="C314" s="7" t="n"/>
      <c r="D314" s="7" t="n"/>
      <c r="E314" s="10" t="n"/>
      <c r="F314" s="9">
        <f>IF(OR(C314="",E314=""),0,IF(C314="Начисление по акту",E314,IF(OR(C314="Оплата",C314="Зачёт аванса по договору"),-E314,IF(C314="Корректировка (подписана обеими сторонами)",E314,0))))</f>
        <v/>
      </c>
      <c r="G314" s="9">
        <f>IF(OR(C314="Удержание",C314="Зачёт встречного требования",C314="Неустойка заявлена"),N(E314),0)</f>
        <v/>
      </c>
      <c r="H314" s="9">
        <f>H313+F314</f>
        <v/>
      </c>
    </row>
    <row r="315">
      <c r="A315" s="5" t="n">
        <v>311</v>
      </c>
      <c r="B315" s="6" t="n"/>
      <c r="C315" s="7" t="n"/>
      <c r="D315" s="7" t="n"/>
      <c r="E315" s="10" t="n"/>
      <c r="F315" s="9">
        <f>IF(OR(C315="",E315=""),0,IF(C315="Начисление по акту",E315,IF(OR(C315="Оплата",C315="Зачёт аванса по договору"),-E315,IF(C315="Корректировка (подписана обеими сторонами)",E315,0))))</f>
        <v/>
      </c>
      <c r="G315" s="9">
        <f>IF(OR(C315="Удержание",C315="Зачёт встречного требования",C315="Неустойка заявлена"),N(E315),0)</f>
        <v/>
      </c>
      <c r="H315" s="9">
        <f>H314+F315</f>
        <v/>
      </c>
    </row>
    <row r="316">
      <c r="A316" s="5" t="n">
        <v>312</v>
      </c>
      <c r="B316" s="6" t="n"/>
      <c r="C316" s="7" t="n"/>
      <c r="D316" s="7" t="n"/>
      <c r="E316" s="10" t="n"/>
      <c r="F316" s="9">
        <f>IF(OR(C316="",E316=""),0,IF(C316="Начисление по акту",E316,IF(OR(C316="Оплата",C316="Зачёт аванса по договору"),-E316,IF(C316="Корректировка (подписана обеими сторонами)",E316,0))))</f>
        <v/>
      </c>
      <c r="G316" s="9">
        <f>IF(OR(C316="Удержание",C316="Зачёт встречного требования",C316="Неустойка заявлена"),N(E316),0)</f>
        <v/>
      </c>
      <c r="H316" s="9">
        <f>H315+F316</f>
        <v/>
      </c>
    </row>
    <row r="317">
      <c r="A317" s="5" t="n">
        <v>313</v>
      </c>
      <c r="B317" s="6" t="n"/>
      <c r="C317" s="7" t="n"/>
      <c r="D317" s="7" t="n"/>
      <c r="E317" s="10" t="n"/>
      <c r="F317" s="9">
        <f>IF(OR(C317="",E317=""),0,IF(C317="Начисление по акту",E317,IF(OR(C317="Оплата",C317="Зачёт аванса по договору"),-E317,IF(C317="Корректировка (подписана обеими сторонами)",E317,0))))</f>
        <v/>
      </c>
      <c r="G317" s="9">
        <f>IF(OR(C317="Удержание",C317="Зачёт встречного требования",C317="Неустойка заявлена"),N(E317),0)</f>
        <v/>
      </c>
      <c r="H317" s="9">
        <f>H316+F317</f>
        <v/>
      </c>
    </row>
    <row r="318">
      <c r="A318" s="5" t="n">
        <v>314</v>
      </c>
      <c r="B318" s="6" t="n"/>
      <c r="C318" s="7" t="n"/>
      <c r="D318" s="7" t="n"/>
      <c r="E318" s="10" t="n"/>
      <c r="F318" s="9">
        <f>IF(OR(C318="",E318=""),0,IF(C318="Начисление по акту",E318,IF(OR(C318="Оплата",C318="Зачёт аванса по договору"),-E318,IF(C318="Корректировка (подписана обеими сторонами)",E318,0))))</f>
        <v/>
      </c>
      <c r="G318" s="9">
        <f>IF(OR(C318="Удержание",C318="Зачёт встречного требования",C318="Неустойка заявлена"),N(E318),0)</f>
        <v/>
      </c>
      <c r="H318" s="9">
        <f>H317+F318</f>
        <v/>
      </c>
    </row>
    <row r="319">
      <c r="A319" s="5" t="n">
        <v>315</v>
      </c>
      <c r="B319" s="6" t="n"/>
      <c r="C319" s="7" t="n"/>
      <c r="D319" s="7" t="n"/>
      <c r="E319" s="10" t="n"/>
      <c r="F319" s="9">
        <f>IF(OR(C319="",E319=""),0,IF(C319="Начисление по акту",E319,IF(OR(C319="Оплата",C319="Зачёт аванса по договору"),-E319,IF(C319="Корректировка (подписана обеими сторонами)",E319,0))))</f>
        <v/>
      </c>
      <c r="G319" s="9">
        <f>IF(OR(C319="Удержание",C319="Зачёт встречного требования",C319="Неустойка заявлена"),N(E319),0)</f>
        <v/>
      </c>
      <c r="H319" s="9">
        <f>H318+F319</f>
        <v/>
      </c>
    </row>
    <row r="320">
      <c r="A320" s="5" t="n">
        <v>316</v>
      </c>
      <c r="B320" s="6" t="n"/>
      <c r="C320" s="7" t="n"/>
      <c r="D320" s="7" t="n"/>
      <c r="E320" s="10" t="n"/>
      <c r="F320" s="9">
        <f>IF(OR(C320="",E320=""),0,IF(C320="Начисление по акту",E320,IF(OR(C320="Оплата",C320="Зачёт аванса по договору"),-E320,IF(C320="Корректировка (подписана обеими сторонами)",E320,0))))</f>
        <v/>
      </c>
      <c r="G320" s="9">
        <f>IF(OR(C320="Удержание",C320="Зачёт встречного требования",C320="Неустойка заявлена"),N(E320),0)</f>
        <v/>
      </c>
      <c r="H320" s="9">
        <f>H319+F320</f>
        <v/>
      </c>
    </row>
    <row r="321">
      <c r="A321" s="5" t="n">
        <v>317</v>
      </c>
      <c r="B321" s="6" t="n"/>
      <c r="C321" s="7" t="n"/>
      <c r="D321" s="7" t="n"/>
      <c r="E321" s="10" t="n"/>
      <c r="F321" s="9">
        <f>IF(OR(C321="",E321=""),0,IF(C321="Начисление по акту",E321,IF(OR(C321="Оплата",C321="Зачёт аванса по договору"),-E321,IF(C321="Корректировка (подписана обеими сторонами)",E321,0))))</f>
        <v/>
      </c>
      <c r="G321" s="9">
        <f>IF(OR(C321="Удержание",C321="Зачёт встречного требования",C321="Неустойка заявлена"),N(E321),0)</f>
        <v/>
      </c>
      <c r="H321" s="9">
        <f>H320+F321</f>
        <v/>
      </c>
    </row>
    <row r="322">
      <c r="A322" s="5" t="n">
        <v>318</v>
      </c>
      <c r="B322" s="6" t="n"/>
      <c r="C322" s="7" t="n"/>
      <c r="D322" s="7" t="n"/>
      <c r="E322" s="10" t="n"/>
      <c r="F322" s="9">
        <f>IF(OR(C322="",E322=""),0,IF(C322="Начисление по акту",E322,IF(OR(C322="Оплата",C322="Зачёт аванса по договору"),-E322,IF(C322="Корректировка (подписана обеими сторонами)",E322,0))))</f>
        <v/>
      </c>
      <c r="G322" s="9">
        <f>IF(OR(C322="Удержание",C322="Зачёт встречного требования",C322="Неустойка заявлена"),N(E322),0)</f>
        <v/>
      </c>
      <c r="H322" s="9">
        <f>H321+F322</f>
        <v/>
      </c>
    </row>
    <row r="323">
      <c r="A323" s="5" t="n">
        <v>319</v>
      </c>
      <c r="B323" s="6" t="n"/>
      <c r="C323" s="7" t="n"/>
      <c r="D323" s="7" t="n"/>
      <c r="E323" s="10" t="n"/>
      <c r="F323" s="9">
        <f>IF(OR(C323="",E323=""),0,IF(C323="Начисление по акту",E323,IF(OR(C323="Оплата",C323="Зачёт аванса по договору"),-E323,IF(C323="Корректировка (подписана обеими сторонами)",E323,0))))</f>
        <v/>
      </c>
      <c r="G323" s="9">
        <f>IF(OR(C323="Удержание",C323="Зачёт встречного требования",C323="Неустойка заявлена"),N(E323),0)</f>
        <v/>
      </c>
      <c r="H323" s="9">
        <f>H322+F323</f>
        <v/>
      </c>
    </row>
    <row r="324">
      <c r="A324" s="5" t="n">
        <v>320</v>
      </c>
      <c r="B324" s="6" t="n"/>
      <c r="C324" s="7" t="n"/>
      <c r="D324" s="7" t="n"/>
      <c r="E324" s="10" t="n"/>
      <c r="F324" s="9">
        <f>IF(OR(C324="",E324=""),0,IF(C324="Начисление по акту",E324,IF(OR(C324="Оплата",C324="Зачёт аванса по договору"),-E324,IF(C324="Корректировка (подписана обеими сторонами)",E324,0))))</f>
        <v/>
      </c>
      <c r="G324" s="9">
        <f>IF(OR(C324="Удержание",C324="Зачёт встречного требования",C324="Неустойка заявлена"),N(E324),0)</f>
        <v/>
      </c>
      <c r="H324" s="9">
        <f>H323+F324</f>
        <v/>
      </c>
    </row>
    <row r="325">
      <c r="A325" s="5" t="n">
        <v>321</v>
      </c>
      <c r="B325" s="6" t="n"/>
      <c r="C325" s="7" t="n"/>
      <c r="D325" s="7" t="n"/>
      <c r="E325" s="10" t="n"/>
      <c r="F325" s="9">
        <f>IF(OR(C325="",E325=""),0,IF(C325="Начисление по акту",E325,IF(OR(C325="Оплата",C325="Зачёт аванса по договору"),-E325,IF(C325="Корректировка (подписана обеими сторонами)",E325,0))))</f>
        <v/>
      </c>
      <c r="G325" s="9">
        <f>IF(OR(C325="Удержание",C325="Зачёт встречного требования",C325="Неустойка заявлена"),N(E325),0)</f>
        <v/>
      </c>
      <c r="H325" s="9">
        <f>H324+F325</f>
        <v/>
      </c>
    </row>
    <row r="326">
      <c r="A326" s="5" t="n">
        <v>322</v>
      </c>
      <c r="B326" s="6" t="n"/>
      <c r="C326" s="7" t="n"/>
      <c r="D326" s="7" t="n"/>
      <c r="E326" s="10" t="n"/>
      <c r="F326" s="9">
        <f>IF(OR(C326="",E326=""),0,IF(C326="Начисление по акту",E326,IF(OR(C326="Оплата",C326="Зачёт аванса по договору"),-E326,IF(C326="Корректировка (подписана обеими сторонами)",E326,0))))</f>
        <v/>
      </c>
      <c r="G326" s="9">
        <f>IF(OR(C326="Удержание",C326="Зачёт встречного требования",C326="Неустойка заявлена"),N(E326),0)</f>
        <v/>
      </c>
      <c r="H326" s="9">
        <f>H325+F326</f>
        <v/>
      </c>
    </row>
    <row r="327">
      <c r="A327" s="5" t="n">
        <v>323</v>
      </c>
      <c r="B327" s="6" t="n"/>
      <c r="C327" s="7" t="n"/>
      <c r="D327" s="7" t="n"/>
      <c r="E327" s="10" t="n"/>
      <c r="F327" s="9">
        <f>IF(OR(C327="",E327=""),0,IF(C327="Начисление по акту",E327,IF(OR(C327="Оплата",C327="Зачёт аванса по договору"),-E327,IF(C327="Корректировка (подписана обеими сторонами)",E327,0))))</f>
        <v/>
      </c>
      <c r="G327" s="9">
        <f>IF(OR(C327="Удержание",C327="Зачёт встречного требования",C327="Неустойка заявлена"),N(E327),0)</f>
        <v/>
      </c>
      <c r="H327" s="9">
        <f>H326+F327</f>
        <v/>
      </c>
    </row>
    <row r="328">
      <c r="A328" s="5" t="n">
        <v>324</v>
      </c>
      <c r="B328" s="6" t="n"/>
      <c r="C328" s="7" t="n"/>
      <c r="D328" s="7" t="n"/>
      <c r="E328" s="10" t="n"/>
      <c r="F328" s="9">
        <f>IF(OR(C328="",E328=""),0,IF(C328="Начисление по акту",E328,IF(OR(C328="Оплата",C328="Зачёт аванса по договору"),-E328,IF(C328="Корректировка (подписана обеими сторонами)",E328,0))))</f>
        <v/>
      </c>
      <c r="G328" s="9">
        <f>IF(OR(C328="Удержание",C328="Зачёт встречного требования",C328="Неустойка заявлена"),N(E328),0)</f>
        <v/>
      </c>
      <c r="H328" s="9">
        <f>H327+F328</f>
        <v/>
      </c>
    </row>
    <row r="329">
      <c r="A329" s="5" t="n">
        <v>325</v>
      </c>
      <c r="B329" s="6" t="n"/>
      <c r="C329" s="7" t="n"/>
      <c r="D329" s="7" t="n"/>
      <c r="E329" s="10" t="n"/>
      <c r="F329" s="9">
        <f>IF(OR(C329="",E329=""),0,IF(C329="Начисление по акту",E329,IF(OR(C329="Оплата",C329="Зачёт аванса по договору"),-E329,IF(C329="Корректировка (подписана обеими сторонами)",E329,0))))</f>
        <v/>
      </c>
      <c r="G329" s="9">
        <f>IF(OR(C329="Удержание",C329="Зачёт встречного требования",C329="Неустойка заявлена"),N(E329),0)</f>
        <v/>
      </c>
      <c r="H329" s="9">
        <f>H328+F329</f>
        <v/>
      </c>
    </row>
    <row r="330">
      <c r="A330" s="5" t="n">
        <v>326</v>
      </c>
      <c r="B330" s="6" t="n"/>
      <c r="C330" s="7" t="n"/>
      <c r="D330" s="7" t="n"/>
      <c r="E330" s="10" t="n"/>
      <c r="F330" s="9">
        <f>IF(OR(C330="",E330=""),0,IF(C330="Начисление по акту",E330,IF(OR(C330="Оплата",C330="Зачёт аванса по договору"),-E330,IF(C330="Корректировка (подписана обеими сторонами)",E330,0))))</f>
        <v/>
      </c>
      <c r="G330" s="9">
        <f>IF(OR(C330="Удержание",C330="Зачёт встречного требования",C330="Неустойка заявлена"),N(E330),0)</f>
        <v/>
      </c>
      <c r="H330" s="9">
        <f>H329+F330</f>
        <v/>
      </c>
    </row>
    <row r="331">
      <c r="A331" s="5" t="n">
        <v>327</v>
      </c>
      <c r="B331" s="6" t="n"/>
      <c r="C331" s="7" t="n"/>
      <c r="D331" s="7" t="n"/>
      <c r="E331" s="10" t="n"/>
      <c r="F331" s="9">
        <f>IF(OR(C331="",E331=""),0,IF(C331="Начисление по акту",E331,IF(OR(C331="Оплата",C331="Зачёт аванса по договору"),-E331,IF(C331="Корректировка (подписана обеими сторонами)",E331,0))))</f>
        <v/>
      </c>
      <c r="G331" s="9">
        <f>IF(OR(C331="Удержание",C331="Зачёт встречного требования",C331="Неустойка заявлена"),N(E331),0)</f>
        <v/>
      </c>
      <c r="H331" s="9">
        <f>H330+F331</f>
        <v/>
      </c>
    </row>
    <row r="332">
      <c r="A332" s="5" t="n">
        <v>328</v>
      </c>
      <c r="B332" s="6" t="n"/>
      <c r="C332" s="7" t="n"/>
      <c r="D332" s="7" t="n"/>
      <c r="E332" s="10" t="n"/>
      <c r="F332" s="9">
        <f>IF(OR(C332="",E332=""),0,IF(C332="Начисление по акту",E332,IF(OR(C332="Оплата",C332="Зачёт аванса по договору"),-E332,IF(C332="Корректировка (подписана обеими сторонами)",E332,0))))</f>
        <v/>
      </c>
      <c r="G332" s="9">
        <f>IF(OR(C332="Удержание",C332="Зачёт встречного требования",C332="Неустойка заявлена"),N(E332),0)</f>
        <v/>
      </c>
      <c r="H332" s="9">
        <f>H331+F332</f>
        <v/>
      </c>
    </row>
    <row r="333">
      <c r="A333" s="5" t="n">
        <v>329</v>
      </c>
      <c r="B333" s="6" t="n"/>
      <c r="C333" s="7" t="n"/>
      <c r="D333" s="7" t="n"/>
      <c r="E333" s="10" t="n"/>
      <c r="F333" s="9">
        <f>IF(OR(C333="",E333=""),0,IF(C333="Начисление по акту",E333,IF(OR(C333="Оплата",C333="Зачёт аванса по договору"),-E333,IF(C333="Корректировка (подписана обеими сторонами)",E333,0))))</f>
        <v/>
      </c>
      <c r="G333" s="9">
        <f>IF(OR(C333="Удержание",C333="Зачёт встречного требования",C333="Неустойка заявлена"),N(E333),0)</f>
        <v/>
      </c>
      <c r="H333" s="9">
        <f>H332+F333</f>
        <v/>
      </c>
    </row>
    <row r="334">
      <c r="A334" s="5" t="n">
        <v>330</v>
      </c>
      <c r="B334" s="6" t="n"/>
      <c r="C334" s="7" t="n"/>
      <c r="D334" s="7" t="n"/>
      <c r="E334" s="10" t="n"/>
      <c r="F334" s="9">
        <f>IF(OR(C334="",E334=""),0,IF(C334="Начисление по акту",E334,IF(OR(C334="Оплата",C334="Зачёт аванса по договору"),-E334,IF(C334="Корректировка (подписана обеими сторонами)",E334,0))))</f>
        <v/>
      </c>
      <c r="G334" s="9">
        <f>IF(OR(C334="Удержание",C334="Зачёт встречного требования",C334="Неустойка заявлена"),N(E334),0)</f>
        <v/>
      </c>
      <c r="H334" s="9">
        <f>H333+F334</f>
        <v/>
      </c>
    </row>
    <row r="335">
      <c r="A335" s="5" t="n">
        <v>331</v>
      </c>
      <c r="B335" s="6" t="n"/>
      <c r="C335" s="7" t="n"/>
      <c r="D335" s="7" t="n"/>
      <c r="E335" s="10" t="n"/>
      <c r="F335" s="9">
        <f>IF(OR(C335="",E335=""),0,IF(C335="Начисление по акту",E335,IF(OR(C335="Оплата",C335="Зачёт аванса по договору"),-E335,IF(C335="Корректировка (подписана обеими сторонами)",E335,0))))</f>
        <v/>
      </c>
      <c r="G335" s="9">
        <f>IF(OR(C335="Удержание",C335="Зачёт встречного требования",C335="Неустойка заявлена"),N(E335),0)</f>
        <v/>
      </c>
      <c r="H335" s="9">
        <f>H334+F335</f>
        <v/>
      </c>
    </row>
    <row r="336">
      <c r="A336" s="5" t="n">
        <v>332</v>
      </c>
      <c r="B336" s="6" t="n"/>
      <c r="C336" s="7" t="n"/>
      <c r="D336" s="7" t="n"/>
      <c r="E336" s="10" t="n"/>
      <c r="F336" s="9">
        <f>IF(OR(C336="",E336=""),0,IF(C336="Начисление по акту",E336,IF(OR(C336="Оплата",C336="Зачёт аванса по договору"),-E336,IF(C336="Корректировка (подписана обеими сторонами)",E336,0))))</f>
        <v/>
      </c>
      <c r="G336" s="9">
        <f>IF(OR(C336="Удержание",C336="Зачёт встречного требования",C336="Неустойка заявлена"),N(E336),0)</f>
        <v/>
      </c>
      <c r="H336" s="9">
        <f>H335+F336</f>
        <v/>
      </c>
    </row>
    <row r="337">
      <c r="A337" s="5" t="n">
        <v>333</v>
      </c>
      <c r="B337" s="6" t="n"/>
      <c r="C337" s="7" t="n"/>
      <c r="D337" s="7" t="n"/>
      <c r="E337" s="10" t="n"/>
      <c r="F337" s="9">
        <f>IF(OR(C337="",E337=""),0,IF(C337="Начисление по акту",E337,IF(OR(C337="Оплата",C337="Зачёт аванса по договору"),-E337,IF(C337="Корректировка (подписана обеими сторонами)",E337,0))))</f>
        <v/>
      </c>
      <c r="G337" s="9">
        <f>IF(OR(C337="Удержание",C337="Зачёт встречного требования",C337="Неустойка заявлена"),N(E337),0)</f>
        <v/>
      </c>
      <c r="H337" s="9">
        <f>H336+F337</f>
        <v/>
      </c>
    </row>
    <row r="338">
      <c r="A338" s="5" t="n">
        <v>334</v>
      </c>
      <c r="B338" s="6" t="n"/>
      <c r="C338" s="7" t="n"/>
      <c r="D338" s="7" t="n"/>
      <c r="E338" s="10" t="n"/>
      <c r="F338" s="9">
        <f>IF(OR(C338="",E338=""),0,IF(C338="Начисление по акту",E338,IF(OR(C338="Оплата",C338="Зачёт аванса по договору"),-E338,IF(C338="Корректировка (подписана обеими сторонами)",E338,0))))</f>
        <v/>
      </c>
      <c r="G338" s="9">
        <f>IF(OR(C338="Удержание",C338="Зачёт встречного требования",C338="Неустойка заявлена"),N(E338),0)</f>
        <v/>
      </c>
      <c r="H338" s="9">
        <f>H337+F338</f>
        <v/>
      </c>
    </row>
    <row r="339">
      <c r="A339" s="5" t="n">
        <v>335</v>
      </c>
      <c r="B339" s="6" t="n"/>
      <c r="C339" s="7" t="n"/>
      <c r="D339" s="7" t="n"/>
      <c r="E339" s="10" t="n"/>
      <c r="F339" s="9">
        <f>IF(OR(C339="",E339=""),0,IF(C339="Начисление по акту",E339,IF(OR(C339="Оплата",C339="Зачёт аванса по договору"),-E339,IF(C339="Корректировка (подписана обеими сторонами)",E339,0))))</f>
        <v/>
      </c>
      <c r="G339" s="9">
        <f>IF(OR(C339="Удержание",C339="Зачёт встречного требования",C339="Неустойка заявлена"),N(E339),0)</f>
        <v/>
      </c>
      <c r="H339" s="9">
        <f>H338+F339</f>
        <v/>
      </c>
    </row>
    <row r="340">
      <c r="A340" s="5" t="n">
        <v>336</v>
      </c>
      <c r="B340" s="6" t="n"/>
      <c r="C340" s="7" t="n"/>
      <c r="D340" s="7" t="n"/>
      <c r="E340" s="10" t="n"/>
      <c r="F340" s="9">
        <f>IF(OR(C340="",E340=""),0,IF(C340="Начисление по акту",E340,IF(OR(C340="Оплата",C340="Зачёт аванса по договору"),-E340,IF(C340="Корректировка (подписана обеими сторонами)",E340,0))))</f>
        <v/>
      </c>
      <c r="G340" s="9">
        <f>IF(OR(C340="Удержание",C340="Зачёт встречного требования",C340="Неустойка заявлена"),N(E340),0)</f>
        <v/>
      </c>
      <c r="H340" s="9">
        <f>H339+F340</f>
        <v/>
      </c>
    </row>
    <row r="341">
      <c r="A341" s="5" t="n">
        <v>337</v>
      </c>
      <c r="B341" s="6" t="n"/>
      <c r="C341" s="7" t="n"/>
      <c r="D341" s="7" t="n"/>
      <c r="E341" s="10" t="n"/>
      <c r="F341" s="9">
        <f>IF(OR(C341="",E341=""),0,IF(C341="Начисление по акту",E341,IF(OR(C341="Оплата",C341="Зачёт аванса по договору"),-E341,IF(C341="Корректировка (подписана обеими сторонами)",E341,0))))</f>
        <v/>
      </c>
      <c r="G341" s="9">
        <f>IF(OR(C341="Удержание",C341="Зачёт встречного требования",C341="Неустойка заявлена"),N(E341),0)</f>
        <v/>
      </c>
      <c r="H341" s="9">
        <f>H340+F341</f>
        <v/>
      </c>
    </row>
    <row r="342">
      <c r="A342" s="5" t="n">
        <v>338</v>
      </c>
      <c r="B342" s="6" t="n"/>
      <c r="C342" s="7" t="n"/>
      <c r="D342" s="7" t="n"/>
      <c r="E342" s="10" t="n"/>
      <c r="F342" s="9">
        <f>IF(OR(C342="",E342=""),0,IF(C342="Начисление по акту",E342,IF(OR(C342="Оплата",C342="Зачёт аванса по договору"),-E342,IF(C342="Корректировка (подписана обеими сторонами)",E342,0))))</f>
        <v/>
      </c>
      <c r="G342" s="9">
        <f>IF(OR(C342="Удержание",C342="Зачёт встречного требования",C342="Неустойка заявлена"),N(E342),0)</f>
        <v/>
      </c>
      <c r="H342" s="9">
        <f>H341+F342</f>
        <v/>
      </c>
    </row>
    <row r="343">
      <c r="A343" s="5" t="n">
        <v>339</v>
      </c>
      <c r="B343" s="6" t="n"/>
      <c r="C343" s="7" t="n"/>
      <c r="D343" s="7" t="n"/>
      <c r="E343" s="10" t="n"/>
      <c r="F343" s="9">
        <f>IF(OR(C343="",E343=""),0,IF(C343="Начисление по акту",E343,IF(OR(C343="Оплата",C343="Зачёт аванса по договору"),-E343,IF(C343="Корректировка (подписана обеими сторонами)",E343,0))))</f>
        <v/>
      </c>
      <c r="G343" s="9">
        <f>IF(OR(C343="Удержание",C343="Зачёт встречного требования",C343="Неустойка заявлена"),N(E343),0)</f>
        <v/>
      </c>
      <c r="H343" s="9">
        <f>H342+F343</f>
        <v/>
      </c>
    </row>
    <row r="344">
      <c r="A344" s="5" t="n">
        <v>340</v>
      </c>
      <c r="B344" s="6" t="n"/>
      <c r="C344" s="7" t="n"/>
      <c r="D344" s="7" t="n"/>
      <c r="E344" s="10" t="n"/>
      <c r="F344" s="9">
        <f>IF(OR(C344="",E344=""),0,IF(C344="Начисление по акту",E344,IF(OR(C344="Оплата",C344="Зачёт аванса по договору"),-E344,IF(C344="Корректировка (подписана обеими сторонами)",E344,0))))</f>
        <v/>
      </c>
      <c r="G344" s="9">
        <f>IF(OR(C344="Удержание",C344="Зачёт встречного требования",C344="Неустойка заявлена"),N(E344),0)</f>
        <v/>
      </c>
      <c r="H344" s="9">
        <f>H343+F344</f>
        <v/>
      </c>
    </row>
    <row r="345">
      <c r="A345" s="5" t="n">
        <v>341</v>
      </c>
      <c r="B345" s="6" t="n"/>
      <c r="C345" s="7" t="n"/>
      <c r="D345" s="7" t="n"/>
      <c r="E345" s="10" t="n"/>
      <c r="F345" s="9">
        <f>IF(OR(C345="",E345=""),0,IF(C345="Начисление по акту",E345,IF(OR(C345="Оплата",C345="Зачёт аванса по договору"),-E345,IF(C345="Корректировка (подписана обеими сторонами)",E345,0))))</f>
        <v/>
      </c>
      <c r="G345" s="9">
        <f>IF(OR(C345="Удержание",C345="Зачёт встречного требования",C345="Неустойка заявлена"),N(E345),0)</f>
        <v/>
      </c>
      <c r="H345" s="9">
        <f>H344+F345</f>
        <v/>
      </c>
    </row>
    <row r="346">
      <c r="A346" s="5" t="n">
        <v>342</v>
      </c>
      <c r="B346" s="6" t="n"/>
      <c r="C346" s="7" t="n"/>
      <c r="D346" s="7" t="n"/>
      <c r="E346" s="10" t="n"/>
      <c r="F346" s="9">
        <f>IF(OR(C346="",E346=""),0,IF(C346="Начисление по акту",E346,IF(OR(C346="Оплата",C346="Зачёт аванса по договору"),-E346,IF(C346="Корректировка (подписана обеими сторонами)",E346,0))))</f>
        <v/>
      </c>
      <c r="G346" s="9">
        <f>IF(OR(C346="Удержание",C346="Зачёт встречного требования",C346="Неустойка заявлена"),N(E346),0)</f>
        <v/>
      </c>
      <c r="H346" s="9">
        <f>H345+F346</f>
        <v/>
      </c>
    </row>
    <row r="347">
      <c r="A347" s="5" t="n">
        <v>343</v>
      </c>
      <c r="B347" s="6" t="n"/>
      <c r="C347" s="7" t="n"/>
      <c r="D347" s="7" t="n"/>
      <c r="E347" s="10" t="n"/>
      <c r="F347" s="9">
        <f>IF(OR(C347="",E347=""),0,IF(C347="Начисление по акту",E347,IF(OR(C347="Оплата",C347="Зачёт аванса по договору"),-E347,IF(C347="Корректировка (подписана обеими сторонами)",E347,0))))</f>
        <v/>
      </c>
      <c r="G347" s="9">
        <f>IF(OR(C347="Удержание",C347="Зачёт встречного требования",C347="Неустойка заявлена"),N(E347),0)</f>
        <v/>
      </c>
      <c r="H347" s="9">
        <f>H346+F347</f>
        <v/>
      </c>
    </row>
    <row r="348">
      <c r="A348" s="5" t="n">
        <v>344</v>
      </c>
      <c r="B348" s="6" t="n"/>
      <c r="C348" s="7" t="n"/>
      <c r="D348" s="7" t="n"/>
      <c r="E348" s="10" t="n"/>
      <c r="F348" s="9">
        <f>IF(OR(C348="",E348=""),0,IF(C348="Начисление по акту",E348,IF(OR(C348="Оплата",C348="Зачёт аванса по договору"),-E348,IF(C348="Корректировка (подписана обеими сторонами)",E348,0))))</f>
        <v/>
      </c>
      <c r="G348" s="9">
        <f>IF(OR(C348="Удержание",C348="Зачёт встречного требования",C348="Неустойка заявлена"),N(E348),0)</f>
        <v/>
      </c>
      <c r="H348" s="9">
        <f>H347+F348</f>
        <v/>
      </c>
    </row>
    <row r="349">
      <c r="A349" s="5" t="n">
        <v>345</v>
      </c>
      <c r="B349" s="6" t="n"/>
      <c r="C349" s="7" t="n"/>
      <c r="D349" s="7" t="n"/>
      <c r="E349" s="10" t="n"/>
      <c r="F349" s="9">
        <f>IF(OR(C349="",E349=""),0,IF(C349="Начисление по акту",E349,IF(OR(C349="Оплата",C349="Зачёт аванса по договору"),-E349,IF(C349="Корректировка (подписана обеими сторонами)",E349,0))))</f>
        <v/>
      </c>
      <c r="G349" s="9">
        <f>IF(OR(C349="Удержание",C349="Зачёт встречного требования",C349="Неустойка заявлена"),N(E349),0)</f>
        <v/>
      </c>
      <c r="H349" s="9">
        <f>H348+F349</f>
        <v/>
      </c>
    </row>
    <row r="350">
      <c r="A350" s="5" t="n">
        <v>346</v>
      </c>
      <c r="B350" s="6" t="n"/>
      <c r="C350" s="7" t="n"/>
      <c r="D350" s="7" t="n"/>
      <c r="E350" s="10" t="n"/>
      <c r="F350" s="9">
        <f>IF(OR(C350="",E350=""),0,IF(C350="Начисление по акту",E350,IF(OR(C350="Оплата",C350="Зачёт аванса по договору"),-E350,IF(C350="Корректировка (подписана обеими сторонами)",E350,0))))</f>
        <v/>
      </c>
      <c r="G350" s="9">
        <f>IF(OR(C350="Удержание",C350="Зачёт встречного требования",C350="Неустойка заявлена"),N(E350),0)</f>
        <v/>
      </c>
      <c r="H350" s="9">
        <f>H349+F350</f>
        <v/>
      </c>
    </row>
    <row r="351">
      <c r="A351" s="5" t="n">
        <v>347</v>
      </c>
      <c r="B351" s="6" t="n"/>
      <c r="C351" s="7" t="n"/>
      <c r="D351" s="7" t="n"/>
      <c r="E351" s="10" t="n"/>
      <c r="F351" s="9">
        <f>IF(OR(C351="",E351=""),0,IF(C351="Начисление по акту",E351,IF(OR(C351="Оплата",C351="Зачёт аванса по договору"),-E351,IF(C351="Корректировка (подписана обеими сторонами)",E351,0))))</f>
        <v/>
      </c>
      <c r="G351" s="9">
        <f>IF(OR(C351="Удержание",C351="Зачёт встречного требования",C351="Неустойка заявлена"),N(E351),0)</f>
        <v/>
      </c>
      <c r="H351" s="9">
        <f>H350+F351</f>
        <v/>
      </c>
    </row>
    <row r="352">
      <c r="A352" s="5" t="n">
        <v>348</v>
      </c>
      <c r="B352" s="6" t="n"/>
      <c r="C352" s="7" t="n"/>
      <c r="D352" s="7" t="n"/>
      <c r="E352" s="10" t="n"/>
      <c r="F352" s="9">
        <f>IF(OR(C352="",E352=""),0,IF(C352="Начисление по акту",E352,IF(OR(C352="Оплата",C352="Зачёт аванса по договору"),-E352,IF(C352="Корректировка (подписана обеими сторонами)",E352,0))))</f>
        <v/>
      </c>
      <c r="G352" s="9">
        <f>IF(OR(C352="Удержание",C352="Зачёт встречного требования",C352="Неустойка заявлена"),N(E352),0)</f>
        <v/>
      </c>
      <c r="H352" s="9">
        <f>H351+F352</f>
        <v/>
      </c>
    </row>
    <row r="353">
      <c r="A353" s="5" t="n">
        <v>349</v>
      </c>
      <c r="B353" s="6" t="n"/>
      <c r="C353" s="7" t="n"/>
      <c r="D353" s="7" t="n"/>
      <c r="E353" s="10" t="n"/>
      <c r="F353" s="9">
        <f>IF(OR(C353="",E353=""),0,IF(C353="Начисление по акту",E353,IF(OR(C353="Оплата",C353="Зачёт аванса по договору"),-E353,IF(C353="Корректировка (подписана обеими сторонами)",E353,0))))</f>
        <v/>
      </c>
      <c r="G353" s="9">
        <f>IF(OR(C353="Удержание",C353="Зачёт встречного требования",C353="Неустойка заявлена"),N(E353),0)</f>
        <v/>
      </c>
      <c r="H353" s="9">
        <f>H352+F353</f>
        <v/>
      </c>
    </row>
    <row r="354">
      <c r="A354" s="5" t="n">
        <v>350</v>
      </c>
      <c r="B354" s="6" t="n"/>
      <c r="C354" s="7" t="n"/>
      <c r="D354" s="7" t="n"/>
      <c r="E354" s="10" t="n"/>
      <c r="F354" s="9">
        <f>IF(OR(C354="",E354=""),0,IF(C354="Начисление по акту",E354,IF(OR(C354="Оплата",C354="Зачёт аванса по договору"),-E354,IF(C354="Корректировка (подписана обеими сторонами)",E354,0))))</f>
        <v/>
      </c>
      <c r="G354" s="9">
        <f>IF(OR(C354="Удержание",C354="Зачёт встречного требования",C354="Неустойка заявлена"),N(E354),0)</f>
        <v/>
      </c>
      <c r="H354" s="9">
        <f>H353+F354</f>
        <v/>
      </c>
    </row>
    <row r="355">
      <c r="A355" s="5" t="n">
        <v>351</v>
      </c>
      <c r="B355" s="6" t="n"/>
      <c r="C355" s="7" t="n"/>
      <c r="D355" s="7" t="n"/>
      <c r="E355" s="10" t="n"/>
      <c r="F355" s="9">
        <f>IF(OR(C355="",E355=""),0,IF(C355="Начисление по акту",E355,IF(OR(C355="Оплата",C355="Зачёт аванса по договору"),-E355,IF(C355="Корректировка (подписана обеими сторонами)",E355,0))))</f>
        <v/>
      </c>
      <c r="G355" s="9">
        <f>IF(OR(C355="Удержание",C355="Зачёт встречного требования",C355="Неустойка заявлена"),N(E355),0)</f>
        <v/>
      </c>
      <c r="H355" s="9">
        <f>H354+F355</f>
        <v/>
      </c>
    </row>
    <row r="356">
      <c r="A356" s="5" t="n">
        <v>352</v>
      </c>
      <c r="B356" s="6" t="n"/>
      <c r="C356" s="7" t="n"/>
      <c r="D356" s="7" t="n"/>
      <c r="E356" s="10" t="n"/>
      <c r="F356" s="9">
        <f>IF(OR(C356="",E356=""),0,IF(C356="Начисление по акту",E356,IF(OR(C356="Оплата",C356="Зачёт аванса по договору"),-E356,IF(C356="Корректировка (подписана обеими сторонами)",E356,0))))</f>
        <v/>
      </c>
      <c r="G356" s="9">
        <f>IF(OR(C356="Удержание",C356="Зачёт встречного требования",C356="Неустойка заявлена"),N(E356),0)</f>
        <v/>
      </c>
      <c r="H356" s="9">
        <f>H355+F356</f>
        <v/>
      </c>
    </row>
    <row r="357">
      <c r="A357" s="5" t="n">
        <v>353</v>
      </c>
      <c r="B357" s="6" t="n"/>
      <c r="C357" s="7" t="n"/>
      <c r="D357" s="7" t="n"/>
      <c r="E357" s="10" t="n"/>
      <c r="F357" s="9">
        <f>IF(OR(C357="",E357=""),0,IF(C357="Начисление по акту",E357,IF(OR(C357="Оплата",C357="Зачёт аванса по договору"),-E357,IF(C357="Корректировка (подписана обеими сторонами)",E357,0))))</f>
        <v/>
      </c>
      <c r="G357" s="9">
        <f>IF(OR(C357="Удержание",C357="Зачёт встречного требования",C357="Неустойка заявлена"),N(E357),0)</f>
        <v/>
      </c>
      <c r="H357" s="9">
        <f>H356+F357</f>
        <v/>
      </c>
    </row>
    <row r="358">
      <c r="A358" s="5" t="n">
        <v>354</v>
      </c>
      <c r="B358" s="6" t="n"/>
      <c r="C358" s="7" t="n"/>
      <c r="D358" s="7" t="n"/>
      <c r="E358" s="10" t="n"/>
      <c r="F358" s="9">
        <f>IF(OR(C358="",E358=""),0,IF(C358="Начисление по акту",E358,IF(OR(C358="Оплата",C358="Зачёт аванса по договору"),-E358,IF(C358="Корректировка (подписана обеими сторонами)",E358,0))))</f>
        <v/>
      </c>
      <c r="G358" s="9">
        <f>IF(OR(C358="Удержание",C358="Зачёт встречного требования",C358="Неустойка заявлена"),N(E358),0)</f>
        <v/>
      </c>
      <c r="H358" s="9">
        <f>H357+F358</f>
        <v/>
      </c>
    </row>
    <row r="359">
      <c r="A359" s="5" t="n">
        <v>355</v>
      </c>
      <c r="B359" s="6" t="n"/>
      <c r="C359" s="7" t="n"/>
      <c r="D359" s="7" t="n"/>
      <c r="E359" s="10" t="n"/>
      <c r="F359" s="9">
        <f>IF(OR(C359="",E359=""),0,IF(C359="Начисление по акту",E359,IF(OR(C359="Оплата",C359="Зачёт аванса по договору"),-E359,IF(C359="Корректировка (подписана обеими сторонами)",E359,0))))</f>
        <v/>
      </c>
      <c r="G359" s="9">
        <f>IF(OR(C359="Удержание",C359="Зачёт встречного требования",C359="Неустойка заявлена"),N(E359),0)</f>
        <v/>
      </c>
      <c r="H359" s="9">
        <f>H358+F359</f>
        <v/>
      </c>
    </row>
    <row r="360">
      <c r="A360" s="5" t="n">
        <v>356</v>
      </c>
      <c r="B360" s="6" t="n"/>
      <c r="C360" s="7" t="n"/>
      <c r="D360" s="7" t="n"/>
      <c r="E360" s="10" t="n"/>
      <c r="F360" s="9">
        <f>IF(OR(C360="",E360=""),0,IF(C360="Начисление по акту",E360,IF(OR(C360="Оплата",C360="Зачёт аванса по договору"),-E360,IF(C360="Корректировка (подписана обеими сторонами)",E360,0))))</f>
        <v/>
      </c>
      <c r="G360" s="9">
        <f>IF(OR(C360="Удержание",C360="Зачёт встречного требования",C360="Неустойка заявлена"),N(E360),0)</f>
        <v/>
      </c>
      <c r="H360" s="9">
        <f>H359+F360</f>
        <v/>
      </c>
    </row>
    <row r="361">
      <c r="A361" s="5" t="n">
        <v>357</v>
      </c>
      <c r="B361" s="6" t="n"/>
      <c r="C361" s="7" t="n"/>
      <c r="D361" s="7" t="n"/>
      <c r="E361" s="10" t="n"/>
      <c r="F361" s="9">
        <f>IF(OR(C361="",E361=""),0,IF(C361="Начисление по акту",E361,IF(OR(C361="Оплата",C361="Зачёт аванса по договору"),-E361,IF(C361="Корректировка (подписана обеими сторонами)",E361,0))))</f>
        <v/>
      </c>
      <c r="G361" s="9">
        <f>IF(OR(C361="Удержание",C361="Зачёт встречного требования",C361="Неустойка заявлена"),N(E361),0)</f>
        <v/>
      </c>
      <c r="H361" s="9">
        <f>H360+F361</f>
        <v/>
      </c>
    </row>
    <row r="362">
      <c r="A362" s="5" t="n">
        <v>358</v>
      </c>
      <c r="B362" s="6" t="n"/>
      <c r="C362" s="7" t="n"/>
      <c r="D362" s="7" t="n"/>
      <c r="E362" s="10" t="n"/>
      <c r="F362" s="9">
        <f>IF(OR(C362="",E362=""),0,IF(C362="Начисление по акту",E362,IF(OR(C362="Оплата",C362="Зачёт аванса по договору"),-E362,IF(C362="Корректировка (подписана обеими сторонами)",E362,0))))</f>
        <v/>
      </c>
      <c r="G362" s="9">
        <f>IF(OR(C362="Удержание",C362="Зачёт встречного требования",C362="Неустойка заявлена"),N(E362),0)</f>
        <v/>
      </c>
      <c r="H362" s="9">
        <f>H361+F362</f>
        <v/>
      </c>
    </row>
    <row r="363">
      <c r="A363" s="5" t="n">
        <v>359</v>
      </c>
      <c r="B363" s="6" t="n"/>
      <c r="C363" s="7" t="n"/>
      <c r="D363" s="7" t="n"/>
      <c r="E363" s="10" t="n"/>
      <c r="F363" s="9">
        <f>IF(OR(C363="",E363=""),0,IF(C363="Начисление по акту",E363,IF(OR(C363="Оплата",C363="Зачёт аванса по договору"),-E363,IF(C363="Корректировка (подписана обеими сторонами)",E363,0))))</f>
        <v/>
      </c>
      <c r="G363" s="9">
        <f>IF(OR(C363="Удержание",C363="Зачёт встречного требования",C363="Неустойка заявлена"),N(E363),0)</f>
        <v/>
      </c>
      <c r="H363" s="9">
        <f>H362+F363</f>
        <v/>
      </c>
    </row>
    <row r="364">
      <c r="A364" s="5" t="n">
        <v>360</v>
      </c>
      <c r="B364" s="6" t="n"/>
      <c r="C364" s="7" t="n"/>
      <c r="D364" s="7" t="n"/>
      <c r="E364" s="10" t="n"/>
      <c r="F364" s="9">
        <f>IF(OR(C364="",E364=""),0,IF(C364="Начисление по акту",E364,IF(OR(C364="Оплата",C364="Зачёт аванса по договору"),-E364,IF(C364="Корректировка (подписана обеими сторонами)",E364,0))))</f>
        <v/>
      </c>
      <c r="G364" s="9">
        <f>IF(OR(C364="Удержание",C364="Зачёт встречного требования",C364="Неустойка заявлена"),N(E364),0)</f>
        <v/>
      </c>
      <c r="H364" s="9">
        <f>H363+F364</f>
        <v/>
      </c>
    </row>
    <row r="365">
      <c r="A365" s="5" t="n">
        <v>361</v>
      </c>
      <c r="B365" s="6" t="n"/>
      <c r="C365" s="7" t="n"/>
      <c r="D365" s="7" t="n"/>
      <c r="E365" s="10" t="n"/>
      <c r="F365" s="9">
        <f>IF(OR(C365="",E365=""),0,IF(C365="Начисление по акту",E365,IF(OR(C365="Оплата",C365="Зачёт аванса по договору"),-E365,IF(C365="Корректировка (подписана обеими сторонами)",E365,0))))</f>
        <v/>
      </c>
      <c r="G365" s="9">
        <f>IF(OR(C365="Удержание",C365="Зачёт встречного требования",C365="Неустойка заявлена"),N(E365),0)</f>
        <v/>
      </c>
      <c r="H365" s="9">
        <f>H364+F365</f>
        <v/>
      </c>
    </row>
    <row r="366">
      <c r="A366" s="5" t="n">
        <v>362</v>
      </c>
      <c r="B366" s="6" t="n"/>
      <c r="C366" s="7" t="n"/>
      <c r="D366" s="7" t="n"/>
      <c r="E366" s="10" t="n"/>
      <c r="F366" s="9">
        <f>IF(OR(C366="",E366=""),0,IF(C366="Начисление по акту",E366,IF(OR(C366="Оплата",C366="Зачёт аванса по договору"),-E366,IF(C366="Корректировка (подписана обеими сторонами)",E366,0))))</f>
        <v/>
      </c>
      <c r="G366" s="9">
        <f>IF(OR(C366="Удержание",C366="Зачёт встречного требования",C366="Неустойка заявлена"),N(E366),0)</f>
        <v/>
      </c>
      <c r="H366" s="9">
        <f>H365+F366</f>
        <v/>
      </c>
    </row>
    <row r="367">
      <c r="A367" s="5" t="n">
        <v>363</v>
      </c>
      <c r="B367" s="6" t="n"/>
      <c r="C367" s="7" t="n"/>
      <c r="D367" s="7" t="n"/>
      <c r="E367" s="10" t="n"/>
      <c r="F367" s="9">
        <f>IF(OR(C367="",E367=""),0,IF(C367="Начисление по акту",E367,IF(OR(C367="Оплата",C367="Зачёт аванса по договору"),-E367,IF(C367="Корректировка (подписана обеими сторонами)",E367,0))))</f>
        <v/>
      </c>
      <c r="G367" s="9">
        <f>IF(OR(C367="Удержание",C367="Зачёт встречного требования",C367="Неустойка заявлена"),N(E367),0)</f>
        <v/>
      </c>
      <c r="H367" s="9">
        <f>H366+F367</f>
        <v/>
      </c>
    </row>
    <row r="368">
      <c r="A368" s="5" t="n">
        <v>364</v>
      </c>
      <c r="B368" s="6" t="n"/>
      <c r="C368" s="7" t="n"/>
      <c r="D368" s="7" t="n"/>
      <c r="E368" s="10" t="n"/>
      <c r="F368" s="9">
        <f>IF(OR(C368="",E368=""),0,IF(C368="Начисление по акту",E368,IF(OR(C368="Оплата",C368="Зачёт аванса по договору"),-E368,IF(C368="Корректировка (подписана обеими сторонами)",E368,0))))</f>
        <v/>
      </c>
      <c r="G368" s="9">
        <f>IF(OR(C368="Удержание",C368="Зачёт встречного требования",C368="Неустойка заявлена"),N(E368),0)</f>
        <v/>
      </c>
      <c r="H368" s="9">
        <f>H367+F368</f>
        <v/>
      </c>
    </row>
    <row r="369">
      <c r="A369" s="5" t="n">
        <v>365</v>
      </c>
      <c r="B369" s="6" t="n"/>
      <c r="C369" s="7" t="n"/>
      <c r="D369" s="7" t="n"/>
      <c r="E369" s="10" t="n"/>
      <c r="F369" s="9">
        <f>IF(OR(C369="",E369=""),0,IF(C369="Начисление по акту",E369,IF(OR(C369="Оплата",C369="Зачёт аванса по договору"),-E369,IF(C369="Корректировка (подписана обеими сторонами)",E369,0))))</f>
        <v/>
      </c>
      <c r="G369" s="9">
        <f>IF(OR(C369="Удержание",C369="Зачёт встречного требования",C369="Неустойка заявлена"),N(E369),0)</f>
        <v/>
      </c>
      <c r="H369" s="9">
        <f>H368+F369</f>
        <v/>
      </c>
    </row>
    <row r="370">
      <c r="A370" s="5" t="n">
        <v>366</v>
      </c>
      <c r="B370" s="6" t="n"/>
      <c r="C370" s="7" t="n"/>
      <c r="D370" s="7" t="n"/>
      <c r="E370" s="10" t="n"/>
      <c r="F370" s="9">
        <f>IF(OR(C370="",E370=""),0,IF(C370="Начисление по акту",E370,IF(OR(C370="Оплата",C370="Зачёт аванса по договору"),-E370,IF(C370="Корректировка (подписана обеими сторонами)",E370,0))))</f>
        <v/>
      </c>
      <c r="G370" s="9">
        <f>IF(OR(C370="Удержание",C370="Зачёт встречного требования",C370="Неустойка заявлена"),N(E370),0)</f>
        <v/>
      </c>
      <c r="H370" s="9">
        <f>H369+F370</f>
        <v/>
      </c>
    </row>
    <row r="371">
      <c r="A371" s="5" t="n">
        <v>367</v>
      </c>
      <c r="B371" s="6" t="n"/>
      <c r="C371" s="7" t="n"/>
      <c r="D371" s="7" t="n"/>
      <c r="E371" s="10" t="n"/>
      <c r="F371" s="9">
        <f>IF(OR(C371="",E371=""),0,IF(C371="Начисление по акту",E371,IF(OR(C371="Оплата",C371="Зачёт аванса по договору"),-E371,IF(C371="Корректировка (подписана обеими сторонами)",E371,0))))</f>
        <v/>
      </c>
      <c r="G371" s="9">
        <f>IF(OR(C371="Удержание",C371="Зачёт встречного требования",C371="Неустойка заявлена"),N(E371),0)</f>
        <v/>
      </c>
      <c r="H371" s="9">
        <f>H370+F371</f>
        <v/>
      </c>
    </row>
    <row r="372">
      <c r="A372" s="5" t="n">
        <v>368</v>
      </c>
      <c r="B372" s="6" t="n"/>
      <c r="C372" s="7" t="n"/>
      <c r="D372" s="7" t="n"/>
      <c r="E372" s="10" t="n"/>
      <c r="F372" s="9">
        <f>IF(OR(C372="",E372=""),0,IF(C372="Начисление по акту",E372,IF(OR(C372="Оплата",C372="Зачёт аванса по договору"),-E372,IF(C372="Корректировка (подписана обеими сторонами)",E372,0))))</f>
        <v/>
      </c>
      <c r="G372" s="9">
        <f>IF(OR(C372="Удержание",C372="Зачёт встречного требования",C372="Неустойка заявлена"),N(E372),0)</f>
        <v/>
      </c>
      <c r="H372" s="9">
        <f>H371+F372</f>
        <v/>
      </c>
    </row>
    <row r="373">
      <c r="A373" s="5" t="n">
        <v>369</v>
      </c>
      <c r="B373" s="6" t="n"/>
      <c r="C373" s="7" t="n"/>
      <c r="D373" s="7" t="n"/>
      <c r="E373" s="10" t="n"/>
      <c r="F373" s="9">
        <f>IF(OR(C373="",E373=""),0,IF(C373="Начисление по акту",E373,IF(OR(C373="Оплата",C373="Зачёт аванса по договору"),-E373,IF(C373="Корректировка (подписана обеими сторонами)",E373,0))))</f>
        <v/>
      </c>
      <c r="G373" s="9">
        <f>IF(OR(C373="Удержание",C373="Зачёт встречного требования",C373="Неустойка заявлена"),N(E373),0)</f>
        <v/>
      </c>
      <c r="H373" s="9">
        <f>H372+F373</f>
        <v/>
      </c>
    </row>
    <row r="374">
      <c r="A374" s="5" t="n">
        <v>370</v>
      </c>
      <c r="B374" s="6" t="n"/>
      <c r="C374" s="7" t="n"/>
      <c r="D374" s="7" t="n"/>
      <c r="E374" s="10" t="n"/>
      <c r="F374" s="9">
        <f>IF(OR(C374="",E374=""),0,IF(C374="Начисление по акту",E374,IF(OR(C374="Оплата",C374="Зачёт аванса по договору"),-E374,IF(C374="Корректировка (подписана обеими сторонами)",E374,0))))</f>
        <v/>
      </c>
      <c r="G374" s="9">
        <f>IF(OR(C374="Удержание",C374="Зачёт встречного требования",C374="Неустойка заявлена"),N(E374),0)</f>
        <v/>
      </c>
      <c r="H374" s="9">
        <f>H373+F374</f>
        <v/>
      </c>
    </row>
    <row r="375">
      <c r="A375" s="5" t="n">
        <v>371</v>
      </c>
      <c r="B375" s="6" t="n"/>
      <c r="C375" s="7" t="n"/>
      <c r="D375" s="7" t="n"/>
      <c r="E375" s="10" t="n"/>
      <c r="F375" s="9">
        <f>IF(OR(C375="",E375=""),0,IF(C375="Начисление по акту",E375,IF(OR(C375="Оплата",C375="Зачёт аванса по договору"),-E375,IF(C375="Корректировка (подписана обеими сторонами)",E375,0))))</f>
        <v/>
      </c>
      <c r="G375" s="9">
        <f>IF(OR(C375="Удержание",C375="Зачёт встречного требования",C375="Неустойка заявлена"),N(E375),0)</f>
        <v/>
      </c>
      <c r="H375" s="9">
        <f>H374+F375</f>
        <v/>
      </c>
    </row>
    <row r="376">
      <c r="A376" s="5" t="n">
        <v>372</v>
      </c>
      <c r="B376" s="6" t="n"/>
      <c r="C376" s="7" t="n"/>
      <c r="D376" s="7" t="n"/>
      <c r="E376" s="10" t="n"/>
      <c r="F376" s="9">
        <f>IF(OR(C376="",E376=""),0,IF(C376="Начисление по акту",E376,IF(OR(C376="Оплата",C376="Зачёт аванса по договору"),-E376,IF(C376="Корректировка (подписана обеими сторонами)",E376,0))))</f>
        <v/>
      </c>
      <c r="G376" s="9">
        <f>IF(OR(C376="Удержание",C376="Зачёт встречного требования",C376="Неустойка заявлена"),N(E376),0)</f>
        <v/>
      </c>
      <c r="H376" s="9">
        <f>H375+F376</f>
        <v/>
      </c>
    </row>
    <row r="377">
      <c r="A377" s="5" t="n">
        <v>373</v>
      </c>
      <c r="B377" s="6" t="n"/>
      <c r="C377" s="7" t="n"/>
      <c r="D377" s="7" t="n"/>
      <c r="E377" s="10" t="n"/>
      <c r="F377" s="9">
        <f>IF(OR(C377="",E377=""),0,IF(C377="Начисление по акту",E377,IF(OR(C377="Оплата",C377="Зачёт аванса по договору"),-E377,IF(C377="Корректировка (подписана обеими сторонами)",E377,0))))</f>
        <v/>
      </c>
      <c r="G377" s="9">
        <f>IF(OR(C377="Удержание",C377="Зачёт встречного требования",C377="Неустойка заявлена"),N(E377),0)</f>
        <v/>
      </c>
      <c r="H377" s="9">
        <f>H376+F377</f>
        <v/>
      </c>
    </row>
    <row r="378">
      <c r="A378" s="5" t="n">
        <v>374</v>
      </c>
      <c r="B378" s="6" t="n"/>
      <c r="C378" s="7" t="n"/>
      <c r="D378" s="7" t="n"/>
      <c r="E378" s="10" t="n"/>
      <c r="F378" s="9">
        <f>IF(OR(C378="",E378=""),0,IF(C378="Начисление по акту",E378,IF(OR(C378="Оплата",C378="Зачёт аванса по договору"),-E378,IF(C378="Корректировка (подписана обеими сторонами)",E378,0))))</f>
        <v/>
      </c>
      <c r="G378" s="9">
        <f>IF(OR(C378="Удержание",C378="Зачёт встречного требования",C378="Неустойка заявлена"),N(E378),0)</f>
        <v/>
      </c>
      <c r="H378" s="9">
        <f>H377+F378</f>
        <v/>
      </c>
    </row>
    <row r="379">
      <c r="A379" s="5" t="n">
        <v>375</v>
      </c>
      <c r="B379" s="6" t="n"/>
      <c r="C379" s="7" t="n"/>
      <c r="D379" s="7" t="n"/>
      <c r="E379" s="10" t="n"/>
      <c r="F379" s="9">
        <f>IF(OR(C379="",E379=""),0,IF(C379="Начисление по акту",E379,IF(OR(C379="Оплата",C379="Зачёт аванса по договору"),-E379,IF(C379="Корректировка (подписана обеими сторонами)",E379,0))))</f>
        <v/>
      </c>
      <c r="G379" s="9">
        <f>IF(OR(C379="Удержание",C379="Зачёт встречного требования",C379="Неустойка заявлена"),N(E379),0)</f>
        <v/>
      </c>
      <c r="H379" s="9">
        <f>H378+F379</f>
        <v/>
      </c>
    </row>
    <row r="380">
      <c r="A380" s="5" t="n">
        <v>376</v>
      </c>
      <c r="B380" s="6" t="n"/>
      <c r="C380" s="7" t="n"/>
      <c r="D380" s="7" t="n"/>
      <c r="E380" s="10" t="n"/>
      <c r="F380" s="9">
        <f>IF(OR(C380="",E380=""),0,IF(C380="Начисление по акту",E380,IF(OR(C380="Оплата",C380="Зачёт аванса по договору"),-E380,IF(C380="Корректировка (подписана обеими сторонами)",E380,0))))</f>
        <v/>
      </c>
      <c r="G380" s="9">
        <f>IF(OR(C380="Удержание",C380="Зачёт встречного требования",C380="Неустойка заявлена"),N(E380),0)</f>
        <v/>
      </c>
      <c r="H380" s="9">
        <f>H379+F380</f>
        <v/>
      </c>
    </row>
    <row r="381">
      <c r="A381" s="5" t="n">
        <v>377</v>
      </c>
      <c r="B381" s="6" t="n"/>
      <c r="C381" s="7" t="n"/>
      <c r="D381" s="7" t="n"/>
      <c r="E381" s="10" t="n"/>
      <c r="F381" s="9">
        <f>IF(OR(C381="",E381=""),0,IF(C381="Начисление по акту",E381,IF(OR(C381="Оплата",C381="Зачёт аванса по договору"),-E381,IF(C381="Корректировка (подписана обеими сторонами)",E381,0))))</f>
        <v/>
      </c>
      <c r="G381" s="9">
        <f>IF(OR(C381="Удержание",C381="Зачёт встречного требования",C381="Неустойка заявлена"),N(E381),0)</f>
        <v/>
      </c>
      <c r="H381" s="9">
        <f>H380+F381</f>
        <v/>
      </c>
    </row>
    <row r="382">
      <c r="A382" s="5" t="n">
        <v>378</v>
      </c>
      <c r="B382" s="6" t="n"/>
      <c r="C382" s="7" t="n"/>
      <c r="D382" s="7" t="n"/>
      <c r="E382" s="10" t="n"/>
      <c r="F382" s="9">
        <f>IF(OR(C382="",E382=""),0,IF(C382="Начисление по акту",E382,IF(OR(C382="Оплата",C382="Зачёт аванса по договору"),-E382,IF(C382="Корректировка (подписана обеими сторонами)",E382,0))))</f>
        <v/>
      </c>
      <c r="G382" s="9">
        <f>IF(OR(C382="Удержание",C382="Зачёт встречного требования",C382="Неустойка заявлена"),N(E382),0)</f>
        <v/>
      </c>
      <c r="H382" s="9">
        <f>H381+F382</f>
        <v/>
      </c>
    </row>
    <row r="383">
      <c r="A383" s="5" t="n">
        <v>379</v>
      </c>
      <c r="B383" s="6" t="n"/>
      <c r="C383" s="7" t="n"/>
      <c r="D383" s="7" t="n"/>
      <c r="E383" s="10" t="n"/>
      <c r="F383" s="9">
        <f>IF(OR(C383="",E383=""),0,IF(C383="Начисление по акту",E383,IF(OR(C383="Оплата",C383="Зачёт аванса по договору"),-E383,IF(C383="Корректировка (подписана обеими сторонами)",E383,0))))</f>
        <v/>
      </c>
      <c r="G383" s="9">
        <f>IF(OR(C383="Удержание",C383="Зачёт встречного требования",C383="Неустойка заявлена"),N(E383),0)</f>
        <v/>
      </c>
      <c r="H383" s="9">
        <f>H382+F383</f>
        <v/>
      </c>
    </row>
    <row r="384">
      <c r="A384" s="5" t="n">
        <v>380</v>
      </c>
      <c r="B384" s="6" t="n"/>
      <c r="C384" s="7" t="n"/>
      <c r="D384" s="7" t="n"/>
      <c r="E384" s="10" t="n"/>
      <c r="F384" s="9">
        <f>IF(OR(C384="",E384=""),0,IF(C384="Начисление по акту",E384,IF(OR(C384="Оплата",C384="Зачёт аванса по договору"),-E384,IF(C384="Корректировка (подписана обеими сторонами)",E384,0))))</f>
        <v/>
      </c>
      <c r="G384" s="9">
        <f>IF(OR(C384="Удержание",C384="Зачёт встречного требования",C384="Неустойка заявлена"),N(E384),0)</f>
        <v/>
      </c>
      <c r="H384" s="9">
        <f>H383+F384</f>
        <v/>
      </c>
    </row>
    <row r="385">
      <c r="A385" s="5" t="n">
        <v>381</v>
      </c>
      <c r="B385" s="6" t="n"/>
      <c r="C385" s="7" t="n"/>
      <c r="D385" s="7" t="n"/>
      <c r="E385" s="10" t="n"/>
      <c r="F385" s="9">
        <f>IF(OR(C385="",E385=""),0,IF(C385="Начисление по акту",E385,IF(OR(C385="Оплата",C385="Зачёт аванса по договору"),-E385,IF(C385="Корректировка (подписана обеими сторонами)",E385,0))))</f>
        <v/>
      </c>
      <c r="G385" s="9">
        <f>IF(OR(C385="Удержание",C385="Зачёт встречного требования",C385="Неустойка заявлена"),N(E385),0)</f>
        <v/>
      </c>
      <c r="H385" s="9">
        <f>H384+F385</f>
        <v/>
      </c>
    </row>
    <row r="386">
      <c r="A386" s="5" t="n">
        <v>382</v>
      </c>
      <c r="B386" s="6" t="n"/>
      <c r="C386" s="7" t="n"/>
      <c r="D386" s="7" t="n"/>
      <c r="E386" s="10" t="n"/>
      <c r="F386" s="9">
        <f>IF(OR(C386="",E386=""),0,IF(C386="Начисление по акту",E386,IF(OR(C386="Оплата",C386="Зачёт аванса по договору"),-E386,IF(C386="Корректировка (подписана обеими сторонами)",E386,0))))</f>
        <v/>
      </c>
      <c r="G386" s="9">
        <f>IF(OR(C386="Удержание",C386="Зачёт встречного требования",C386="Неустойка заявлена"),N(E386),0)</f>
        <v/>
      </c>
      <c r="H386" s="9">
        <f>H385+F386</f>
        <v/>
      </c>
    </row>
    <row r="387">
      <c r="A387" s="5" t="n">
        <v>383</v>
      </c>
      <c r="B387" s="6" t="n"/>
      <c r="C387" s="7" t="n"/>
      <c r="D387" s="7" t="n"/>
      <c r="E387" s="10" t="n"/>
      <c r="F387" s="9">
        <f>IF(OR(C387="",E387=""),0,IF(C387="Начисление по акту",E387,IF(OR(C387="Оплата",C387="Зачёт аванса по договору"),-E387,IF(C387="Корректировка (подписана обеими сторонами)",E387,0))))</f>
        <v/>
      </c>
      <c r="G387" s="9">
        <f>IF(OR(C387="Удержание",C387="Зачёт встречного требования",C387="Неустойка заявлена"),N(E387),0)</f>
        <v/>
      </c>
      <c r="H387" s="9">
        <f>H386+F387</f>
        <v/>
      </c>
    </row>
    <row r="388">
      <c r="A388" s="5" t="n">
        <v>384</v>
      </c>
      <c r="B388" s="6" t="n"/>
      <c r="C388" s="7" t="n"/>
      <c r="D388" s="7" t="n"/>
      <c r="E388" s="10" t="n"/>
      <c r="F388" s="9">
        <f>IF(OR(C388="",E388=""),0,IF(C388="Начисление по акту",E388,IF(OR(C388="Оплата",C388="Зачёт аванса по договору"),-E388,IF(C388="Корректировка (подписана обеими сторонами)",E388,0))))</f>
        <v/>
      </c>
      <c r="G388" s="9">
        <f>IF(OR(C388="Удержание",C388="Зачёт встречного требования",C388="Неустойка заявлена"),N(E388),0)</f>
        <v/>
      </c>
      <c r="H388" s="9">
        <f>H387+F388</f>
        <v/>
      </c>
    </row>
    <row r="389">
      <c r="A389" s="5" t="n">
        <v>385</v>
      </c>
      <c r="B389" s="6" t="n"/>
      <c r="C389" s="7" t="n"/>
      <c r="D389" s="7" t="n"/>
      <c r="E389" s="10" t="n"/>
      <c r="F389" s="9">
        <f>IF(OR(C389="",E389=""),0,IF(C389="Начисление по акту",E389,IF(OR(C389="Оплата",C389="Зачёт аванса по договору"),-E389,IF(C389="Корректировка (подписана обеими сторонами)",E389,0))))</f>
        <v/>
      </c>
      <c r="G389" s="9">
        <f>IF(OR(C389="Удержание",C389="Зачёт встречного требования",C389="Неустойка заявлена"),N(E389),0)</f>
        <v/>
      </c>
      <c r="H389" s="9">
        <f>H388+F389</f>
        <v/>
      </c>
    </row>
    <row r="390">
      <c r="A390" s="5" t="n">
        <v>386</v>
      </c>
      <c r="B390" s="6" t="n"/>
      <c r="C390" s="7" t="n"/>
      <c r="D390" s="7" t="n"/>
      <c r="E390" s="10" t="n"/>
      <c r="F390" s="9">
        <f>IF(OR(C390="",E390=""),0,IF(C390="Начисление по акту",E390,IF(OR(C390="Оплата",C390="Зачёт аванса по договору"),-E390,IF(C390="Корректировка (подписана обеими сторонами)",E390,0))))</f>
        <v/>
      </c>
      <c r="G390" s="9">
        <f>IF(OR(C390="Удержание",C390="Зачёт встречного требования",C390="Неустойка заявлена"),N(E390),0)</f>
        <v/>
      </c>
      <c r="H390" s="9">
        <f>H389+F390</f>
        <v/>
      </c>
    </row>
    <row r="391">
      <c r="A391" s="5" t="n">
        <v>387</v>
      </c>
      <c r="B391" s="6" t="n"/>
      <c r="C391" s="7" t="n"/>
      <c r="D391" s="7" t="n"/>
      <c r="E391" s="10" t="n"/>
      <c r="F391" s="9">
        <f>IF(OR(C391="",E391=""),0,IF(C391="Начисление по акту",E391,IF(OR(C391="Оплата",C391="Зачёт аванса по договору"),-E391,IF(C391="Корректировка (подписана обеими сторонами)",E391,0))))</f>
        <v/>
      </c>
      <c r="G391" s="9">
        <f>IF(OR(C391="Удержание",C391="Зачёт встречного требования",C391="Неустойка заявлена"),N(E391),0)</f>
        <v/>
      </c>
      <c r="H391" s="9">
        <f>H390+F391</f>
        <v/>
      </c>
    </row>
    <row r="392">
      <c r="A392" s="5" t="n">
        <v>388</v>
      </c>
      <c r="B392" s="6" t="n"/>
      <c r="C392" s="7" t="n"/>
      <c r="D392" s="7" t="n"/>
      <c r="E392" s="10" t="n"/>
      <c r="F392" s="9">
        <f>IF(OR(C392="",E392=""),0,IF(C392="Начисление по акту",E392,IF(OR(C392="Оплата",C392="Зачёт аванса по договору"),-E392,IF(C392="Корректировка (подписана обеими сторонами)",E392,0))))</f>
        <v/>
      </c>
      <c r="G392" s="9">
        <f>IF(OR(C392="Удержание",C392="Зачёт встречного требования",C392="Неустойка заявлена"),N(E392),0)</f>
        <v/>
      </c>
      <c r="H392" s="9">
        <f>H391+F392</f>
        <v/>
      </c>
    </row>
    <row r="393">
      <c r="A393" s="5" t="n">
        <v>389</v>
      </c>
      <c r="B393" s="6" t="n"/>
      <c r="C393" s="7" t="n"/>
      <c r="D393" s="7" t="n"/>
      <c r="E393" s="10" t="n"/>
      <c r="F393" s="9">
        <f>IF(OR(C393="",E393=""),0,IF(C393="Начисление по акту",E393,IF(OR(C393="Оплата",C393="Зачёт аванса по договору"),-E393,IF(C393="Корректировка (подписана обеими сторонами)",E393,0))))</f>
        <v/>
      </c>
      <c r="G393" s="9">
        <f>IF(OR(C393="Удержание",C393="Зачёт встречного требования",C393="Неустойка заявлена"),N(E393),0)</f>
        <v/>
      </c>
      <c r="H393" s="9">
        <f>H392+F393</f>
        <v/>
      </c>
    </row>
    <row r="394">
      <c r="A394" s="5" t="n">
        <v>390</v>
      </c>
      <c r="B394" s="6" t="n"/>
      <c r="C394" s="7" t="n"/>
      <c r="D394" s="7" t="n"/>
      <c r="E394" s="10" t="n"/>
      <c r="F394" s="9">
        <f>IF(OR(C394="",E394=""),0,IF(C394="Начисление по акту",E394,IF(OR(C394="Оплата",C394="Зачёт аванса по договору"),-E394,IF(C394="Корректировка (подписана обеими сторонами)",E394,0))))</f>
        <v/>
      </c>
      <c r="G394" s="9">
        <f>IF(OR(C394="Удержание",C394="Зачёт встречного требования",C394="Неустойка заявлена"),N(E394),0)</f>
        <v/>
      </c>
      <c r="H394" s="9">
        <f>H393+F394</f>
        <v/>
      </c>
    </row>
    <row r="395">
      <c r="A395" s="5" t="n">
        <v>391</v>
      </c>
      <c r="B395" s="6" t="n"/>
      <c r="C395" s="7" t="n"/>
      <c r="D395" s="7" t="n"/>
      <c r="E395" s="10" t="n"/>
      <c r="F395" s="9">
        <f>IF(OR(C395="",E395=""),0,IF(C395="Начисление по акту",E395,IF(OR(C395="Оплата",C395="Зачёт аванса по договору"),-E395,IF(C395="Корректировка (подписана обеими сторонами)",E395,0))))</f>
        <v/>
      </c>
      <c r="G395" s="9">
        <f>IF(OR(C395="Удержание",C395="Зачёт встречного требования",C395="Неустойка заявлена"),N(E395),0)</f>
        <v/>
      </c>
      <c r="H395" s="9">
        <f>H394+F395</f>
        <v/>
      </c>
    </row>
    <row r="396">
      <c r="A396" s="5" t="n">
        <v>392</v>
      </c>
      <c r="B396" s="6" t="n"/>
      <c r="C396" s="7" t="n"/>
      <c r="D396" s="7" t="n"/>
      <c r="E396" s="10" t="n"/>
      <c r="F396" s="9">
        <f>IF(OR(C396="",E396=""),0,IF(C396="Начисление по акту",E396,IF(OR(C396="Оплата",C396="Зачёт аванса по договору"),-E396,IF(C396="Корректировка (подписана обеими сторонами)",E396,0))))</f>
        <v/>
      </c>
      <c r="G396" s="9">
        <f>IF(OR(C396="Удержание",C396="Зачёт встречного требования",C396="Неустойка заявлена"),N(E396),0)</f>
        <v/>
      </c>
      <c r="H396" s="9">
        <f>H395+F396</f>
        <v/>
      </c>
    </row>
    <row r="397">
      <c r="A397" s="5" t="n">
        <v>393</v>
      </c>
      <c r="B397" s="6" t="n"/>
      <c r="C397" s="7" t="n"/>
      <c r="D397" s="7" t="n"/>
      <c r="E397" s="10" t="n"/>
      <c r="F397" s="9">
        <f>IF(OR(C397="",E397=""),0,IF(C397="Начисление по акту",E397,IF(OR(C397="Оплата",C397="Зачёт аванса по договору"),-E397,IF(C397="Корректировка (подписана обеими сторонами)",E397,0))))</f>
        <v/>
      </c>
      <c r="G397" s="9">
        <f>IF(OR(C397="Удержание",C397="Зачёт встречного требования",C397="Неустойка заявлена"),N(E397),0)</f>
        <v/>
      </c>
      <c r="H397" s="9">
        <f>H396+F397</f>
        <v/>
      </c>
    </row>
    <row r="398">
      <c r="A398" s="5" t="n">
        <v>394</v>
      </c>
      <c r="B398" s="6" t="n"/>
      <c r="C398" s="7" t="n"/>
      <c r="D398" s="7" t="n"/>
      <c r="E398" s="10" t="n"/>
      <c r="F398" s="9">
        <f>IF(OR(C398="",E398=""),0,IF(C398="Начисление по акту",E398,IF(OR(C398="Оплата",C398="Зачёт аванса по договору"),-E398,IF(C398="Корректировка (подписана обеими сторонами)",E398,0))))</f>
        <v/>
      </c>
      <c r="G398" s="9">
        <f>IF(OR(C398="Удержание",C398="Зачёт встречного требования",C398="Неустойка заявлена"),N(E398),0)</f>
        <v/>
      </c>
      <c r="H398" s="9">
        <f>H397+F398</f>
        <v/>
      </c>
    </row>
    <row r="399">
      <c r="A399" s="5" t="n">
        <v>395</v>
      </c>
      <c r="B399" s="6" t="n"/>
      <c r="C399" s="7" t="n"/>
      <c r="D399" s="7" t="n"/>
      <c r="E399" s="10" t="n"/>
      <c r="F399" s="9">
        <f>IF(OR(C399="",E399=""),0,IF(C399="Начисление по акту",E399,IF(OR(C399="Оплата",C399="Зачёт аванса по договору"),-E399,IF(C399="Корректировка (подписана обеими сторонами)",E399,0))))</f>
        <v/>
      </c>
      <c r="G399" s="9">
        <f>IF(OR(C399="Удержание",C399="Зачёт встречного требования",C399="Неустойка заявлена"),N(E399),0)</f>
        <v/>
      </c>
      <c r="H399" s="9">
        <f>H398+F399</f>
        <v/>
      </c>
    </row>
    <row r="400">
      <c r="A400" s="5" t="n">
        <v>396</v>
      </c>
      <c r="B400" s="6" t="n"/>
      <c r="C400" s="7" t="n"/>
      <c r="D400" s="7" t="n"/>
      <c r="E400" s="10" t="n"/>
      <c r="F400" s="9">
        <f>IF(OR(C400="",E400=""),0,IF(C400="Начисление по акту",E400,IF(OR(C400="Оплата",C400="Зачёт аванса по договору"),-E400,IF(C400="Корректировка (подписана обеими сторонами)",E400,0))))</f>
        <v/>
      </c>
      <c r="G400" s="9">
        <f>IF(OR(C400="Удержание",C400="Зачёт встречного требования",C400="Неустойка заявлена"),N(E400),0)</f>
        <v/>
      </c>
      <c r="H400" s="9">
        <f>H399+F400</f>
        <v/>
      </c>
    </row>
    <row r="401">
      <c r="A401" s="5" t="n">
        <v>397</v>
      </c>
      <c r="B401" s="6" t="n"/>
      <c r="C401" s="7" t="n"/>
      <c r="D401" s="7" t="n"/>
      <c r="E401" s="10" t="n"/>
      <c r="F401" s="9">
        <f>IF(OR(C401="",E401=""),0,IF(C401="Начисление по акту",E401,IF(OR(C401="Оплата",C401="Зачёт аванса по договору"),-E401,IF(C401="Корректировка (подписана обеими сторонами)",E401,0))))</f>
        <v/>
      </c>
      <c r="G401" s="9">
        <f>IF(OR(C401="Удержание",C401="Зачёт встречного требования",C401="Неустойка заявлена"),N(E401),0)</f>
        <v/>
      </c>
      <c r="H401" s="9">
        <f>H400+F401</f>
        <v/>
      </c>
    </row>
    <row r="402">
      <c r="A402" s="5" t="n">
        <v>398</v>
      </c>
      <c r="B402" s="6" t="n"/>
      <c r="C402" s="7" t="n"/>
      <c r="D402" s="7" t="n"/>
      <c r="E402" s="10" t="n"/>
      <c r="F402" s="9">
        <f>IF(OR(C402="",E402=""),0,IF(C402="Начисление по акту",E402,IF(OR(C402="Оплата",C402="Зачёт аванса по договору"),-E402,IF(C402="Корректировка (подписана обеими сторонами)",E402,0))))</f>
        <v/>
      </c>
      <c r="G402" s="9">
        <f>IF(OR(C402="Удержание",C402="Зачёт встречного требования",C402="Неустойка заявлена"),N(E402),0)</f>
        <v/>
      </c>
      <c r="H402" s="9">
        <f>H401+F402</f>
        <v/>
      </c>
    </row>
    <row r="403">
      <c r="A403" s="5" t="n">
        <v>399</v>
      </c>
      <c r="B403" s="6" t="n"/>
      <c r="C403" s="7" t="n"/>
      <c r="D403" s="7" t="n"/>
      <c r="E403" s="10" t="n"/>
      <c r="F403" s="9">
        <f>IF(OR(C403="",E403=""),0,IF(C403="Начисление по акту",E403,IF(OR(C403="Оплата",C403="Зачёт аванса по договору"),-E403,IF(C403="Корректировка (подписана обеими сторонами)",E403,0))))</f>
        <v/>
      </c>
      <c r="G403" s="9">
        <f>IF(OR(C403="Удержание",C403="Зачёт встречного требования",C403="Неустойка заявлена"),N(E403),0)</f>
        <v/>
      </c>
      <c r="H403" s="9">
        <f>H402+F403</f>
        <v/>
      </c>
    </row>
    <row r="404">
      <c r="A404" s="5" t="n">
        <v>400</v>
      </c>
      <c r="B404" s="6" t="n"/>
      <c r="C404" s="7" t="n"/>
      <c r="D404" s="7" t="n"/>
      <c r="E404" s="10" t="n"/>
      <c r="F404" s="9">
        <f>IF(OR(C404="",E404=""),0,IF(C404="Начисление по акту",E404,IF(OR(C404="Оплата",C404="Зачёт аванса по договору"),-E404,IF(C404="Корректировка (подписана обеими сторонами)",E404,0))))</f>
        <v/>
      </c>
      <c r="G404" s="9">
        <f>IF(OR(C404="Удержание",C404="Зачёт встречного требования",C404="Неустойка заявлена"),N(E404),0)</f>
        <v/>
      </c>
      <c r="H404" s="9">
        <f>H403+F404</f>
        <v/>
      </c>
    </row>
    <row r="405">
      <c r="A405" s="5" t="n">
        <v>401</v>
      </c>
      <c r="B405" s="6" t="n"/>
      <c r="C405" s="7" t="n"/>
      <c r="D405" s="7" t="n"/>
      <c r="E405" s="10" t="n"/>
      <c r="F405" s="9">
        <f>IF(OR(C405="",E405=""),0,IF(C405="Начисление по акту",E405,IF(OR(C405="Оплата",C405="Зачёт аванса по договору"),-E405,IF(C405="Корректировка (подписана обеими сторонами)",E405,0))))</f>
        <v/>
      </c>
      <c r="G405" s="9">
        <f>IF(OR(C405="Удержание",C405="Зачёт встречного требования",C405="Неустойка заявлена"),N(E405),0)</f>
        <v/>
      </c>
      <c r="H405" s="9">
        <f>H404+F405</f>
        <v/>
      </c>
    </row>
    <row r="406">
      <c r="A406" s="5" t="n">
        <v>402</v>
      </c>
      <c r="B406" s="6" t="n"/>
      <c r="C406" s="7" t="n"/>
      <c r="D406" s="7" t="n"/>
      <c r="E406" s="10" t="n"/>
      <c r="F406" s="9">
        <f>IF(OR(C406="",E406=""),0,IF(C406="Начисление по акту",E406,IF(OR(C406="Оплата",C406="Зачёт аванса по договору"),-E406,IF(C406="Корректировка (подписана обеими сторонами)",E406,0))))</f>
        <v/>
      </c>
      <c r="G406" s="9">
        <f>IF(OR(C406="Удержание",C406="Зачёт встречного требования",C406="Неустойка заявлена"),N(E406),0)</f>
        <v/>
      </c>
      <c r="H406" s="9">
        <f>H405+F406</f>
        <v/>
      </c>
    </row>
    <row r="407">
      <c r="A407" s="5" t="n">
        <v>403</v>
      </c>
      <c r="B407" s="6" t="n"/>
      <c r="C407" s="7" t="n"/>
      <c r="D407" s="7" t="n"/>
      <c r="E407" s="10" t="n"/>
      <c r="F407" s="9">
        <f>IF(OR(C407="",E407=""),0,IF(C407="Начисление по акту",E407,IF(OR(C407="Оплата",C407="Зачёт аванса по договору"),-E407,IF(C407="Корректировка (подписана обеими сторонами)",E407,0))))</f>
        <v/>
      </c>
      <c r="G407" s="9">
        <f>IF(OR(C407="Удержание",C407="Зачёт встречного требования",C407="Неустойка заявлена"),N(E407),0)</f>
        <v/>
      </c>
      <c r="H407" s="9">
        <f>H406+F407</f>
        <v/>
      </c>
    </row>
    <row r="408">
      <c r="A408" s="5" t="n">
        <v>404</v>
      </c>
      <c r="B408" s="6" t="n"/>
      <c r="C408" s="7" t="n"/>
      <c r="D408" s="7" t="n"/>
      <c r="E408" s="10" t="n"/>
      <c r="F408" s="9">
        <f>IF(OR(C408="",E408=""),0,IF(C408="Начисление по акту",E408,IF(OR(C408="Оплата",C408="Зачёт аванса по договору"),-E408,IF(C408="Корректировка (подписана обеими сторонами)",E408,0))))</f>
        <v/>
      </c>
      <c r="G408" s="9">
        <f>IF(OR(C408="Удержание",C408="Зачёт встречного требования",C408="Неустойка заявлена"),N(E408),0)</f>
        <v/>
      </c>
      <c r="H408" s="9">
        <f>H407+F408</f>
        <v/>
      </c>
    </row>
    <row r="409">
      <c r="A409" s="5" t="n">
        <v>405</v>
      </c>
      <c r="B409" s="6" t="n"/>
      <c r="C409" s="7" t="n"/>
      <c r="D409" s="7" t="n"/>
      <c r="E409" s="10" t="n"/>
      <c r="F409" s="9">
        <f>IF(OR(C409="",E409=""),0,IF(C409="Начисление по акту",E409,IF(OR(C409="Оплата",C409="Зачёт аванса по договору"),-E409,IF(C409="Корректировка (подписана обеими сторонами)",E409,0))))</f>
        <v/>
      </c>
      <c r="G409" s="9">
        <f>IF(OR(C409="Удержание",C409="Зачёт встречного требования",C409="Неустойка заявлена"),N(E409),0)</f>
        <v/>
      </c>
      <c r="H409" s="9">
        <f>H408+F409</f>
        <v/>
      </c>
    </row>
    <row r="410">
      <c r="A410" s="5" t="n">
        <v>406</v>
      </c>
      <c r="B410" s="6" t="n"/>
      <c r="C410" s="7" t="n"/>
      <c r="D410" s="7" t="n"/>
      <c r="E410" s="10" t="n"/>
      <c r="F410" s="9">
        <f>IF(OR(C410="",E410=""),0,IF(C410="Начисление по акту",E410,IF(OR(C410="Оплата",C410="Зачёт аванса по договору"),-E410,IF(C410="Корректировка (подписана обеими сторонами)",E410,0))))</f>
        <v/>
      </c>
      <c r="G410" s="9">
        <f>IF(OR(C410="Удержание",C410="Зачёт встречного требования",C410="Неустойка заявлена"),N(E410),0)</f>
        <v/>
      </c>
      <c r="H410" s="9">
        <f>H409+F410</f>
        <v/>
      </c>
    </row>
    <row r="411">
      <c r="A411" s="5" t="n">
        <v>407</v>
      </c>
      <c r="B411" s="6" t="n"/>
      <c r="C411" s="7" t="n"/>
      <c r="D411" s="7" t="n"/>
      <c r="E411" s="10" t="n"/>
      <c r="F411" s="9">
        <f>IF(OR(C411="",E411=""),0,IF(C411="Начисление по акту",E411,IF(OR(C411="Оплата",C411="Зачёт аванса по договору"),-E411,IF(C411="Корректировка (подписана обеими сторонами)",E411,0))))</f>
        <v/>
      </c>
      <c r="G411" s="9">
        <f>IF(OR(C411="Удержание",C411="Зачёт встречного требования",C411="Неустойка заявлена"),N(E411),0)</f>
        <v/>
      </c>
      <c r="H411" s="9">
        <f>H410+F411</f>
        <v/>
      </c>
    </row>
    <row r="412">
      <c r="A412" s="5" t="n">
        <v>408</v>
      </c>
      <c r="B412" s="6" t="n"/>
      <c r="C412" s="7" t="n"/>
      <c r="D412" s="7" t="n"/>
      <c r="E412" s="10" t="n"/>
      <c r="F412" s="9">
        <f>IF(OR(C412="",E412=""),0,IF(C412="Начисление по акту",E412,IF(OR(C412="Оплата",C412="Зачёт аванса по договору"),-E412,IF(C412="Корректировка (подписана обеими сторонами)",E412,0))))</f>
        <v/>
      </c>
      <c r="G412" s="9">
        <f>IF(OR(C412="Удержание",C412="Зачёт встречного требования",C412="Неустойка заявлена"),N(E412),0)</f>
        <v/>
      </c>
      <c r="H412" s="9">
        <f>H411+F412</f>
        <v/>
      </c>
    </row>
    <row r="413">
      <c r="A413" s="5" t="n">
        <v>409</v>
      </c>
      <c r="B413" s="6" t="n"/>
      <c r="C413" s="7" t="n"/>
      <c r="D413" s="7" t="n"/>
      <c r="E413" s="10" t="n"/>
      <c r="F413" s="9">
        <f>IF(OR(C413="",E413=""),0,IF(C413="Начисление по акту",E413,IF(OR(C413="Оплата",C413="Зачёт аванса по договору"),-E413,IF(C413="Корректировка (подписана обеими сторонами)",E413,0))))</f>
        <v/>
      </c>
      <c r="G413" s="9">
        <f>IF(OR(C413="Удержание",C413="Зачёт встречного требования",C413="Неустойка заявлена"),N(E413),0)</f>
        <v/>
      </c>
      <c r="H413" s="9">
        <f>H412+F413</f>
        <v/>
      </c>
    </row>
    <row r="414">
      <c r="A414" s="5" t="n">
        <v>410</v>
      </c>
      <c r="B414" s="6" t="n"/>
      <c r="C414" s="7" t="n"/>
      <c r="D414" s="7" t="n"/>
      <c r="E414" s="10" t="n"/>
      <c r="F414" s="9">
        <f>IF(OR(C414="",E414=""),0,IF(C414="Начисление по акту",E414,IF(OR(C414="Оплата",C414="Зачёт аванса по договору"),-E414,IF(C414="Корректировка (подписана обеими сторонами)",E414,0))))</f>
        <v/>
      </c>
      <c r="G414" s="9">
        <f>IF(OR(C414="Удержание",C414="Зачёт встречного требования",C414="Неустойка заявлена"),N(E414),0)</f>
        <v/>
      </c>
      <c r="H414" s="9">
        <f>H413+F414</f>
        <v/>
      </c>
    </row>
    <row r="415">
      <c r="A415" s="5" t="n">
        <v>411</v>
      </c>
      <c r="B415" s="6" t="n"/>
      <c r="C415" s="7" t="n"/>
      <c r="D415" s="7" t="n"/>
      <c r="E415" s="10" t="n"/>
      <c r="F415" s="9">
        <f>IF(OR(C415="",E415=""),0,IF(C415="Начисление по акту",E415,IF(OR(C415="Оплата",C415="Зачёт аванса по договору"),-E415,IF(C415="Корректировка (подписана обеими сторонами)",E415,0))))</f>
        <v/>
      </c>
      <c r="G415" s="9">
        <f>IF(OR(C415="Удержание",C415="Зачёт встречного требования",C415="Неустойка заявлена"),N(E415),0)</f>
        <v/>
      </c>
      <c r="H415" s="9">
        <f>H414+F415</f>
        <v/>
      </c>
    </row>
    <row r="416">
      <c r="A416" s="5" t="n">
        <v>412</v>
      </c>
      <c r="B416" s="6" t="n"/>
      <c r="C416" s="7" t="n"/>
      <c r="D416" s="7" t="n"/>
      <c r="E416" s="10" t="n"/>
      <c r="F416" s="9">
        <f>IF(OR(C416="",E416=""),0,IF(C416="Начисление по акту",E416,IF(OR(C416="Оплата",C416="Зачёт аванса по договору"),-E416,IF(C416="Корректировка (подписана обеими сторонами)",E416,0))))</f>
        <v/>
      </c>
      <c r="G416" s="9">
        <f>IF(OR(C416="Удержание",C416="Зачёт встречного требования",C416="Неустойка заявлена"),N(E416),0)</f>
        <v/>
      </c>
      <c r="H416" s="9">
        <f>H415+F416</f>
        <v/>
      </c>
    </row>
    <row r="417">
      <c r="A417" s="5" t="n">
        <v>413</v>
      </c>
      <c r="B417" s="6" t="n"/>
      <c r="C417" s="7" t="n"/>
      <c r="D417" s="7" t="n"/>
      <c r="E417" s="10" t="n"/>
      <c r="F417" s="9">
        <f>IF(OR(C417="",E417=""),0,IF(C417="Начисление по акту",E417,IF(OR(C417="Оплата",C417="Зачёт аванса по договору"),-E417,IF(C417="Корректировка (подписана обеими сторонами)",E417,0))))</f>
        <v/>
      </c>
      <c r="G417" s="9">
        <f>IF(OR(C417="Удержание",C417="Зачёт встречного требования",C417="Неустойка заявлена"),N(E417),0)</f>
        <v/>
      </c>
      <c r="H417" s="9">
        <f>H416+F417</f>
        <v/>
      </c>
    </row>
    <row r="418">
      <c r="A418" s="5" t="n">
        <v>414</v>
      </c>
      <c r="B418" s="6" t="n"/>
      <c r="C418" s="7" t="n"/>
      <c r="D418" s="7" t="n"/>
      <c r="E418" s="10" t="n"/>
      <c r="F418" s="9">
        <f>IF(OR(C418="",E418=""),0,IF(C418="Начисление по акту",E418,IF(OR(C418="Оплата",C418="Зачёт аванса по договору"),-E418,IF(C418="Корректировка (подписана обеими сторонами)",E418,0))))</f>
        <v/>
      </c>
      <c r="G418" s="9">
        <f>IF(OR(C418="Удержание",C418="Зачёт встречного требования",C418="Неустойка заявлена"),N(E418),0)</f>
        <v/>
      </c>
      <c r="H418" s="9">
        <f>H417+F418</f>
        <v/>
      </c>
    </row>
    <row r="419">
      <c r="A419" s="5" t="n">
        <v>415</v>
      </c>
      <c r="B419" s="6" t="n"/>
      <c r="C419" s="7" t="n"/>
      <c r="D419" s="7" t="n"/>
      <c r="E419" s="10" t="n"/>
      <c r="F419" s="9">
        <f>IF(OR(C419="",E419=""),0,IF(C419="Начисление по акту",E419,IF(OR(C419="Оплата",C419="Зачёт аванса по договору"),-E419,IF(C419="Корректировка (подписана обеими сторонами)",E419,0))))</f>
        <v/>
      </c>
      <c r="G419" s="9">
        <f>IF(OR(C419="Удержание",C419="Зачёт встречного требования",C419="Неустойка заявлена"),N(E419),0)</f>
        <v/>
      </c>
      <c r="H419" s="9">
        <f>H418+F419</f>
        <v/>
      </c>
    </row>
    <row r="420">
      <c r="A420" s="5" t="n">
        <v>416</v>
      </c>
      <c r="B420" s="6" t="n"/>
      <c r="C420" s="7" t="n"/>
      <c r="D420" s="7" t="n"/>
      <c r="E420" s="10" t="n"/>
      <c r="F420" s="9">
        <f>IF(OR(C420="",E420=""),0,IF(C420="Начисление по акту",E420,IF(OR(C420="Оплата",C420="Зачёт аванса по договору"),-E420,IF(C420="Корректировка (подписана обеими сторонами)",E420,0))))</f>
        <v/>
      </c>
      <c r="G420" s="9">
        <f>IF(OR(C420="Удержание",C420="Зачёт встречного требования",C420="Неустойка заявлена"),N(E420),0)</f>
        <v/>
      </c>
      <c r="H420" s="9">
        <f>H419+F420</f>
        <v/>
      </c>
    </row>
    <row r="421">
      <c r="A421" s="5" t="n">
        <v>417</v>
      </c>
      <c r="B421" s="6" t="n"/>
      <c r="C421" s="7" t="n"/>
      <c r="D421" s="7" t="n"/>
      <c r="E421" s="10" t="n"/>
      <c r="F421" s="9">
        <f>IF(OR(C421="",E421=""),0,IF(C421="Начисление по акту",E421,IF(OR(C421="Оплата",C421="Зачёт аванса по договору"),-E421,IF(C421="Корректировка (подписана обеими сторонами)",E421,0))))</f>
        <v/>
      </c>
      <c r="G421" s="9">
        <f>IF(OR(C421="Удержание",C421="Зачёт встречного требования",C421="Неустойка заявлена"),N(E421),0)</f>
        <v/>
      </c>
      <c r="H421" s="9">
        <f>H420+F421</f>
        <v/>
      </c>
    </row>
    <row r="422">
      <c r="A422" s="5" t="n">
        <v>418</v>
      </c>
      <c r="B422" s="6" t="n"/>
      <c r="C422" s="7" t="n"/>
      <c r="D422" s="7" t="n"/>
      <c r="E422" s="10" t="n"/>
      <c r="F422" s="9">
        <f>IF(OR(C422="",E422=""),0,IF(C422="Начисление по акту",E422,IF(OR(C422="Оплата",C422="Зачёт аванса по договору"),-E422,IF(C422="Корректировка (подписана обеими сторонами)",E422,0))))</f>
        <v/>
      </c>
      <c r="G422" s="9">
        <f>IF(OR(C422="Удержание",C422="Зачёт встречного требования",C422="Неустойка заявлена"),N(E422),0)</f>
        <v/>
      </c>
      <c r="H422" s="9">
        <f>H421+F422</f>
        <v/>
      </c>
    </row>
    <row r="423">
      <c r="A423" s="5" t="n">
        <v>419</v>
      </c>
      <c r="B423" s="6" t="n"/>
      <c r="C423" s="7" t="n"/>
      <c r="D423" s="7" t="n"/>
      <c r="E423" s="10" t="n"/>
      <c r="F423" s="9">
        <f>IF(OR(C423="",E423=""),0,IF(C423="Начисление по акту",E423,IF(OR(C423="Оплата",C423="Зачёт аванса по договору"),-E423,IF(C423="Корректировка (подписана обеими сторонами)",E423,0))))</f>
        <v/>
      </c>
      <c r="G423" s="9">
        <f>IF(OR(C423="Удержание",C423="Зачёт встречного требования",C423="Неустойка заявлена"),N(E423),0)</f>
        <v/>
      </c>
      <c r="H423" s="9">
        <f>H422+F423</f>
        <v/>
      </c>
    </row>
    <row r="424">
      <c r="A424" s="5" t="n">
        <v>420</v>
      </c>
      <c r="B424" s="6" t="n"/>
      <c r="C424" s="7" t="n"/>
      <c r="D424" s="7" t="n"/>
      <c r="E424" s="10" t="n"/>
      <c r="F424" s="9">
        <f>IF(OR(C424="",E424=""),0,IF(C424="Начисление по акту",E424,IF(OR(C424="Оплата",C424="Зачёт аванса по договору"),-E424,IF(C424="Корректировка (подписана обеими сторонами)",E424,0))))</f>
        <v/>
      </c>
      <c r="G424" s="9">
        <f>IF(OR(C424="Удержание",C424="Зачёт встречного требования",C424="Неустойка заявлена"),N(E424),0)</f>
        <v/>
      </c>
      <c r="H424" s="9">
        <f>H423+F424</f>
        <v/>
      </c>
    </row>
    <row r="425">
      <c r="A425" s="5" t="n">
        <v>421</v>
      </c>
      <c r="B425" s="6" t="n"/>
      <c r="C425" s="7" t="n"/>
      <c r="D425" s="7" t="n"/>
      <c r="E425" s="10" t="n"/>
      <c r="F425" s="9">
        <f>IF(OR(C425="",E425=""),0,IF(C425="Начисление по акту",E425,IF(OR(C425="Оплата",C425="Зачёт аванса по договору"),-E425,IF(C425="Корректировка (подписана обеими сторонами)",E425,0))))</f>
        <v/>
      </c>
      <c r="G425" s="9">
        <f>IF(OR(C425="Удержание",C425="Зачёт встречного требования",C425="Неустойка заявлена"),N(E425),0)</f>
        <v/>
      </c>
      <c r="H425" s="9">
        <f>H424+F425</f>
        <v/>
      </c>
    </row>
    <row r="426">
      <c r="A426" s="5" t="n">
        <v>422</v>
      </c>
      <c r="B426" s="6" t="n"/>
      <c r="C426" s="7" t="n"/>
      <c r="D426" s="7" t="n"/>
      <c r="E426" s="10" t="n"/>
      <c r="F426" s="9">
        <f>IF(OR(C426="",E426=""),0,IF(C426="Начисление по акту",E426,IF(OR(C426="Оплата",C426="Зачёт аванса по договору"),-E426,IF(C426="Корректировка (подписана обеими сторонами)",E426,0))))</f>
        <v/>
      </c>
      <c r="G426" s="9">
        <f>IF(OR(C426="Удержание",C426="Зачёт встречного требования",C426="Неустойка заявлена"),N(E426),0)</f>
        <v/>
      </c>
      <c r="H426" s="9">
        <f>H425+F426</f>
        <v/>
      </c>
    </row>
    <row r="427">
      <c r="A427" s="5" t="n">
        <v>423</v>
      </c>
      <c r="B427" s="6" t="n"/>
      <c r="C427" s="7" t="n"/>
      <c r="D427" s="7" t="n"/>
      <c r="E427" s="10" t="n"/>
      <c r="F427" s="9">
        <f>IF(OR(C427="",E427=""),0,IF(C427="Начисление по акту",E427,IF(OR(C427="Оплата",C427="Зачёт аванса по договору"),-E427,IF(C427="Корректировка (подписана обеими сторонами)",E427,0))))</f>
        <v/>
      </c>
      <c r="G427" s="9">
        <f>IF(OR(C427="Удержание",C427="Зачёт встречного требования",C427="Неустойка заявлена"),N(E427),0)</f>
        <v/>
      </c>
      <c r="H427" s="9">
        <f>H426+F427</f>
        <v/>
      </c>
    </row>
    <row r="428">
      <c r="A428" s="5" t="n">
        <v>424</v>
      </c>
      <c r="B428" s="6" t="n"/>
      <c r="C428" s="7" t="n"/>
      <c r="D428" s="7" t="n"/>
      <c r="E428" s="10" t="n"/>
      <c r="F428" s="9">
        <f>IF(OR(C428="",E428=""),0,IF(C428="Начисление по акту",E428,IF(OR(C428="Оплата",C428="Зачёт аванса по договору"),-E428,IF(C428="Корректировка (подписана обеими сторонами)",E428,0))))</f>
        <v/>
      </c>
      <c r="G428" s="9">
        <f>IF(OR(C428="Удержание",C428="Зачёт встречного требования",C428="Неустойка заявлена"),N(E428),0)</f>
        <v/>
      </c>
      <c r="H428" s="9">
        <f>H427+F428</f>
        <v/>
      </c>
    </row>
    <row r="429">
      <c r="A429" s="5" t="n">
        <v>425</v>
      </c>
      <c r="B429" s="6" t="n"/>
      <c r="C429" s="7" t="n"/>
      <c r="D429" s="7" t="n"/>
      <c r="E429" s="10" t="n"/>
      <c r="F429" s="9">
        <f>IF(OR(C429="",E429=""),0,IF(C429="Начисление по акту",E429,IF(OR(C429="Оплата",C429="Зачёт аванса по договору"),-E429,IF(C429="Корректировка (подписана обеими сторонами)",E429,0))))</f>
        <v/>
      </c>
      <c r="G429" s="9">
        <f>IF(OR(C429="Удержание",C429="Зачёт встречного требования",C429="Неустойка заявлена"),N(E429),0)</f>
        <v/>
      </c>
      <c r="H429" s="9">
        <f>H428+F429</f>
        <v/>
      </c>
    </row>
    <row r="430">
      <c r="A430" s="5" t="n">
        <v>426</v>
      </c>
      <c r="B430" s="6" t="n"/>
      <c r="C430" s="7" t="n"/>
      <c r="D430" s="7" t="n"/>
      <c r="E430" s="10" t="n"/>
      <c r="F430" s="9">
        <f>IF(OR(C430="",E430=""),0,IF(C430="Начисление по акту",E430,IF(OR(C430="Оплата",C430="Зачёт аванса по договору"),-E430,IF(C430="Корректировка (подписана обеими сторонами)",E430,0))))</f>
        <v/>
      </c>
      <c r="G430" s="9">
        <f>IF(OR(C430="Удержание",C430="Зачёт встречного требования",C430="Неустойка заявлена"),N(E430),0)</f>
        <v/>
      </c>
      <c r="H430" s="9">
        <f>H429+F430</f>
        <v/>
      </c>
    </row>
    <row r="431">
      <c r="A431" s="5" t="n">
        <v>427</v>
      </c>
      <c r="B431" s="6" t="n"/>
      <c r="C431" s="7" t="n"/>
      <c r="D431" s="7" t="n"/>
      <c r="E431" s="10" t="n"/>
      <c r="F431" s="9">
        <f>IF(OR(C431="",E431=""),0,IF(C431="Начисление по акту",E431,IF(OR(C431="Оплата",C431="Зачёт аванса по договору"),-E431,IF(C431="Корректировка (подписана обеими сторонами)",E431,0))))</f>
        <v/>
      </c>
      <c r="G431" s="9">
        <f>IF(OR(C431="Удержание",C431="Зачёт встречного требования",C431="Неустойка заявлена"),N(E431),0)</f>
        <v/>
      </c>
      <c r="H431" s="9">
        <f>H430+F431</f>
        <v/>
      </c>
    </row>
    <row r="432">
      <c r="A432" s="5" t="n">
        <v>428</v>
      </c>
      <c r="B432" s="6" t="n"/>
      <c r="C432" s="7" t="n"/>
      <c r="D432" s="7" t="n"/>
      <c r="E432" s="10" t="n"/>
      <c r="F432" s="9">
        <f>IF(OR(C432="",E432=""),0,IF(C432="Начисление по акту",E432,IF(OR(C432="Оплата",C432="Зачёт аванса по договору"),-E432,IF(C432="Корректировка (подписана обеими сторонами)",E432,0))))</f>
        <v/>
      </c>
      <c r="G432" s="9">
        <f>IF(OR(C432="Удержание",C432="Зачёт встречного требования",C432="Неустойка заявлена"),N(E432),0)</f>
        <v/>
      </c>
      <c r="H432" s="9">
        <f>H431+F432</f>
        <v/>
      </c>
    </row>
    <row r="433">
      <c r="A433" s="5" t="n">
        <v>429</v>
      </c>
      <c r="B433" s="6" t="n"/>
      <c r="C433" s="7" t="n"/>
      <c r="D433" s="7" t="n"/>
      <c r="E433" s="10" t="n"/>
      <c r="F433" s="9">
        <f>IF(OR(C433="",E433=""),0,IF(C433="Начисление по акту",E433,IF(OR(C433="Оплата",C433="Зачёт аванса по договору"),-E433,IF(C433="Корректировка (подписана обеими сторонами)",E433,0))))</f>
        <v/>
      </c>
      <c r="G433" s="9">
        <f>IF(OR(C433="Удержание",C433="Зачёт встречного требования",C433="Неустойка заявлена"),N(E433),0)</f>
        <v/>
      </c>
      <c r="H433" s="9">
        <f>H432+F433</f>
        <v/>
      </c>
    </row>
    <row r="434">
      <c r="A434" s="5" t="n">
        <v>430</v>
      </c>
      <c r="B434" s="6" t="n"/>
      <c r="C434" s="7" t="n"/>
      <c r="D434" s="7" t="n"/>
      <c r="E434" s="10" t="n"/>
      <c r="F434" s="9">
        <f>IF(OR(C434="",E434=""),0,IF(C434="Начисление по акту",E434,IF(OR(C434="Оплата",C434="Зачёт аванса по договору"),-E434,IF(C434="Корректировка (подписана обеими сторонами)",E434,0))))</f>
        <v/>
      </c>
      <c r="G434" s="9">
        <f>IF(OR(C434="Удержание",C434="Зачёт встречного требования",C434="Неустойка заявлена"),N(E434),0)</f>
        <v/>
      </c>
      <c r="H434" s="9">
        <f>H433+F434</f>
        <v/>
      </c>
    </row>
    <row r="435">
      <c r="A435" s="5" t="n">
        <v>431</v>
      </c>
      <c r="B435" s="6" t="n"/>
      <c r="C435" s="7" t="n"/>
      <c r="D435" s="7" t="n"/>
      <c r="E435" s="10" t="n"/>
      <c r="F435" s="9">
        <f>IF(OR(C435="",E435=""),0,IF(C435="Начисление по акту",E435,IF(OR(C435="Оплата",C435="Зачёт аванса по договору"),-E435,IF(C435="Корректировка (подписана обеими сторонами)",E435,0))))</f>
        <v/>
      </c>
      <c r="G435" s="9">
        <f>IF(OR(C435="Удержание",C435="Зачёт встречного требования",C435="Неустойка заявлена"),N(E435),0)</f>
        <v/>
      </c>
      <c r="H435" s="9">
        <f>H434+F435</f>
        <v/>
      </c>
    </row>
    <row r="436">
      <c r="A436" s="5" t="n">
        <v>432</v>
      </c>
      <c r="B436" s="6" t="n"/>
      <c r="C436" s="7" t="n"/>
      <c r="D436" s="7" t="n"/>
      <c r="E436" s="10" t="n"/>
      <c r="F436" s="9">
        <f>IF(OR(C436="",E436=""),0,IF(C436="Начисление по акту",E436,IF(OR(C436="Оплата",C436="Зачёт аванса по договору"),-E436,IF(C436="Корректировка (подписана обеими сторонами)",E436,0))))</f>
        <v/>
      </c>
      <c r="G436" s="9">
        <f>IF(OR(C436="Удержание",C436="Зачёт встречного требования",C436="Неустойка заявлена"),N(E436),0)</f>
        <v/>
      </c>
      <c r="H436" s="9">
        <f>H435+F436</f>
        <v/>
      </c>
    </row>
    <row r="437">
      <c r="A437" s="5" t="n">
        <v>433</v>
      </c>
      <c r="B437" s="6" t="n"/>
      <c r="C437" s="7" t="n"/>
      <c r="D437" s="7" t="n"/>
      <c r="E437" s="10" t="n"/>
      <c r="F437" s="9">
        <f>IF(OR(C437="",E437=""),0,IF(C437="Начисление по акту",E437,IF(OR(C437="Оплата",C437="Зачёт аванса по договору"),-E437,IF(C437="Корректировка (подписана обеими сторонами)",E437,0))))</f>
        <v/>
      </c>
      <c r="G437" s="9">
        <f>IF(OR(C437="Удержание",C437="Зачёт встречного требования",C437="Неустойка заявлена"),N(E437),0)</f>
        <v/>
      </c>
      <c r="H437" s="9">
        <f>H436+F437</f>
        <v/>
      </c>
    </row>
    <row r="438">
      <c r="A438" s="5" t="n">
        <v>434</v>
      </c>
      <c r="B438" s="6" t="n"/>
      <c r="C438" s="7" t="n"/>
      <c r="D438" s="7" t="n"/>
      <c r="E438" s="10" t="n"/>
      <c r="F438" s="9">
        <f>IF(OR(C438="",E438=""),0,IF(C438="Начисление по акту",E438,IF(OR(C438="Оплата",C438="Зачёт аванса по договору"),-E438,IF(C438="Корректировка (подписана обеими сторонами)",E438,0))))</f>
        <v/>
      </c>
      <c r="G438" s="9">
        <f>IF(OR(C438="Удержание",C438="Зачёт встречного требования",C438="Неустойка заявлена"),N(E438),0)</f>
        <v/>
      </c>
      <c r="H438" s="9">
        <f>H437+F438</f>
        <v/>
      </c>
    </row>
    <row r="439">
      <c r="A439" s="5" t="n">
        <v>435</v>
      </c>
      <c r="B439" s="6" t="n"/>
      <c r="C439" s="7" t="n"/>
      <c r="D439" s="7" t="n"/>
      <c r="E439" s="10" t="n"/>
      <c r="F439" s="9">
        <f>IF(OR(C439="",E439=""),0,IF(C439="Начисление по акту",E439,IF(OR(C439="Оплата",C439="Зачёт аванса по договору"),-E439,IF(C439="Корректировка (подписана обеими сторонами)",E439,0))))</f>
        <v/>
      </c>
      <c r="G439" s="9">
        <f>IF(OR(C439="Удержание",C439="Зачёт встречного требования",C439="Неустойка заявлена"),N(E439),0)</f>
        <v/>
      </c>
      <c r="H439" s="9">
        <f>H438+F439</f>
        <v/>
      </c>
    </row>
    <row r="440">
      <c r="A440" s="5" t="n">
        <v>436</v>
      </c>
      <c r="B440" s="6" t="n"/>
      <c r="C440" s="7" t="n"/>
      <c r="D440" s="7" t="n"/>
      <c r="E440" s="10" t="n"/>
      <c r="F440" s="9">
        <f>IF(OR(C440="",E440=""),0,IF(C440="Начисление по акту",E440,IF(OR(C440="Оплата",C440="Зачёт аванса по договору"),-E440,IF(C440="Корректировка (подписана обеими сторонами)",E440,0))))</f>
        <v/>
      </c>
      <c r="G440" s="9">
        <f>IF(OR(C440="Удержание",C440="Зачёт встречного требования",C440="Неустойка заявлена"),N(E440),0)</f>
        <v/>
      </c>
      <c r="H440" s="9">
        <f>H439+F440</f>
        <v/>
      </c>
    </row>
    <row r="441">
      <c r="A441" s="5" t="n">
        <v>437</v>
      </c>
      <c r="B441" s="6" t="n"/>
      <c r="C441" s="7" t="n"/>
      <c r="D441" s="7" t="n"/>
      <c r="E441" s="10" t="n"/>
      <c r="F441" s="9">
        <f>IF(OR(C441="",E441=""),0,IF(C441="Начисление по акту",E441,IF(OR(C441="Оплата",C441="Зачёт аванса по договору"),-E441,IF(C441="Корректировка (подписана обеими сторонами)",E441,0))))</f>
        <v/>
      </c>
      <c r="G441" s="9">
        <f>IF(OR(C441="Удержание",C441="Зачёт встречного требования",C441="Неустойка заявлена"),N(E441),0)</f>
        <v/>
      </c>
      <c r="H441" s="9">
        <f>H440+F441</f>
        <v/>
      </c>
    </row>
    <row r="442">
      <c r="A442" s="5" t="n">
        <v>438</v>
      </c>
      <c r="B442" s="6" t="n"/>
      <c r="C442" s="7" t="n"/>
      <c r="D442" s="7" t="n"/>
      <c r="E442" s="10" t="n"/>
      <c r="F442" s="9">
        <f>IF(OR(C442="",E442=""),0,IF(C442="Начисление по акту",E442,IF(OR(C442="Оплата",C442="Зачёт аванса по договору"),-E442,IF(C442="Корректировка (подписана обеими сторонами)",E442,0))))</f>
        <v/>
      </c>
      <c r="G442" s="9">
        <f>IF(OR(C442="Удержание",C442="Зачёт встречного требования",C442="Неустойка заявлена"),N(E442),0)</f>
        <v/>
      </c>
      <c r="H442" s="9">
        <f>H441+F442</f>
        <v/>
      </c>
    </row>
    <row r="443">
      <c r="A443" s="5" t="n">
        <v>439</v>
      </c>
      <c r="B443" s="6" t="n"/>
      <c r="C443" s="7" t="n"/>
      <c r="D443" s="7" t="n"/>
      <c r="E443" s="10" t="n"/>
      <c r="F443" s="9">
        <f>IF(OR(C443="",E443=""),0,IF(C443="Начисление по акту",E443,IF(OR(C443="Оплата",C443="Зачёт аванса по договору"),-E443,IF(C443="Корректировка (подписана обеими сторонами)",E443,0))))</f>
        <v/>
      </c>
      <c r="G443" s="9">
        <f>IF(OR(C443="Удержание",C443="Зачёт встречного требования",C443="Неустойка заявлена"),N(E443),0)</f>
        <v/>
      </c>
      <c r="H443" s="9">
        <f>H442+F443</f>
        <v/>
      </c>
    </row>
    <row r="444">
      <c r="A444" s="5" t="n">
        <v>440</v>
      </c>
      <c r="B444" s="6" t="n"/>
      <c r="C444" s="7" t="n"/>
      <c r="D444" s="7" t="n"/>
      <c r="E444" s="10" t="n"/>
      <c r="F444" s="9">
        <f>IF(OR(C444="",E444=""),0,IF(C444="Начисление по акту",E444,IF(OR(C444="Оплата",C444="Зачёт аванса по договору"),-E444,IF(C444="Корректировка (подписана обеими сторонами)",E444,0))))</f>
        <v/>
      </c>
      <c r="G444" s="9">
        <f>IF(OR(C444="Удержание",C444="Зачёт встречного требования",C444="Неустойка заявлена"),N(E444),0)</f>
        <v/>
      </c>
      <c r="H444" s="9">
        <f>H443+F444</f>
        <v/>
      </c>
    </row>
    <row r="445">
      <c r="A445" s="5" t="n">
        <v>441</v>
      </c>
      <c r="B445" s="6" t="n"/>
      <c r="C445" s="7" t="n"/>
      <c r="D445" s="7" t="n"/>
      <c r="E445" s="10" t="n"/>
      <c r="F445" s="9">
        <f>IF(OR(C445="",E445=""),0,IF(C445="Начисление по акту",E445,IF(OR(C445="Оплата",C445="Зачёт аванса по договору"),-E445,IF(C445="Корректировка (подписана обеими сторонами)",E445,0))))</f>
        <v/>
      </c>
      <c r="G445" s="9">
        <f>IF(OR(C445="Удержание",C445="Зачёт встречного требования",C445="Неустойка заявлена"),N(E445),0)</f>
        <v/>
      </c>
      <c r="H445" s="9">
        <f>H444+F445</f>
        <v/>
      </c>
    </row>
    <row r="446">
      <c r="A446" s="5" t="n">
        <v>442</v>
      </c>
      <c r="B446" s="6" t="n"/>
      <c r="C446" s="7" t="n"/>
      <c r="D446" s="7" t="n"/>
      <c r="E446" s="10" t="n"/>
      <c r="F446" s="9">
        <f>IF(OR(C446="",E446=""),0,IF(C446="Начисление по акту",E446,IF(OR(C446="Оплата",C446="Зачёт аванса по договору"),-E446,IF(C446="Корректировка (подписана обеими сторонами)",E446,0))))</f>
        <v/>
      </c>
      <c r="G446" s="9">
        <f>IF(OR(C446="Удержание",C446="Зачёт встречного требования",C446="Неустойка заявлена"),N(E446),0)</f>
        <v/>
      </c>
      <c r="H446" s="9">
        <f>H445+F446</f>
        <v/>
      </c>
    </row>
    <row r="447">
      <c r="A447" s="5" t="n">
        <v>443</v>
      </c>
      <c r="B447" s="6" t="n"/>
      <c r="C447" s="7" t="n"/>
      <c r="D447" s="7" t="n"/>
      <c r="E447" s="10" t="n"/>
      <c r="F447" s="9">
        <f>IF(OR(C447="",E447=""),0,IF(C447="Начисление по акту",E447,IF(OR(C447="Оплата",C447="Зачёт аванса по договору"),-E447,IF(C447="Корректировка (подписана обеими сторонами)",E447,0))))</f>
        <v/>
      </c>
      <c r="G447" s="9">
        <f>IF(OR(C447="Удержание",C447="Зачёт встречного требования",C447="Неустойка заявлена"),N(E447),0)</f>
        <v/>
      </c>
      <c r="H447" s="9">
        <f>H446+F447</f>
        <v/>
      </c>
    </row>
    <row r="448">
      <c r="A448" s="5" t="n">
        <v>444</v>
      </c>
      <c r="B448" s="6" t="n"/>
      <c r="C448" s="7" t="n"/>
      <c r="D448" s="7" t="n"/>
      <c r="E448" s="10" t="n"/>
      <c r="F448" s="9">
        <f>IF(OR(C448="",E448=""),0,IF(C448="Начисление по акту",E448,IF(OR(C448="Оплата",C448="Зачёт аванса по договору"),-E448,IF(C448="Корректировка (подписана обеими сторонами)",E448,0))))</f>
        <v/>
      </c>
      <c r="G448" s="9">
        <f>IF(OR(C448="Удержание",C448="Зачёт встречного требования",C448="Неустойка заявлена"),N(E448),0)</f>
        <v/>
      </c>
      <c r="H448" s="9">
        <f>H447+F448</f>
        <v/>
      </c>
    </row>
    <row r="449">
      <c r="A449" s="5" t="n">
        <v>445</v>
      </c>
      <c r="B449" s="6" t="n"/>
      <c r="C449" s="7" t="n"/>
      <c r="D449" s="7" t="n"/>
      <c r="E449" s="10" t="n"/>
      <c r="F449" s="9">
        <f>IF(OR(C449="",E449=""),0,IF(C449="Начисление по акту",E449,IF(OR(C449="Оплата",C449="Зачёт аванса по договору"),-E449,IF(C449="Корректировка (подписана обеими сторонами)",E449,0))))</f>
        <v/>
      </c>
      <c r="G449" s="9">
        <f>IF(OR(C449="Удержание",C449="Зачёт встречного требования",C449="Неустойка заявлена"),N(E449),0)</f>
        <v/>
      </c>
      <c r="H449" s="9">
        <f>H448+F449</f>
        <v/>
      </c>
    </row>
    <row r="450">
      <c r="A450" s="5" t="n">
        <v>446</v>
      </c>
      <c r="B450" s="6" t="n"/>
      <c r="C450" s="7" t="n"/>
      <c r="D450" s="7" t="n"/>
      <c r="E450" s="10" t="n"/>
      <c r="F450" s="9">
        <f>IF(OR(C450="",E450=""),0,IF(C450="Начисление по акту",E450,IF(OR(C450="Оплата",C450="Зачёт аванса по договору"),-E450,IF(C450="Корректировка (подписана обеими сторонами)",E450,0))))</f>
        <v/>
      </c>
      <c r="G450" s="9">
        <f>IF(OR(C450="Удержание",C450="Зачёт встречного требования",C450="Неустойка заявлена"),N(E450),0)</f>
        <v/>
      </c>
      <c r="H450" s="9">
        <f>H449+F450</f>
        <v/>
      </c>
    </row>
    <row r="451">
      <c r="A451" s="5" t="n">
        <v>447</v>
      </c>
      <c r="B451" s="6" t="n"/>
      <c r="C451" s="7" t="n"/>
      <c r="D451" s="7" t="n"/>
      <c r="E451" s="10" t="n"/>
      <c r="F451" s="9">
        <f>IF(OR(C451="",E451=""),0,IF(C451="Начисление по акту",E451,IF(OR(C451="Оплата",C451="Зачёт аванса по договору"),-E451,IF(C451="Корректировка (подписана обеими сторонами)",E451,0))))</f>
        <v/>
      </c>
      <c r="G451" s="9">
        <f>IF(OR(C451="Удержание",C451="Зачёт встречного требования",C451="Неустойка заявлена"),N(E451),0)</f>
        <v/>
      </c>
      <c r="H451" s="9">
        <f>H450+F451</f>
        <v/>
      </c>
    </row>
    <row r="452">
      <c r="A452" s="5" t="n">
        <v>448</v>
      </c>
      <c r="B452" s="6" t="n"/>
      <c r="C452" s="7" t="n"/>
      <c r="D452" s="7" t="n"/>
      <c r="E452" s="10" t="n"/>
      <c r="F452" s="9">
        <f>IF(OR(C452="",E452=""),0,IF(C452="Начисление по акту",E452,IF(OR(C452="Оплата",C452="Зачёт аванса по договору"),-E452,IF(C452="Корректировка (подписана обеими сторонами)",E452,0))))</f>
        <v/>
      </c>
      <c r="G452" s="9">
        <f>IF(OR(C452="Удержание",C452="Зачёт встречного требования",C452="Неустойка заявлена"),N(E452),0)</f>
        <v/>
      </c>
      <c r="H452" s="9">
        <f>H451+F452</f>
        <v/>
      </c>
    </row>
    <row r="453">
      <c r="A453" s="5" t="n">
        <v>449</v>
      </c>
      <c r="B453" s="6" t="n"/>
      <c r="C453" s="7" t="n"/>
      <c r="D453" s="7" t="n"/>
      <c r="E453" s="10" t="n"/>
      <c r="F453" s="9">
        <f>IF(OR(C453="",E453=""),0,IF(C453="Начисление по акту",E453,IF(OR(C453="Оплата",C453="Зачёт аванса по договору"),-E453,IF(C453="Корректировка (подписана обеими сторонами)",E453,0))))</f>
        <v/>
      </c>
      <c r="G453" s="9">
        <f>IF(OR(C453="Удержание",C453="Зачёт встречного требования",C453="Неустойка заявлена"),N(E453),0)</f>
        <v/>
      </c>
      <c r="H453" s="9">
        <f>H452+F453</f>
        <v/>
      </c>
    </row>
    <row r="454">
      <c r="A454" s="5" t="n">
        <v>450</v>
      </c>
      <c r="B454" s="6" t="n"/>
      <c r="C454" s="7" t="n"/>
      <c r="D454" s="7" t="n"/>
      <c r="E454" s="10" t="n"/>
      <c r="F454" s="9">
        <f>IF(OR(C454="",E454=""),0,IF(C454="Начисление по акту",E454,IF(OR(C454="Оплата",C454="Зачёт аванса по договору"),-E454,IF(C454="Корректировка (подписана обеими сторонами)",E454,0))))</f>
        <v/>
      </c>
      <c r="G454" s="9">
        <f>IF(OR(C454="Удержание",C454="Зачёт встречного требования",C454="Неустойка заявлена"),N(E454),0)</f>
        <v/>
      </c>
      <c r="H454" s="9">
        <f>H453+F454</f>
        <v/>
      </c>
    </row>
    <row r="455">
      <c r="A455" s="5" t="n">
        <v>451</v>
      </c>
      <c r="B455" s="6" t="n"/>
      <c r="C455" s="7" t="n"/>
      <c r="D455" s="7" t="n"/>
      <c r="E455" s="10" t="n"/>
      <c r="F455" s="9">
        <f>IF(OR(C455="",E455=""),0,IF(C455="Начисление по акту",E455,IF(OR(C455="Оплата",C455="Зачёт аванса по договору"),-E455,IF(C455="Корректировка (подписана обеими сторонами)",E455,0))))</f>
        <v/>
      </c>
      <c r="G455" s="9">
        <f>IF(OR(C455="Удержание",C455="Зачёт встречного требования",C455="Неустойка заявлена"),N(E455),0)</f>
        <v/>
      </c>
      <c r="H455" s="9">
        <f>H454+F455</f>
        <v/>
      </c>
    </row>
    <row r="456">
      <c r="A456" s="5" t="n">
        <v>452</v>
      </c>
      <c r="B456" s="6" t="n"/>
      <c r="C456" s="7" t="n"/>
      <c r="D456" s="7" t="n"/>
      <c r="E456" s="10" t="n"/>
      <c r="F456" s="9">
        <f>IF(OR(C456="",E456=""),0,IF(C456="Начисление по акту",E456,IF(OR(C456="Оплата",C456="Зачёт аванса по договору"),-E456,IF(C456="Корректировка (подписана обеими сторонами)",E456,0))))</f>
        <v/>
      </c>
      <c r="G456" s="9">
        <f>IF(OR(C456="Удержание",C456="Зачёт встречного требования",C456="Неустойка заявлена"),N(E456),0)</f>
        <v/>
      </c>
      <c r="H456" s="9">
        <f>H455+F456</f>
        <v/>
      </c>
    </row>
    <row r="457">
      <c r="A457" s="5" t="n">
        <v>453</v>
      </c>
      <c r="B457" s="6" t="n"/>
      <c r="C457" s="7" t="n"/>
      <c r="D457" s="7" t="n"/>
      <c r="E457" s="10" t="n"/>
      <c r="F457" s="9">
        <f>IF(OR(C457="",E457=""),0,IF(C457="Начисление по акту",E457,IF(OR(C457="Оплата",C457="Зачёт аванса по договору"),-E457,IF(C457="Корректировка (подписана обеими сторонами)",E457,0))))</f>
        <v/>
      </c>
      <c r="G457" s="9">
        <f>IF(OR(C457="Удержание",C457="Зачёт встречного требования",C457="Неустойка заявлена"),N(E457),0)</f>
        <v/>
      </c>
      <c r="H457" s="9">
        <f>H456+F457</f>
        <v/>
      </c>
    </row>
    <row r="458">
      <c r="A458" s="5" t="n">
        <v>454</v>
      </c>
      <c r="B458" s="6" t="n"/>
      <c r="C458" s="7" t="n"/>
      <c r="D458" s="7" t="n"/>
      <c r="E458" s="10" t="n"/>
      <c r="F458" s="9">
        <f>IF(OR(C458="",E458=""),0,IF(C458="Начисление по акту",E458,IF(OR(C458="Оплата",C458="Зачёт аванса по договору"),-E458,IF(C458="Корректировка (подписана обеими сторонами)",E458,0))))</f>
        <v/>
      </c>
      <c r="G458" s="9">
        <f>IF(OR(C458="Удержание",C458="Зачёт встречного требования",C458="Неустойка заявлена"),N(E458),0)</f>
        <v/>
      </c>
      <c r="H458" s="9">
        <f>H457+F458</f>
        <v/>
      </c>
    </row>
    <row r="459">
      <c r="A459" s="5" t="n">
        <v>455</v>
      </c>
      <c r="B459" s="6" t="n"/>
      <c r="C459" s="7" t="n"/>
      <c r="D459" s="7" t="n"/>
      <c r="E459" s="10" t="n"/>
      <c r="F459" s="9">
        <f>IF(OR(C459="",E459=""),0,IF(C459="Начисление по акту",E459,IF(OR(C459="Оплата",C459="Зачёт аванса по договору"),-E459,IF(C459="Корректировка (подписана обеими сторонами)",E459,0))))</f>
        <v/>
      </c>
      <c r="G459" s="9">
        <f>IF(OR(C459="Удержание",C459="Зачёт встречного требования",C459="Неустойка заявлена"),N(E459),0)</f>
        <v/>
      </c>
      <c r="H459" s="9">
        <f>H458+F459</f>
        <v/>
      </c>
    </row>
    <row r="460">
      <c r="A460" s="5" t="n">
        <v>456</v>
      </c>
      <c r="B460" s="6" t="n"/>
      <c r="C460" s="7" t="n"/>
      <c r="D460" s="7" t="n"/>
      <c r="E460" s="10" t="n"/>
      <c r="F460" s="9">
        <f>IF(OR(C460="",E460=""),0,IF(C460="Начисление по акту",E460,IF(OR(C460="Оплата",C460="Зачёт аванса по договору"),-E460,IF(C460="Корректировка (подписана обеими сторонами)",E460,0))))</f>
        <v/>
      </c>
      <c r="G460" s="9">
        <f>IF(OR(C460="Удержание",C460="Зачёт встречного требования",C460="Неустойка заявлена"),N(E460),0)</f>
        <v/>
      </c>
      <c r="H460" s="9">
        <f>H459+F460</f>
        <v/>
      </c>
    </row>
    <row r="461">
      <c r="A461" s="5" t="n">
        <v>457</v>
      </c>
      <c r="B461" s="6" t="n"/>
      <c r="C461" s="7" t="n"/>
      <c r="D461" s="7" t="n"/>
      <c r="E461" s="10" t="n"/>
      <c r="F461" s="9">
        <f>IF(OR(C461="",E461=""),0,IF(C461="Начисление по акту",E461,IF(OR(C461="Оплата",C461="Зачёт аванса по договору"),-E461,IF(C461="Корректировка (подписана обеими сторонами)",E461,0))))</f>
        <v/>
      </c>
      <c r="G461" s="9">
        <f>IF(OR(C461="Удержание",C461="Зачёт встречного требования",C461="Неустойка заявлена"),N(E461),0)</f>
        <v/>
      </c>
      <c r="H461" s="9">
        <f>H460+F461</f>
        <v/>
      </c>
    </row>
    <row r="462">
      <c r="A462" s="5" t="n">
        <v>458</v>
      </c>
      <c r="B462" s="6" t="n"/>
      <c r="C462" s="7" t="n"/>
      <c r="D462" s="7" t="n"/>
      <c r="E462" s="10" t="n"/>
      <c r="F462" s="9">
        <f>IF(OR(C462="",E462=""),0,IF(C462="Начисление по акту",E462,IF(OR(C462="Оплата",C462="Зачёт аванса по договору"),-E462,IF(C462="Корректировка (подписана обеими сторонами)",E462,0))))</f>
        <v/>
      </c>
      <c r="G462" s="9">
        <f>IF(OR(C462="Удержание",C462="Зачёт встречного требования",C462="Неустойка заявлена"),N(E462),0)</f>
        <v/>
      </c>
      <c r="H462" s="9">
        <f>H461+F462</f>
        <v/>
      </c>
    </row>
    <row r="463">
      <c r="A463" s="5" t="n">
        <v>459</v>
      </c>
      <c r="B463" s="6" t="n"/>
      <c r="C463" s="7" t="n"/>
      <c r="D463" s="7" t="n"/>
      <c r="E463" s="10" t="n"/>
      <c r="F463" s="9">
        <f>IF(OR(C463="",E463=""),0,IF(C463="Начисление по акту",E463,IF(OR(C463="Оплата",C463="Зачёт аванса по договору"),-E463,IF(C463="Корректировка (подписана обеими сторонами)",E463,0))))</f>
        <v/>
      </c>
      <c r="G463" s="9">
        <f>IF(OR(C463="Удержание",C463="Зачёт встречного требования",C463="Неустойка заявлена"),N(E463),0)</f>
        <v/>
      </c>
      <c r="H463" s="9">
        <f>H462+F463</f>
        <v/>
      </c>
    </row>
    <row r="464">
      <c r="A464" s="5" t="n">
        <v>460</v>
      </c>
      <c r="B464" s="6" t="n"/>
      <c r="C464" s="7" t="n"/>
      <c r="D464" s="7" t="n"/>
      <c r="E464" s="10" t="n"/>
      <c r="F464" s="9">
        <f>IF(OR(C464="",E464=""),0,IF(C464="Начисление по акту",E464,IF(OR(C464="Оплата",C464="Зачёт аванса по договору"),-E464,IF(C464="Корректировка (подписана обеими сторонами)",E464,0))))</f>
        <v/>
      </c>
      <c r="G464" s="9">
        <f>IF(OR(C464="Удержание",C464="Зачёт встречного требования",C464="Неустойка заявлена"),N(E464),0)</f>
        <v/>
      </c>
      <c r="H464" s="9">
        <f>H463+F464</f>
        <v/>
      </c>
    </row>
    <row r="465">
      <c r="A465" s="5" t="n">
        <v>461</v>
      </c>
      <c r="B465" s="6" t="n"/>
      <c r="C465" s="7" t="n"/>
      <c r="D465" s="7" t="n"/>
      <c r="E465" s="10" t="n"/>
      <c r="F465" s="9">
        <f>IF(OR(C465="",E465=""),0,IF(C465="Начисление по акту",E465,IF(OR(C465="Оплата",C465="Зачёт аванса по договору"),-E465,IF(C465="Корректировка (подписана обеими сторонами)",E465,0))))</f>
        <v/>
      </c>
      <c r="G465" s="9">
        <f>IF(OR(C465="Удержание",C465="Зачёт встречного требования",C465="Неустойка заявлена"),N(E465),0)</f>
        <v/>
      </c>
      <c r="H465" s="9">
        <f>H464+F465</f>
        <v/>
      </c>
    </row>
    <row r="466">
      <c r="A466" s="5" t="n">
        <v>462</v>
      </c>
      <c r="B466" s="6" t="n"/>
      <c r="C466" s="7" t="n"/>
      <c r="D466" s="7" t="n"/>
      <c r="E466" s="10" t="n"/>
      <c r="F466" s="9">
        <f>IF(OR(C466="",E466=""),0,IF(C466="Начисление по акту",E466,IF(OR(C466="Оплата",C466="Зачёт аванса по договору"),-E466,IF(C466="Корректировка (подписана обеими сторонами)",E466,0))))</f>
        <v/>
      </c>
      <c r="G466" s="9">
        <f>IF(OR(C466="Удержание",C466="Зачёт встречного требования",C466="Неустойка заявлена"),N(E466),0)</f>
        <v/>
      </c>
      <c r="H466" s="9">
        <f>H465+F466</f>
        <v/>
      </c>
    </row>
    <row r="467">
      <c r="A467" s="5" t="n">
        <v>463</v>
      </c>
      <c r="B467" s="6" t="n"/>
      <c r="C467" s="7" t="n"/>
      <c r="D467" s="7" t="n"/>
      <c r="E467" s="10" t="n"/>
      <c r="F467" s="9">
        <f>IF(OR(C467="",E467=""),0,IF(C467="Начисление по акту",E467,IF(OR(C467="Оплата",C467="Зачёт аванса по договору"),-E467,IF(C467="Корректировка (подписана обеими сторонами)",E467,0))))</f>
        <v/>
      </c>
      <c r="G467" s="9">
        <f>IF(OR(C467="Удержание",C467="Зачёт встречного требования",C467="Неустойка заявлена"),N(E467),0)</f>
        <v/>
      </c>
      <c r="H467" s="9">
        <f>H466+F467</f>
        <v/>
      </c>
    </row>
    <row r="468">
      <c r="A468" s="5" t="n">
        <v>464</v>
      </c>
      <c r="B468" s="6" t="n"/>
      <c r="C468" s="7" t="n"/>
      <c r="D468" s="7" t="n"/>
      <c r="E468" s="10" t="n"/>
      <c r="F468" s="9">
        <f>IF(OR(C468="",E468=""),0,IF(C468="Начисление по акту",E468,IF(OR(C468="Оплата",C468="Зачёт аванса по договору"),-E468,IF(C468="Корректировка (подписана обеими сторонами)",E468,0))))</f>
        <v/>
      </c>
      <c r="G468" s="9">
        <f>IF(OR(C468="Удержание",C468="Зачёт встречного требования",C468="Неустойка заявлена"),N(E468),0)</f>
        <v/>
      </c>
      <c r="H468" s="9">
        <f>H467+F468</f>
        <v/>
      </c>
    </row>
    <row r="469">
      <c r="A469" s="5" t="n">
        <v>465</v>
      </c>
      <c r="B469" s="6" t="n"/>
      <c r="C469" s="7" t="n"/>
      <c r="D469" s="7" t="n"/>
      <c r="E469" s="10" t="n"/>
      <c r="F469" s="9">
        <f>IF(OR(C469="",E469=""),0,IF(C469="Начисление по акту",E469,IF(OR(C469="Оплата",C469="Зачёт аванса по договору"),-E469,IF(C469="Корректировка (подписана обеими сторонами)",E469,0))))</f>
        <v/>
      </c>
      <c r="G469" s="9">
        <f>IF(OR(C469="Удержание",C469="Зачёт встречного требования",C469="Неустойка заявлена"),N(E469),0)</f>
        <v/>
      </c>
      <c r="H469" s="9">
        <f>H468+F469</f>
        <v/>
      </c>
    </row>
    <row r="470">
      <c r="A470" s="5" t="n">
        <v>466</v>
      </c>
      <c r="B470" s="6" t="n"/>
      <c r="C470" s="7" t="n"/>
      <c r="D470" s="7" t="n"/>
      <c r="E470" s="10" t="n"/>
      <c r="F470" s="9">
        <f>IF(OR(C470="",E470=""),0,IF(C470="Начисление по акту",E470,IF(OR(C470="Оплата",C470="Зачёт аванса по договору"),-E470,IF(C470="Корректировка (подписана обеими сторонами)",E470,0))))</f>
        <v/>
      </c>
      <c r="G470" s="9">
        <f>IF(OR(C470="Удержание",C470="Зачёт встречного требования",C470="Неустойка заявлена"),N(E470),0)</f>
        <v/>
      </c>
      <c r="H470" s="9">
        <f>H469+F470</f>
        <v/>
      </c>
    </row>
    <row r="471">
      <c r="A471" s="5" t="n">
        <v>467</v>
      </c>
      <c r="B471" s="6" t="n"/>
      <c r="C471" s="7" t="n"/>
      <c r="D471" s="7" t="n"/>
      <c r="E471" s="10" t="n"/>
      <c r="F471" s="9">
        <f>IF(OR(C471="",E471=""),0,IF(C471="Начисление по акту",E471,IF(OR(C471="Оплата",C471="Зачёт аванса по договору"),-E471,IF(C471="Корректировка (подписана обеими сторонами)",E471,0))))</f>
        <v/>
      </c>
      <c r="G471" s="9">
        <f>IF(OR(C471="Удержание",C471="Зачёт встречного требования",C471="Неустойка заявлена"),N(E471),0)</f>
        <v/>
      </c>
      <c r="H471" s="9">
        <f>H470+F471</f>
        <v/>
      </c>
    </row>
    <row r="472">
      <c r="A472" s="5" t="n">
        <v>468</v>
      </c>
      <c r="B472" s="6" t="n"/>
      <c r="C472" s="7" t="n"/>
      <c r="D472" s="7" t="n"/>
      <c r="E472" s="10" t="n"/>
      <c r="F472" s="9">
        <f>IF(OR(C472="",E472=""),0,IF(C472="Начисление по акту",E472,IF(OR(C472="Оплата",C472="Зачёт аванса по договору"),-E472,IF(C472="Корректировка (подписана обеими сторонами)",E472,0))))</f>
        <v/>
      </c>
      <c r="G472" s="9">
        <f>IF(OR(C472="Удержание",C472="Зачёт встречного требования",C472="Неустойка заявлена"),N(E472),0)</f>
        <v/>
      </c>
      <c r="H472" s="9">
        <f>H471+F472</f>
        <v/>
      </c>
    </row>
    <row r="473">
      <c r="A473" s="5" t="n">
        <v>469</v>
      </c>
      <c r="B473" s="6" t="n"/>
      <c r="C473" s="7" t="n"/>
      <c r="D473" s="7" t="n"/>
      <c r="E473" s="10" t="n"/>
      <c r="F473" s="9">
        <f>IF(OR(C473="",E473=""),0,IF(C473="Начисление по акту",E473,IF(OR(C473="Оплата",C473="Зачёт аванса по договору"),-E473,IF(C473="Корректировка (подписана обеими сторонами)",E473,0))))</f>
        <v/>
      </c>
      <c r="G473" s="9">
        <f>IF(OR(C473="Удержание",C473="Зачёт встречного требования",C473="Неустойка заявлена"),N(E473),0)</f>
        <v/>
      </c>
      <c r="H473" s="9">
        <f>H472+F473</f>
        <v/>
      </c>
    </row>
    <row r="474">
      <c r="A474" s="5" t="n">
        <v>470</v>
      </c>
      <c r="B474" s="6" t="n"/>
      <c r="C474" s="7" t="n"/>
      <c r="D474" s="7" t="n"/>
      <c r="E474" s="10" t="n"/>
      <c r="F474" s="9">
        <f>IF(OR(C474="",E474=""),0,IF(C474="Начисление по акту",E474,IF(OR(C474="Оплата",C474="Зачёт аванса по договору"),-E474,IF(C474="Корректировка (подписана обеими сторонами)",E474,0))))</f>
        <v/>
      </c>
      <c r="G474" s="9">
        <f>IF(OR(C474="Удержание",C474="Зачёт встречного требования",C474="Неустойка заявлена"),N(E474),0)</f>
        <v/>
      </c>
      <c r="H474" s="9">
        <f>H473+F474</f>
        <v/>
      </c>
    </row>
    <row r="475">
      <c r="A475" s="5" t="n">
        <v>471</v>
      </c>
      <c r="B475" s="6" t="n"/>
      <c r="C475" s="7" t="n"/>
      <c r="D475" s="7" t="n"/>
      <c r="E475" s="10" t="n"/>
      <c r="F475" s="9">
        <f>IF(OR(C475="",E475=""),0,IF(C475="Начисление по акту",E475,IF(OR(C475="Оплата",C475="Зачёт аванса по договору"),-E475,IF(C475="Корректировка (подписана обеими сторонами)",E475,0))))</f>
        <v/>
      </c>
      <c r="G475" s="9">
        <f>IF(OR(C475="Удержание",C475="Зачёт встречного требования",C475="Неустойка заявлена"),N(E475),0)</f>
        <v/>
      </c>
      <c r="H475" s="9">
        <f>H474+F475</f>
        <v/>
      </c>
    </row>
    <row r="476">
      <c r="A476" s="5" t="n">
        <v>472</v>
      </c>
      <c r="B476" s="6" t="n"/>
      <c r="C476" s="7" t="n"/>
      <c r="D476" s="7" t="n"/>
      <c r="E476" s="10" t="n"/>
      <c r="F476" s="9">
        <f>IF(OR(C476="",E476=""),0,IF(C476="Начисление по акту",E476,IF(OR(C476="Оплата",C476="Зачёт аванса по договору"),-E476,IF(C476="Корректировка (подписана обеими сторонами)",E476,0))))</f>
        <v/>
      </c>
      <c r="G476" s="9">
        <f>IF(OR(C476="Удержание",C476="Зачёт встречного требования",C476="Неустойка заявлена"),N(E476),0)</f>
        <v/>
      </c>
      <c r="H476" s="9">
        <f>H475+F476</f>
        <v/>
      </c>
    </row>
    <row r="477">
      <c r="A477" s="5" t="n">
        <v>473</v>
      </c>
      <c r="B477" s="6" t="n"/>
      <c r="C477" s="7" t="n"/>
      <c r="D477" s="7" t="n"/>
      <c r="E477" s="10" t="n"/>
      <c r="F477" s="9">
        <f>IF(OR(C477="",E477=""),0,IF(C477="Начисление по акту",E477,IF(OR(C477="Оплата",C477="Зачёт аванса по договору"),-E477,IF(C477="Корректировка (подписана обеими сторонами)",E477,0))))</f>
        <v/>
      </c>
      <c r="G477" s="9">
        <f>IF(OR(C477="Удержание",C477="Зачёт встречного требования",C477="Неустойка заявлена"),N(E477),0)</f>
        <v/>
      </c>
      <c r="H477" s="9">
        <f>H476+F477</f>
        <v/>
      </c>
    </row>
    <row r="478">
      <c r="A478" s="5" t="n">
        <v>474</v>
      </c>
      <c r="B478" s="6" t="n"/>
      <c r="C478" s="7" t="n"/>
      <c r="D478" s="7" t="n"/>
      <c r="E478" s="10" t="n"/>
      <c r="F478" s="9">
        <f>IF(OR(C478="",E478=""),0,IF(C478="Начисление по акту",E478,IF(OR(C478="Оплата",C478="Зачёт аванса по договору"),-E478,IF(C478="Корректировка (подписана обеими сторонами)",E478,0))))</f>
        <v/>
      </c>
      <c r="G478" s="9">
        <f>IF(OR(C478="Удержание",C478="Зачёт встречного требования",C478="Неустойка заявлена"),N(E478),0)</f>
        <v/>
      </c>
      <c r="H478" s="9">
        <f>H477+F478</f>
        <v/>
      </c>
    </row>
    <row r="479">
      <c r="A479" s="5" t="n">
        <v>475</v>
      </c>
      <c r="B479" s="6" t="n"/>
      <c r="C479" s="7" t="n"/>
      <c r="D479" s="7" t="n"/>
      <c r="E479" s="10" t="n"/>
      <c r="F479" s="9">
        <f>IF(OR(C479="",E479=""),0,IF(C479="Начисление по акту",E479,IF(OR(C479="Оплата",C479="Зачёт аванса по договору"),-E479,IF(C479="Корректировка (подписана обеими сторонами)",E479,0))))</f>
        <v/>
      </c>
      <c r="G479" s="9">
        <f>IF(OR(C479="Удержание",C479="Зачёт встречного требования",C479="Неустойка заявлена"),N(E479),0)</f>
        <v/>
      </c>
      <c r="H479" s="9">
        <f>H478+F479</f>
        <v/>
      </c>
    </row>
    <row r="480">
      <c r="A480" s="5" t="n">
        <v>476</v>
      </c>
      <c r="B480" s="6" t="n"/>
      <c r="C480" s="7" t="n"/>
      <c r="D480" s="7" t="n"/>
      <c r="E480" s="10" t="n"/>
      <c r="F480" s="9">
        <f>IF(OR(C480="",E480=""),0,IF(C480="Начисление по акту",E480,IF(OR(C480="Оплата",C480="Зачёт аванса по договору"),-E480,IF(C480="Корректировка (подписана обеими сторонами)",E480,0))))</f>
        <v/>
      </c>
      <c r="G480" s="9">
        <f>IF(OR(C480="Удержание",C480="Зачёт встречного требования",C480="Неустойка заявлена"),N(E480),0)</f>
        <v/>
      </c>
      <c r="H480" s="9">
        <f>H479+F480</f>
        <v/>
      </c>
    </row>
    <row r="481">
      <c r="A481" s="5" t="n">
        <v>477</v>
      </c>
      <c r="B481" s="6" t="n"/>
      <c r="C481" s="7" t="n"/>
      <c r="D481" s="7" t="n"/>
      <c r="E481" s="10" t="n"/>
      <c r="F481" s="9">
        <f>IF(OR(C481="",E481=""),0,IF(C481="Начисление по акту",E481,IF(OR(C481="Оплата",C481="Зачёт аванса по договору"),-E481,IF(C481="Корректировка (подписана обеими сторонами)",E481,0))))</f>
        <v/>
      </c>
      <c r="G481" s="9">
        <f>IF(OR(C481="Удержание",C481="Зачёт встречного требования",C481="Неустойка заявлена"),N(E481),0)</f>
        <v/>
      </c>
      <c r="H481" s="9">
        <f>H480+F481</f>
        <v/>
      </c>
    </row>
    <row r="482">
      <c r="A482" s="5" t="n">
        <v>478</v>
      </c>
      <c r="B482" s="6" t="n"/>
      <c r="C482" s="7" t="n"/>
      <c r="D482" s="7" t="n"/>
      <c r="E482" s="10" t="n"/>
      <c r="F482" s="9">
        <f>IF(OR(C482="",E482=""),0,IF(C482="Начисление по акту",E482,IF(OR(C482="Оплата",C482="Зачёт аванса по договору"),-E482,IF(C482="Корректировка (подписана обеими сторонами)",E482,0))))</f>
        <v/>
      </c>
      <c r="G482" s="9">
        <f>IF(OR(C482="Удержание",C482="Зачёт встречного требования",C482="Неустойка заявлена"),N(E482),0)</f>
        <v/>
      </c>
      <c r="H482" s="9">
        <f>H481+F482</f>
        <v/>
      </c>
    </row>
    <row r="483">
      <c r="A483" s="5" t="n">
        <v>479</v>
      </c>
      <c r="B483" s="6" t="n"/>
      <c r="C483" s="7" t="n"/>
      <c r="D483" s="7" t="n"/>
      <c r="E483" s="10" t="n"/>
      <c r="F483" s="9">
        <f>IF(OR(C483="",E483=""),0,IF(C483="Начисление по акту",E483,IF(OR(C483="Оплата",C483="Зачёт аванса по договору"),-E483,IF(C483="Корректировка (подписана обеими сторонами)",E483,0))))</f>
        <v/>
      </c>
      <c r="G483" s="9">
        <f>IF(OR(C483="Удержание",C483="Зачёт встречного требования",C483="Неустойка заявлена"),N(E483),0)</f>
        <v/>
      </c>
      <c r="H483" s="9">
        <f>H482+F483</f>
        <v/>
      </c>
    </row>
    <row r="484">
      <c r="A484" s="5" t="n">
        <v>480</v>
      </c>
      <c r="B484" s="6" t="n"/>
      <c r="C484" s="7" t="n"/>
      <c r="D484" s="7" t="n"/>
      <c r="E484" s="10" t="n"/>
      <c r="F484" s="9">
        <f>IF(OR(C484="",E484=""),0,IF(C484="Начисление по акту",E484,IF(OR(C484="Оплата",C484="Зачёт аванса по договору"),-E484,IF(C484="Корректировка (подписана обеими сторонами)",E484,0))))</f>
        <v/>
      </c>
      <c r="G484" s="9">
        <f>IF(OR(C484="Удержание",C484="Зачёт встречного требования",C484="Неустойка заявлена"),N(E484),0)</f>
        <v/>
      </c>
      <c r="H484" s="9">
        <f>H483+F484</f>
        <v/>
      </c>
    </row>
    <row r="485">
      <c r="A485" s="5" t="n">
        <v>481</v>
      </c>
      <c r="B485" s="6" t="n"/>
      <c r="C485" s="7" t="n"/>
      <c r="D485" s="7" t="n"/>
      <c r="E485" s="10" t="n"/>
      <c r="F485" s="9">
        <f>IF(OR(C485="",E485=""),0,IF(C485="Начисление по акту",E485,IF(OR(C485="Оплата",C485="Зачёт аванса по договору"),-E485,IF(C485="Корректировка (подписана обеими сторонами)",E485,0))))</f>
        <v/>
      </c>
      <c r="G485" s="9">
        <f>IF(OR(C485="Удержание",C485="Зачёт встречного требования",C485="Неустойка заявлена"),N(E485),0)</f>
        <v/>
      </c>
      <c r="H485" s="9">
        <f>H484+F485</f>
        <v/>
      </c>
    </row>
    <row r="486">
      <c r="A486" s="5" t="n">
        <v>482</v>
      </c>
      <c r="B486" s="6" t="n"/>
      <c r="C486" s="7" t="n"/>
      <c r="D486" s="7" t="n"/>
      <c r="E486" s="10" t="n"/>
      <c r="F486" s="9">
        <f>IF(OR(C486="",E486=""),0,IF(C486="Начисление по акту",E486,IF(OR(C486="Оплата",C486="Зачёт аванса по договору"),-E486,IF(C486="Корректировка (подписана обеими сторонами)",E486,0))))</f>
        <v/>
      </c>
      <c r="G486" s="9">
        <f>IF(OR(C486="Удержание",C486="Зачёт встречного требования",C486="Неустойка заявлена"),N(E486),0)</f>
        <v/>
      </c>
      <c r="H486" s="9">
        <f>H485+F486</f>
        <v/>
      </c>
    </row>
    <row r="487">
      <c r="A487" s="5" t="n">
        <v>483</v>
      </c>
      <c r="B487" s="6" t="n"/>
      <c r="C487" s="7" t="n"/>
      <c r="D487" s="7" t="n"/>
      <c r="E487" s="10" t="n"/>
      <c r="F487" s="9">
        <f>IF(OR(C487="",E487=""),0,IF(C487="Начисление по акту",E487,IF(OR(C487="Оплата",C487="Зачёт аванса по договору"),-E487,IF(C487="Корректировка (подписана обеими сторонами)",E487,0))))</f>
        <v/>
      </c>
      <c r="G487" s="9">
        <f>IF(OR(C487="Удержание",C487="Зачёт встречного требования",C487="Неустойка заявлена"),N(E487),0)</f>
        <v/>
      </c>
      <c r="H487" s="9">
        <f>H486+F487</f>
        <v/>
      </c>
    </row>
    <row r="488">
      <c r="A488" s="5" t="n">
        <v>484</v>
      </c>
      <c r="B488" s="6" t="n"/>
      <c r="C488" s="7" t="n"/>
      <c r="D488" s="7" t="n"/>
      <c r="E488" s="10" t="n"/>
      <c r="F488" s="9">
        <f>IF(OR(C488="",E488=""),0,IF(C488="Начисление по акту",E488,IF(OR(C488="Оплата",C488="Зачёт аванса по договору"),-E488,IF(C488="Корректировка (подписана обеими сторонами)",E488,0))))</f>
        <v/>
      </c>
      <c r="G488" s="9">
        <f>IF(OR(C488="Удержание",C488="Зачёт встречного требования",C488="Неустойка заявлена"),N(E488),0)</f>
        <v/>
      </c>
      <c r="H488" s="9">
        <f>H487+F488</f>
        <v/>
      </c>
    </row>
    <row r="489">
      <c r="A489" s="5" t="n">
        <v>485</v>
      </c>
      <c r="B489" s="6" t="n"/>
      <c r="C489" s="7" t="n"/>
      <c r="D489" s="7" t="n"/>
      <c r="E489" s="10" t="n"/>
      <c r="F489" s="9">
        <f>IF(OR(C489="",E489=""),0,IF(C489="Начисление по акту",E489,IF(OR(C489="Оплата",C489="Зачёт аванса по договору"),-E489,IF(C489="Корректировка (подписана обеими сторонами)",E489,0))))</f>
        <v/>
      </c>
      <c r="G489" s="9">
        <f>IF(OR(C489="Удержание",C489="Зачёт встречного требования",C489="Неустойка заявлена"),N(E489),0)</f>
        <v/>
      </c>
      <c r="H489" s="9">
        <f>H488+F489</f>
        <v/>
      </c>
    </row>
    <row r="490">
      <c r="A490" s="5" t="n">
        <v>486</v>
      </c>
      <c r="B490" s="6" t="n"/>
      <c r="C490" s="7" t="n"/>
      <c r="D490" s="7" t="n"/>
      <c r="E490" s="10" t="n"/>
      <c r="F490" s="9">
        <f>IF(OR(C490="",E490=""),0,IF(C490="Начисление по акту",E490,IF(OR(C490="Оплата",C490="Зачёт аванса по договору"),-E490,IF(C490="Корректировка (подписана обеими сторонами)",E490,0))))</f>
        <v/>
      </c>
      <c r="G490" s="9">
        <f>IF(OR(C490="Удержание",C490="Зачёт встречного требования",C490="Неустойка заявлена"),N(E490),0)</f>
        <v/>
      </c>
      <c r="H490" s="9">
        <f>H489+F490</f>
        <v/>
      </c>
    </row>
    <row r="491">
      <c r="A491" s="5" t="n">
        <v>487</v>
      </c>
      <c r="B491" s="6" t="n"/>
      <c r="C491" s="7" t="n"/>
      <c r="D491" s="7" t="n"/>
      <c r="E491" s="10" t="n"/>
      <c r="F491" s="9">
        <f>IF(OR(C491="",E491=""),0,IF(C491="Начисление по акту",E491,IF(OR(C491="Оплата",C491="Зачёт аванса по договору"),-E491,IF(C491="Корректировка (подписана обеими сторонами)",E491,0))))</f>
        <v/>
      </c>
      <c r="G491" s="9">
        <f>IF(OR(C491="Удержание",C491="Зачёт встречного требования",C491="Неустойка заявлена"),N(E491),0)</f>
        <v/>
      </c>
      <c r="H491" s="9">
        <f>H490+F491</f>
        <v/>
      </c>
    </row>
    <row r="492">
      <c r="A492" s="5" t="n">
        <v>488</v>
      </c>
      <c r="B492" s="6" t="n"/>
      <c r="C492" s="7" t="n"/>
      <c r="D492" s="7" t="n"/>
      <c r="E492" s="10" t="n"/>
      <c r="F492" s="9">
        <f>IF(OR(C492="",E492=""),0,IF(C492="Начисление по акту",E492,IF(OR(C492="Оплата",C492="Зачёт аванса по договору"),-E492,IF(C492="Корректировка (подписана обеими сторонами)",E492,0))))</f>
        <v/>
      </c>
      <c r="G492" s="9">
        <f>IF(OR(C492="Удержание",C492="Зачёт встречного требования",C492="Неустойка заявлена"),N(E492),0)</f>
        <v/>
      </c>
      <c r="H492" s="9">
        <f>H491+F492</f>
        <v/>
      </c>
    </row>
    <row r="493">
      <c r="A493" s="5" t="n">
        <v>489</v>
      </c>
      <c r="B493" s="6" t="n"/>
      <c r="C493" s="7" t="n"/>
      <c r="D493" s="7" t="n"/>
      <c r="E493" s="10" t="n"/>
      <c r="F493" s="9">
        <f>IF(OR(C493="",E493=""),0,IF(C493="Начисление по акту",E493,IF(OR(C493="Оплата",C493="Зачёт аванса по договору"),-E493,IF(C493="Корректировка (подписана обеими сторонами)",E493,0))))</f>
        <v/>
      </c>
      <c r="G493" s="9">
        <f>IF(OR(C493="Удержание",C493="Зачёт встречного требования",C493="Неустойка заявлена"),N(E493),0)</f>
        <v/>
      </c>
      <c r="H493" s="9">
        <f>H492+F493</f>
        <v/>
      </c>
    </row>
    <row r="494">
      <c r="A494" s="5" t="n">
        <v>490</v>
      </c>
      <c r="B494" s="6" t="n"/>
      <c r="C494" s="7" t="n"/>
      <c r="D494" s="7" t="n"/>
      <c r="E494" s="10" t="n"/>
      <c r="F494" s="9">
        <f>IF(OR(C494="",E494=""),0,IF(C494="Начисление по акту",E494,IF(OR(C494="Оплата",C494="Зачёт аванса по договору"),-E494,IF(C494="Корректировка (подписана обеими сторонами)",E494,0))))</f>
        <v/>
      </c>
      <c r="G494" s="9">
        <f>IF(OR(C494="Удержание",C494="Зачёт встречного требования",C494="Неустойка заявлена"),N(E494),0)</f>
        <v/>
      </c>
      <c r="H494" s="9">
        <f>H493+F494</f>
        <v/>
      </c>
    </row>
    <row r="495">
      <c r="A495" s="5" t="n">
        <v>491</v>
      </c>
      <c r="B495" s="6" t="n"/>
      <c r="C495" s="7" t="n"/>
      <c r="D495" s="7" t="n"/>
      <c r="E495" s="10" t="n"/>
      <c r="F495" s="9">
        <f>IF(OR(C495="",E495=""),0,IF(C495="Начисление по акту",E495,IF(OR(C495="Оплата",C495="Зачёт аванса по договору"),-E495,IF(C495="Корректировка (подписана обеими сторонами)",E495,0))))</f>
        <v/>
      </c>
      <c r="G495" s="9">
        <f>IF(OR(C495="Удержание",C495="Зачёт встречного требования",C495="Неустойка заявлена"),N(E495),0)</f>
        <v/>
      </c>
      <c r="H495" s="9">
        <f>H494+F495</f>
        <v/>
      </c>
    </row>
    <row r="496">
      <c r="A496" s="5" t="n">
        <v>492</v>
      </c>
      <c r="B496" s="6" t="n"/>
      <c r="C496" s="7" t="n"/>
      <c r="D496" s="7" t="n"/>
      <c r="E496" s="10" t="n"/>
      <c r="F496" s="9">
        <f>IF(OR(C496="",E496=""),0,IF(C496="Начисление по акту",E496,IF(OR(C496="Оплата",C496="Зачёт аванса по договору"),-E496,IF(C496="Корректировка (подписана обеими сторонами)",E496,0))))</f>
        <v/>
      </c>
      <c r="G496" s="9">
        <f>IF(OR(C496="Удержание",C496="Зачёт встречного требования",C496="Неустойка заявлена"),N(E496),0)</f>
        <v/>
      </c>
      <c r="H496" s="9">
        <f>H495+F496</f>
        <v/>
      </c>
    </row>
    <row r="497">
      <c r="A497" s="5" t="n">
        <v>493</v>
      </c>
      <c r="B497" s="6" t="n"/>
      <c r="C497" s="7" t="n"/>
      <c r="D497" s="7" t="n"/>
      <c r="E497" s="10" t="n"/>
      <c r="F497" s="9">
        <f>IF(OR(C497="",E497=""),0,IF(C497="Начисление по акту",E497,IF(OR(C497="Оплата",C497="Зачёт аванса по договору"),-E497,IF(C497="Корректировка (подписана обеими сторонами)",E497,0))))</f>
        <v/>
      </c>
      <c r="G497" s="9">
        <f>IF(OR(C497="Удержание",C497="Зачёт встречного требования",C497="Неустойка заявлена"),N(E497),0)</f>
        <v/>
      </c>
      <c r="H497" s="9">
        <f>H496+F497</f>
        <v/>
      </c>
    </row>
    <row r="498">
      <c r="A498" s="5" t="n">
        <v>494</v>
      </c>
      <c r="B498" s="6" t="n"/>
      <c r="C498" s="7" t="n"/>
      <c r="D498" s="7" t="n"/>
      <c r="E498" s="10" t="n"/>
      <c r="F498" s="9">
        <f>IF(OR(C498="",E498=""),0,IF(C498="Начисление по акту",E498,IF(OR(C498="Оплата",C498="Зачёт аванса по договору"),-E498,IF(C498="Корректировка (подписана обеими сторонами)",E498,0))))</f>
        <v/>
      </c>
      <c r="G498" s="9">
        <f>IF(OR(C498="Удержание",C498="Зачёт встречного требования",C498="Неустойка заявлена"),N(E498),0)</f>
        <v/>
      </c>
      <c r="H498" s="9">
        <f>H497+F498</f>
        <v/>
      </c>
    </row>
    <row r="499">
      <c r="A499" s="5" t="n">
        <v>495</v>
      </c>
      <c r="B499" s="6" t="n"/>
      <c r="C499" s="7" t="n"/>
      <c r="D499" s="7" t="n"/>
      <c r="E499" s="10" t="n"/>
      <c r="F499" s="9">
        <f>IF(OR(C499="",E499=""),0,IF(C499="Начисление по акту",E499,IF(OR(C499="Оплата",C499="Зачёт аванса по договору"),-E499,IF(C499="Корректировка (подписана обеими сторонами)",E499,0))))</f>
        <v/>
      </c>
      <c r="G499" s="9">
        <f>IF(OR(C499="Удержание",C499="Зачёт встречного требования",C499="Неустойка заявлена"),N(E499),0)</f>
        <v/>
      </c>
      <c r="H499" s="9">
        <f>H498+F499</f>
        <v/>
      </c>
    </row>
    <row r="500">
      <c r="A500" s="5" t="n">
        <v>496</v>
      </c>
      <c r="B500" s="6" t="n"/>
      <c r="C500" s="7" t="n"/>
      <c r="D500" s="7" t="n"/>
      <c r="E500" s="10" t="n"/>
      <c r="F500" s="9">
        <f>IF(OR(C500="",E500=""),0,IF(C500="Начисление по акту",E500,IF(OR(C500="Оплата",C500="Зачёт аванса по договору"),-E500,IF(C500="Корректировка (подписана обеими сторонами)",E500,0))))</f>
        <v/>
      </c>
      <c r="G500" s="9">
        <f>IF(OR(C500="Удержание",C500="Зачёт встречного требования",C500="Неустойка заявлена"),N(E500),0)</f>
        <v/>
      </c>
      <c r="H500" s="9">
        <f>H499+F500</f>
        <v/>
      </c>
    </row>
    <row r="501">
      <c r="A501" s="5" t="n">
        <v>497</v>
      </c>
      <c r="B501" s="6" t="n"/>
      <c r="C501" s="7" t="n"/>
      <c r="D501" s="7" t="n"/>
      <c r="E501" s="10" t="n"/>
      <c r="F501" s="9">
        <f>IF(OR(C501="",E501=""),0,IF(C501="Начисление по акту",E501,IF(OR(C501="Оплата",C501="Зачёт аванса по договору"),-E501,IF(C501="Корректировка (подписана обеими сторонами)",E501,0))))</f>
        <v/>
      </c>
      <c r="G501" s="9">
        <f>IF(OR(C501="Удержание",C501="Зачёт встречного требования",C501="Неустойка заявлена"),N(E501),0)</f>
        <v/>
      </c>
      <c r="H501" s="9">
        <f>H500+F501</f>
        <v/>
      </c>
    </row>
    <row r="502">
      <c r="A502" s="5" t="n">
        <v>498</v>
      </c>
      <c r="B502" s="6" t="n"/>
      <c r="C502" s="7" t="n"/>
      <c r="D502" s="7" t="n"/>
      <c r="E502" s="10" t="n"/>
      <c r="F502" s="9">
        <f>IF(OR(C502="",E502=""),0,IF(C502="Начисление по акту",E502,IF(OR(C502="Оплата",C502="Зачёт аванса по договору"),-E502,IF(C502="Корректировка (подписана обеими сторонами)",E502,0))))</f>
        <v/>
      </c>
      <c r="G502" s="9">
        <f>IF(OR(C502="Удержание",C502="Зачёт встречного требования",C502="Неустойка заявлена"),N(E502),0)</f>
        <v/>
      </c>
      <c r="H502" s="9">
        <f>H501+F502</f>
        <v/>
      </c>
    </row>
    <row r="503">
      <c r="A503" s="5" t="n">
        <v>499</v>
      </c>
      <c r="B503" s="6" t="n"/>
      <c r="C503" s="7" t="n"/>
      <c r="D503" s="7" t="n"/>
      <c r="E503" s="10" t="n"/>
      <c r="F503" s="9">
        <f>IF(OR(C503="",E503=""),0,IF(C503="Начисление по акту",E503,IF(OR(C503="Оплата",C503="Зачёт аванса по договору"),-E503,IF(C503="Корректировка (подписана обеими сторонами)",E503,0))))</f>
        <v/>
      </c>
      <c r="G503" s="9">
        <f>IF(OR(C503="Удержание",C503="Зачёт встречного требования",C503="Неустойка заявлена"),N(E503),0)</f>
        <v/>
      </c>
      <c r="H503" s="9">
        <f>H502+F503</f>
        <v/>
      </c>
    </row>
    <row r="504">
      <c r="A504" s="5" t="n">
        <v>500</v>
      </c>
      <c r="B504" s="6" t="n"/>
      <c r="C504" s="7" t="n"/>
      <c r="D504" s="7" t="n"/>
      <c r="E504" s="10" t="n"/>
      <c r="F504" s="9">
        <f>IF(OR(C504="",E504=""),0,IF(C504="Начисление по акту",E504,IF(OR(C504="Оплата",C504="Зачёт аванса по договору"),-E504,IF(C504="Корректировка (подписана обеими сторонами)",E504,0))))</f>
        <v/>
      </c>
      <c r="G504" s="9">
        <f>IF(OR(C504="Удержание",C504="Зачёт встречного требования",C504="Неустойка заявлена"),N(E504),0)</f>
        <v/>
      </c>
      <c r="H504" s="9">
        <f>H503+F504</f>
        <v/>
      </c>
    </row>
  </sheetData>
  <dataValidations count="1">
    <dataValidation sqref="C5:C504" showDropDown="0" showInputMessage="0" showErrorMessage="0" allowBlank="1" errorTitle="Недопустимое значение" error="Выберите значение из списка" type="list">
      <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8" customWidth="1" min="4" max="4"/>
    <col width="14" customWidth="1" min="5" max="5"/>
    <col width="12" customWidth="1" min="6" max="6"/>
    <col width="12" customWidth="1" min="7" max="7"/>
    <col width="30" customWidth="1" min="8" max="8"/>
    <col width="8" customWidth="1" min="9" max="9"/>
  </cols>
  <sheetData>
    <row r="1">
      <c r="A1" s="1" t="inlineStr">
        <is>
          <t>Реестр приложений к претензии и иску</t>
        </is>
      </c>
    </row>
    <row r="2">
      <c r="A2" s="2" t="inlineStr">
        <is>
          <t>Что прикладывается, в каком виде и где лежит. Из этого реестра собирается список приложений претензии (файл 13) и иска (файл 15).</t>
        </is>
      </c>
    </row>
    <row r="4">
      <c r="A4" s="4" t="inlineStr">
        <is>
          <t>№</t>
        </is>
      </c>
      <c r="B4" s="4" t="inlineStr">
        <is>
          <t>Документ</t>
        </is>
      </c>
      <c r="C4" s="4" t="inlineStr">
        <is>
          <t>№ и дата</t>
        </is>
      </c>
      <c r="D4" s="4" t="inlineStr">
        <is>
          <t>Листов</t>
        </is>
      </c>
      <c r="E4" s="4" t="inlineStr">
        <is>
          <t>Копия / оригинал</t>
        </is>
      </c>
      <c r="F4" s="4" t="inlineStr">
        <is>
          <t>К претензии</t>
        </is>
      </c>
      <c r="G4" s="4" t="inlineStr">
        <is>
          <t>К иску</t>
        </is>
      </c>
      <c r="H4" s="4" t="inlineStr">
        <is>
          <t>Где лежит (папка, файл)</t>
        </is>
      </c>
      <c r="I4" s="4" t="inlineStr">
        <is>
          <t>Есть</t>
        </is>
      </c>
    </row>
    <row r="5">
      <c r="A5" s="5" t="n">
        <v>1</v>
      </c>
      <c r="B5" s="7" t="inlineStr">
        <is>
          <t>Договор и дополнительные соглашения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5" t="n">
        <v>2</v>
      </c>
      <c r="B6" s="7" t="inlineStr">
        <is>
          <t>Акты КС-2 / акты выполненных работ</t>
        </is>
      </c>
      <c r="C6" s="7" t="n"/>
      <c r="D6" s="7" t="n"/>
      <c r="E6" s="7" t="n"/>
      <c r="F6" s="7" t="n"/>
      <c r="G6" s="7" t="n"/>
      <c r="H6" s="7" t="n"/>
      <c r="I6" s="7" t="n"/>
    </row>
    <row r="7">
      <c r="A7" s="5" t="n">
        <v>3</v>
      </c>
      <c r="B7" s="7" t="inlineStr">
        <is>
          <t>Справки КС-3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5" t="n">
        <v>4</v>
      </c>
      <c r="B8" s="7" t="inlineStr">
        <is>
          <t>Доказательства передачи актов</t>
        </is>
      </c>
      <c r="C8" s="7" t="n"/>
      <c r="D8" s="7" t="n"/>
      <c r="E8" s="7" t="n"/>
      <c r="F8" s="7" t="n"/>
      <c r="G8" s="7" t="n"/>
      <c r="H8" s="7" t="n"/>
      <c r="I8" s="7" t="n"/>
    </row>
    <row r="9">
      <c r="A9" s="5" t="n">
        <v>5</v>
      </c>
      <c r="B9" s="7" t="inlineStr">
        <is>
          <t>Переписка о замечаниях и их устранении</t>
        </is>
      </c>
      <c r="C9" s="7" t="n"/>
      <c r="D9" s="7" t="n"/>
      <c r="E9" s="7" t="n"/>
      <c r="F9" s="7" t="n"/>
      <c r="G9" s="7" t="n"/>
      <c r="H9" s="7" t="n"/>
      <c r="I9" s="7" t="n"/>
    </row>
    <row r="10">
      <c r="A10" s="5" t="n">
        <v>6</v>
      </c>
      <c r="B10" s="7" t="inlineStr">
        <is>
          <t>Реестр взаиморасчётов / акт сверки</t>
        </is>
      </c>
      <c r="C10" s="7" t="n"/>
      <c r="D10" s="7" t="n"/>
      <c r="E10" s="7" t="n"/>
      <c r="F10" s="7" t="n"/>
      <c r="G10" s="7" t="n"/>
      <c r="H10" s="7" t="n"/>
      <c r="I10" s="7" t="n"/>
    </row>
    <row r="11">
      <c r="A11" s="5" t="n">
        <v>7</v>
      </c>
      <c r="B11" s="7" t="inlineStr">
        <is>
          <t>Платёжные поручения</t>
        </is>
      </c>
      <c r="C11" s="7" t="n"/>
      <c r="D11" s="7" t="n"/>
      <c r="E11" s="7" t="n"/>
      <c r="F11" s="7" t="n"/>
      <c r="G11" s="7" t="n"/>
      <c r="H11" s="7" t="n"/>
      <c r="I11" s="7" t="n"/>
    </row>
    <row r="12">
      <c r="A12" s="5" t="n">
        <v>8</v>
      </c>
      <c r="B12" s="7" t="inlineStr">
        <is>
          <t>Расчёт процентов по ст. 395 ГК РФ</t>
        </is>
      </c>
      <c r="C12" s="7" t="n"/>
      <c r="D12" s="7" t="n"/>
      <c r="E12" s="7" t="n"/>
      <c r="F12" s="7" t="n"/>
      <c r="G12" s="7" t="n"/>
      <c r="H12" s="7" t="n"/>
      <c r="I12" s="7" t="n"/>
    </row>
    <row r="13">
      <c r="A13" s="5" t="n">
        <v>9</v>
      </c>
      <c r="B13" s="7" t="inlineStr">
        <is>
          <t>Претензия и доказательство её направления</t>
        </is>
      </c>
      <c r="C13" s="7" t="n"/>
      <c r="D13" s="7" t="n"/>
      <c r="E13" s="7" t="n"/>
      <c r="F13" s="7" t="n"/>
      <c r="G13" s="7" t="n"/>
      <c r="H13" s="7" t="n"/>
      <c r="I13" s="7" t="n"/>
    </row>
    <row r="14">
      <c r="A14" s="5" t="n">
        <v>10</v>
      </c>
      <c r="B14" s="7" t="inlineStr">
        <is>
          <t>Выписка ЕГРЮЛ на истца</t>
        </is>
      </c>
      <c r="C14" s="7" t="n"/>
      <c r="D14" s="7" t="n"/>
      <c r="E14" s="7" t="n"/>
      <c r="F14" s="7" t="n"/>
      <c r="G14" s="7" t="n"/>
      <c r="H14" s="7" t="n"/>
      <c r="I14" s="7" t="n"/>
    </row>
    <row r="15">
      <c r="A15" s="5" t="n">
        <v>11</v>
      </c>
      <c r="B15" s="7" t="inlineStr">
        <is>
          <t>Выписка ЕГРЮЛ на ответчика</t>
        </is>
      </c>
      <c r="C15" s="7" t="n"/>
      <c r="D15" s="7" t="n"/>
      <c r="E15" s="7" t="n"/>
      <c r="F15" s="7" t="n"/>
      <c r="G15" s="7" t="n"/>
      <c r="H15" s="7" t="n"/>
      <c r="I15" s="7" t="n"/>
    </row>
    <row r="16">
      <c r="A16" s="5" t="n">
        <v>12</v>
      </c>
      <c r="B16" s="7" t="inlineStr">
        <is>
          <t>Документ об уплате государственной пошлины</t>
        </is>
      </c>
      <c r="C16" s="7" t="n"/>
      <c r="D16" s="7" t="n"/>
      <c r="E16" s="7" t="n"/>
      <c r="F16" s="7" t="n"/>
      <c r="G16" s="7" t="n"/>
      <c r="H16" s="7" t="n"/>
      <c r="I16" s="7" t="n"/>
    </row>
    <row r="17">
      <c r="A17" s="5" t="n">
        <v>13</v>
      </c>
      <c r="B17" s="7" t="inlineStr">
        <is>
          <t>Доказательство направления иска ответчику</t>
        </is>
      </c>
      <c r="C17" s="7" t="n"/>
      <c r="D17" s="7" t="n"/>
      <c r="E17" s="7" t="n"/>
      <c r="F17" s="7" t="n"/>
      <c r="G17" s="7" t="n"/>
      <c r="H17" s="7" t="n"/>
      <c r="I17" s="7" t="n"/>
    </row>
    <row r="18">
      <c r="A18" s="5" t="n">
        <v>14</v>
      </c>
      <c r="B18" s="7" t="inlineStr">
        <is>
          <t>Доверенность представителя</t>
        </is>
      </c>
      <c r="C18" s="7" t="n"/>
      <c r="D18" s="7" t="n"/>
      <c r="E18" s="7" t="n"/>
      <c r="F18" s="7" t="n"/>
      <c r="G18" s="7" t="n"/>
      <c r="H18" s="7" t="n"/>
      <c r="I18" s="7" t="n"/>
    </row>
    <row r="19">
      <c r="A19" s="5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5" t="n">
        <v>17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5" t="n">
        <v>19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5" t="n">
        <v>21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5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5" t="n">
        <v>23</v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5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5" t="n">
        <v>25</v>
      </c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5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5" t="n">
        <v>27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5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5" t="n">
        <v>29</v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5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5" t="n">
        <v>31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5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5" t="n">
        <v>33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5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5" t="n">
        <v>35</v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5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5" t="n">
        <v>37</v>
      </c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5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5" t="n">
        <v>39</v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5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5" t="n">
        <v>41</v>
      </c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5" t="n">
        <v>42</v>
      </c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5" t="n">
        <v>43</v>
      </c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5" t="n">
        <v>44</v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5" t="n">
        <v>45</v>
      </c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5" t="n">
        <v>46</v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5" t="n">
        <v>47</v>
      </c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5" t="n">
        <v>48</v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5" t="n">
        <v>49</v>
      </c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5" t="n">
        <v>50</v>
      </c>
      <c r="B54" s="7" t="n"/>
      <c r="C54" s="7" t="n"/>
      <c r="D54" s="7" t="n"/>
      <c r="E54" s="7" t="n"/>
      <c r="F54" s="7" t="n"/>
      <c r="G54" s="7" t="n"/>
      <c r="H54" s="7" t="n"/>
      <c r="I54" s="7" t="n"/>
    </row>
    <row r="56">
      <c r="B56" t="inlineStr">
        <is>
          <t>Нужно к иску, но нет</t>
        </is>
      </c>
      <c r="I56">
        <f>COUNTIFS(G5:G54,"Да",I5:I54,"&lt;&gt;Да")</f>
        <v/>
      </c>
    </row>
  </sheetData>
  <dataValidations count="3">
    <dataValidation sqref="E5:E54" showDropDown="0" showInputMessage="0" showErrorMessage="0" allowBlank="1" errorTitle="Недопустимое значение" error="Выберите значение из списка" type="list">
      <formula1>"Копия,Оригинал,Электронный образ"</formula1>
    </dataValidation>
    <dataValidation sqref="F5:G54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I5:I54" showDropDown="0" showInputMessage="0" showErrorMessage="0" allowBlank="1" errorTitle="Недопустимое значение" error="Выберите значение из списка" type="list">
      <formula1>"Да,Нет"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