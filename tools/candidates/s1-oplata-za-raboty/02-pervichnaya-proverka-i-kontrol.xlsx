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>
      <c r="A1" s="1" t="inlineStr">
        <is>
          <t>Детальная проверка — по желанию</t>
        </is>
      </c>
    </row>
    <row r="2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ситуация Г, Д или Е (шаги 2–5), затем проверка G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Акт подписан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Объём или качество работ требуют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переданным документам?</t>
        </is>
      </c>
      <c r="C11" s="5" t="n"/>
      <c r="D11" s="4" t="inlineStr">
        <is>
          <t>Да → шаг 5 (ситуация Д)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Есть признаки банкротства или ликвидации заказчика (картотека арбитражных дел, Федресурс, ЕГРЮЛ)?</t>
        </is>
      </c>
      <c r="C13" s="5" t="n"/>
      <c r="D13" s="4" t="inlineStr">
        <is>
          <t>Да → граница B3; «Не знаю» → проверить</t>
        </is>
      </c>
    </row>
    <row r="14">
      <c r="A14" s="4" t="n">
        <v>10</v>
      </c>
      <c r="B14" s="4" t="inlineStr">
        <is>
          <t>Передача исполнительной документации — условие оплаты по договору, и она не завершена?</t>
        </is>
      </c>
      <c r="C14" s="5" t="n"/>
      <c r="D14" s="4" t="inlineStr">
        <is>
          <t>Да → граница B1</t>
        </is>
      </c>
    </row>
    <row r="15">
      <c r="A15" s="4" t="n">
        <v>11</v>
      </c>
      <c r="B15" s="4" t="inlineStr">
        <is>
          <t>Срок оплаты определён договором или двусторонним соглашением?</t>
        </is>
      </c>
      <c r="C15" s="5" t="n"/>
      <c r="D15" s="4" t="inlineStr">
        <is>
          <t>Нет → РАНО, определить срок</t>
        </is>
      </c>
    </row>
    <row r="16">
      <c r="A16" s="4" t="n">
        <v>12</v>
      </c>
      <c r="B16" s="4" t="inlineStr">
        <is>
          <t>Этот срок истёк?</t>
        </is>
      </c>
      <c r="C16" s="5" t="n"/>
      <c r="D16" s="4" t="inlineStr">
        <is>
          <t>Нет → РАНО</t>
        </is>
      </c>
    </row>
    <row r="17">
      <c r="A17" s="4" t="n">
        <v>13</v>
      </c>
      <c r="B17" s="4" t="inlineStr">
        <is>
          <t>Срок оплаты переносился двусторонним соглашением?</t>
        </is>
      </c>
      <c r="C17" s="5" t="n"/>
      <c r="D17" s="4" t="inlineStr">
        <is>
          <t>Да → считать от новой даты</t>
        </is>
      </c>
    </row>
    <row r="18">
      <c r="A18" s="4" t="n">
        <v>14</v>
      </c>
      <c r="B18" s="4" t="inlineStr">
        <is>
          <t>Есть только гарантийное письмо заказчика с новой датой оплаты?</t>
        </is>
      </c>
      <c r="C18" s="5" t="n"/>
      <c r="D18" s="4" t="inlineStr">
        <is>
          <t>Да → срок не перенесён, см. файл 11</t>
        </is>
      </c>
    </row>
    <row r="19">
      <c r="A19" s="4" t="n">
        <v>15</v>
      </c>
      <c r="B19" s="4" t="inlineStr">
        <is>
          <t>Сумма долга подтверждена (акт сверки или реестр взаиморасчётов с платёжками)?</t>
        </is>
      </c>
      <c r="C19" s="5" t="n"/>
      <c r="D19" s="4" t="inlineStr">
        <is>
          <t>Нет → шаг 6 (ситуация Б)</t>
        </is>
      </c>
    </row>
    <row r="20">
      <c r="A20" s="4" t="n">
        <v>16</v>
      </c>
      <c r="B20" s="4" t="inlineStr">
        <is>
          <t>Документы переданы заказчику, и передача подтверждается (отметка, опись, ЭДО)?</t>
        </is>
      </c>
      <c r="C20" s="5" t="n"/>
      <c r="D20" s="4" t="inlineStr">
        <is>
          <t>Нет → шаг 4 (ситуация Г)</t>
        </is>
      </c>
    </row>
    <row r="22" ht="45" customHeight="1">
      <c r="B22" t="inlineStr">
        <is>
          <t>Код маршрута (служебно)</t>
        </is>
      </c>
      <c r="C22" s="2">
        <f>IF(COUNTA(C5:C20)&lt;16,"НЕ ЗАПОЛНЕНО",IF(C13="Да","B3",IF(C13="Не знаю","ПРОВЕРКА B3",IF(OR(C7="Да",C8="Да",C9="Да",C10="Да"),"B4",IF(C12="Да","B2",IF(C14="Да","B1",IF(C5&lt;&gt;"Да","НЕ ПРИМЕНИМО",IF(C6&lt;&gt;"Да",IF(C20&lt;&gt;"Да","ДОКУМЕНТЫ",IF(C11="Да","ЗАМЕЧАНИЯ","ПОДПИСЬ")),IF(C15&lt;&gt;"Да","РАНО-СРОК",IF(C16&lt;&gt;"Да","РАНО",IF(C20&lt;&gt;"Да","ПЕРЕДАЧА",IF(C11="Да","ЗАМЕЧАНИЯ",IF(C19&lt;&gt;"Да","СВЕРКА","OK")))))))))))))</f>
        <v/>
      </c>
    </row>
    <row r="23" ht="45" customHeight="1">
      <c r="B23" s="6" t="inlineStr">
        <is>
          <t>ИТОГ</t>
        </is>
      </c>
      <c r="C23" s="7">
        <f>VLOOKUP(C22,Справочник!$A$2:$C$16,2,FALSE)</f>
        <v/>
      </c>
    </row>
    <row r="24" ht="45" customHeight="1">
      <c r="B24" s="6" t="inlineStr">
        <is>
          <t>Следующий шаг</t>
        </is>
      </c>
      <c r="C24" s="2">
        <f>VLOOKUP(C22,Справочник!$A$2:$C$16,3,FALSE)</f>
        <v/>
      </c>
    </row>
    <row r="25" ht="45" customHeight="1">
      <c r="B25" t="inlineStr">
        <is>
          <t>Предупреждение о сроке</t>
        </is>
      </c>
      <c r="C25" s="2">
        <f>IF(AND(C18="Да",C17&lt;&gt;"Да"),"Гарантийное письмо не переносит срок оплаты: просрочка считается от договорного срока. Для переноса нужно двустороннее соглашение (файл 11).","")</f>
        <v/>
      </c>
    </row>
    <row r="27" ht="45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РФ). Если актов несколько и сроки оплаты по ним разные, заполните срок по каждому акту в файле 08, лист «Долг по актам»: эта строка тогда служит для самого раннего акта</t>
        </is>
      </c>
      <c r="C27" s="8" t="n"/>
    </row>
    <row r="28" ht="45" customHeight="1">
      <c r="B28" s="2" t="inlineStr">
        <is>
          <t>Первый день просрочки (по каждому акту он свой: файл 08, лист «Долг по актам», оттуда — в файл 14, лист «Акты», вместе с долгом на первый день просрочки)</t>
        </is>
      </c>
      <c r="C28" s="9">
        <f>IF(C27="","",C27+1)</f>
        <v/>
      </c>
    </row>
  </sheetData>
  <mergeCells count="4">
    <mergeCell ref="C23:D23"/>
    <mergeCell ref="C25:D25"/>
    <mergeCell ref="C22:D22"/>
    <mergeCell ref="C24:D24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>
      <c r="A1" s="1" t="inlineStr">
        <is>
          <t>Карта рисков и недостающих подтверждений</t>
        </is>
      </c>
    </row>
    <row r="2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Шаги 2–5: файлы 04–07, 09, 10.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Файл 04, лист «КС-3».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Доказательство передачи актов заказчику</t>
        </is>
      </c>
      <c r="C9" s="4" t="inlineStr">
        <is>
          <t>Отметка о получении, опись вложения, квитанции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Файл 10, раздел А; файл 08, «Реестр передачи».</t>
        </is>
      </c>
      <c r="G9" s="5" t="n"/>
    </row>
    <row r="10">
      <c r="A10" s="4" t="n">
        <v>6</v>
      </c>
      <c r="B10" s="4" t="inlineStr">
        <is>
          <t>Переписка о замечаниях и доказательства их устранения</t>
        </is>
      </c>
      <c r="C10" s="4" t="inlineStr">
        <is>
          <t>Письма, уведомления об устранении, повторное предъявление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Файл 10, раздел Б; файл 08, «Реестр замечаний».</t>
        </is>
      </c>
      <c r="G10" s="5" t="n"/>
    </row>
    <row r="11">
      <c r="A11" s="4" t="n">
        <v>7</v>
      </c>
      <c r="B11" s="4" t="inlineStr">
        <is>
          <t>Подтверждение объёмов</t>
        </is>
      </c>
      <c r="C11" s="4" t="inlineStr">
        <is>
          <t>Журнал объёмов, исполнительные схемы, журнал работ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Файл 08, «Журнал объёмов».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«Взаиморасчёты» (08).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08,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11,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>
      <c r="A1" s="1" t="inlineStr">
        <is>
          <t>Контроль ответа заказчика и следующий шаг</t>
        </is>
      </c>
    </row>
    <row r="2">
      <c r="A2" s="2" t="inlineStr">
        <is>
          <t>Одна строка — одно направленное требование или событие. Выберите реакцию заказчика — следующий шаг покажется автоматически.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IF(F5="","",IFERROR(VLOOKUP(F5,Справочник!$A$19:$B$27,2,FALSE),"Выберите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IF(F6="","",IFERROR(VLOOKUP(F6,Справочник!$A$19:$B$27,2,FALSE),"Выберите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IF(F7="","",IFERROR(VLOOKUP(F7,Справочник!$A$19:$B$27,2,FALSE),"Выберите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IF(F8="","",IFERROR(VLOOKUP(F8,Справочник!$A$19:$B$27,2,FALSE),"Выберите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IF(F9="","",IFERROR(VLOOKUP(F9,Справочник!$A$19:$B$27,2,FALSE),"Выберите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IF(F10="","",IFERROR(VLOOKUP(F10,Справочник!$A$19:$B$27,2,FALSE),"Выберите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IF(F11="","",IFERROR(VLOOKUP(F11,Справочник!$A$19:$B$27,2,FALSE),"Выберите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IF(F12="","",IFERROR(VLOOKUP(F12,Справочник!$A$19:$B$27,2,FALSE),"Выберите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IF(F13="","",IFERROR(VLOOKUP(F13,Справочник!$A$19:$B$27,2,FALSE),"Выберите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IF(F14="","",IFERROR(VLOOKUP(F14,Справочник!$A$19:$B$27,2,FALSE),"Выберите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IF(F15="","",IFERROR(VLOOKUP(F15,Справочник!$A$19:$B$27,2,FALSE),"Выберите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IF(F16="","",IFERROR(VLOOKUP(F16,Справочник!$A$19:$B$27,2,FALSE),"Выберите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IF(F17="","",IFERROR(VLOOKUP(F17,Справочник!$A$19:$B$27,2,FALSE),"Выберите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IF(F18="","",IFERROR(VLOOKUP(F18,Справочник!$A$19:$B$27,2,FALSE),"Выберите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IF(F19="","",IFERROR(VLOOKUP(F19,Справочник!$A$19:$B$27,2,FALSE),"Выберите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IF(F20="","",IFERROR(VLOOKUP(F20,Справочник!$A$19:$B$27,2,FALSE),"Выберите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IF(F21="","",IFERROR(VLOOKUP(F21,Справочник!$A$19:$B$27,2,FALSE),"Выберите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IF(F22="","",IFERROR(VLOOKUP(F22,Справочник!$A$19:$B$27,2,FALSE),"Выберите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IF(F23="","",IFERROR(VLOOKUP(F23,Справочник!$A$19:$B$27,2,FALSE),"Выберите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IF(F24="","",IFERROR(VLOOKUP(F24,Справочник!$A$19:$B$27,2,FALSE),"Выберите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IF(F25="","",IFERROR(VLOOKUP(F25,Справочник!$A$19:$B$27,2,FALSE),"Выберите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IF(F26="","",IFERROR(VLOOKUP(F26,Справочник!$A$19:$B$27,2,FALSE),"Выберите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IF(F27="","",IFERROR(VLOOKUP(F27,Справочник!$A$19:$B$27,2,FALSE),"Выберите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IF(F28="","",IFERROR(VLOOKUP(F28,Справочник!$A$19:$B$27,2,FALSE),"Выберите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IF(F29="","",IFERROR(VLOOKUP(F29,Справочник!$A$19:$B$27,2,FALSE),"Выберите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IF(F30="","",IFERROR(VLOOKUP(F30,Справочник!$A$19:$B$27,2,FALSE),"Выберите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IF(F31="","",IFERROR(VLOOKUP(F31,Справочник!$A$19:$B$27,2,FALSE),"Выберите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IF(F32="","",IFERROR(VLOOKUP(F32,Справочник!$A$19:$B$27,2,FALSE),"Выберите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IF(F33="","",IFERROR(VLOOKUP(F33,Справочник!$A$19:$B$27,2,FALSE),"Выберите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IF(F34="","",IFERROR(VLOOKUP(F34,Справочник!$A$19:$B$27,2,FALSE),"Выберите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IF(F35="","",IFERROR(VLOOKUP(F35,Справочник!$A$19:$B$27,2,FALSE),"Выберите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IF(F36="","",IFERROR(VLOOKUP(F36,Справочник!$A$19:$B$27,2,FALSE),"Выберите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IF(F37="","",IFERROR(VLOOKUP(F37,Справочник!$A$19:$B$27,2,FALSE),"Выберите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IF(F38="","",IFERROR(VLOOKUP(F38,Справочник!$A$19:$B$27,2,FALSE),"Выберите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IF(F39="","",IFERROR(VLOOKUP(F39,Справочник!$A$19:$B$27,2,FALSE),"Выберите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IF(F40="","",IFERROR(VLOOKUP(F40,Справочник!$A$19:$B$27,2,FALSE),"Выберите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IF(F41="","",IFERROR(VLOOKUP(F41,Справочник!$A$19:$B$27,2,FALSE),"Выберите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IF(F42="","",IFERROR(VLOOKUP(F42,Справочник!$A$19:$B$27,2,FALSE),"Выберите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IF(F43="","",IFERROR(VLOOKUP(F43,Справочник!$A$19:$B$27,2,FALSE),"Выберите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IF(F44="","",IFERROR(VLOOKUP(F44,Справочник!$A$19:$B$27,2,FALSE),"Выберите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IF(F45="","",IFERROR(VLOOKUP(F45,Справочник!$A$19:$B$27,2,FALSE),"Выберите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IF(F46="","",IFERROR(VLOOKUP(F46,Справочник!$A$19:$B$27,2,FALSE),"Выберите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IF(F47="","",IFERROR(VLOOKUP(F47,Справочник!$A$19:$B$27,2,FALSE),"Выберите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IF(F48="","",IFERROR(VLOOKUP(F48,Справочник!$A$19:$B$27,2,FALSE),"Выберите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IF(F49="","",IFERROR(VLOOKUP(F49,Справочник!$A$19:$B$27,2,FALSE),"Выберите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IF(F50="","",IFERROR(VLOOKUP(F50,Справочник!$A$19:$B$27,2,FALSE),"Выберите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IF(F51="","",IFERROR(VLOOKUP(F51,Справочник!$A$19:$B$27,2,FALSE),"Выберите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IF(F52="","",IFERROR(VLOOKUP(F52,Справочник!$A$19:$B$27,2,FALSE),"Выберите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IF(F53="","",IFERROR(VLOOKUP(F53,Справочник!$A$19:$B$27,2,FALSE),"Выберите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IF(F54="","",IFERROR(VLOOKUP(F54,Справочник!$A$19:$B$27,2,FALSE),"Выберите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IF(F55="","",IFERROR(VLOOKUP(F55,Справочник!$A$19:$B$27,2,FALSE),"Выберите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IF(F56="","",IFERROR(VLOOKUP(F56,Справочник!$A$19:$B$27,2,FALSE),"Выберите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IF(F57="","",IFERROR(VLOOKUP(F57,Справочник!$A$19:$B$27,2,FALSE),"Выберите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IF(F58="","",IFERROR(VLOOKUP(F58,Справочник!$A$19:$B$27,2,FALSE),"Выберите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IF(F59="","",IFERROR(VLOOKUP(F59,Справочник!$A$19:$B$27,2,FALSE),"Выберите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IF(F60="","",IFERROR(VLOOKUP(F60,Справочник!$A$19:$B$27,2,FALSE),"Выберите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IF(F61="","",IFERROR(VLOOKUP(F61,Справочник!$A$19:$B$27,2,FALSE),"Выберите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IF(F62="","",IFERROR(VLOOKUP(F62,Справочник!$A$19:$B$27,2,FALSE),"Выберите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IF(F63="","",IFERROR(VLOOKUP(F63,Справочник!$A$19:$B$27,2,FALSE),"Выберите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IF(F64="","",IFERROR(VLOOKUP(F64,Справочник!$A$19:$B$27,2,FALSE),"Выберите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IF(F65="","",IFERROR(VLOOKUP(F65,Справочник!$A$19:$B$27,2,FALSE),"Выберите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IF(F66="","",IFERROR(VLOOKUP(F66,Справочник!$A$19:$B$27,2,FALSE),"Выберите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IF(F67="","",IFERROR(VLOOKUP(F67,Справочник!$A$19:$B$27,2,FALSE),"Выберите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IF(F68="","",IFERROR(VLOOKUP(F68,Справочник!$A$19:$B$27,2,FALSE),"Выберите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IF(F69="","",IFERROR(VLOOKUP(F69,Справочник!$A$19:$B$27,2,FALSE),"Выберите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IF(F70="","",IFERROR(VLOOKUP(F70,Справочник!$A$19:$B$27,2,FALSE),"Выберите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IF(F71="","",IFERROR(VLOOKUP(F71,Справочник!$A$19:$B$27,2,FALSE),"Выберите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IF(F72="","",IFERROR(VLOOKUP(F72,Справочник!$A$19:$B$27,2,FALSE),"Выберите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IF(F73="","",IFERROR(VLOOKUP(F73,Справочник!$A$19:$B$27,2,FALSE),"Выберите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IF(F74="","",IFERROR(VLOOKUP(F74,Справочник!$A$19:$B$27,2,FALSE),"Выберите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IF(F75="","",IFERROR(VLOOKUP(F75,Справочник!$A$19:$B$27,2,FALSE),"Выберите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IF(F76="","",IFERROR(VLOOKUP(F76,Справочник!$A$19:$B$27,2,FALSE),"Выберите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IF(F77="","",IFERROR(VLOOKUP(F77,Справочник!$A$19:$B$27,2,FALSE),"Выберите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IF(F78="","",IFERROR(VLOOKUP(F78,Справочник!$A$19:$B$27,2,FALSE),"Выберите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IF(F79="","",IFERROR(VLOOKUP(F79,Справочник!$A$19:$B$27,2,FALSE),"Выберите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IF(F80="","",IFERROR(VLOOKUP(F80,Справочник!$A$19:$B$27,2,FALSE),"Выберите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IF(F81="","",IFERROR(VLOOKUP(F81,Справочник!$A$19:$B$27,2,FALSE),"Выберите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IF(F82="","",IFERROR(VLOOKUP(F82,Справочник!$A$19:$B$27,2,FALSE),"Выберите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IF(F83="","",IFERROR(VLOOKUP(F83,Справочник!$A$19:$B$27,2,FALSE),"Выберите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IF(F84="","",IFERROR(VLOOKUP(F84,Справочник!$A$19:$B$27,2,FALSE),"Выберите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IF(F85="","",IFERROR(VLOOKUP(F85,Справочник!$A$19:$B$27,2,FALSE),"Выберите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IF(F86="","",IFERROR(VLOOKUP(F86,Справочник!$A$19:$B$27,2,FALSE),"Выберите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IF(F87="","",IFERROR(VLOOKUP(F87,Справочник!$A$19:$B$27,2,FALSE),"Выберите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IF(F88="","",IFERROR(VLOOKUP(F88,Справочник!$A$19:$B$27,2,FALSE),"Выберите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IF(F89="","",IFERROR(VLOOKUP(F89,Справочник!$A$19:$B$27,2,FALSE),"Выберите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IF(F90="","",IFERROR(VLOOKUP(F90,Справочник!$A$19:$B$27,2,FALSE),"Выберите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IF(F91="","",IFERROR(VLOOKUP(F91,Справочник!$A$19:$B$27,2,FALSE),"Выберите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IF(F92="","",IFERROR(VLOOKUP(F92,Справочник!$A$19:$B$27,2,FALSE),"Выберите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IF(F93="","",IFERROR(VLOOKUP(F93,Справочник!$A$19:$B$27,2,FALSE),"Выберите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IF(F94="","",IFERROR(VLOOKUP(F94,Справочник!$A$19:$B$27,2,FALSE),"Выберите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IF(F95="","",IFERROR(VLOOKUP(F95,Справочник!$A$19:$B$27,2,FALSE),"Выберите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IF(F96="","",IFERROR(VLOOKUP(F96,Справочник!$A$19:$B$27,2,FALSE),"Выберите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IF(F97="","",IFERROR(VLOOKUP(F97,Справочник!$A$19:$B$27,2,FALSE),"Выберите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IF(F98="","",IFERROR(VLOOKUP(F98,Справочник!$A$19:$B$27,2,FALSE),"Выберите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IF(F99="","",IFERROR(VLOOKUP(F99,Справочник!$A$19:$B$27,2,FALSE),"Выберите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IF(F100="","",IFERROR(VLOOKUP(F100,Справочник!$A$19:$B$27,2,FALSE),"Выберите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IF(F101="","",IFERROR(VLOOKUP(F101,Справочник!$A$19:$B$27,2,FALSE),"Выберите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IF(F102="","",IFERROR(VLOOKUP(F102,Справочник!$A$19:$B$27,2,FALSE),"Выберите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IF(F103="","",IFERROR(VLOOKUP(F103,Справочник!$A$19:$B$27,2,FALSE),"Выберите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IF(F104="","",IFERROR(VLOOKUP(F104,Справочник!$A$19:$B$27,2,FALSE),"Выберите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IF(F105="","",IFERROR(VLOOKUP(F105,Справочник!$A$19:$B$27,2,FALSE),"Выберите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IF(F106="","",IFERROR(VLOOKUP(F106,Справочник!$A$19:$B$27,2,FALSE),"Выберите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IF(F107="","",IFERROR(VLOOKUP(F107,Справочник!$A$19:$B$27,2,FALSE),"Выберите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IF(F108="","",IFERROR(VLOOKUP(F108,Справочник!$A$19:$B$27,2,FALSE),"Выберите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IF(F109="","",IFERROR(VLOOKUP(F109,Справочник!$A$19:$B$27,2,FALSE),"Выберите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IF(F110="","",IFERROR(VLOOKUP(F110,Справочник!$A$19:$B$27,2,FALSE),"Выберите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IF(F111="","",IFERROR(VLOOKUP(F111,Справочник!$A$19:$B$27,2,FALSE),"Выберите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IF(F112="","",IFERROR(VLOOKUP(F112,Справочник!$A$19:$B$27,2,FALSE),"Выберите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IF(F113="","",IFERROR(VLOOKUP(F113,Справочник!$A$19:$B$27,2,FALSE),"Выберите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IF(F114="","",IFERROR(VLOOKUP(F114,Справочник!$A$19:$B$27,2,FALSE),"Выберите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IF(F115="","",IFERROR(VLOOKUP(F115,Справочник!$A$19:$B$27,2,FALSE),"Выберите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IF(F116="","",IFERROR(VLOOKUP(F116,Справочник!$A$19:$B$27,2,FALSE),"Выберите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IF(F117="","",IFERROR(VLOOKUP(F117,Справочник!$A$19:$B$27,2,FALSE),"Выберите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IF(F118="","",IFERROR(VLOOKUP(F118,Справочник!$A$19:$B$27,2,FALSE),"Выберите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IF(F119="","",IFERROR(VLOOKUP(F119,Справочник!$A$19:$B$27,2,FALSE),"Выберите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IF(F120="","",IFERROR(VLOOKUP(F120,Справочник!$A$19:$B$27,2,FALSE),"Выберите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IF(F121="","",IFERROR(VLOOKUP(F121,Справочник!$A$19:$B$27,2,FALSE),"Выберите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IF(F122="","",IFERROR(VLOOKUP(F122,Справочник!$A$19:$B$27,2,FALSE),"Выберите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IF(F123="","",IFERROR(VLOOKUP(F123,Справочник!$A$19:$B$27,2,FALSE),"Выберите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IF(F124="","",IFERROR(VLOOKUP(F124,Справочник!$A$19:$B$27,2,FALSE),"Выберите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IF(F125="","",IFERROR(VLOOKUP(F125,Справочник!$A$19:$B$27,2,FALSE),"Выберите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IF(F126="","",IFERROR(VLOOKUP(F126,Справочник!$A$19:$B$27,2,FALSE),"Выберите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IF(F127="","",IFERROR(VLOOKUP(F127,Справочник!$A$19:$B$27,2,FALSE),"Выберите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IF(F128="","",IFERROR(VLOOKUP(F128,Справочник!$A$19:$B$27,2,FALSE),"Выберите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IF(F129="","",IFERROR(VLOOKUP(F129,Справочник!$A$19:$B$27,2,FALSE),"Выберите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IF(F130="","",IFERROR(VLOOKUP(F130,Справочник!$A$19:$B$27,2,FALSE),"Выберите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IF(F131="","",IFERROR(VLOOKUP(F131,Справочник!$A$19:$B$27,2,FALSE),"Выберите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IF(F132="","",IFERROR(VLOOKUP(F132,Справочник!$A$19:$B$27,2,FALSE),"Выберите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IF(F133="","",IFERROR(VLOOKUP(F133,Справочник!$A$19:$B$27,2,FALSE),"Выберите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IF(F134="","",IFERROR(VLOOKUP(F134,Справочник!$A$19:$B$27,2,FALSE),"Выберите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IF(F135="","",IFERROR(VLOOKUP(F135,Справочник!$A$19:$B$27,2,FALSE),"Выберите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IF(F136="","",IFERROR(VLOOKUP(F136,Справочник!$A$19:$B$27,2,FALSE),"Выберите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IF(F137="","",IFERROR(VLOOKUP(F137,Справочник!$A$19:$B$27,2,FALSE),"Выберите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IF(F138="","",IFERROR(VLOOKUP(F138,Справочник!$A$19:$B$27,2,FALSE),"Выберите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IF(F139="","",IFERROR(VLOOKUP(F139,Справочник!$A$19:$B$27,2,FALSE),"Выберите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IF(F140="","",IFERROR(VLOOKUP(F140,Справочник!$A$19:$B$27,2,FALSE),"Выберите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IF(F141="","",IFERROR(VLOOKUP(F141,Справочник!$A$19:$B$27,2,FALSE),"Выберите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IF(F142="","",IFERROR(VLOOKUP(F142,Справочник!$A$19:$B$27,2,FALSE),"Выберите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IF(F143="","",IFERROR(VLOOKUP(F143,Справочник!$A$19:$B$27,2,FALSE),"Выберите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IF(F144="","",IFERROR(VLOOKUP(F144,Справочник!$A$19:$B$27,2,FALSE),"Выберите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IF(F145="","",IFERROR(VLOOKUP(F145,Справочник!$A$19:$B$27,2,FALSE),"Выберите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IF(F146="","",IFERROR(VLOOKUP(F146,Справочник!$A$19:$B$27,2,FALSE),"Выберите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IF(F147="","",IFERROR(VLOOKUP(F147,Справочник!$A$19:$B$27,2,FALSE),"Выберите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IF(F148="","",IFERROR(VLOOKUP(F148,Справочник!$A$19:$B$27,2,FALSE),"Выберите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IF(F149="","",IFERROR(VLOOKUP(F149,Справочник!$A$19:$B$27,2,FALSE),"Выберите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IF(F150="","",IFERROR(VLOOKUP(F150,Справочник!$A$19:$B$27,2,FALSE),"Выберите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IF(F151="","",IFERROR(VLOOKUP(F151,Справочник!$A$19:$B$27,2,FALSE),"Выберите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IF(F152="","",IFERROR(VLOOKUP(F152,Справочник!$A$19:$B$27,2,FALSE),"Выберите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IF(F153="","",IFERROR(VLOOKUP(F153,Справочник!$A$19:$B$27,2,FALSE),"Выберите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IF(F154="","",IFERROR(VLOOKUP(F154,Справочник!$A$19:$B$27,2,FALSE),"Выберите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IF(F155="","",IFERROR(VLOOKUP(F155,Справочник!$A$19:$B$27,2,FALSE),"Выберите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IF(F156="","",IFERROR(VLOOKUP(F156,Справочник!$A$19:$B$27,2,FALSE),"Выберите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IF(F157="","",IFERROR(VLOOKUP(F157,Справочник!$A$19:$B$27,2,FALSE),"Выберите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IF(F158="","",IFERROR(VLOOKUP(F158,Справочник!$A$19:$B$27,2,FALSE),"Выберите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IF(F159="","",IFERROR(VLOOKUP(F159,Справочник!$A$19:$B$27,2,FALSE),"Выберите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IF(F160="","",IFERROR(VLOOKUP(F160,Справочник!$A$19:$B$27,2,FALSE),"Выберите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IF(F161="","",IFERROR(VLOOKUP(F161,Справочник!$A$19:$B$27,2,FALSE),"Выберите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IF(F162="","",IFERROR(VLOOKUP(F162,Справочник!$A$19:$B$27,2,FALSE),"Выберите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IF(F163="","",IFERROR(VLOOKUP(F163,Справочник!$A$19:$B$27,2,FALSE),"Выберите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IF(F164="","",IFERROR(VLOOKUP(F164,Справочник!$A$19:$B$27,2,FALSE),"Выберите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IF(F165="","",IFERROR(VLOOKUP(F165,Справочник!$A$19:$B$27,2,FALSE),"Выберите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IF(F166="","",IFERROR(VLOOKUP(F166,Справочник!$A$19:$B$27,2,FALSE),"Выберите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IF(F167="","",IFERROR(VLOOKUP(F167,Справочник!$A$19:$B$27,2,FALSE),"Выберите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IF(F168="","",IFERROR(VLOOKUP(F168,Справочник!$A$19:$B$27,2,FALSE),"Выберите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IF(F169="","",IFERROR(VLOOKUP(F169,Справочник!$A$19:$B$27,2,FALSE),"Выберите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IF(F170="","",IFERROR(VLOOKUP(F170,Справочник!$A$19:$B$27,2,FALSE),"Выберите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IF(F171="","",IFERROR(VLOOKUP(F171,Справочник!$A$19:$B$27,2,FALSE),"Выберите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IF(F172="","",IFERROR(VLOOKUP(F172,Справочник!$A$19:$B$27,2,FALSE),"Выберите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IF(F173="","",IFERROR(VLOOKUP(F173,Справочник!$A$19:$B$27,2,FALSE),"Выберите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IF(F174="","",IFERROR(VLOOKUP(F174,Справочник!$A$19:$B$27,2,FALSE),"Выберите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IF(F175="","",IFERROR(VLOOKUP(F175,Справочник!$A$19:$B$27,2,FALSE),"Выберите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IF(F176="","",IFERROR(VLOOKUP(F176,Справочник!$A$19:$B$27,2,FALSE),"Выберите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IF(F177="","",IFERROR(VLOOKUP(F177,Справочник!$A$19:$B$27,2,FALSE),"Выберите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IF(F178="","",IFERROR(VLOOKUP(F178,Справочник!$A$19:$B$27,2,FALSE),"Выберите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IF(F179="","",IFERROR(VLOOKUP(F179,Справочник!$A$19:$B$27,2,FALSE),"Выберите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IF(F180="","",IFERROR(VLOOKUP(F180,Справочник!$A$19:$B$27,2,FALSE),"Выберите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IF(F181="","",IFERROR(VLOOKUP(F181,Справочник!$A$19:$B$27,2,FALSE),"Выберите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IF(F182="","",IFERROR(VLOOKUP(F182,Справочник!$A$19:$B$27,2,FALSE),"Выберите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IF(F183="","",IFERROR(VLOOKUP(F183,Справочник!$A$19:$B$27,2,FALSE),"Выберите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IF(F184="","",IFERROR(VLOOKUP(F184,Справочник!$A$19:$B$27,2,FALSE),"Выберите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IF(F185="","",IFERROR(VLOOKUP(F185,Справочник!$A$19:$B$27,2,FALSE),"Выберите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IF(F186="","",IFERROR(VLOOKUP(F186,Справочник!$A$19:$B$27,2,FALSE),"Выберите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IF(F187="","",IFERROR(VLOOKUP(F187,Справочник!$A$19:$B$27,2,FALSE),"Выберите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IF(F188="","",IFERROR(VLOOKUP(F188,Справочник!$A$19:$B$27,2,FALSE),"Выберите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IF(F189="","",IFERROR(VLOOKUP(F189,Справочник!$A$19:$B$27,2,FALSE),"Выберите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IF(F190="","",IFERROR(VLOOKUP(F190,Справочник!$A$19:$B$27,2,FALSE),"Выберите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IF(F191="","",IFERROR(VLOOKUP(F191,Справочник!$A$19:$B$27,2,FALSE),"Выберите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IF(F192="","",IFERROR(VLOOKUP(F192,Справочник!$A$19:$B$27,2,FALSE),"Выберите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IF(F193="","",IFERROR(VLOOKUP(F193,Справочник!$A$19:$B$27,2,FALSE),"Выберите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IF(F194="","",IFERROR(VLOOKUP(F194,Справочник!$A$19:$B$27,2,FALSE),"Выберите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IF(F195="","",IFERROR(VLOOKUP(F195,Справочник!$A$19:$B$27,2,FALSE),"Выберите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IF(F196="","",IFERROR(VLOOKUP(F196,Справочник!$A$19:$B$27,2,FALSE),"Выберите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IF(F197="","",IFERROR(VLOOKUP(F197,Справочник!$A$19:$B$27,2,FALSE),"Выберите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IF(F198="","",IFERROR(VLOOKUP(F198,Справочник!$A$19:$B$27,2,FALSE),"Выберите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IF(F199="","",IFERROR(VLOOKUP(F199,Справочник!$A$19:$B$27,2,FALSE),"Выберите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IF(F200="","",IFERROR(VLOOKUP(F200,Справочник!$A$19:$B$27,2,FALSE),"Выберите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IF(F201="","",IFERROR(VLOOKUP(F201,Справочник!$A$19:$B$27,2,FALSE),"Выберите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IF(F202="","",IFERROR(VLOOKUP(F202,Справочник!$A$19:$B$27,2,FALSE),"Выберите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IF(F203="","",IFERROR(VLOOKUP(F203,Справочник!$A$19:$B$27,2,FALSE),"Выберите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IF(F204="","",IFERROR(VLOOKUP(F204,Справочник!$A$19:$B$27,2,FALSE),"Выберите реакцию из списка"))</f>
        <v/>
      </c>
      <c r="H204" s="10" t="n"/>
    </row>
  </sheetData>
  <dataValidations count="1">
    <dataValidation sqref="F5:F204" showDropDown="0" showInputMessage="0" showErrorMessage="0" allowBlank="1" type="list">
      <formula1>Справочник!$A$19:$A$27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мотивированный отказ, односторонний акт, экспертиза, подпись</t>
        </is>
      </c>
      <c r="C5" s="4" t="inlineStr">
        <is>
          <t>Соберите по описи из файла 15 (раздел «Опись материалов для специалиста») переписку, акты, журнал объёмов и реестр замечаний и передайте специалисту. Устранимые замечания продолжайте закрывать по файлу 10.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B1</t>
        </is>
      </c>
      <c r="B7" s="4" t="inlineStr">
        <is>
          <t>ГРАНИЦА B1: исполнительная документация</t>
        </is>
      </c>
      <c r="C7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пройдите проверку G перед шагом 6.</t>
        </is>
      </c>
    </row>
    <row r="8">
      <c r="A8" s="4" t="inlineStr">
        <is>
          <t>НЕ ПРИМЕНИМО</t>
        </is>
      </c>
      <c r="B8" s="4" t="inlineStr">
        <is>
          <t>НЕ ПРИМЕНИМО: работы не выполнены</t>
        </is>
      </c>
      <c r="C8" s="4" t="inlineStr">
        <is>
          <t>Система рассчитана на выполненные работы. Требовать оплату невыполненного нельзя.</t>
        </is>
      </c>
    </row>
    <row r="9">
      <c r="A9" s="4" t="inlineStr">
        <is>
          <t>ДОКУМЕНТЫ</t>
        </is>
      </c>
      <c r="B9" s="4" t="inlineStr">
        <is>
          <t>СИТУАЦИЯ Г, ШАГ 2: оформить и сдать работы</t>
        </is>
      </c>
      <c r="C9" s="4" t="inlineStr">
        <is>
          <t>Оформите акты (файлы 04–07), проверьте (09), передайте с доказательством и закройте замечания (10), затем проверка G (файл 03). Задолженность до неё не фиксируйте.</t>
        </is>
      </c>
    </row>
    <row r="10">
      <c r="A10" s="4" t="inlineStr">
        <is>
          <t>РАНО-СРОК</t>
        </is>
      </c>
      <c r="B10" s="4" t="inlineStr">
        <is>
          <t>РАНО: срок оплаты не определён</t>
        </is>
      </c>
      <c r="C10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1">
      <c r="A11" s="4" t="inlineStr">
        <is>
          <t>РАНО</t>
        </is>
      </c>
      <c r="B11" s="4" t="inlineStr">
        <is>
          <t>РАНО: срок оплаты не истёк</t>
        </is>
      </c>
      <c r="C11" s="4" t="inlineStr">
        <is>
          <t>Маршрут задолженности (шаги 6–12) начните не раньше следующего дня после срока. До этого документы можно готовить и сдавать по ситуации Г (шаги 2–4).</t>
        </is>
      </c>
    </row>
    <row r="12">
      <c r="A12" s="4" t="inlineStr">
        <is>
          <t>ПОДПИСЬ</t>
        </is>
      </c>
      <c r="B12" s="4" t="inlineStr">
        <is>
          <t>СИТУАЦИЯ Е: приёмка не подтверждена</t>
        </is>
      </c>
      <c r="C12" s="4" t="inlineStr">
        <is>
          <t>Приёмка не подтверждена, поэтому долг не фиксируйте и претензию не готовьте. Проверьте по договору срок и порядок приёмки; направьте заказчику запрос подписать акт или прислать мотивированный отказ и повторно предъявите документы (файл 10, раздел Б); каждую отправку внесите в реестр передачи (файл 08). Если считаете работы принятыми по акту, подписанному только вами, — граница B4.</t>
        </is>
      </c>
    </row>
    <row r="13">
      <c r="A13" s="4" t="inlineStr">
        <is>
          <t>ПЕРЕДАЧА</t>
        </is>
      </c>
      <c r="B13" s="4" t="inlineStr">
        <is>
          <t>СИТУАЦИЯ Г, ШАГ 4: подтвердить передачу</t>
        </is>
      </c>
      <c r="C13" s="4" t="inlineStr">
        <is>
          <t>Передайте документы способом, который можно доказать, и внесите передачу в реестр (файлы 10, 08), затем проверка G (файл 03).</t>
        </is>
      </c>
    </row>
    <row r="14">
      <c r="A14" s="4" t="inlineStr">
        <is>
          <t>ЗАМЕЧАНИЯ</t>
        </is>
      </c>
      <c r="B14" s="4" t="inlineStr">
        <is>
          <t>СИТУАЦИЯ Д, ШАГ 5: закрыть замечания</t>
        </is>
      </c>
      <c r="C14" s="4" t="inlineStr">
        <is>
          <t>Разберите замечания по файлу 10, раздел Б; ведите реестр замечаний (файл 08), затем проверка G (файл 03).</t>
        </is>
      </c>
    </row>
    <row r="15">
      <c r="A15" s="4" t="inlineStr">
        <is>
          <t>СВЕРКА</t>
        </is>
      </c>
      <c r="B15" s="4" t="inlineStr">
        <is>
          <t>СИТУАЦИЯ Б, ШАГ 6: подтвердить сумму</t>
        </is>
      </c>
      <c r="C15" s="4" t="inlineStr">
        <is>
          <t>Заполните реестр взаиморасчётов (файл 08) и предложите заказчику акт сверки; шаги 2–5 не нужны.</t>
        </is>
      </c>
    </row>
    <row r="16">
      <c r="A16" s="4" t="inlineStr">
        <is>
          <t>OK</t>
        </is>
      </c>
      <c r="B16" s="4" t="inlineStr">
        <is>
          <t>МОЖНО ИДТИ ПО S1</t>
        </is>
      </c>
      <c r="C16" s="4" t="inlineStr">
        <is>
          <t>Ситуация А: шаги 6–12. Зафиксируйте долг и дату начала просрочки, затем переговоры (файл 11).</t>
        </is>
      </c>
    </row>
    <row r="17">
      <c r="A17" s="4" t="n"/>
      <c r="B17" s="4" t="n"/>
      <c r="C17" s="4" t="n"/>
    </row>
    <row r="18">
      <c r="A18" s="3" t="inlineStr">
        <is>
          <t>Реакция заказчика</t>
        </is>
      </c>
      <c r="B18" s="3" t="inlineStr">
        <is>
          <t>Следующий шаг</t>
        </is>
      </c>
      <c r="C18" s="3" t="inlineStr"/>
    </row>
    <row r="19">
      <c r="A19" s="4" t="inlineStr">
        <is>
          <t>Оплатил полностью</t>
        </is>
      </c>
      <c r="B19" s="4" t="inlineStr">
        <is>
          <t>Внесите оплату в реестр взаиморасчётов (файл 08). Маршрут завершён.</t>
        </is>
      </c>
      <c r="C19" s="4" t="n"/>
    </row>
    <row r="20">
      <c r="A20" s="4" t="inlineStr">
        <is>
          <t>Оплатил частично</t>
        </is>
      </c>
      <c r="B20" s="4" t="inlineStr">
        <is>
          <t>Внесите оплату в реестр взаиморасчётов (08) и в расчёт процентов (14). По остатку — шаги 9–12.</t>
        </is>
      </c>
      <c r="C20" s="4" t="n"/>
    </row>
    <row r="21">
      <c r="A21" s="4" t="inlineStr">
        <is>
          <t>Обещал оплатить в названную дату</t>
        </is>
      </c>
      <c r="B21" s="4" t="inlineStr">
        <is>
          <t>Контролируйте дату. При срыве — сразу шаги 9–10, без повторного письма.</t>
        </is>
      </c>
      <c r="C21" s="4" t="n"/>
    </row>
    <row r="22">
      <c r="A22" s="4" t="inlineStr">
        <is>
          <t>Предложил график или перенос</t>
        </is>
      </c>
      <c r="B22" s="4" t="inlineStr">
        <is>
          <t>Только двустороннее соглашение (файл 11, раздел Б). Гарантийное письмо соглашение не заменяет.</t>
        </is>
      </c>
      <c r="C22" s="4" t="n"/>
    </row>
    <row r="23">
      <c r="A23" s="4" t="inlineStr">
        <is>
          <t>Молчание после срока</t>
        </is>
      </c>
      <c r="B23" s="4" t="inlineStr">
        <is>
          <t>Если это была претензия и срок ожидания истёк — шаг 12 (файл 15). Если уведомление — шаги 9–10.</t>
        </is>
      </c>
      <c r="C23" s="4" t="n"/>
    </row>
    <row r="24">
      <c r="A24" s="4" t="inlineStr">
        <is>
          <t>Отказ без мотивов</t>
        </is>
      </c>
      <c r="B24" s="4" t="inlineStr">
        <is>
          <t>Если претензия ещё не направлена — шаг 10; если направлена и срок ожидания истёк — шаг 12.</t>
        </is>
      </c>
      <c r="C24" s="4" t="n"/>
    </row>
    <row r="25">
      <c r="A25" s="4" t="inlineStr">
        <is>
          <t>Отказ с мотивами: объём, качество, подпись</t>
        </is>
      </c>
      <c r="B25" s="4" t="inlineStr">
        <is>
          <t>Граница B4: профессиональная оценка. Опись материалов — файл 15, раздел В.</t>
        </is>
      </c>
      <c r="C25" s="4" t="n"/>
    </row>
    <row r="26">
      <c r="A26" s="4" t="inlineStr">
        <is>
          <t>Встречное требование, зачёт, удержание, неустойка</t>
        </is>
      </c>
      <c r="B26" s="4" t="inlineStr">
        <is>
          <t>Граница B2: спорную часть — специалисту; бесспорную — дальше по маршруту.</t>
        </is>
      </c>
      <c r="C26" s="4" t="n"/>
    </row>
    <row r="27">
      <c r="A27" s="4" t="inlineStr">
        <is>
          <t>Признаки банкротства</t>
        </is>
      </c>
      <c r="B27" s="4" t="inlineStr">
        <is>
          <t>Граница B3: остановите маршрут и немедленно обратитесь к специалисту по банкротству.</t>
        </is>
      </c>
      <c r="C27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