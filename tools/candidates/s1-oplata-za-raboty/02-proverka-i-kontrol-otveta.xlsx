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" sheetId="1" state="visible" r:id="rId1"/>
    <sheet xmlns:r="http://schemas.openxmlformats.org/officeDocument/2006/relationships" name="Карта рисков" sheetId="2" state="visible" r:id="rId2"/>
    <sheet xmlns:r="http://schemas.openxmlformats.org/officeDocument/2006/relationships" name="Контроль ответа" sheetId="3" state="visible" r:id="rId3"/>
    <sheet xmlns:r="http://schemas.openxmlformats.org/officeDocument/2006/relationships" name="Справо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3" fillId="3" borderId="1" pivotButton="0" quotePrefix="0" xfId="0"/>
    <xf numFmtId="164" fontId="0" fillId="0" borderId="0" pivotButton="0" quotePrefix="0" xfId="0"/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60" customWidth="1" min="4" max="4"/>
  </cols>
  <sheetData>
    <row r="1" ht="18" customHeight="1">
      <c r="A1" s="1" t="inlineStr">
        <is>
          <t>Детальная проверка — по желанию</t>
        </is>
      </c>
    </row>
    <row r="2" ht="48" customHeight="1">
      <c r="A2" s="2" t="inlineStr">
        <is>
          <t>Необязательно. Ситуация выбирается в файле 01, таблица 1. Эта проверка — для случая, когда вы сомневаетесь в выборе: ответьте на вопросы Да / Нет / Не знаю, итог покажет ситуацию или границу. Строку «Последний день срока оплаты» ниже заполняйте в любом случае (шаг 6). Жёлтые ячейки — ввод.</t>
        </is>
      </c>
    </row>
    <row r="4">
      <c r="A4" s="3" t="inlineStr">
        <is>
          <t>№</t>
        </is>
      </c>
      <c r="B4" s="3" t="inlineStr">
        <is>
          <t>Вопрос</t>
        </is>
      </c>
      <c r="C4" s="3" t="inlineStr">
        <is>
          <t>Ответ</t>
        </is>
      </c>
      <c r="D4" s="3" t="inlineStr">
        <is>
          <t>Если «Да» / «Нет»</t>
        </is>
      </c>
    </row>
    <row r="5">
      <c r="A5" s="4" t="n">
        <v>1</v>
      </c>
      <c r="B5" s="4" t="inlineStr">
        <is>
          <t>Работы за спорный период фактически выполнены?</t>
        </is>
      </c>
      <c r="C5" s="5" t="n"/>
      <c r="D5" s="4" t="inlineStr">
        <is>
          <t>Нет → система неприменима</t>
        </is>
      </c>
    </row>
    <row r="6">
      <c r="A6" s="4" t="n">
        <v>2</v>
      </c>
      <c r="B6" s="4" t="inlineStr">
        <is>
          <t>Акт (КС-2 или акт, названный в договоре) подписан обеими сторонами?</t>
        </is>
      </c>
      <c r="C6" s="5" t="n"/>
      <c r="D6" s="4" t="inlineStr">
        <is>
          <t>Нет → работы не приняты: система не подходит</t>
        </is>
      </c>
    </row>
    <row r="7">
      <c r="A7" s="4" t="n">
        <v>3</v>
      </c>
      <c r="B7" s="4" t="inlineStr">
        <is>
          <t>Заказчик направил мотивированный отказ от подписания акта?</t>
        </is>
      </c>
      <c r="C7" s="5" t="n"/>
      <c r="D7" s="4" t="inlineStr">
        <is>
          <t>Да → граница B4</t>
        </is>
      </c>
    </row>
    <row r="8">
      <c r="A8" s="4" t="n">
        <v>4</v>
      </c>
      <c r="B8" s="4" t="inlineStr">
        <is>
          <t>Вы считаете работы принятыми по акту, подписанному только вами (односторонний акт)?</t>
        </is>
      </c>
      <c r="C8" s="5" t="n"/>
      <c r="D8" s="4" t="inlineStr">
        <is>
          <t>Да → граница B4</t>
        </is>
      </c>
    </row>
    <row r="9">
      <c r="A9" s="4" t="n">
        <v>5</v>
      </c>
      <c r="B9" s="4" t="inlineStr">
        <is>
          <t>Оспариваются подпись на акте или полномочия подписанта?</t>
        </is>
      </c>
      <c r="C9" s="5" t="n"/>
      <c r="D9" s="4" t="inlineStr">
        <is>
          <t>Да → граница B4</t>
        </is>
      </c>
    </row>
    <row r="10">
      <c r="A10" s="4" t="n">
        <v>6</v>
      </c>
      <c r="B10" s="4" t="inlineStr">
        <is>
          <t>После подписания акта заказчик оспаривает объём или качество работ или требует экспертизы?</t>
        </is>
      </c>
      <c r="C10" s="5" t="n"/>
      <c r="D10" s="4" t="inlineStr">
        <is>
          <t>Да → граница B4</t>
        </is>
      </c>
    </row>
    <row r="11">
      <c r="A11" s="4" t="n">
        <v>7</v>
      </c>
      <c r="B11" s="4" t="inlineStr">
        <is>
          <t>Есть незакрытые замечания заказчика по этим работам?</t>
        </is>
      </c>
      <c r="C11" s="5" t="n"/>
      <c r="D11" s="4" t="inlineStr">
        <is>
          <t>Да → работы не приняты: система не подходит</t>
        </is>
      </c>
    </row>
    <row r="12">
      <c r="A12" s="4" t="n">
        <v>8</v>
      </c>
      <c r="B12" s="4" t="inlineStr">
        <is>
          <t>Заказчик удержал часть оплаты, заявил зачёт, неустойку, штраф, недостатки или встречное денежное требование?</t>
        </is>
      </c>
      <c r="C12" s="5" t="n"/>
      <c r="D12" s="4" t="inlineStr">
        <is>
          <t>Да → граница B2</t>
        </is>
      </c>
    </row>
    <row r="13">
      <c r="A13" s="4" t="n">
        <v>9</v>
      </c>
      <c r="B13" s="4" t="inlineStr">
        <is>
          <t>В сумме долга есть работы, которых нет в договоре, смете или допсоглашениях?</t>
        </is>
      </c>
      <c r="C13" s="5" t="n"/>
      <c r="D13" s="4" t="inlineStr">
        <is>
          <t>Да → граница B5 для этой части</t>
        </is>
      </c>
    </row>
    <row r="14">
      <c r="A14" s="4" t="n">
        <v>10</v>
      </c>
      <c r="B14" s="4" t="inlineStr">
        <is>
          <t>Есть признаки банкротства или ликвидации заказчика (картотека арбитражных дел, Федресурс, ЕГРЮЛ)?</t>
        </is>
      </c>
      <c r="C14" s="5" t="n"/>
      <c r="D14" s="4" t="inlineStr">
        <is>
          <t>Да → граница B3; «Не знаю» → проверить</t>
        </is>
      </c>
    </row>
    <row r="15">
      <c r="A15" s="4" t="n">
        <v>11</v>
      </c>
      <c r="B15" s="4" t="inlineStr">
        <is>
          <t>Передача исполнительной документации — условие оплаты по договору, и она не завершена?</t>
        </is>
      </c>
      <c r="C15" s="5" t="n"/>
      <c r="D15" s="4" t="inlineStr">
        <is>
          <t>Да → граница B1</t>
        </is>
      </c>
    </row>
    <row r="16">
      <c r="A16" s="4" t="n">
        <v>12</v>
      </c>
      <c r="B16" s="4" t="inlineStr">
        <is>
          <t>Срок оплаты определён договором или двусторонним соглашением?</t>
        </is>
      </c>
      <c r="C16" s="5" t="n"/>
      <c r="D16" s="4" t="inlineStr">
        <is>
          <t>Нет → РАНО, определить срок</t>
        </is>
      </c>
    </row>
    <row r="17">
      <c r="A17" s="4" t="n">
        <v>13</v>
      </c>
      <c r="B17" s="4" t="inlineStr">
        <is>
          <t>Этот срок истёк?</t>
        </is>
      </c>
      <c r="C17" s="5" t="n"/>
      <c r="D17" s="4" t="inlineStr">
        <is>
          <t>Нет → РАНО</t>
        </is>
      </c>
    </row>
    <row r="18">
      <c r="A18" s="4" t="n">
        <v>14</v>
      </c>
      <c r="B18" s="4" t="inlineStr">
        <is>
          <t>Срок оплаты переносился двусторонним соглашением?</t>
        </is>
      </c>
      <c r="C18" s="5" t="n"/>
      <c r="D18" s="4" t="inlineStr">
        <is>
          <t>Да → считать от новой даты</t>
        </is>
      </c>
    </row>
    <row r="19">
      <c r="A19" s="4" t="n">
        <v>15</v>
      </c>
      <c r="B19" s="4" t="inlineStr">
        <is>
          <t>Есть только гарантийное письмо заказчика с новой датой оплаты?</t>
        </is>
      </c>
      <c r="C19" s="5" t="n"/>
      <c r="D19" s="4" t="inlineStr">
        <is>
          <t>Да → срок не перенесён, см. файл 05</t>
        </is>
      </c>
    </row>
    <row r="20">
      <c r="A20" s="4" t="n">
        <v>16</v>
      </c>
      <c r="B20" s="4" t="inlineStr">
        <is>
          <t>Сумма долга подтверждена (акт сверки или реестр взаиморасчётов с платёжками)?</t>
        </is>
      </c>
      <c r="C20" s="5" t="n"/>
      <c r="D20" s="4" t="inlineStr">
        <is>
          <t>Нет → шаг 6 (ситуация Б)</t>
        </is>
      </c>
    </row>
    <row r="22" ht="30" customHeight="1">
      <c r="B22" t="inlineStr">
        <is>
          <t>Код маршрута (служебно)</t>
        </is>
      </c>
      <c r="C22" s="2">
        <f>IF(COUNTA(C5:C20)&lt;16,"НЕ ЗАПОЛНЕНО",IF(C14="Да","B3",IF(C14="Не знаю","ПРОВЕРКА B3",IF(OR(C7="Да",C8="Да",C9="Да",C10="Да"),"B4",IF(C12="Да","B2",IF(C13="Да","B5",IF(C15="Да","B1",IF(C5&lt;&gt;"Да","НЕ ПРИМЕНИМО",IF(OR(C6&lt;&gt;"Да",C11="Да"),"НЕ ПРИНЯТЫ",IF(C16&lt;&gt;"Да","РАНО-СРОК",IF(C17&lt;&gt;"Да","РАНО",IF(C20&lt;&gt;"Да","СВЕРКА","OK"))))))))))))</f>
        <v/>
      </c>
    </row>
    <row r="23" ht="33" customHeight="1">
      <c r="B23" s="6" t="inlineStr">
        <is>
          <t>ИТОГ</t>
        </is>
      </c>
      <c r="C23" s="7">
        <f>VLOOKUP(C22,Справочник!$A$2:$C$14,2,FALSE)</f>
        <v/>
      </c>
    </row>
    <row r="24" ht="123" customHeight="1">
      <c r="B24" s="6" t="inlineStr">
        <is>
          <t>Следующий шаг</t>
        </is>
      </c>
      <c r="C24" s="2">
        <f>VLOOKUP(C22,Справочник!$A$2:$C$14,3,FALSE)</f>
        <v/>
      </c>
    </row>
    <row r="25" ht="48" customHeight="1">
      <c r="B25" t="inlineStr">
        <is>
          <t>Предупреждение о сроке</t>
        </is>
      </c>
      <c r="C25" s="2">
        <f>IF(AND(C19="Да",C18&lt;&gt;"Да"),"Гарантийное письмо не переносит срок оплаты: просрочка считается от договорного срока. Для переноса нужно двустороннее соглашение (файл 05).","")</f>
        <v/>
      </c>
    </row>
    <row r="27" ht="93" customHeight="1">
      <c r="B27" s="2" t="inlineStr">
        <is>
          <t>Последний день срока оплаты (по договору или двустороннему соглашению; если он пришёлся на нерабочий день — ближайший следующий рабочий день, ст. 193 ГК РФ). Если актов несколько и сроки оплаты по ним разные, заполните срок по каждому акту в файле 04, лист «Долг по актам»: эта строка тогда служит для самого раннего акта</t>
        </is>
      </c>
      <c r="C27" s="8" t="n"/>
    </row>
    <row r="28" ht="48" customHeight="1">
      <c r="B28" s="2" t="inlineStr">
        <is>
          <t>Первый день просрочки (по каждому акту он свой: файл 04, лист «Долг по актам», оттуда — в файл 08, лист «Акты», вместе с долгом на первый день просрочки)</t>
        </is>
      </c>
      <c r="C28" s="9">
        <f>IF(C27="","",C27+1)</f>
        <v/>
      </c>
    </row>
  </sheetData>
  <mergeCells count="6">
    <mergeCell ref="A1:D1"/>
    <mergeCell ref="C24:D24"/>
    <mergeCell ref="C25:D25"/>
    <mergeCell ref="C22:D22"/>
    <mergeCell ref="A2:D2"/>
    <mergeCell ref="C23:D23"/>
  </mergeCells>
  <dataValidations count="1">
    <dataValidation sqref="C5:C20" showDropDown="0" showInputMessage="0" showErrorMessage="0" allowBlank="1" errorTitle="Недопустимое значение" error="Выберите значение из списка" type="list">
      <formula1>"Да,Нет,Не знаю"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6" customWidth="1" min="3" max="3"/>
    <col width="12" customWidth="1" min="4" max="4"/>
    <col width="16" customWidth="1" min="5" max="5"/>
    <col width="50" customWidth="1" min="6" max="6"/>
    <col width="22" customWidth="1" min="7" max="7"/>
  </cols>
  <sheetData>
    <row r="1" ht="18" customHeight="1">
      <c r="A1" s="1" t="inlineStr">
        <is>
          <t>Карта рисков и недостающих подтверждений</t>
        </is>
      </c>
    </row>
    <row r="2" ht="18" customHeight="1">
      <c r="A2" s="2" t="inlineStr">
        <is>
          <t>В колонке «Есть?» выберите Да / Нет / Не требуется. Строки «НЕ ХВАТАЕТ» — ваш список работ до претензии: назначьте действие и срок.</t>
        </is>
      </c>
    </row>
    <row r="4">
      <c r="A4" s="3" t="inlineStr">
        <is>
          <t>№</t>
        </is>
      </c>
      <c r="B4" s="3" t="inlineStr">
        <is>
          <t>Подтверждение</t>
        </is>
      </c>
      <c r="C4" s="3" t="inlineStr">
        <is>
          <t>Что проверить</t>
        </is>
      </c>
      <c r="D4" s="3" t="inlineStr">
        <is>
          <t>Есть?</t>
        </is>
      </c>
      <c r="E4" s="3" t="inlineStr">
        <is>
          <t>Статус</t>
        </is>
      </c>
      <c r="F4" s="3" t="inlineStr">
        <is>
          <t>Что сделать, если нет</t>
        </is>
      </c>
      <c r="G4" s="3" t="inlineStr">
        <is>
          <t>Кто и до какого числа</t>
        </is>
      </c>
    </row>
    <row r="5">
      <c r="A5" s="4" t="n">
        <v>1</v>
      </c>
      <c r="B5" s="4" t="inlineStr">
        <is>
          <t>Договор и все дополнительные соглашения</t>
        </is>
      </c>
      <c r="C5" s="4" t="inlineStr">
        <is>
          <t>Срок и порядок оплаты, претензионный порядок, подсудность, неустойка</t>
        </is>
      </c>
      <c r="D5" s="5" t="n"/>
      <c r="E5" s="4">
        <f>IF(D5="Да","ЕСТЬ",IF(D5="Нет","НЕ ХВАТАЕТ",IF(D5="Не требуется","НЕ ТРЕБУЕТСЯ","ПРОВЕРИТЬ")))</f>
        <v/>
      </c>
      <c r="F5" s="4" t="inlineStr">
        <is>
          <t>Запросите копию у ответственного; без договора маршрут не начинайте.</t>
        </is>
      </c>
      <c r="G5" s="5" t="n"/>
    </row>
    <row r="6">
      <c r="A6" s="4" t="n">
        <v>2</v>
      </c>
      <c r="B6" s="4" t="inlineStr">
        <is>
          <t>Акт КС-2 или акт, названный в договоре, подписан обеими сторонами</t>
        </is>
      </c>
      <c r="C6" s="4" t="inlineStr">
        <is>
          <t>Подписи, даты, печати, если их требует договор</t>
        </is>
      </c>
      <c r="D6" s="5" t="n"/>
      <c r="E6" s="4">
        <f>IF(D6="Да","ЕСТЬ",IF(D6="Нет","НЕ ХВАТАЕТ",IF(D6="Не требуется","НЕ ТРЕБУЕТСЯ","ПРОВЕРИТЬ")))</f>
        <v/>
      </c>
      <c r="F6" s="4" t="inlineStr">
        <is>
          <t>Без подписанного акта работы не приняты и система не подходит: файл 01, таблица 1, последняя строка.</t>
        </is>
      </c>
      <c r="G6" s="5" t="n"/>
    </row>
    <row r="7">
      <c r="A7" s="4" t="n">
        <v>3</v>
      </c>
      <c r="B7" s="4" t="inlineStr">
        <is>
          <t>Справка КС-3, если договор её требует</t>
        </is>
      </c>
      <c r="C7" s="4" t="inlineStr">
        <is>
          <t>Сумма за период равна КС-2</t>
        </is>
      </c>
      <c r="D7" s="5" t="n"/>
      <c r="E7" s="4">
        <f>IF(D7="Да","ЕСТЬ",IF(D7="Нет","НЕ ХВАТАЕТ",IF(D7="Не требуется","НЕ ТРЕБУЕТСЯ","ПРОВЕРИТЬ")))</f>
        <v/>
      </c>
      <c r="F7" s="4" t="inlineStr">
        <is>
          <t>Сверьте сумму с актом; начисление внесите в файл 04, «Взаиморасчёты».</t>
        </is>
      </c>
      <c r="G7" s="5" t="n"/>
    </row>
    <row r="8">
      <c r="A8" s="4" t="n">
        <v>4</v>
      </c>
      <c r="B8" s="4" t="inlineStr">
        <is>
          <t>Полномочия подписанта заказчика</t>
        </is>
      </c>
      <c r="C8" s="4" t="inlineStr">
        <is>
          <t>Должность по ЕГРЮЛ или доверенность</t>
        </is>
      </c>
      <c r="D8" s="5" t="n"/>
      <c r="E8" s="4">
        <f>IF(D8="Да","ЕСТЬ",IF(D8="Нет","НЕ ХВАТАЕТ",IF(D8="Не требуется","НЕ ТРЕБУЕТСЯ","ПРОВЕРИТЬ")))</f>
        <v/>
      </c>
      <c r="F8" s="4" t="inlineStr">
        <is>
          <t>Запросите копию доверенности; при споре о полномочиях — граница B4.</t>
        </is>
      </c>
      <c r="G8" s="5" t="n"/>
    </row>
    <row r="9">
      <c r="A9" s="4" t="n">
        <v>5</v>
      </c>
      <c r="B9" s="4" t="inlineStr">
        <is>
          <t>Подписанный заказчиком экземпляр акта</t>
        </is>
      </c>
      <c r="C9" s="4" t="inlineStr">
        <is>
          <t>Экземпляр с подписью заказчика, отметка о получении или квитанция ЭДО</t>
        </is>
      </c>
      <c r="D9" s="5" t="n"/>
      <c r="E9" s="4">
        <f>IF(D9="Да","ЕСТЬ",IF(D9="Нет","НЕ ХВАТАЕТ",IF(D9="Не требуется","НЕ ТРЕБУЕТСЯ","ПРОВЕРИТЬ")))</f>
        <v/>
      </c>
      <c r="F9" s="4" t="inlineStr">
        <is>
          <t>Храните в папке объекта: это главное доказательство приёмки для претензии и иска.</t>
        </is>
      </c>
      <c r="G9" s="5" t="n"/>
    </row>
    <row r="10">
      <c r="A10" s="4" t="n">
        <v>6</v>
      </c>
      <c r="B10" s="4" t="inlineStr">
        <is>
          <t>По этим работам нет незакрытых замечаний и мотивированного отказа</t>
        </is>
      </c>
      <c r="C10" s="4" t="inlineStr">
        <is>
          <t>Переписка с заказчиком после сдачи работ</t>
        </is>
      </c>
      <c r="D10" s="5" t="n"/>
      <c r="E10" s="4">
        <f>IF(D10="Да","ЕСТЬ",IF(D10="Нет","НЕ ХВАТАЕТ",IF(D10="Не требуется","НЕ ТРЕБУЕТСЯ","ПРОВЕРИТЬ")))</f>
        <v/>
      </c>
      <c r="F10" s="4" t="inlineStr">
        <is>
          <t>Есть незакрытые замечания — работы не приняты: файл 01, таблица 1. Спор после подписания акта — граница B4.</t>
        </is>
      </c>
      <c r="G10" s="5" t="n"/>
    </row>
    <row r="11">
      <c r="A11" s="4" t="n">
        <v>7</v>
      </c>
      <c r="B11" s="4" t="inlineStr">
        <is>
          <t>Все работы в сумме долга предусмотрены договором, сметой или допсоглашением</t>
        </is>
      </c>
      <c r="C11" s="4" t="inlineStr">
        <is>
          <t>Позиции актов против сметы и договорной цены</t>
        </is>
      </c>
      <c r="D11" s="5" t="n"/>
      <c r="E11" s="4">
        <f>IF(D11="Да","ЕСТЬ",IF(D11="Нет","НЕ ХВАТАЕТ",IF(D11="Не требуется","НЕ ТРЕБУЕТСЯ","ПРОВЕРИТЬ")))</f>
        <v/>
      </c>
      <c r="F11" s="4" t="inlineStr">
        <is>
          <t>Работы вне договора без соглашения — граница B5 для этой части (файл 01, таблица 2).</t>
        </is>
      </c>
      <c r="G11" s="5" t="n"/>
    </row>
    <row r="12">
      <c r="A12" s="4" t="n">
        <v>8</v>
      </c>
      <c r="B12" s="4" t="inlineStr">
        <is>
          <t>Платёжные поручения по всем полученным оплатам</t>
        </is>
      </c>
      <c r="C12" s="4" t="inlineStr">
        <is>
          <t>Дата и сумма каждой оплаты</t>
        </is>
      </c>
      <c r="D12" s="5" t="n"/>
      <c r="E12" s="4">
        <f>IF(D12="Да","ЕСТЬ",IF(D12="Нет","НЕ ХВАТАЕТ",IF(D12="Не требуется","НЕ ТРЕБУЕТСЯ","ПРОВЕРИТЬ")))</f>
        <v/>
      </c>
      <c r="F12" s="4" t="inlineStr">
        <is>
          <t>Выписка банка; внесите в файл 04, «Взаиморасчёты».</t>
        </is>
      </c>
      <c r="G12" s="5" t="n"/>
    </row>
    <row r="13">
      <c r="A13" s="4" t="n">
        <v>9</v>
      </c>
      <c r="B13" s="4" t="inlineStr">
        <is>
          <t>Акт сверки или реестр взаиморасчётов</t>
        </is>
      </c>
      <c r="C13" s="4" t="inlineStr">
        <is>
          <t>Бесспорный долг</t>
        </is>
      </c>
      <c r="D13" s="5" t="n"/>
      <c r="E13" s="4">
        <f>IF(D13="Да","ЕСТЬ",IF(D13="Нет","НЕ ХВАТАЕТ",IF(D13="Не требуется","НЕ ТРЕБУЕТСЯ","ПРОВЕРИТЬ")))</f>
        <v/>
      </c>
      <c r="F13" s="4" t="inlineStr">
        <is>
          <t>Файл 04, «Взаиморасчёты»; направьте акт сверки заказчику.</t>
        </is>
      </c>
      <c r="G13" s="5" t="n"/>
    </row>
    <row r="14">
      <c r="A14" s="4" t="n">
        <v>10</v>
      </c>
      <c r="B14" s="4" t="inlineStr">
        <is>
          <t>Событие, от которого считается срок оплаты</t>
        </is>
      </c>
      <c r="C14" s="4" t="inlineStr">
        <is>
          <t>Подписание акта, получение счёта, передача документации</t>
        </is>
      </c>
      <c r="D14" s="5" t="n"/>
      <c r="E14" s="4">
        <f>IF(D14="Да","ЕСТЬ",IF(D14="Нет","НЕ ХВАТАЕТ",IF(D14="Не требуется","НЕ ТРЕБУЕТСЯ","ПРОВЕРИТЬ")))</f>
        <v/>
      </c>
      <c r="F14" s="4" t="inlineStr">
        <is>
          <t>Проверьте пункт договора об оплате; если неясно — специалист.</t>
        </is>
      </c>
      <c r="G14" s="5" t="n"/>
    </row>
    <row r="15">
      <c r="A15" s="4" t="n">
        <v>11</v>
      </c>
      <c r="B15" s="4" t="inlineStr">
        <is>
          <t>Исполнительная документация как условие оплаты</t>
        </is>
      </c>
      <c r="C15" s="4" t="inlineStr">
        <is>
          <t>Пункт договора об оплате</t>
        </is>
      </c>
      <c r="D15" s="5" t="n"/>
      <c r="E15" s="4">
        <f>IF(D15="Да","ЕСТЬ",IF(D15="Нет","НЕ ХВАТАЕТ",IF(D15="Не требуется","НЕ ТРЕБУЕТСЯ","ПРОВЕРИТЬ")))</f>
        <v/>
      </c>
      <c r="F15" s="4" t="inlineStr">
        <is>
          <t>Если условие есть и не выполнено — граница B1.</t>
        </is>
      </c>
      <c r="G15" s="5" t="n"/>
    </row>
    <row r="16">
      <c r="A16" s="4" t="n">
        <v>12</v>
      </c>
      <c r="B16" s="4" t="inlineStr">
        <is>
          <t>Актуальная выписка ЕГРЮЛ заказчика</t>
        </is>
      </c>
      <c r="C16" s="4" t="inlineStr">
        <is>
          <t>Адрес, статус, руководитель</t>
        </is>
      </c>
      <c r="D16" s="5" t="n"/>
      <c r="E16" s="4">
        <f>IF(D16="Да","ЕСТЬ",IF(D16="Нет","НЕ ХВАТАЕТ",IF(D16="Не требуется","НЕ ТРЕБУЕТСЯ","ПРОВЕРИТЬ")))</f>
        <v/>
      </c>
      <c r="F16" s="4" t="inlineStr">
        <is>
          <t>Получите на nalog.ru.</t>
        </is>
      </c>
      <c r="G16" s="5" t="n"/>
    </row>
    <row r="17">
      <c r="A17" s="4" t="n">
        <v>13</v>
      </c>
      <c r="B17" s="4" t="inlineStr">
        <is>
          <t>Проверка на признаки банкротства</t>
        </is>
      </c>
      <c r="C17" s="4" t="inlineStr">
        <is>
          <t>Картотека арбитражных дел, Федресурс</t>
        </is>
      </c>
      <c r="D17" s="5" t="n"/>
      <c r="E17" s="4">
        <f>IF(D17="Да","ЕСТЬ",IF(D17="Нет","НЕ ХВАТАЕТ",IF(D17="Не требуется","НЕ ТРЕБУЕТСЯ","ПРОВЕРИТЬ")))</f>
        <v/>
      </c>
      <c r="F17" s="4" t="inlineStr">
        <is>
          <t>Файл 03, раздел «Проверка заказчика».</t>
        </is>
      </c>
      <c r="G17" s="5" t="n"/>
    </row>
    <row r="18">
      <c r="A18" s="4" t="n">
        <v>14</v>
      </c>
      <c r="B18" s="4" t="inlineStr">
        <is>
          <t>Соглашение о переносе срока, если срок переносился</t>
        </is>
      </c>
      <c r="C18" s="4" t="inlineStr">
        <is>
          <t>Двусторонняя подпись, форма как у договора</t>
        </is>
      </c>
      <c r="D18" s="5" t="n"/>
      <c r="E18" s="4">
        <f>IF(D18="Да","ЕСТЬ",IF(D18="Нет","НЕ ХВАТАЕТ",IF(D18="Не требуется","НЕ ТРЕБУЕТСЯ","ПРОВЕРИТЬ")))</f>
        <v/>
      </c>
      <c r="F18" s="4" t="inlineStr">
        <is>
          <t>Файл 05, раздел Б.</t>
        </is>
      </c>
      <c r="G18" s="5" t="n"/>
    </row>
    <row r="19">
      <c r="A19" s="4" t="n">
        <v>15</v>
      </c>
      <c r="B19" s="4" t="inlineStr">
        <is>
          <t>Условие о неустойке за просрочку оплаты</t>
        </is>
      </c>
      <c r="C19" s="4" t="inlineStr">
        <is>
          <t>Пункт договора</t>
        </is>
      </c>
      <c r="D19" s="5" t="n"/>
      <c r="E19" s="4">
        <f>IF(D19="Да","ЕСТЬ",IF(D19="Нет","НЕ ХВАТАЕТ",IF(D19="Не требуется","НЕ ТРЕБУЕТСЯ","ПРОВЕРИТЬ")))</f>
        <v/>
      </c>
      <c r="F19" s="4" t="inlineStr">
        <is>
          <t>Если есть — выбор между неустойкой и процентами к специалисту (п. 4 ст. 395 ГК РФ).</t>
        </is>
      </c>
      <c r="G19" s="5" t="n"/>
    </row>
    <row r="20">
      <c r="A20" s="4" t="n">
        <v>16</v>
      </c>
      <c r="B20" s="4" t="inlineStr">
        <is>
          <t>Срок исковой давности не на исходе</t>
        </is>
      </c>
      <c r="C20" s="4" t="inlineStr">
        <is>
          <t>Дата начала просрочки</t>
        </is>
      </c>
      <c r="D20" s="5" t="n"/>
      <c r="E20" s="4">
        <f>IF(D20="Да","ЕСТЬ",IF(D20="Нет","НЕ ХВАТАЕТ",IF(D20="Не требуется","НЕ ТРЕБУЕТСЯ","ПРОВЕРИТЬ")))</f>
        <v/>
      </c>
      <c r="F20" s="4" t="inlineStr">
        <is>
          <t>Если остаётся мало времени — сразу к специалисту.</t>
        </is>
      </c>
      <c r="G20" s="5" t="n"/>
    </row>
    <row r="22">
      <c r="B22" s="6" t="inlineStr">
        <is>
          <t>Не хватает подтверждений</t>
        </is>
      </c>
      <c r="D22">
        <f>COUNTIF(E5:E20,"НЕ ХВАТАЕТ")</f>
        <v/>
      </c>
    </row>
    <row r="23">
      <c r="B23" s="6" t="inlineStr">
        <is>
          <t>Не проверено</t>
        </is>
      </c>
      <c r="D23">
        <f>COUNTIF(E5:E20,"ПРОВЕРИТЬ")</f>
        <v/>
      </c>
    </row>
  </sheetData>
  <mergeCells count="2">
    <mergeCell ref="A2:G2"/>
    <mergeCell ref="A1:G1"/>
  </mergeCells>
  <dataValidations count="1">
    <dataValidation sqref="D5:D20" showDropDown="0" showInputMessage="0" showErrorMessage="0" allowBlank="1" errorTitle="Недопустимое значение" error="Выберите значение из списка" type="list">
      <formula1>"Да,Нет,Не требуется"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6" customWidth="1" min="4" max="4"/>
    <col width="12" customWidth="1" min="5" max="5"/>
    <col width="34" customWidth="1" min="6" max="6"/>
    <col width="70" customWidth="1" min="7" max="7"/>
    <col width="14" customWidth="1" min="8" max="8"/>
  </cols>
  <sheetData>
    <row r="1" ht="18" customHeight="1">
      <c r="A1" s="1" t="inlineStr">
        <is>
          <t>Контроль ответа заказчика и следующий шаг</t>
        </is>
      </c>
    </row>
    <row r="2" ht="48" customHeight="1">
      <c r="A2" s="2" t="inlineStr">
        <is>
          <t>Одна строка — одно направленное требование или событие, в том числе входящее письмо заказчика: гарантийное письмо, ответ на претензию, возражения, акт сверки. Выберите реакцию заказчика — следующий шаг покажется автоматически. Сам входящий документ отметьте в файле 04, «Реестр приложений». Строк 200; при нехватке вставьте строки внутри таблицы.</t>
        </is>
      </c>
    </row>
    <row r="4">
      <c r="A4" s="3" t="inlineStr">
        <is>
          <t>№</t>
        </is>
      </c>
      <c r="B4" s="3" t="inlineStr">
        <is>
          <t>Дата направления</t>
        </is>
      </c>
      <c r="C4" s="3" t="inlineStr">
        <is>
          <t>Документ</t>
        </is>
      </c>
      <c r="D4" s="3" t="inlineStr">
        <is>
          <t>Срок ответа / ожидания</t>
        </is>
      </c>
      <c r="E4" s="3" t="inlineStr">
        <is>
          <t>Срок истёк?</t>
        </is>
      </c>
      <c r="F4" s="3" t="inlineStr">
        <is>
          <t>Реакция заказчика</t>
        </is>
      </c>
      <c r="G4" s="3" t="inlineStr">
        <is>
          <t>Следующий шаг</t>
        </is>
      </c>
      <c r="H4" s="3" t="inlineStr">
        <is>
          <t>Сделано (дата)</t>
        </is>
      </c>
    </row>
    <row r="5">
      <c r="A5" s="4" t="n">
        <v>1</v>
      </c>
      <c r="B5" s="10" t="n"/>
      <c r="C5" s="5" t="n"/>
      <c r="D5" s="10" t="n"/>
      <c r="E5" s="4">
        <f>IF(D5="","",IF(TODAY()&gt;D5,"Да","Нет"))</f>
        <v/>
      </c>
      <c r="F5" s="5" t="n"/>
      <c r="G5" s="4">
        <f>IF(F5="","",IFERROR(VLOOKUP(F5,Справочник!$A$17:$B$30,2,FALSE),"Выберите реакцию из списка"))</f>
        <v/>
      </c>
      <c r="H5" s="10" t="n"/>
    </row>
    <row r="6">
      <c r="A6" s="4" t="n">
        <v>2</v>
      </c>
      <c r="B6" s="10" t="n"/>
      <c r="C6" s="5" t="n"/>
      <c r="D6" s="10" t="n"/>
      <c r="E6" s="4">
        <f>IF(D6="","",IF(TODAY()&gt;D6,"Да","Нет"))</f>
        <v/>
      </c>
      <c r="F6" s="5" t="n"/>
      <c r="G6" s="4">
        <f>IF(F6="","",IFERROR(VLOOKUP(F6,Справочник!$A$17:$B$30,2,FALSE),"Выберите реакцию из списка"))</f>
        <v/>
      </c>
      <c r="H6" s="10" t="n"/>
    </row>
    <row r="7">
      <c r="A7" s="4" t="n">
        <v>3</v>
      </c>
      <c r="B7" s="10" t="n"/>
      <c r="C7" s="5" t="n"/>
      <c r="D7" s="10" t="n"/>
      <c r="E7" s="4">
        <f>IF(D7="","",IF(TODAY()&gt;D7,"Да","Нет"))</f>
        <v/>
      </c>
      <c r="F7" s="5" t="n"/>
      <c r="G7" s="4">
        <f>IF(F7="","",IFERROR(VLOOKUP(F7,Справочник!$A$17:$B$30,2,FALSE),"Выберите реакцию из списка"))</f>
        <v/>
      </c>
      <c r="H7" s="10" t="n"/>
    </row>
    <row r="8">
      <c r="A8" s="4" t="n">
        <v>4</v>
      </c>
      <c r="B8" s="10" t="n"/>
      <c r="C8" s="5" t="n"/>
      <c r="D8" s="10" t="n"/>
      <c r="E8" s="4">
        <f>IF(D8="","",IF(TODAY()&gt;D8,"Да","Нет"))</f>
        <v/>
      </c>
      <c r="F8" s="5" t="n"/>
      <c r="G8" s="4">
        <f>IF(F8="","",IFERROR(VLOOKUP(F8,Справочник!$A$17:$B$30,2,FALSE),"Выберите реакцию из списка"))</f>
        <v/>
      </c>
      <c r="H8" s="10" t="n"/>
    </row>
    <row r="9">
      <c r="A9" s="4" t="n">
        <v>5</v>
      </c>
      <c r="B9" s="10" t="n"/>
      <c r="C9" s="5" t="n"/>
      <c r="D9" s="10" t="n"/>
      <c r="E9" s="4">
        <f>IF(D9="","",IF(TODAY()&gt;D9,"Да","Нет"))</f>
        <v/>
      </c>
      <c r="F9" s="5" t="n"/>
      <c r="G9" s="4">
        <f>IF(F9="","",IFERROR(VLOOKUP(F9,Справочник!$A$17:$B$30,2,FALSE),"Выберите реакцию из списка"))</f>
        <v/>
      </c>
      <c r="H9" s="10" t="n"/>
    </row>
    <row r="10">
      <c r="A10" s="4" t="n">
        <v>6</v>
      </c>
      <c r="B10" s="10" t="n"/>
      <c r="C10" s="5" t="n"/>
      <c r="D10" s="10" t="n"/>
      <c r="E10" s="4">
        <f>IF(D10="","",IF(TODAY()&gt;D10,"Да","Нет"))</f>
        <v/>
      </c>
      <c r="F10" s="5" t="n"/>
      <c r="G10" s="4">
        <f>IF(F10="","",IFERROR(VLOOKUP(F10,Справочник!$A$17:$B$30,2,FALSE),"Выберите реакцию из списка"))</f>
        <v/>
      </c>
      <c r="H10" s="10" t="n"/>
    </row>
    <row r="11">
      <c r="A11" s="4" t="n">
        <v>7</v>
      </c>
      <c r="B11" s="10" t="n"/>
      <c r="C11" s="5" t="n"/>
      <c r="D11" s="10" t="n"/>
      <c r="E11" s="4">
        <f>IF(D11="","",IF(TODAY()&gt;D11,"Да","Нет"))</f>
        <v/>
      </c>
      <c r="F11" s="5" t="n"/>
      <c r="G11" s="4">
        <f>IF(F11="","",IFERROR(VLOOKUP(F11,Справочник!$A$17:$B$30,2,FALSE),"Выберите реакцию из списка"))</f>
        <v/>
      </c>
      <c r="H11" s="10" t="n"/>
    </row>
    <row r="12">
      <c r="A12" s="4" t="n">
        <v>8</v>
      </c>
      <c r="B12" s="10" t="n"/>
      <c r="C12" s="5" t="n"/>
      <c r="D12" s="10" t="n"/>
      <c r="E12" s="4">
        <f>IF(D12="","",IF(TODAY()&gt;D12,"Да","Нет"))</f>
        <v/>
      </c>
      <c r="F12" s="5" t="n"/>
      <c r="G12" s="4">
        <f>IF(F12="","",IFERROR(VLOOKUP(F12,Справочник!$A$17:$B$30,2,FALSE),"Выберите реакцию из списка"))</f>
        <v/>
      </c>
      <c r="H12" s="10" t="n"/>
    </row>
    <row r="13">
      <c r="A13" s="4" t="n">
        <v>9</v>
      </c>
      <c r="B13" s="10" t="n"/>
      <c r="C13" s="5" t="n"/>
      <c r="D13" s="10" t="n"/>
      <c r="E13" s="4">
        <f>IF(D13="","",IF(TODAY()&gt;D13,"Да","Нет"))</f>
        <v/>
      </c>
      <c r="F13" s="5" t="n"/>
      <c r="G13" s="4">
        <f>IF(F13="","",IFERROR(VLOOKUP(F13,Справочник!$A$17:$B$30,2,FALSE),"Выберите реакцию из списка"))</f>
        <v/>
      </c>
      <c r="H13" s="10" t="n"/>
    </row>
    <row r="14">
      <c r="A14" s="4" t="n">
        <v>10</v>
      </c>
      <c r="B14" s="10" t="n"/>
      <c r="C14" s="5" t="n"/>
      <c r="D14" s="10" t="n"/>
      <c r="E14" s="4">
        <f>IF(D14="","",IF(TODAY()&gt;D14,"Да","Нет"))</f>
        <v/>
      </c>
      <c r="F14" s="5" t="n"/>
      <c r="G14" s="4">
        <f>IF(F14="","",IFERROR(VLOOKUP(F14,Справочник!$A$17:$B$30,2,FALSE),"Выберите реакцию из списка"))</f>
        <v/>
      </c>
      <c r="H14" s="10" t="n"/>
    </row>
    <row r="15">
      <c r="A15" s="4" t="n">
        <v>11</v>
      </c>
      <c r="B15" s="10" t="n"/>
      <c r="C15" s="5" t="n"/>
      <c r="D15" s="10" t="n"/>
      <c r="E15" s="4">
        <f>IF(D15="","",IF(TODAY()&gt;D15,"Да","Нет"))</f>
        <v/>
      </c>
      <c r="F15" s="5" t="n"/>
      <c r="G15" s="4">
        <f>IF(F15="","",IFERROR(VLOOKUP(F15,Справочник!$A$17:$B$30,2,FALSE),"Выберите реакцию из списка"))</f>
        <v/>
      </c>
      <c r="H15" s="10" t="n"/>
    </row>
    <row r="16">
      <c r="A16" s="4" t="n">
        <v>12</v>
      </c>
      <c r="B16" s="10" t="n"/>
      <c r="C16" s="5" t="n"/>
      <c r="D16" s="10" t="n"/>
      <c r="E16" s="4">
        <f>IF(D16="","",IF(TODAY()&gt;D16,"Да","Нет"))</f>
        <v/>
      </c>
      <c r="F16" s="5" t="n"/>
      <c r="G16" s="4">
        <f>IF(F16="","",IFERROR(VLOOKUP(F16,Справочник!$A$17:$B$30,2,FALSE),"Выберите реакцию из списка"))</f>
        <v/>
      </c>
      <c r="H16" s="10" t="n"/>
    </row>
    <row r="17">
      <c r="A17" s="4" t="n">
        <v>13</v>
      </c>
      <c r="B17" s="10" t="n"/>
      <c r="C17" s="5" t="n"/>
      <c r="D17" s="10" t="n"/>
      <c r="E17" s="4">
        <f>IF(D17="","",IF(TODAY()&gt;D17,"Да","Нет"))</f>
        <v/>
      </c>
      <c r="F17" s="5" t="n"/>
      <c r="G17" s="4">
        <f>IF(F17="","",IFERROR(VLOOKUP(F17,Справочник!$A$17:$B$30,2,FALSE),"Выберите реакцию из списка"))</f>
        <v/>
      </c>
      <c r="H17" s="10" t="n"/>
    </row>
    <row r="18">
      <c r="A18" s="4" t="n">
        <v>14</v>
      </c>
      <c r="B18" s="10" t="n"/>
      <c r="C18" s="5" t="n"/>
      <c r="D18" s="10" t="n"/>
      <c r="E18" s="4">
        <f>IF(D18="","",IF(TODAY()&gt;D18,"Да","Нет"))</f>
        <v/>
      </c>
      <c r="F18" s="5" t="n"/>
      <c r="G18" s="4">
        <f>IF(F18="","",IFERROR(VLOOKUP(F18,Справочник!$A$17:$B$30,2,FALSE),"Выберите реакцию из списка"))</f>
        <v/>
      </c>
      <c r="H18" s="10" t="n"/>
    </row>
    <row r="19">
      <c r="A19" s="4" t="n">
        <v>15</v>
      </c>
      <c r="B19" s="10" t="n"/>
      <c r="C19" s="5" t="n"/>
      <c r="D19" s="10" t="n"/>
      <c r="E19" s="4">
        <f>IF(D19="","",IF(TODAY()&gt;D19,"Да","Нет"))</f>
        <v/>
      </c>
      <c r="F19" s="5" t="n"/>
      <c r="G19" s="4">
        <f>IF(F19="","",IFERROR(VLOOKUP(F19,Справочник!$A$17:$B$30,2,FALSE),"Выберите реакцию из списка"))</f>
        <v/>
      </c>
      <c r="H19" s="10" t="n"/>
    </row>
    <row r="20">
      <c r="A20" s="4" t="n">
        <v>16</v>
      </c>
      <c r="B20" s="10" t="n"/>
      <c r="C20" s="5" t="n"/>
      <c r="D20" s="10" t="n"/>
      <c r="E20" s="4">
        <f>IF(D20="","",IF(TODAY()&gt;D20,"Да","Нет"))</f>
        <v/>
      </c>
      <c r="F20" s="5" t="n"/>
      <c r="G20" s="4">
        <f>IF(F20="","",IFERROR(VLOOKUP(F20,Справочник!$A$17:$B$30,2,FALSE),"Выберите реакцию из списка"))</f>
        <v/>
      </c>
      <c r="H20" s="10" t="n"/>
    </row>
    <row r="21">
      <c r="A21" s="4" t="n">
        <v>17</v>
      </c>
      <c r="B21" s="10" t="n"/>
      <c r="C21" s="5" t="n"/>
      <c r="D21" s="10" t="n"/>
      <c r="E21" s="4">
        <f>IF(D21="","",IF(TODAY()&gt;D21,"Да","Нет"))</f>
        <v/>
      </c>
      <c r="F21" s="5" t="n"/>
      <c r="G21" s="4">
        <f>IF(F21="","",IFERROR(VLOOKUP(F21,Справочник!$A$17:$B$30,2,FALSE),"Выберите реакцию из списка"))</f>
        <v/>
      </c>
      <c r="H21" s="10" t="n"/>
    </row>
    <row r="22">
      <c r="A22" s="4" t="n">
        <v>18</v>
      </c>
      <c r="B22" s="10" t="n"/>
      <c r="C22" s="5" t="n"/>
      <c r="D22" s="10" t="n"/>
      <c r="E22" s="4">
        <f>IF(D22="","",IF(TODAY()&gt;D22,"Да","Нет"))</f>
        <v/>
      </c>
      <c r="F22" s="5" t="n"/>
      <c r="G22" s="4">
        <f>IF(F22="","",IFERROR(VLOOKUP(F22,Справочник!$A$17:$B$30,2,FALSE),"Выберите реакцию из списка"))</f>
        <v/>
      </c>
      <c r="H22" s="10" t="n"/>
    </row>
    <row r="23">
      <c r="A23" s="4" t="n">
        <v>19</v>
      </c>
      <c r="B23" s="10" t="n"/>
      <c r="C23" s="5" t="n"/>
      <c r="D23" s="10" t="n"/>
      <c r="E23" s="4">
        <f>IF(D23="","",IF(TODAY()&gt;D23,"Да","Нет"))</f>
        <v/>
      </c>
      <c r="F23" s="5" t="n"/>
      <c r="G23" s="4">
        <f>IF(F23="","",IFERROR(VLOOKUP(F23,Справочник!$A$17:$B$30,2,FALSE),"Выберите реакцию из списка"))</f>
        <v/>
      </c>
      <c r="H23" s="10" t="n"/>
    </row>
    <row r="24">
      <c r="A24" s="4" t="n">
        <v>20</v>
      </c>
      <c r="B24" s="10" t="n"/>
      <c r="C24" s="5" t="n"/>
      <c r="D24" s="10" t="n"/>
      <c r="E24" s="4">
        <f>IF(D24="","",IF(TODAY()&gt;D24,"Да","Нет"))</f>
        <v/>
      </c>
      <c r="F24" s="5" t="n"/>
      <c r="G24" s="4">
        <f>IF(F24="","",IFERROR(VLOOKUP(F24,Справочник!$A$17:$B$30,2,FALSE),"Выберите реакцию из списка"))</f>
        <v/>
      </c>
      <c r="H24" s="10" t="n"/>
    </row>
    <row r="25">
      <c r="A25" s="4" t="n">
        <v>21</v>
      </c>
      <c r="B25" s="10" t="n"/>
      <c r="C25" s="5" t="n"/>
      <c r="D25" s="10" t="n"/>
      <c r="E25" s="4">
        <f>IF(D25="","",IF(TODAY()&gt;D25,"Да","Нет"))</f>
        <v/>
      </c>
      <c r="F25" s="5" t="n"/>
      <c r="G25" s="4">
        <f>IF(F25="","",IFERROR(VLOOKUP(F25,Справочник!$A$17:$B$30,2,FALSE),"Выберите реакцию из списка"))</f>
        <v/>
      </c>
      <c r="H25" s="10" t="n"/>
    </row>
    <row r="26">
      <c r="A26" s="4" t="n">
        <v>22</v>
      </c>
      <c r="B26" s="10" t="n"/>
      <c r="C26" s="5" t="n"/>
      <c r="D26" s="10" t="n"/>
      <c r="E26" s="4">
        <f>IF(D26="","",IF(TODAY()&gt;D26,"Да","Нет"))</f>
        <v/>
      </c>
      <c r="F26" s="5" t="n"/>
      <c r="G26" s="4">
        <f>IF(F26="","",IFERROR(VLOOKUP(F26,Справочник!$A$17:$B$30,2,FALSE),"Выберите реакцию из списка"))</f>
        <v/>
      </c>
      <c r="H26" s="10" t="n"/>
    </row>
    <row r="27">
      <c r="A27" s="4" t="n">
        <v>23</v>
      </c>
      <c r="B27" s="10" t="n"/>
      <c r="C27" s="5" t="n"/>
      <c r="D27" s="10" t="n"/>
      <c r="E27" s="4">
        <f>IF(D27="","",IF(TODAY()&gt;D27,"Да","Нет"))</f>
        <v/>
      </c>
      <c r="F27" s="5" t="n"/>
      <c r="G27" s="4">
        <f>IF(F27="","",IFERROR(VLOOKUP(F27,Справочник!$A$17:$B$30,2,FALSE),"Выберите реакцию из списка"))</f>
        <v/>
      </c>
      <c r="H27" s="10" t="n"/>
    </row>
    <row r="28">
      <c r="A28" s="4" t="n">
        <v>24</v>
      </c>
      <c r="B28" s="10" t="n"/>
      <c r="C28" s="5" t="n"/>
      <c r="D28" s="10" t="n"/>
      <c r="E28" s="4">
        <f>IF(D28="","",IF(TODAY()&gt;D28,"Да","Нет"))</f>
        <v/>
      </c>
      <c r="F28" s="5" t="n"/>
      <c r="G28" s="4">
        <f>IF(F28="","",IFERROR(VLOOKUP(F28,Справочник!$A$17:$B$30,2,FALSE),"Выберите реакцию из списка"))</f>
        <v/>
      </c>
      <c r="H28" s="10" t="n"/>
    </row>
    <row r="29">
      <c r="A29" s="4" t="n">
        <v>25</v>
      </c>
      <c r="B29" s="10" t="n"/>
      <c r="C29" s="5" t="n"/>
      <c r="D29" s="10" t="n"/>
      <c r="E29" s="4">
        <f>IF(D29="","",IF(TODAY()&gt;D29,"Да","Нет"))</f>
        <v/>
      </c>
      <c r="F29" s="5" t="n"/>
      <c r="G29" s="4">
        <f>IF(F29="","",IFERROR(VLOOKUP(F29,Справочник!$A$17:$B$30,2,FALSE),"Выберите реакцию из списка"))</f>
        <v/>
      </c>
      <c r="H29" s="10" t="n"/>
    </row>
    <row r="30">
      <c r="A30" s="4" t="n">
        <v>26</v>
      </c>
      <c r="B30" s="10" t="n"/>
      <c r="C30" s="5" t="n"/>
      <c r="D30" s="10" t="n"/>
      <c r="E30" s="4">
        <f>IF(D30="","",IF(TODAY()&gt;D30,"Да","Нет"))</f>
        <v/>
      </c>
      <c r="F30" s="5" t="n"/>
      <c r="G30" s="4">
        <f>IF(F30="","",IFERROR(VLOOKUP(F30,Справочник!$A$17:$B$30,2,FALSE),"Выберите реакцию из списка"))</f>
        <v/>
      </c>
      <c r="H30" s="10" t="n"/>
    </row>
    <row r="31">
      <c r="A31" s="4" t="n">
        <v>27</v>
      </c>
      <c r="B31" s="10" t="n"/>
      <c r="C31" s="5" t="n"/>
      <c r="D31" s="10" t="n"/>
      <c r="E31" s="4">
        <f>IF(D31="","",IF(TODAY()&gt;D31,"Да","Нет"))</f>
        <v/>
      </c>
      <c r="F31" s="5" t="n"/>
      <c r="G31" s="4">
        <f>IF(F31="","",IFERROR(VLOOKUP(F31,Справочник!$A$17:$B$30,2,FALSE),"Выберите реакцию из списка"))</f>
        <v/>
      </c>
      <c r="H31" s="10" t="n"/>
    </row>
    <row r="32">
      <c r="A32" s="4" t="n">
        <v>28</v>
      </c>
      <c r="B32" s="10" t="n"/>
      <c r="C32" s="5" t="n"/>
      <c r="D32" s="10" t="n"/>
      <c r="E32" s="4">
        <f>IF(D32="","",IF(TODAY()&gt;D32,"Да","Нет"))</f>
        <v/>
      </c>
      <c r="F32" s="5" t="n"/>
      <c r="G32" s="4">
        <f>IF(F32="","",IFERROR(VLOOKUP(F32,Справочник!$A$17:$B$30,2,FALSE),"Выберите реакцию из списка"))</f>
        <v/>
      </c>
      <c r="H32" s="10" t="n"/>
    </row>
    <row r="33">
      <c r="A33" s="4" t="n">
        <v>29</v>
      </c>
      <c r="B33" s="10" t="n"/>
      <c r="C33" s="5" t="n"/>
      <c r="D33" s="10" t="n"/>
      <c r="E33" s="4">
        <f>IF(D33="","",IF(TODAY()&gt;D33,"Да","Нет"))</f>
        <v/>
      </c>
      <c r="F33" s="5" t="n"/>
      <c r="G33" s="4">
        <f>IF(F33="","",IFERROR(VLOOKUP(F33,Справочник!$A$17:$B$30,2,FALSE),"Выберите реакцию из списка"))</f>
        <v/>
      </c>
      <c r="H33" s="10" t="n"/>
    </row>
    <row r="34">
      <c r="A34" s="4" t="n">
        <v>30</v>
      </c>
      <c r="B34" s="10" t="n"/>
      <c r="C34" s="5" t="n"/>
      <c r="D34" s="10" t="n"/>
      <c r="E34" s="4">
        <f>IF(D34="","",IF(TODAY()&gt;D34,"Да","Нет"))</f>
        <v/>
      </c>
      <c r="F34" s="5" t="n"/>
      <c r="G34" s="4">
        <f>IF(F34="","",IFERROR(VLOOKUP(F34,Справочник!$A$17:$B$30,2,FALSE),"Выберите реакцию из списка"))</f>
        <v/>
      </c>
      <c r="H34" s="10" t="n"/>
    </row>
    <row r="35">
      <c r="A35" s="4" t="n">
        <v>31</v>
      </c>
      <c r="B35" s="10" t="n"/>
      <c r="C35" s="5" t="n"/>
      <c r="D35" s="10" t="n"/>
      <c r="E35" s="4">
        <f>IF(D35="","",IF(TODAY()&gt;D35,"Да","Нет"))</f>
        <v/>
      </c>
      <c r="F35" s="5" t="n"/>
      <c r="G35" s="4">
        <f>IF(F35="","",IFERROR(VLOOKUP(F35,Справочник!$A$17:$B$30,2,FALSE),"Выберите реакцию из списка"))</f>
        <v/>
      </c>
      <c r="H35" s="10" t="n"/>
    </row>
    <row r="36">
      <c r="A36" s="4" t="n">
        <v>32</v>
      </c>
      <c r="B36" s="10" t="n"/>
      <c r="C36" s="5" t="n"/>
      <c r="D36" s="10" t="n"/>
      <c r="E36" s="4">
        <f>IF(D36="","",IF(TODAY()&gt;D36,"Да","Нет"))</f>
        <v/>
      </c>
      <c r="F36" s="5" t="n"/>
      <c r="G36" s="4">
        <f>IF(F36="","",IFERROR(VLOOKUP(F36,Справочник!$A$17:$B$30,2,FALSE),"Выберите реакцию из списка"))</f>
        <v/>
      </c>
      <c r="H36" s="10" t="n"/>
    </row>
    <row r="37">
      <c r="A37" s="4" t="n">
        <v>33</v>
      </c>
      <c r="B37" s="10" t="n"/>
      <c r="C37" s="5" t="n"/>
      <c r="D37" s="10" t="n"/>
      <c r="E37" s="4">
        <f>IF(D37="","",IF(TODAY()&gt;D37,"Да","Нет"))</f>
        <v/>
      </c>
      <c r="F37" s="5" t="n"/>
      <c r="G37" s="4">
        <f>IF(F37="","",IFERROR(VLOOKUP(F37,Справочник!$A$17:$B$30,2,FALSE),"Выберите реакцию из списка"))</f>
        <v/>
      </c>
      <c r="H37" s="10" t="n"/>
    </row>
    <row r="38">
      <c r="A38" s="4" t="n">
        <v>34</v>
      </c>
      <c r="B38" s="10" t="n"/>
      <c r="C38" s="5" t="n"/>
      <c r="D38" s="10" t="n"/>
      <c r="E38" s="4">
        <f>IF(D38="","",IF(TODAY()&gt;D38,"Да","Нет"))</f>
        <v/>
      </c>
      <c r="F38" s="5" t="n"/>
      <c r="G38" s="4">
        <f>IF(F38="","",IFERROR(VLOOKUP(F38,Справочник!$A$17:$B$30,2,FALSE),"Выберите реакцию из списка"))</f>
        <v/>
      </c>
      <c r="H38" s="10" t="n"/>
    </row>
    <row r="39">
      <c r="A39" s="4" t="n">
        <v>35</v>
      </c>
      <c r="B39" s="10" t="n"/>
      <c r="C39" s="5" t="n"/>
      <c r="D39" s="10" t="n"/>
      <c r="E39" s="4">
        <f>IF(D39="","",IF(TODAY()&gt;D39,"Да","Нет"))</f>
        <v/>
      </c>
      <c r="F39" s="5" t="n"/>
      <c r="G39" s="4">
        <f>IF(F39="","",IFERROR(VLOOKUP(F39,Справочник!$A$17:$B$30,2,FALSE),"Выберите реакцию из списка"))</f>
        <v/>
      </c>
      <c r="H39" s="10" t="n"/>
    </row>
    <row r="40">
      <c r="A40" s="4" t="n">
        <v>36</v>
      </c>
      <c r="B40" s="10" t="n"/>
      <c r="C40" s="5" t="n"/>
      <c r="D40" s="10" t="n"/>
      <c r="E40" s="4">
        <f>IF(D40="","",IF(TODAY()&gt;D40,"Да","Нет"))</f>
        <v/>
      </c>
      <c r="F40" s="5" t="n"/>
      <c r="G40" s="4">
        <f>IF(F40="","",IFERROR(VLOOKUP(F40,Справочник!$A$17:$B$30,2,FALSE),"Выберите реакцию из списка"))</f>
        <v/>
      </c>
      <c r="H40" s="10" t="n"/>
    </row>
    <row r="41">
      <c r="A41" s="4" t="n">
        <v>37</v>
      </c>
      <c r="B41" s="10" t="n"/>
      <c r="C41" s="5" t="n"/>
      <c r="D41" s="10" t="n"/>
      <c r="E41" s="4">
        <f>IF(D41="","",IF(TODAY()&gt;D41,"Да","Нет"))</f>
        <v/>
      </c>
      <c r="F41" s="5" t="n"/>
      <c r="G41" s="4">
        <f>IF(F41="","",IFERROR(VLOOKUP(F41,Справочник!$A$17:$B$30,2,FALSE),"Выберите реакцию из списка"))</f>
        <v/>
      </c>
      <c r="H41" s="10" t="n"/>
    </row>
    <row r="42">
      <c r="A42" s="4" t="n">
        <v>38</v>
      </c>
      <c r="B42" s="10" t="n"/>
      <c r="C42" s="5" t="n"/>
      <c r="D42" s="10" t="n"/>
      <c r="E42" s="4">
        <f>IF(D42="","",IF(TODAY()&gt;D42,"Да","Нет"))</f>
        <v/>
      </c>
      <c r="F42" s="5" t="n"/>
      <c r="G42" s="4">
        <f>IF(F42="","",IFERROR(VLOOKUP(F42,Справочник!$A$17:$B$30,2,FALSE),"Выберите реакцию из списка"))</f>
        <v/>
      </c>
      <c r="H42" s="10" t="n"/>
    </row>
    <row r="43">
      <c r="A43" s="4" t="n">
        <v>39</v>
      </c>
      <c r="B43" s="10" t="n"/>
      <c r="C43" s="5" t="n"/>
      <c r="D43" s="10" t="n"/>
      <c r="E43" s="4">
        <f>IF(D43="","",IF(TODAY()&gt;D43,"Да","Нет"))</f>
        <v/>
      </c>
      <c r="F43" s="5" t="n"/>
      <c r="G43" s="4">
        <f>IF(F43="","",IFERROR(VLOOKUP(F43,Справочник!$A$17:$B$30,2,FALSE),"Выберите реакцию из списка"))</f>
        <v/>
      </c>
      <c r="H43" s="10" t="n"/>
    </row>
    <row r="44">
      <c r="A44" s="4" t="n">
        <v>40</v>
      </c>
      <c r="B44" s="10" t="n"/>
      <c r="C44" s="5" t="n"/>
      <c r="D44" s="10" t="n"/>
      <c r="E44" s="4">
        <f>IF(D44="","",IF(TODAY()&gt;D44,"Да","Нет"))</f>
        <v/>
      </c>
      <c r="F44" s="5" t="n"/>
      <c r="G44" s="4">
        <f>IF(F44="","",IFERROR(VLOOKUP(F44,Справочник!$A$17:$B$30,2,FALSE),"Выберите реакцию из списка"))</f>
        <v/>
      </c>
      <c r="H44" s="10" t="n"/>
    </row>
    <row r="45">
      <c r="A45" s="4" t="n">
        <v>41</v>
      </c>
      <c r="B45" s="10" t="n"/>
      <c r="C45" s="5" t="n"/>
      <c r="D45" s="10" t="n"/>
      <c r="E45" s="4">
        <f>IF(D45="","",IF(TODAY()&gt;D45,"Да","Нет"))</f>
        <v/>
      </c>
      <c r="F45" s="5" t="n"/>
      <c r="G45" s="4">
        <f>IF(F45="","",IFERROR(VLOOKUP(F45,Справочник!$A$17:$B$30,2,FALSE),"Выберите реакцию из списка"))</f>
        <v/>
      </c>
      <c r="H45" s="10" t="n"/>
    </row>
    <row r="46">
      <c r="A46" s="4" t="n">
        <v>42</v>
      </c>
      <c r="B46" s="10" t="n"/>
      <c r="C46" s="5" t="n"/>
      <c r="D46" s="10" t="n"/>
      <c r="E46" s="4">
        <f>IF(D46="","",IF(TODAY()&gt;D46,"Да","Нет"))</f>
        <v/>
      </c>
      <c r="F46" s="5" t="n"/>
      <c r="G46" s="4">
        <f>IF(F46="","",IFERROR(VLOOKUP(F46,Справочник!$A$17:$B$30,2,FALSE),"Выберите реакцию из списка"))</f>
        <v/>
      </c>
      <c r="H46" s="10" t="n"/>
    </row>
    <row r="47">
      <c r="A47" s="4" t="n">
        <v>43</v>
      </c>
      <c r="B47" s="10" t="n"/>
      <c r="C47" s="5" t="n"/>
      <c r="D47" s="10" t="n"/>
      <c r="E47" s="4">
        <f>IF(D47="","",IF(TODAY()&gt;D47,"Да","Нет"))</f>
        <v/>
      </c>
      <c r="F47" s="5" t="n"/>
      <c r="G47" s="4">
        <f>IF(F47="","",IFERROR(VLOOKUP(F47,Справочник!$A$17:$B$30,2,FALSE),"Выберите реакцию из списка"))</f>
        <v/>
      </c>
      <c r="H47" s="10" t="n"/>
    </row>
    <row r="48">
      <c r="A48" s="4" t="n">
        <v>44</v>
      </c>
      <c r="B48" s="10" t="n"/>
      <c r="C48" s="5" t="n"/>
      <c r="D48" s="10" t="n"/>
      <c r="E48" s="4">
        <f>IF(D48="","",IF(TODAY()&gt;D48,"Да","Нет"))</f>
        <v/>
      </c>
      <c r="F48" s="5" t="n"/>
      <c r="G48" s="4">
        <f>IF(F48="","",IFERROR(VLOOKUP(F48,Справочник!$A$17:$B$30,2,FALSE),"Выберите реакцию из списка"))</f>
        <v/>
      </c>
      <c r="H48" s="10" t="n"/>
    </row>
    <row r="49">
      <c r="A49" s="4" t="n">
        <v>45</v>
      </c>
      <c r="B49" s="10" t="n"/>
      <c r="C49" s="5" t="n"/>
      <c r="D49" s="10" t="n"/>
      <c r="E49" s="4">
        <f>IF(D49="","",IF(TODAY()&gt;D49,"Да","Нет"))</f>
        <v/>
      </c>
      <c r="F49" s="5" t="n"/>
      <c r="G49" s="4">
        <f>IF(F49="","",IFERROR(VLOOKUP(F49,Справочник!$A$17:$B$30,2,FALSE),"Выберите реакцию из списка"))</f>
        <v/>
      </c>
      <c r="H49" s="10" t="n"/>
    </row>
    <row r="50">
      <c r="A50" s="4" t="n">
        <v>46</v>
      </c>
      <c r="B50" s="10" t="n"/>
      <c r="C50" s="5" t="n"/>
      <c r="D50" s="10" t="n"/>
      <c r="E50" s="4">
        <f>IF(D50="","",IF(TODAY()&gt;D50,"Да","Нет"))</f>
        <v/>
      </c>
      <c r="F50" s="5" t="n"/>
      <c r="G50" s="4">
        <f>IF(F50="","",IFERROR(VLOOKUP(F50,Справочник!$A$17:$B$30,2,FALSE),"Выберите реакцию из списка"))</f>
        <v/>
      </c>
      <c r="H50" s="10" t="n"/>
    </row>
    <row r="51">
      <c r="A51" s="4" t="n">
        <v>47</v>
      </c>
      <c r="B51" s="10" t="n"/>
      <c r="C51" s="5" t="n"/>
      <c r="D51" s="10" t="n"/>
      <c r="E51" s="4">
        <f>IF(D51="","",IF(TODAY()&gt;D51,"Да","Нет"))</f>
        <v/>
      </c>
      <c r="F51" s="5" t="n"/>
      <c r="G51" s="4">
        <f>IF(F51="","",IFERROR(VLOOKUP(F51,Справочник!$A$17:$B$30,2,FALSE),"Выберите реакцию из списка"))</f>
        <v/>
      </c>
      <c r="H51" s="10" t="n"/>
    </row>
    <row r="52">
      <c r="A52" s="4" t="n">
        <v>48</v>
      </c>
      <c r="B52" s="10" t="n"/>
      <c r="C52" s="5" t="n"/>
      <c r="D52" s="10" t="n"/>
      <c r="E52" s="4">
        <f>IF(D52="","",IF(TODAY()&gt;D52,"Да","Нет"))</f>
        <v/>
      </c>
      <c r="F52" s="5" t="n"/>
      <c r="G52" s="4">
        <f>IF(F52="","",IFERROR(VLOOKUP(F52,Справочник!$A$17:$B$30,2,FALSE),"Выберите реакцию из списка"))</f>
        <v/>
      </c>
      <c r="H52" s="10" t="n"/>
    </row>
    <row r="53">
      <c r="A53" s="4" t="n">
        <v>49</v>
      </c>
      <c r="B53" s="10" t="n"/>
      <c r="C53" s="5" t="n"/>
      <c r="D53" s="10" t="n"/>
      <c r="E53" s="4">
        <f>IF(D53="","",IF(TODAY()&gt;D53,"Да","Нет"))</f>
        <v/>
      </c>
      <c r="F53" s="5" t="n"/>
      <c r="G53" s="4">
        <f>IF(F53="","",IFERROR(VLOOKUP(F53,Справочник!$A$17:$B$30,2,FALSE),"Выберите реакцию из списка"))</f>
        <v/>
      </c>
      <c r="H53" s="10" t="n"/>
    </row>
    <row r="54">
      <c r="A54" s="4" t="n">
        <v>50</v>
      </c>
      <c r="B54" s="10" t="n"/>
      <c r="C54" s="5" t="n"/>
      <c r="D54" s="10" t="n"/>
      <c r="E54" s="4">
        <f>IF(D54="","",IF(TODAY()&gt;D54,"Да","Нет"))</f>
        <v/>
      </c>
      <c r="F54" s="5" t="n"/>
      <c r="G54" s="4">
        <f>IF(F54="","",IFERROR(VLOOKUP(F54,Справочник!$A$17:$B$30,2,FALSE),"Выберите реакцию из списка"))</f>
        <v/>
      </c>
      <c r="H54" s="10" t="n"/>
    </row>
    <row r="55">
      <c r="A55" s="4" t="n">
        <v>51</v>
      </c>
      <c r="B55" s="10" t="n"/>
      <c r="C55" s="5" t="n"/>
      <c r="D55" s="10" t="n"/>
      <c r="E55" s="4">
        <f>IF(D55="","",IF(TODAY()&gt;D55,"Да","Нет"))</f>
        <v/>
      </c>
      <c r="F55" s="5" t="n"/>
      <c r="G55" s="4">
        <f>IF(F55="","",IFERROR(VLOOKUP(F55,Справочник!$A$17:$B$30,2,FALSE),"Выберите реакцию из списка"))</f>
        <v/>
      </c>
      <c r="H55" s="10" t="n"/>
    </row>
    <row r="56">
      <c r="A56" s="4" t="n">
        <v>52</v>
      </c>
      <c r="B56" s="10" t="n"/>
      <c r="C56" s="5" t="n"/>
      <c r="D56" s="10" t="n"/>
      <c r="E56" s="4">
        <f>IF(D56="","",IF(TODAY()&gt;D56,"Да","Нет"))</f>
        <v/>
      </c>
      <c r="F56" s="5" t="n"/>
      <c r="G56" s="4">
        <f>IF(F56="","",IFERROR(VLOOKUP(F56,Справочник!$A$17:$B$30,2,FALSE),"Выберите реакцию из списка"))</f>
        <v/>
      </c>
      <c r="H56" s="10" t="n"/>
    </row>
    <row r="57">
      <c r="A57" s="4" t="n">
        <v>53</v>
      </c>
      <c r="B57" s="10" t="n"/>
      <c r="C57" s="5" t="n"/>
      <c r="D57" s="10" t="n"/>
      <c r="E57" s="4">
        <f>IF(D57="","",IF(TODAY()&gt;D57,"Да","Нет"))</f>
        <v/>
      </c>
      <c r="F57" s="5" t="n"/>
      <c r="G57" s="4">
        <f>IF(F57="","",IFERROR(VLOOKUP(F57,Справочник!$A$17:$B$30,2,FALSE),"Выберите реакцию из списка"))</f>
        <v/>
      </c>
      <c r="H57" s="10" t="n"/>
    </row>
    <row r="58">
      <c r="A58" s="4" t="n">
        <v>54</v>
      </c>
      <c r="B58" s="10" t="n"/>
      <c r="C58" s="5" t="n"/>
      <c r="D58" s="10" t="n"/>
      <c r="E58" s="4">
        <f>IF(D58="","",IF(TODAY()&gt;D58,"Да","Нет"))</f>
        <v/>
      </c>
      <c r="F58" s="5" t="n"/>
      <c r="G58" s="4">
        <f>IF(F58="","",IFERROR(VLOOKUP(F58,Справочник!$A$17:$B$30,2,FALSE),"Выберите реакцию из списка"))</f>
        <v/>
      </c>
      <c r="H58" s="10" t="n"/>
    </row>
    <row r="59">
      <c r="A59" s="4" t="n">
        <v>55</v>
      </c>
      <c r="B59" s="10" t="n"/>
      <c r="C59" s="5" t="n"/>
      <c r="D59" s="10" t="n"/>
      <c r="E59" s="4">
        <f>IF(D59="","",IF(TODAY()&gt;D59,"Да","Нет"))</f>
        <v/>
      </c>
      <c r="F59" s="5" t="n"/>
      <c r="G59" s="4">
        <f>IF(F59="","",IFERROR(VLOOKUP(F59,Справочник!$A$17:$B$30,2,FALSE),"Выберите реакцию из списка"))</f>
        <v/>
      </c>
      <c r="H59" s="10" t="n"/>
    </row>
    <row r="60">
      <c r="A60" s="4" t="n">
        <v>56</v>
      </c>
      <c r="B60" s="10" t="n"/>
      <c r="C60" s="5" t="n"/>
      <c r="D60" s="10" t="n"/>
      <c r="E60" s="4">
        <f>IF(D60="","",IF(TODAY()&gt;D60,"Да","Нет"))</f>
        <v/>
      </c>
      <c r="F60" s="5" t="n"/>
      <c r="G60" s="4">
        <f>IF(F60="","",IFERROR(VLOOKUP(F60,Справочник!$A$17:$B$30,2,FALSE),"Выберите реакцию из списка"))</f>
        <v/>
      </c>
      <c r="H60" s="10" t="n"/>
    </row>
    <row r="61">
      <c r="A61" s="4" t="n">
        <v>57</v>
      </c>
      <c r="B61" s="10" t="n"/>
      <c r="C61" s="5" t="n"/>
      <c r="D61" s="10" t="n"/>
      <c r="E61" s="4">
        <f>IF(D61="","",IF(TODAY()&gt;D61,"Да","Нет"))</f>
        <v/>
      </c>
      <c r="F61" s="5" t="n"/>
      <c r="G61" s="4">
        <f>IF(F61="","",IFERROR(VLOOKUP(F61,Справочник!$A$17:$B$30,2,FALSE),"Выберите реакцию из списка"))</f>
        <v/>
      </c>
      <c r="H61" s="10" t="n"/>
    </row>
    <row r="62">
      <c r="A62" s="4" t="n">
        <v>58</v>
      </c>
      <c r="B62" s="10" t="n"/>
      <c r="C62" s="5" t="n"/>
      <c r="D62" s="10" t="n"/>
      <c r="E62" s="4">
        <f>IF(D62="","",IF(TODAY()&gt;D62,"Да","Нет"))</f>
        <v/>
      </c>
      <c r="F62" s="5" t="n"/>
      <c r="G62" s="4">
        <f>IF(F62="","",IFERROR(VLOOKUP(F62,Справочник!$A$17:$B$30,2,FALSE),"Выберите реакцию из списка"))</f>
        <v/>
      </c>
      <c r="H62" s="10" t="n"/>
    </row>
    <row r="63">
      <c r="A63" s="4" t="n">
        <v>59</v>
      </c>
      <c r="B63" s="10" t="n"/>
      <c r="C63" s="5" t="n"/>
      <c r="D63" s="10" t="n"/>
      <c r="E63" s="4">
        <f>IF(D63="","",IF(TODAY()&gt;D63,"Да","Нет"))</f>
        <v/>
      </c>
      <c r="F63" s="5" t="n"/>
      <c r="G63" s="4">
        <f>IF(F63="","",IFERROR(VLOOKUP(F63,Справочник!$A$17:$B$30,2,FALSE),"Выберите реакцию из списка"))</f>
        <v/>
      </c>
      <c r="H63" s="10" t="n"/>
    </row>
    <row r="64">
      <c r="A64" s="4" t="n">
        <v>60</v>
      </c>
      <c r="B64" s="10" t="n"/>
      <c r="C64" s="5" t="n"/>
      <c r="D64" s="10" t="n"/>
      <c r="E64" s="4">
        <f>IF(D64="","",IF(TODAY()&gt;D64,"Да","Нет"))</f>
        <v/>
      </c>
      <c r="F64" s="5" t="n"/>
      <c r="G64" s="4">
        <f>IF(F64="","",IFERROR(VLOOKUP(F64,Справочник!$A$17:$B$30,2,FALSE),"Выберите реакцию из списка"))</f>
        <v/>
      </c>
      <c r="H64" s="10" t="n"/>
    </row>
    <row r="65">
      <c r="A65" s="4" t="n">
        <v>61</v>
      </c>
      <c r="B65" s="10" t="n"/>
      <c r="C65" s="5" t="n"/>
      <c r="D65" s="10" t="n"/>
      <c r="E65" s="4">
        <f>IF(D65="","",IF(TODAY()&gt;D65,"Да","Нет"))</f>
        <v/>
      </c>
      <c r="F65" s="5" t="n"/>
      <c r="G65" s="4">
        <f>IF(F65="","",IFERROR(VLOOKUP(F65,Справочник!$A$17:$B$30,2,FALSE),"Выберите реакцию из списка"))</f>
        <v/>
      </c>
      <c r="H65" s="10" t="n"/>
    </row>
    <row r="66">
      <c r="A66" s="4" t="n">
        <v>62</v>
      </c>
      <c r="B66" s="10" t="n"/>
      <c r="C66" s="5" t="n"/>
      <c r="D66" s="10" t="n"/>
      <c r="E66" s="4">
        <f>IF(D66="","",IF(TODAY()&gt;D66,"Да","Нет"))</f>
        <v/>
      </c>
      <c r="F66" s="5" t="n"/>
      <c r="G66" s="4">
        <f>IF(F66="","",IFERROR(VLOOKUP(F66,Справочник!$A$17:$B$30,2,FALSE),"Выберите реакцию из списка"))</f>
        <v/>
      </c>
      <c r="H66" s="10" t="n"/>
    </row>
    <row r="67">
      <c r="A67" s="4" t="n">
        <v>63</v>
      </c>
      <c r="B67" s="10" t="n"/>
      <c r="C67" s="5" t="n"/>
      <c r="D67" s="10" t="n"/>
      <c r="E67" s="4">
        <f>IF(D67="","",IF(TODAY()&gt;D67,"Да","Нет"))</f>
        <v/>
      </c>
      <c r="F67" s="5" t="n"/>
      <c r="G67" s="4">
        <f>IF(F67="","",IFERROR(VLOOKUP(F67,Справочник!$A$17:$B$30,2,FALSE),"Выберите реакцию из списка"))</f>
        <v/>
      </c>
      <c r="H67" s="10" t="n"/>
    </row>
    <row r="68">
      <c r="A68" s="4" t="n">
        <v>64</v>
      </c>
      <c r="B68" s="10" t="n"/>
      <c r="C68" s="5" t="n"/>
      <c r="D68" s="10" t="n"/>
      <c r="E68" s="4">
        <f>IF(D68="","",IF(TODAY()&gt;D68,"Да","Нет"))</f>
        <v/>
      </c>
      <c r="F68" s="5" t="n"/>
      <c r="G68" s="4">
        <f>IF(F68="","",IFERROR(VLOOKUP(F68,Справочник!$A$17:$B$30,2,FALSE),"Выберите реакцию из списка"))</f>
        <v/>
      </c>
      <c r="H68" s="10" t="n"/>
    </row>
    <row r="69">
      <c r="A69" s="4" t="n">
        <v>65</v>
      </c>
      <c r="B69" s="10" t="n"/>
      <c r="C69" s="5" t="n"/>
      <c r="D69" s="10" t="n"/>
      <c r="E69" s="4">
        <f>IF(D69="","",IF(TODAY()&gt;D69,"Да","Нет"))</f>
        <v/>
      </c>
      <c r="F69" s="5" t="n"/>
      <c r="G69" s="4">
        <f>IF(F69="","",IFERROR(VLOOKUP(F69,Справочник!$A$17:$B$30,2,FALSE),"Выберите реакцию из списка"))</f>
        <v/>
      </c>
      <c r="H69" s="10" t="n"/>
    </row>
    <row r="70">
      <c r="A70" s="4" t="n">
        <v>66</v>
      </c>
      <c r="B70" s="10" t="n"/>
      <c r="C70" s="5" t="n"/>
      <c r="D70" s="10" t="n"/>
      <c r="E70" s="4">
        <f>IF(D70="","",IF(TODAY()&gt;D70,"Да","Нет"))</f>
        <v/>
      </c>
      <c r="F70" s="5" t="n"/>
      <c r="G70" s="4">
        <f>IF(F70="","",IFERROR(VLOOKUP(F70,Справочник!$A$17:$B$30,2,FALSE),"Выберите реакцию из списка"))</f>
        <v/>
      </c>
      <c r="H70" s="10" t="n"/>
    </row>
    <row r="71">
      <c r="A71" s="4" t="n">
        <v>67</v>
      </c>
      <c r="B71" s="10" t="n"/>
      <c r="C71" s="5" t="n"/>
      <c r="D71" s="10" t="n"/>
      <c r="E71" s="4">
        <f>IF(D71="","",IF(TODAY()&gt;D71,"Да","Нет"))</f>
        <v/>
      </c>
      <c r="F71" s="5" t="n"/>
      <c r="G71" s="4">
        <f>IF(F71="","",IFERROR(VLOOKUP(F71,Справочник!$A$17:$B$30,2,FALSE),"Выберите реакцию из списка"))</f>
        <v/>
      </c>
      <c r="H71" s="10" t="n"/>
    </row>
    <row r="72">
      <c r="A72" s="4" t="n">
        <v>68</v>
      </c>
      <c r="B72" s="10" t="n"/>
      <c r="C72" s="5" t="n"/>
      <c r="D72" s="10" t="n"/>
      <c r="E72" s="4">
        <f>IF(D72="","",IF(TODAY()&gt;D72,"Да","Нет"))</f>
        <v/>
      </c>
      <c r="F72" s="5" t="n"/>
      <c r="G72" s="4">
        <f>IF(F72="","",IFERROR(VLOOKUP(F72,Справочник!$A$17:$B$30,2,FALSE),"Выберите реакцию из списка"))</f>
        <v/>
      </c>
      <c r="H72" s="10" t="n"/>
    </row>
    <row r="73">
      <c r="A73" s="4" t="n">
        <v>69</v>
      </c>
      <c r="B73" s="10" t="n"/>
      <c r="C73" s="5" t="n"/>
      <c r="D73" s="10" t="n"/>
      <c r="E73" s="4">
        <f>IF(D73="","",IF(TODAY()&gt;D73,"Да","Нет"))</f>
        <v/>
      </c>
      <c r="F73" s="5" t="n"/>
      <c r="G73" s="4">
        <f>IF(F73="","",IFERROR(VLOOKUP(F73,Справочник!$A$17:$B$30,2,FALSE),"Выберите реакцию из списка"))</f>
        <v/>
      </c>
      <c r="H73" s="10" t="n"/>
    </row>
    <row r="74">
      <c r="A74" s="4" t="n">
        <v>70</v>
      </c>
      <c r="B74" s="10" t="n"/>
      <c r="C74" s="5" t="n"/>
      <c r="D74" s="10" t="n"/>
      <c r="E74" s="4">
        <f>IF(D74="","",IF(TODAY()&gt;D74,"Да","Нет"))</f>
        <v/>
      </c>
      <c r="F74" s="5" t="n"/>
      <c r="G74" s="4">
        <f>IF(F74="","",IFERROR(VLOOKUP(F74,Справочник!$A$17:$B$30,2,FALSE),"Выберите реакцию из списка"))</f>
        <v/>
      </c>
      <c r="H74" s="10" t="n"/>
    </row>
    <row r="75">
      <c r="A75" s="4" t="n">
        <v>71</v>
      </c>
      <c r="B75" s="10" t="n"/>
      <c r="C75" s="5" t="n"/>
      <c r="D75" s="10" t="n"/>
      <c r="E75" s="4">
        <f>IF(D75="","",IF(TODAY()&gt;D75,"Да","Нет"))</f>
        <v/>
      </c>
      <c r="F75" s="5" t="n"/>
      <c r="G75" s="4">
        <f>IF(F75="","",IFERROR(VLOOKUP(F75,Справочник!$A$17:$B$30,2,FALSE),"Выберите реакцию из списка"))</f>
        <v/>
      </c>
      <c r="H75" s="10" t="n"/>
    </row>
    <row r="76">
      <c r="A76" s="4" t="n">
        <v>72</v>
      </c>
      <c r="B76" s="10" t="n"/>
      <c r="C76" s="5" t="n"/>
      <c r="D76" s="10" t="n"/>
      <c r="E76" s="4">
        <f>IF(D76="","",IF(TODAY()&gt;D76,"Да","Нет"))</f>
        <v/>
      </c>
      <c r="F76" s="5" t="n"/>
      <c r="G76" s="4">
        <f>IF(F76="","",IFERROR(VLOOKUP(F76,Справочник!$A$17:$B$30,2,FALSE),"Выберите реакцию из списка"))</f>
        <v/>
      </c>
      <c r="H76" s="10" t="n"/>
    </row>
    <row r="77">
      <c r="A77" s="4" t="n">
        <v>73</v>
      </c>
      <c r="B77" s="10" t="n"/>
      <c r="C77" s="5" t="n"/>
      <c r="D77" s="10" t="n"/>
      <c r="E77" s="4">
        <f>IF(D77="","",IF(TODAY()&gt;D77,"Да","Нет"))</f>
        <v/>
      </c>
      <c r="F77" s="5" t="n"/>
      <c r="G77" s="4">
        <f>IF(F77="","",IFERROR(VLOOKUP(F77,Справочник!$A$17:$B$30,2,FALSE),"Выберите реакцию из списка"))</f>
        <v/>
      </c>
      <c r="H77" s="10" t="n"/>
    </row>
    <row r="78">
      <c r="A78" s="4" t="n">
        <v>74</v>
      </c>
      <c r="B78" s="10" t="n"/>
      <c r="C78" s="5" t="n"/>
      <c r="D78" s="10" t="n"/>
      <c r="E78" s="4">
        <f>IF(D78="","",IF(TODAY()&gt;D78,"Да","Нет"))</f>
        <v/>
      </c>
      <c r="F78" s="5" t="n"/>
      <c r="G78" s="4">
        <f>IF(F78="","",IFERROR(VLOOKUP(F78,Справочник!$A$17:$B$30,2,FALSE),"Выберите реакцию из списка"))</f>
        <v/>
      </c>
      <c r="H78" s="10" t="n"/>
    </row>
    <row r="79">
      <c r="A79" s="4" t="n">
        <v>75</v>
      </c>
      <c r="B79" s="10" t="n"/>
      <c r="C79" s="5" t="n"/>
      <c r="D79" s="10" t="n"/>
      <c r="E79" s="4">
        <f>IF(D79="","",IF(TODAY()&gt;D79,"Да","Нет"))</f>
        <v/>
      </c>
      <c r="F79" s="5" t="n"/>
      <c r="G79" s="4">
        <f>IF(F79="","",IFERROR(VLOOKUP(F79,Справочник!$A$17:$B$30,2,FALSE),"Выберите реакцию из списка"))</f>
        <v/>
      </c>
      <c r="H79" s="10" t="n"/>
    </row>
    <row r="80">
      <c r="A80" s="4" t="n">
        <v>76</v>
      </c>
      <c r="B80" s="10" t="n"/>
      <c r="C80" s="5" t="n"/>
      <c r="D80" s="10" t="n"/>
      <c r="E80" s="4">
        <f>IF(D80="","",IF(TODAY()&gt;D80,"Да","Нет"))</f>
        <v/>
      </c>
      <c r="F80" s="5" t="n"/>
      <c r="G80" s="4">
        <f>IF(F80="","",IFERROR(VLOOKUP(F80,Справочник!$A$17:$B$30,2,FALSE),"Выберите реакцию из списка"))</f>
        <v/>
      </c>
      <c r="H80" s="10" t="n"/>
    </row>
    <row r="81">
      <c r="A81" s="4" t="n">
        <v>77</v>
      </c>
      <c r="B81" s="10" t="n"/>
      <c r="C81" s="5" t="n"/>
      <c r="D81" s="10" t="n"/>
      <c r="E81" s="4">
        <f>IF(D81="","",IF(TODAY()&gt;D81,"Да","Нет"))</f>
        <v/>
      </c>
      <c r="F81" s="5" t="n"/>
      <c r="G81" s="4">
        <f>IF(F81="","",IFERROR(VLOOKUP(F81,Справочник!$A$17:$B$30,2,FALSE),"Выберите реакцию из списка"))</f>
        <v/>
      </c>
      <c r="H81" s="10" t="n"/>
    </row>
    <row r="82">
      <c r="A82" s="4" t="n">
        <v>78</v>
      </c>
      <c r="B82" s="10" t="n"/>
      <c r="C82" s="5" t="n"/>
      <c r="D82" s="10" t="n"/>
      <c r="E82" s="4">
        <f>IF(D82="","",IF(TODAY()&gt;D82,"Да","Нет"))</f>
        <v/>
      </c>
      <c r="F82" s="5" t="n"/>
      <c r="G82" s="4">
        <f>IF(F82="","",IFERROR(VLOOKUP(F82,Справочник!$A$17:$B$30,2,FALSE),"Выберите реакцию из списка"))</f>
        <v/>
      </c>
      <c r="H82" s="10" t="n"/>
    </row>
    <row r="83">
      <c r="A83" s="4" t="n">
        <v>79</v>
      </c>
      <c r="B83" s="10" t="n"/>
      <c r="C83" s="5" t="n"/>
      <c r="D83" s="10" t="n"/>
      <c r="E83" s="4">
        <f>IF(D83="","",IF(TODAY()&gt;D83,"Да","Нет"))</f>
        <v/>
      </c>
      <c r="F83" s="5" t="n"/>
      <c r="G83" s="4">
        <f>IF(F83="","",IFERROR(VLOOKUP(F83,Справочник!$A$17:$B$30,2,FALSE),"Выберите реакцию из списка"))</f>
        <v/>
      </c>
      <c r="H83" s="10" t="n"/>
    </row>
    <row r="84">
      <c r="A84" s="4" t="n">
        <v>80</v>
      </c>
      <c r="B84" s="10" t="n"/>
      <c r="C84" s="5" t="n"/>
      <c r="D84" s="10" t="n"/>
      <c r="E84" s="4">
        <f>IF(D84="","",IF(TODAY()&gt;D84,"Да","Нет"))</f>
        <v/>
      </c>
      <c r="F84" s="5" t="n"/>
      <c r="G84" s="4">
        <f>IF(F84="","",IFERROR(VLOOKUP(F84,Справочник!$A$17:$B$30,2,FALSE),"Выберите реакцию из списка"))</f>
        <v/>
      </c>
      <c r="H84" s="10" t="n"/>
    </row>
    <row r="85">
      <c r="A85" s="4" t="n">
        <v>81</v>
      </c>
      <c r="B85" s="10" t="n"/>
      <c r="C85" s="5" t="n"/>
      <c r="D85" s="10" t="n"/>
      <c r="E85" s="4">
        <f>IF(D85="","",IF(TODAY()&gt;D85,"Да","Нет"))</f>
        <v/>
      </c>
      <c r="F85" s="5" t="n"/>
      <c r="G85" s="4">
        <f>IF(F85="","",IFERROR(VLOOKUP(F85,Справочник!$A$17:$B$30,2,FALSE),"Выберите реакцию из списка"))</f>
        <v/>
      </c>
      <c r="H85" s="10" t="n"/>
    </row>
    <row r="86">
      <c r="A86" s="4" t="n">
        <v>82</v>
      </c>
      <c r="B86" s="10" t="n"/>
      <c r="C86" s="5" t="n"/>
      <c r="D86" s="10" t="n"/>
      <c r="E86" s="4">
        <f>IF(D86="","",IF(TODAY()&gt;D86,"Да","Нет"))</f>
        <v/>
      </c>
      <c r="F86" s="5" t="n"/>
      <c r="G86" s="4">
        <f>IF(F86="","",IFERROR(VLOOKUP(F86,Справочник!$A$17:$B$30,2,FALSE),"Выберите реакцию из списка"))</f>
        <v/>
      </c>
      <c r="H86" s="10" t="n"/>
    </row>
    <row r="87">
      <c r="A87" s="4" t="n">
        <v>83</v>
      </c>
      <c r="B87" s="10" t="n"/>
      <c r="C87" s="5" t="n"/>
      <c r="D87" s="10" t="n"/>
      <c r="E87" s="4">
        <f>IF(D87="","",IF(TODAY()&gt;D87,"Да","Нет"))</f>
        <v/>
      </c>
      <c r="F87" s="5" t="n"/>
      <c r="G87" s="4">
        <f>IF(F87="","",IFERROR(VLOOKUP(F87,Справочник!$A$17:$B$30,2,FALSE),"Выберите реакцию из списка"))</f>
        <v/>
      </c>
      <c r="H87" s="10" t="n"/>
    </row>
    <row r="88">
      <c r="A88" s="4" t="n">
        <v>84</v>
      </c>
      <c r="B88" s="10" t="n"/>
      <c r="C88" s="5" t="n"/>
      <c r="D88" s="10" t="n"/>
      <c r="E88" s="4">
        <f>IF(D88="","",IF(TODAY()&gt;D88,"Да","Нет"))</f>
        <v/>
      </c>
      <c r="F88" s="5" t="n"/>
      <c r="G88" s="4">
        <f>IF(F88="","",IFERROR(VLOOKUP(F88,Справочник!$A$17:$B$30,2,FALSE),"Выберите реакцию из списка"))</f>
        <v/>
      </c>
      <c r="H88" s="10" t="n"/>
    </row>
    <row r="89">
      <c r="A89" s="4" t="n">
        <v>85</v>
      </c>
      <c r="B89" s="10" t="n"/>
      <c r="C89" s="5" t="n"/>
      <c r="D89" s="10" t="n"/>
      <c r="E89" s="4">
        <f>IF(D89="","",IF(TODAY()&gt;D89,"Да","Нет"))</f>
        <v/>
      </c>
      <c r="F89" s="5" t="n"/>
      <c r="G89" s="4">
        <f>IF(F89="","",IFERROR(VLOOKUP(F89,Справочник!$A$17:$B$30,2,FALSE),"Выберите реакцию из списка"))</f>
        <v/>
      </c>
      <c r="H89" s="10" t="n"/>
    </row>
    <row r="90">
      <c r="A90" s="4" t="n">
        <v>86</v>
      </c>
      <c r="B90" s="10" t="n"/>
      <c r="C90" s="5" t="n"/>
      <c r="D90" s="10" t="n"/>
      <c r="E90" s="4">
        <f>IF(D90="","",IF(TODAY()&gt;D90,"Да","Нет"))</f>
        <v/>
      </c>
      <c r="F90" s="5" t="n"/>
      <c r="G90" s="4">
        <f>IF(F90="","",IFERROR(VLOOKUP(F90,Справочник!$A$17:$B$30,2,FALSE),"Выберите реакцию из списка"))</f>
        <v/>
      </c>
      <c r="H90" s="10" t="n"/>
    </row>
    <row r="91">
      <c r="A91" s="4" t="n">
        <v>87</v>
      </c>
      <c r="B91" s="10" t="n"/>
      <c r="C91" s="5" t="n"/>
      <c r="D91" s="10" t="n"/>
      <c r="E91" s="4">
        <f>IF(D91="","",IF(TODAY()&gt;D91,"Да","Нет"))</f>
        <v/>
      </c>
      <c r="F91" s="5" t="n"/>
      <c r="G91" s="4">
        <f>IF(F91="","",IFERROR(VLOOKUP(F91,Справочник!$A$17:$B$30,2,FALSE),"Выберите реакцию из списка"))</f>
        <v/>
      </c>
      <c r="H91" s="10" t="n"/>
    </row>
    <row r="92">
      <c r="A92" s="4" t="n">
        <v>88</v>
      </c>
      <c r="B92" s="10" t="n"/>
      <c r="C92" s="5" t="n"/>
      <c r="D92" s="10" t="n"/>
      <c r="E92" s="4">
        <f>IF(D92="","",IF(TODAY()&gt;D92,"Да","Нет"))</f>
        <v/>
      </c>
      <c r="F92" s="5" t="n"/>
      <c r="G92" s="4">
        <f>IF(F92="","",IFERROR(VLOOKUP(F92,Справочник!$A$17:$B$30,2,FALSE),"Выберите реакцию из списка"))</f>
        <v/>
      </c>
      <c r="H92" s="10" t="n"/>
    </row>
    <row r="93">
      <c r="A93" s="4" t="n">
        <v>89</v>
      </c>
      <c r="B93" s="10" t="n"/>
      <c r="C93" s="5" t="n"/>
      <c r="D93" s="10" t="n"/>
      <c r="E93" s="4">
        <f>IF(D93="","",IF(TODAY()&gt;D93,"Да","Нет"))</f>
        <v/>
      </c>
      <c r="F93" s="5" t="n"/>
      <c r="G93" s="4">
        <f>IF(F93="","",IFERROR(VLOOKUP(F93,Справочник!$A$17:$B$30,2,FALSE),"Выберите реакцию из списка"))</f>
        <v/>
      </c>
      <c r="H93" s="10" t="n"/>
    </row>
    <row r="94">
      <c r="A94" s="4" t="n">
        <v>90</v>
      </c>
      <c r="B94" s="10" t="n"/>
      <c r="C94" s="5" t="n"/>
      <c r="D94" s="10" t="n"/>
      <c r="E94" s="4">
        <f>IF(D94="","",IF(TODAY()&gt;D94,"Да","Нет"))</f>
        <v/>
      </c>
      <c r="F94" s="5" t="n"/>
      <c r="G94" s="4">
        <f>IF(F94="","",IFERROR(VLOOKUP(F94,Справочник!$A$17:$B$30,2,FALSE),"Выберите реакцию из списка"))</f>
        <v/>
      </c>
      <c r="H94" s="10" t="n"/>
    </row>
    <row r="95">
      <c r="A95" s="4" t="n">
        <v>91</v>
      </c>
      <c r="B95" s="10" t="n"/>
      <c r="C95" s="5" t="n"/>
      <c r="D95" s="10" t="n"/>
      <c r="E95" s="4">
        <f>IF(D95="","",IF(TODAY()&gt;D95,"Да","Нет"))</f>
        <v/>
      </c>
      <c r="F95" s="5" t="n"/>
      <c r="G95" s="4">
        <f>IF(F95="","",IFERROR(VLOOKUP(F95,Справочник!$A$17:$B$30,2,FALSE),"Выберите реакцию из списка"))</f>
        <v/>
      </c>
      <c r="H95" s="10" t="n"/>
    </row>
    <row r="96">
      <c r="A96" s="4" t="n">
        <v>92</v>
      </c>
      <c r="B96" s="10" t="n"/>
      <c r="C96" s="5" t="n"/>
      <c r="D96" s="10" t="n"/>
      <c r="E96" s="4">
        <f>IF(D96="","",IF(TODAY()&gt;D96,"Да","Нет"))</f>
        <v/>
      </c>
      <c r="F96" s="5" t="n"/>
      <c r="G96" s="4">
        <f>IF(F96="","",IFERROR(VLOOKUP(F96,Справочник!$A$17:$B$30,2,FALSE),"Выберите реакцию из списка"))</f>
        <v/>
      </c>
      <c r="H96" s="10" t="n"/>
    </row>
    <row r="97">
      <c r="A97" s="4" t="n">
        <v>93</v>
      </c>
      <c r="B97" s="10" t="n"/>
      <c r="C97" s="5" t="n"/>
      <c r="D97" s="10" t="n"/>
      <c r="E97" s="4">
        <f>IF(D97="","",IF(TODAY()&gt;D97,"Да","Нет"))</f>
        <v/>
      </c>
      <c r="F97" s="5" t="n"/>
      <c r="G97" s="4">
        <f>IF(F97="","",IFERROR(VLOOKUP(F97,Справочник!$A$17:$B$30,2,FALSE),"Выберите реакцию из списка"))</f>
        <v/>
      </c>
      <c r="H97" s="10" t="n"/>
    </row>
    <row r="98">
      <c r="A98" s="4" t="n">
        <v>94</v>
      </c>
      <c r="B98" s="10" t="n"/>
      <c r="C98" s="5" t="n"/>
      <c r="D98" s="10" t="n"/>
      <c r="E98" s="4">
        <f>IF(D98="","",IF(TODAY()&gt;D98,"Да","Нет"))</f>
        <v/>
      </c>
      <c r="F98" s="5" t="n"/>
      <c r="G98" s="4">
        <f>IF(F98="","",IFERROR(VLOOKUP(F98,Справочник!$A$17:$B$30,2,FALSE),"Выберите реакцию из списка"))</f>
        <v/>
      </c>
      <c r="H98" s="10" t="n"/>
    </row>
    <row r="99">
      <c r="A99" s="4" t="n">
        <v>95</v>
      </c>
      <c r="B99" s="10" t="n"/>
      <c r="C99" s="5" t="n"/>
      <c r="D99" s="10" t="n"/>
      <c r="E99" s="4">
        <f>IF(D99="","",IF(TODAY()&gt;D99,"Да","Нет"))</f>
        <v/>
      </c>
      <c r="F99" s="5" t="n"/>
      <c r="G99" s="4">
        <f>IF(F99="","",IFERROR(VLOOKUP(F99,Справочник!$A$17:$B$30,2,FALSE),"Выберите реакцию из списка"))</f>
        <v/>
      </c>
      <c r="H99" s="10" t="n"/>
    </row>
    <row r="100">
      <c r="A100" s="4" t="n">
        <v>96</v>
      </c>
      <c r="B100" s="10" t="n"/>
      <c r="C100" s="5" t="n"/>
      <c r="D100" s="10" t="n"/>
      <c r="E100" s="4">
        <f>IF(D100="","",IF(TODAY()&gt;D100,"Да","Нет"))</f>
        <v/>
      </c>
      <c r="F100" s="5" t="n"/>
      <c r="G100" s="4">
        <f>IF(F100="","",IFERROR(VLOOKUP(F100,Справочник!$A$17:$B$30,2,FALSE),"Выберите реакцию из списка"))</f>
        <v/>
      </c>
      <c r="H100" s="10" t="n"/>
    </row>
    <row r="101">
      <c r="A101" s="4" t="n">
        <v>97</v>
      </c>
      <c r="B101" s="10" t="n"/>
      <c r="C101" s="5" t="n"/>
      <c r="D101" s="10" t="n"/>
      <c r="E101" s="4">
        <f>IF(D101="","",IF(TODAY()&gt;D101,"Да","Нет"))</f>
        <v/>
      </c>
      <c r="F101" s="5" t="n"/>
      <c r="G101" s="4">
        <f>IF(F101="","",IFERROR(VLOOKUP(F101,Справочник!$A$17:$B$30,2,FALSE),"Выберите реакцию из списка"))</f>
        <v/>
      </c>
      <c r="H101" s="10" t="n"/>
    </row>
    <row r="102">
      <c r="A102" s="4" t="n">
        <v>98</v>
      </c>
      <c r="B102" s="10" t="n"/>
      <c r="C102" s="5" t="n"/>
      <c r="D102" s="10" t="n"/>
      <c r="E102" s="4">
        <f>IF(D102="","",IF(TODAY()&gt;D102,"Да","Нет"))</f>
        <v/>
      </c>
      <c r="F102" s="5" t="n"/>
      <c r="G102" s="4">
        <f>IF(F102="","",IFERROR(VLOOKUP(F102,Справочник!$A$17:$B$30,2,FALSE),"Выберите реакцию из списка"))</f>
        <v/>
      </c>
      <c r="H102" s="10" t="n"/>
    </row>
    <row r="103">
      <c r="A103" s="4" t="n">
        <v>99</v>
      </c>
      <c r="B103" s="10" t="n"/>
      <c r="C103" s="5" t="n"/>
      <c r="D103" s="10" t="n"/>
      <c r="E103" s="4">
        <f>IF(D103="","",IF(TODAY()&gt;D103,"Да","Нет"))</f>
        <v/>
      </c>
      <c r="F103" s="5" t="n"/>
      <c r="G103" s="4">
        <f>IF(F103="","",IFERROR(VLOOKUP(F103,Справочник!$A$17:$B$30,2,FALSE),"Выберите реакцию из списка"))</f>
        <v/>
      </c>
      <c r="H103" s="10" t="n"/>
    </row>
    <row r="104">
      <c r="A104" s="4" t="n">
        <v>100</v>
      </c>
      <c r="B104" s="10" t="n"/>
      <c r="C104" s="5" t="n"/>
      <c r="D104" s="10" t="n"/>
      <c r="E104" s="4">
        <f>IF(D104="","",IF(TODAY()&gt;D104,"Да","Нет"))</f>
        <v/>
      </c>
      <c r="F104" s="5" t="n"/>
      <c r="G104" s="4">
        <f>IF(F104="","",IFERROR(VLOOKUP(F104,Справочник!$A$17:$B$30,2,FALSE),"Выберите реакцию из списка"))</f>
        <v/>
      </c>
      <c r="H104" s="10" t="n"/>
    </row>
    <row r="105">
      <c r="A105" s="4" t="n">
        <v>101</v>
      </c>
      <c r="B105" s="10" t="n"/>
      <c r="C105" s="5" t="n"/>
      <c r="D105" s="10" t="n"/>
      <c r="E105" s="4">
        <f>IF(D105="","",IF(TODAY()&gt;D105,"Да","Нет"))</f>
        <v/>
      </c>
      <c r="F105" s="5" t="n"/>
      <c r="G105" s="4">
        <f>IF(F105="","",IFERROR(VLOOKUP(F105,Справочник!$A$17:$B$30,2,FALSE),"Выберите реакцию из списка"))</f>
        <v/>
      </c>
      <c r="H105" s="10" t="n"/>
    </row>
    <row r="106">
      <c r="A106" s="4" t="n">
        <v>102</v>
      </c>
      <c r="B106" s="10" t="n"/>
      <c r="C106" s="5" t="n"/>
      <c r="D106" s="10" t="n"/>
      <c r="E106" s="4">
        <f>IF(D106="","",IF(TODAY()&gt;D106,"Да","Нет"))</f>
        <v/>
      </c>
      <c r="F106" s="5" t="n"/>
      <c r="G106" s="4">
        <f>IF(F106="","",IFERROR(VLOOKUP(F106,Справочник!$A$17:$B$30,2,FALSE),"Выберите реакцию из списка"))</f>
        <v/>
      </c>
      <c r="H106" s="10" t="n"/>
    </row>
    <row r="107">
      <c r="A107" s="4" t="n">
        <v>103</v>
      </c>
      <c r="B107" s="10" t="n"/>
      <c r="C107" s="5" t="n"/>
      <c r="D107" s="10" t="n"/>
      <c r="E107" s="4">
        <f>IF(D107="","",IF(TODAY()&gt;D107,"Да","Нет"))</f>
        <v/>
      </c>
      <c r="F107" s="5" t="n"/>
      <c r="G107" s="4">
        <f>IF(F107="","",IFERROR(VLOOKUP(F107,Справочник!$A$17:$B$30,2,FALSE),"Выберите реакцию из списка"))</f>
        <v/>
      </c>
      <c r="H107" s="10" t="n"/>
    </row>
    <row r="108">
      <c r="A108" s="4" t="n">
        <v>104</v>
      </c>
      <c r="B108" s="10" t="n"/>
      <c r="C108" s="5" t="n"/>
      <c r="D108" s="10" t="n"/>
      <c r="E108" s="4">
        <f>IF(D108="","",IF(TODAY()&gt;D108,"Да","Нет"))</f>
        <v/>
      </c>
      <c r="F108" s="5" t="n"/>
      <c r="G108" s="4">
        <f>IF(F108="","",IFERROR(VLOOKUP(F108,Справочник!$A$17:$B$30,2,FALSE),"Выберите реакцию из списка"))</f>
        <v/>
      </c>
      <c r="H108" s="10" t="n"/>
    </row>
    <row r="109">
      <c r="A109" s="4" t="n">
        <v>105</v>
      </c>
      <c r="B109" s="10" t="n"/>
      <c r="C109" s="5" t="n"/>
      <c r="D109" s="10" t="n"/>
      <c r="E109" s="4">
        <f>IF(D109="","",IF(TODAY()&gt;D109,"Да","Нет"))</f>
        <v/>
      </c>
      <c r="F109" s="5" t="n"/>
      <c r="G109" s="4">
        <f>IF(F109="","",IFERROR(VLOOKUP(F109,Справочник!$A$17:$B$30,2,FALSE),"Выберите реакцию из списка"))</f>
        <v/>
      </c>
      <c r="H109" s="10" t="n"/>
    </row>
    <row r="110">
      <c r="A110" s="4" t="n">
        <v>106</v>
      </c>
      <c r="B110" s="10" t="n"/>
      <c r="C110" s="5" t="n"/>
      <c r="D110" s="10" t="n"/>
      <c r="E110" s="4">
        <f>IF(D110="","",IF(TODAY()&gt;D110,"Да","Нет"))</f>
        <v/>
      </c>
      <c r="F110" s="5" t="n"/>
      <c r="G110" s="4">
        <f>IF(F110="","",IFERROR(VLOOKUP(F110,Справочник!$A$17:$B$30,2,FALSE),"Выберите реакцию из списка"))</f>
        <v/>
      </c>
      <c r="H110" s="10" t="n"/>
    </row>
    <row r="111">
      <c r="A111" s="4" t="n">
        <v>107</v>
      </c>
      <c r="B111" s="10" t="n"/>
      <c r="C111" s="5" t="n"/>
      <c r="D111" s="10" t="n"/>
      <c r="E111" s="4">
        <f>IF(D111="","",IF(TODAY()&gt;D111,"Да","Нет"))</f>
        <v/>
      </c>
      <c r="F111" s="5" t="n"/>
      <c r="G111" s="4">
        <f>IF(F111="","",IFERROR(VLOOKUP(F111,Справочник!$A$17:$B$30,2,FALSE),"Выберите реакцию из списка"))</f>
        <v/>
      </c>
      <c r="H111" s="10" t="n"/>
    </row>
    <row r="112">
      <c r="A112" s="4" t="n">
        <v>108</v>
      </c>
      <c r="B112" s="10" t="n"/>
      <c r="C112" s="5" t="n"/>
      <c r="D112" s="10" t="n"/>
      <c r="E112" s="4">
        <f>IF(D112="","",IF(TODAY()&gt;D112,"Да","Нет"))</f>
        <v/>
      </c>
      <c r="F112" s="5" t="n"/>
      <c r="G112" s="4">
        <f>IF(F112="","",IFERROR(VLOOKUP(F112,Справочник!$A$17:$B$30,2,FALSE),"Выберите реакцию из списка"))</f>
        <v/>
      </c>
      <c r="H112" s="10" t="n"/>
    </row>
    <row r="113">
      <c r="A113" s="4" t="n">
        <v>109</v>
      </c>
      <c r="B113" s="10" t="n"/>
      <c r="C113" s="5" t="n"/>
      <c r="D113" s="10" t="n"/>
      <c r="E113" s="4">
        <f>IF(D113="","",IF(TODAY()&gt;D113,"Да","Нет"))</f>
        <v/>
      </c>
      <c r="F113" s="5" t="n"/>
      <c r="G113" s="4">
        <f>IF(F113="","",IFERROR(VLOOKUP(F113,Справочник!$A$17:$B$30,2,FALSE),"Выберите реакцию из списка"))</f>
        <v/>
      </c>
      <c r="H113" s="10" t="n"/>
    </row>
    <row r="114">
      <c r="A114" s="4" t="n">
        <v>110</v>
      </c>
      <c r="B114" s="10" t="n"/>
      <c r="C114" s="5" t="n"/>
      <c r="D114" s="10" t="n"/>
      <c r="E114" s="4">
        <f>IF(D114="","",IF(TODAY()&gt;D114,"Да","Нет"))</f>
        <v/>
      </c>
      <c r="F114" s="5" t="n"/>
      <c r="G114" s="4">
        <f>IF(F114="","",IFERROR(VLOOKUP(F114,Справочник!$A$17:$B$30,2,FALSE),"Выберите реакцию из списка"))</f>
        <v/>
      </c>
      <c r="H114" s="10" t="n"/>
    </row>
    <row r="115">
      <c r="A115" s="4" t="n">
        <v>111</v>
      </c>
      <c r="B115" s="10" t="n"/>
      <c r="C115" s="5" t="n"/>
      <c r="D115" s="10" t="n"/>
      <c r="E115" s="4">
        <f>IF(D115="","",IF(TODAY()&gt;D115,"Да","Нет"))</f>
        <v/>
      </c>
      <c r="F115" s="5" t="n"/>
      <c r="G115" s="4">
        <f>IF(F115="","",IFERROR(VLOOKUP(F115,Справочник!$A$17:$B$30,2,FALSE),"Выберите реакцию из списка"))</f>
        <v/>
      </c>
      <c r="H115" s="10" t="n"/>
    </row>
    <row r="116">
      <c r="A116" s="4" t="n">
        <v>112</v>
      </c>
      <c r="B116" s="10" t="n"/>
      <c r="C116" s="5" t="n"/>
      <c r="D116" s="10" t="n"/>
      <c r="E116" s="4">
        <f>IF(D116="","",IF(TODAY()&gt;D116,"Да","Нет"))</f>
        <v/>
      </c>
      <c r="F116" s="5" t="n"/>
      <c r="G116" s="4">
        <f>IF(F116="","",IFERROR(VLOOKUP(F116,Справочник!$A$17:$B$30,2,FALSE),"Выберите реакцию из списка"))</f>
        <v/>
      </c>
      <c r="H116" s="10" t="n"/>
    </row>
    <row r="117">
      <c r="A117" s="4" t="n">
        <v>113</v>
      </c>
      <c r="B117" s="10" t="n"/>
      <c r="C117" s="5" t="n"/>
      <c r="D117" s="10" t="n"/>
      <c r="E117" s="4">
        <f>IF(D117="","",IF(TODAY()&gt;D117,"Да","Нет"))</f>
        <v/>
      </c>
      <c r="F117" s="5" t="n"/>
      <c r="G117" s="4">
        <f>IF(F117="","",IFERROR(VLOOKUP(F117,Справочник!$A$17:$B$30,2,FALSE),"Выберите реакцию из списка"))</f>
        <v/>
      </c>
      <c r="H117" s="10" t="n"/>
    </row>
    <row r="118">
      <c r="A118" s="4" t="n">
        <v>114</v>
      </c>
      <c r="B118" s="10" t="n"/>
      <c r="C118" s="5" t="n"/>
      <c r="D118" s="10" t="n"/>
      <c r="E118" s="4">
        <f>IF(D118="","",IF(TODAY()&gt;D118,"Да","Нет"))</f>
        <v/>
      </c>
      <c r="F118" s="5" t="n"/>
      <c r="G118" s="4">
        <f>IF(F118="","",IFERROR(VLOOKUP(F118,Справочник!$A$17:$B$30,2,FALSE),"Выберите реакцию из списка"))</f>
        <v/>
      </c>
      <c r="H118" s="10" t="n"/>
    </row>
    <row r="119">
      <c r="A119" s="4" t="n">
        <v>115</v>
      </c>
      <c r="B119" s="10" t="n"/>
      <c r="C119" s="5" t="n"/>
      <c r="D119" s="10" t="n"/>
      <c r="E119" s="4">
        <f>IF(D119="","",IF(TODAY()&gt;D119,"Да","Нет"))</f>
        <v/>
      </c>
      <c r="F119" s="5" t="n"/>
      <c r="G119" s="4">
        <f>IF(F119="","",IFERROR(VLOOKUP(F119,Справочник!$A$17:$B$30,2,FALSE),"Выберите реакцию из списка"))</f>
        <v/>
      </c>
      <c r="H119" s="10" t="n"/>
    </row>
    <row r="120">
      <c r="A120" s="4" t="n">
        <v>116</v>
      </c>
      <c r="B120" s="10" t="n"/>
      <c r="C120" s="5" t="n"/>
      <c r="D120" s="10" t="n"/>
      <c r="E120" s="4">
        <f>IF(D120="","",IF(TODAY()&gt;D120,"Да","Нет"))</f>
        <v/>
      </c>
      <c r="F120" s="5" t="n"/>
      <c r="G120" s="4">
        <f>IF(F120="","",IFERROR(VLOOKUP(F120,Справочник!$A$17:$B$30,2,FALSE),"Выберите реакцию из списка"))</f>
        <v/>
      </c>
      <c r="H120" s="10" t="n"/>
    </row>
    <row r="121">
      <c r="A121" s="4" t="n">
        <v>117</v>
      </c>
      <c r="B121" s="10" t="n"/>
      <c r="C121" s="5" t="n"/>
      <c r="D121" s="10" t="n"/>
      <c r="E121" s="4">
        <f>IF(D121="","",IF(TODAY()&gt;D121,"Да","Нет"))</f>
        <v/>
      </c>
      <c r="F121" s="5" t="n"/>
      <c r="G121" s="4">
        <f>IF(F121="","",IFERROR(VLOOKUP(F121,Справочник!$A$17:$B$30,2,FALSE),"Выберите реакцию из списка"))</f>
        <v/>
      </c>
      <c r="H121" s="10" t="n"/>
    </row>
    <row r="122">
      <c r="A122" s="4" t="n">
        <v>118</v>
      </c>
      <c r="B122" s="10" t="n"/>
      <c r="C122" s="5" t="n"/>
      <c r="D122" s="10" t="n"/>
      <c r="E122" s="4">
        <f>IF(D122="","",IF(TODAY()&gt;D122,"Да","Нет"))</f>
        <v/>
      </c>
      <c r="F122" s="5" t="n"/>
      <c r="G122" s="4">
        <f>IF(F122="","",IFERROR(VLOOKUP(F122,Справочник!$A$17:$B$30,2,FALSE),"Выберите реакцию из списка"))</f>
        <v/>
      </c>
      <c r="H122" s="10" t="n"/>
    </row>
    <row r="123">
      <c r="A123" s="4" t="n">
        <v>119</v>
      </c>
      <c r="B123" s="10" t="n"/>
      <c r="C123" s="5" t="n"/>
      <c r="D123" s="10" t="n"/>
      <c r="E123" s="4">
        <f>IF(D123="","",IF(TODAY()&gt;D123,"Да","Нет"))</f>
        <v/>
      </c>
      <c r="F123" s="5" t="n"/>
      <c r="G123" s="4">
        <f>IF(F123="","",IFERROR(VLOOKUP(F123,Справочник!$A$17:$B$30,2,FALSE),"Выберите реакцию из списка"))</f>
        <v/>
      </c>
      <c r="H123" s="10" t="n"/>
    </row>
    <row r="124">
      <c r="A124" s="4" t="n">
        <v>120</v>
      </c>
      <c r="B124" s="10" t="n"/>
      <c r="C124" s="5" t="n"/>
      <c r="D124" s="10" t="n"/>
      <c r="E124" s="4">
        <f>IF(D124="","",IF(TODAY()&gt;D124,"Да","Нет"))</f>
        <v/>
      </c>
      <c r="F124" s="5" t="n"/>
      <c r="G124" s="4">
        <f>IF(F124="","",IFERROR(VLOOKUP(F124,Справочник!$A$17:$B$30,2,FALSE),"Выберите реакцию из списка"))</f>
        <v/>
      </c>
      <c r="H124" s="10" t="n"/>
    </row>
    <row r="125">
      <c r="A125" s="4" t="n">
        <v>121</v>
      </c>
      <c r="B125" s="10" t="n"/>
      <c r="C125" s="5" t="n"/>
      <c r="D125" s="10" t="n"/>
      <c r="E125" s="4">
        <f>IF(D125="","",IF(TODAY()&gt;D125,"Да","Нет"))</f>
        <v/>
      </c>
      <c r="F125" s="5" t="n"/>
      <c r="G125" s="4">
        <f>IF(F125="","",IFERROR(VLOOKUP(F125,Справочник!$A$17:$B$30,2,FALSE),"Выберите реакцию из списка"))</f>
        <v/>
      </c>
      <c r="H125" s="10" t="n"/>
    </row>
    <row r="126">
      <c r="A126" s="4" t="n">
        <v>122</v>
      </c>
      <c r="B126" s="10" t="n"/>
      <c r="C126" s="5" t="n"/>
      <c r="D126" s="10" t="n"/>
      <c r="E126" s="4">
        <f>IF(D126="","",IF(TODAY()&gt;D126,"Да","Нет"))</f>
        <v/>
      </c>
      <c r="F126" s="5" t="n"/>
      <c r="G126" s="4">
        <f>IF(F126="","",IFERROR(VLOOKUP(F126,Справочник!$A$17:$B$30,2,FALSE),"Выберите реакцию из списка"))</f>
        <v/>
      </c>
      <c r="H126" s="10" t="n"/>
    </row>
    <row r="127">
      <c r="A127" s="4" t="n">
        <v>123</v>
      </c>
      <c r="B127" s="10" t="n"/>
      <c r="C127" s="5" t="n"/>
      <c r="D127" s="10" t="n"/>
      <c r="E127" s="4">
        <f>IF(D127="","",IF(TODAY()&gt;D127,"Да","Нет"))</f>
        <v/>
      </c>
      <c r="F127" s="5" t="n"/>
      <c r="G127" s="4">
        <f>IF(F127="","",IFERROR(VLOOKUP(F127,Справочник!$A$17:$B$30,2,FALSE),"Выберите реакцию из списка"))</f>
        <v/>
      </c>
      <c r="H127" s="10" t="n"/>
    </row>
    <row r="128">
      <c r="A128" s="4" t="n">
        <v>124</v>
      </c>
      <c r="B128" s="10" t="n"/>
      <c r="C128" s="5" t="n"/>
      <c r="D128" s="10" t="n"/>
      <c r="E128" s="4">
        <f>IF(D128="","",IF(TODAY()&gt;D128,"Да","Нет"))</f>
        <v/>
      </c>
      <c r="F128" s="5" t="n"/>
      <c r="G128" s="4">
        <f>IF(F128="","",IFERROR(VLOOKUP(F128,Справочник!$A$17:$B$30,2,FALSE),"Выберите реакцию из списка"))</f>
        <v/>
      </c>
      <c r="H128" s="10" t="n"/>
    </row>
    <row r="129">
      <c r="A129" s="4" t="n">
        <v>125</v>
      </c>
      <c r="B129" s="10" t="n"/>
      <c r="C129" s="5" t="n"/>
      <c r="D129" s="10" t="n"/>
      <c r="E129" s="4">
        <f>IF(D129="","",IF(TODAY()&gt;D129,"Да","Нет"))</f>
        <v/>
      </c>
      <c r="F129" s="5" t="n"/>
      <c r="G129" s="4">
        <f>IF(F129="","",IFERROR(VLOOKUP(F129,Справочник!$A$17:$B$30,2,FALSE),"Выберите реакцию из списка"))</f>
        <v/>
      </c>
      <c r="H129" s="10" t="n"/>
    </row>
    <row r="130">
      <c r="A130" s="4" t="n">
        <v>126</v>
      </c>
      <c r="B130" s="10" t="n"/>
      <c r="C130" s="5" t="n"/>
      <c r="D130" s="10" t="n"/>
      <c r="E130" s="4">
        <f>IF(D130="","",IF(TODAY()&gt;D130,"Да","Нет"))</f>
        <v/>
      </c>
      <c r="F130" s="5" t="n"/>
      <c r="G130" s="4">
        <f>IF(F130="","",IFERROR(VLOOKUP(F130,Справочник!$A$17:$B$30,2,FALSE),"Выберите реакцию из списка"))</f>
        <v/>
      </c>
      <c r="H130" s="10" t="n"/>
    </row>
    <row r="131">
      <c r="A131" s="4" t="n">
        <v>127</v>
      </c>
      <c r="B131" s="10" t="n"/>
      <c r="C131" s="5" t="n"/>
      <c r="D131" s="10" t="n"/>
      <c r="E131" s="4">
        <f>IF(D131="","",IF(TODAY()&gt;D131,"Да","Нет"))</f>
        <v/>
      </c>
      <c r="F131" s="5" t="n"/>
      <c r="G131" s="4">
        <f>IF(F131="","",IFERROR(VLOOKUP(F131,Справочник!$A$17:$B$30,2,FALSE),"Выберите реакцию из списка"))</f>
        <v/>
      </c>
      <c r="H131" s="10" t="n"/>
    </row>
    <row r="132">
      <c r="A132" s="4" t="n">
        <v>128</v>
      </c>
      <c r="B132" s="10" t="n"/>
      <c r="C132" s="5" t="n"/>
      <c r="D132" s="10" t="n"/>
      <c r="E132" s="4">
        <f>IF(D132="","",IF(TODAY()&gt;D132,"Да","Нет"))</f>
        <v/>
      </c>
      <c r="F132" s="5" t="n"/>
      <c r="G132" s="4">
        <f>IF(F132="","",IFERROR(VLOOKUP(F132,Справочник!$A$17:$B$30,2,FALSE),"Выберите реакцию из списка"))</f>
        <v/>
      </c>
      <c r="H132" s="10" t="n"/>
    </row>
    <row r="133">
      <c r="A133" s="4" t="n">
        <v>129</v>
      </c>
      <c r="B133" s="10" t="n"/>
      <c r="C133" s="5" t="n"/>
      <c r="D133" s="10" t="n"/>
      <c r="E133" s="4">
        <f>IF(D133="","",IF(TODAY()&gt;D133,"Да","Нет"))</f>
        <v/>
      </c>
      <c r="F133" s="5" t="n"/>
      <c r="G133" s="4">
        <f>IF(F133="","",IFERROR(VLOOKUP(F133,Справочник!$A$17:$B$30,2,FALSE),"Выберите реакцию из списка"))</f>
        <v/>
      </c>
      <c r="H133" s="10" t="n"/>
    </row>
    <row r="134">
      <c r="A134" s="4" t="n">
        <v>130</v>
      </c>
      <c r="B134" s="10" t="n"/>
      <c r="C134" s="5" t="n"/>
      <c r="D134" s="10" t="n"/>
      <c r="E134" s="4">
        <f>IF(D134="","",IF(TODAY()&gt;D134,"Да","Нет"))</f>
        <v/>
      </c>
      <c r="F134" s="5" t="n"/>
      <c r="G134" s="4">
        <f>IF(F134="","",IFERROR(VLOOKUP(F134,Справочник!$A$17:$B$30,2,FALSE),"Выберите реакцию из списка"))</f>
        <v/>
      </c>
      <c r="H134" s="10" t="n"/>
    </row>
    <row r="135">
      <c r="A135" s="4" t="n">
        <v>131</v>
      </c>
      <c r="B135" s="10" t="n"/>
      <c r="C135" s="5" t="n"/>
      <c r="D135" s="10" t="n"/>
      <c r="E135" s="4">
        <f>IF(D135="","",IF(TODAY()&gt;D135,"Да","Нет"))</f>
        <v/>
      </c>
      <c r="F135" s="5" t="n"/>
      <c r="G135" s="4">
        <f>IF(F135="","",IFERROR(VLOOKUP(F135,Справочник!$A$17:$B$30,2,FALSE),"Выберите реакцию из списка"))</f>
        <v/>
      </c>
      <c r="H135" s="10" t="n"/>
    </row>
    <row r="136">
      <c r="A136" s="4" t="n">
        <v>132</v>
      </c>
      <c r="B136" s="10" t="n"/>
      <c r="C136" s="5" t="n"/>
      <c r="D136" s="10" t="n"/>
      <c r="E136" s="4">
        <f>IF(D136="","",IF(TODAY()&gt;D136,"Да","Нет"))</f>
        <v/>
      </c>
      <c r="F136" s="5" t="n"/>
      <c r="G136" s="4">
        <f>IF(F136="","",IFERROR(VLOOKUP(F136,Справочник!$A$17:$B$30,2,FALSE),"Выберите реакцию из списка"))</f>
        <v/>
      </c>
      <c r="H136" s="10" t="n"/>
    </row>
    <row r="137">
      <c r="A137" s="4" t="n">
        <v>133</v>
      </c>
      <c r="B137" s="10" t="n"/>
      <c r="C137" s="5" t="n"/>
      <c r="D137" s="10" t="n"/>
      <c r="E137" s="4">
        <f>IF(D137="","",IF(TODAY()&gt;D137,"Да","Нет"))</f>
        <v/>
      </c>
      <c r="F137" s="5" t="n"/>
      <c r="G137" s="4">
        <f>IF(F137="","",IFERROR(VLOOKUP(F137,Справочник!$A$17:$B$30,2,FALSE),"Выберите реакцию из списка"))</f>
        <v/>
      </c>
      <c r="H137" s="10" t="n"/>
    </row>
    <row r="138">
      <c r="A138" s="4" t="n">
        <v>134</v>
      </c>
      <c r="B138" s="10" t="n"/>
      <c r="C138" s="5" t="n"/>
      <c r="D138" s="10" t="n"/>
      <c r="E138" s="4">
        <f>IF(D138="","",IF(TODAY()&gt;D138,"Да","Нет"))</f>
        <v/>
      </c>
      <c r="F138" s="5" t="n"/>
      <c r="G138" s="4">
        <f>IF(F138="","",IFERROR(VLOOKUP(F138,Справочник!$A$17:$B$30,2,FALSE),"Выберите реакцию из списка"))</f>
        <v/>
      </c>
      <c r="H138" s="10" t="n"/>
    </row>
    <row r="139">
      <c r="A139" s="4" t="n">
        <v>135</v>
      </c>
      <c r="B139" s="10" t="n"/>
      <c r="C139" s="5" t="n"/>
      <c r="D139" s="10" t="n"/>
      <c r="E139" s="4">
        <f>IF(D139="","",IF(TODAY()&gt;D139,"Да","Нет"))</f>
        <v/>
      </c>
      <c r="F139" s="5" t="n"/>
      <c r="G139" s="4">
        <f>IF(F139="","",IFERROR(VLOOKUP(F139,Справочник!$A$17:$B$30,2,FALSE),"Выберите реакцию из списка"))</f>
        <v/>
      </c>
      <c r="H139" s="10" t="n"/>
    </row>
    <row r="140">
      <c r="A140" s="4" t="n">
        <v>136</v>
      </c>
      <c r="B140" s="10" t="n"/>
      <c r="C140" s="5" t="n"/>
      <c r="D140" s="10" t="n"/>
      <c r="E140" s="4">
        <f>IF(D140="","",IF(TODAY()&gt;D140,"Да","Нет"))</f>
        <v/>
      </c>
      <c r="F140" s="5" t="n"/>
      <c r="G140" s="4">
        <f>IF(F140="","",IFERROR(VLOOKUP(F140,Справочник!$A$17:$B$30,2,FALSE),"Выберите реакцию из списка"))</f>
        <v/>
      </c>
      <c r="H140" s="10" t="n"/>
    </row>
    <row r="141">
      <c r="A141" s="4" t="n">
        <v>137</v>
      </c>
      <c r="B141" s="10" t="n"/>
      <c r="C141" s="5" t="n"/>
      <c r="D141" s="10" t="n"/>
      <c r="E141" s="4">
        <f>IF(D141="","",IF(TODAY()&gt;D141,"Да","Нет"))</f>
        <v/>
      </c>
      <c r="F141" s="5" t="n"/>
      <c r="G141" s="4">
        <f>IF(F141="","",IFERROR(VLOOKUP(F141,Справочник!$A$17:$B$30,2,FALSE),"Выберите реакцию из списка"))</f>
        <v/>
      </c>
      <c r="H141" s="10" t="n"/>
    </row>
    <row r="142">
      <c r="A142" s="4" t="n">
        <v>138</v>
      </c>
      <c r="B142" s="10" t="n"/>
      <c r="C142" s="5" t="n"/>
      <c r="D142" s="10" t="n"/>
      <c r="E142" s="4">
        <f>IF(D142="","",IF(TODAY()&gt;D142,"Да","Нет"))</f>
        <v/>
      </c>
      <c r="F142" s="5" t="n"/>
      <c r="G142" s="4">
        <f>IF(F142="","",IFERROR(VLOOKUP(F142,Справочник!$A$17:$B$30,2,FALSE),"Выберите реакцию из списка"))</f>
        <v/>
      </c>
      <c r="H142" s="10" t="n"/>
    </row>
    <row r="143">
      <c r="A143" s="4" t="n">
        <v>139</v>
      </c>
      <c r="B143" s="10" t="n"/>
      <c r="C143" s="5" t="n"/>
      <c r="D143" s="10" t="n"/>
      <c r="E143" s="4">
        <f>IF(D143="","",IF(TODAY()&gt;D143,"Да","Нет"))</f>
        <v/>
      </c>
      <c r="F143" s="5" t="n"/>
      <c r="G143" s="4">
        <f>IF(F143="","",IFERROR(VLOOKUP(F143,Справочник!$A$17:$B$30,2,FALSE),"Выберите реакцию из списка"))</f>
        <v/>
      </c>
      <c r="H143" s="10" t="n"/>
    </row>
    <row r="144">
      <c r="A144" s="4" t="n">
        <v>140</v>
      </c>
      <c r="B144" s="10" t="n"/>
      <c r="C144" s="5" t="n"/>
      <c r="D144" s="10" t="n"/>
      <c r="E144" s="4">
        <f>IF(D144="","",IF(TODAY()&gt;D144,"Да","Нет"))</f>
        <v/>
      </c>
      <c r="F144" s="5" t="n"/>
      <c r="G144" s="4">
        <f>IF(F144="","",IFERROR(VLOOKUP(F144,Справочник!$A$17:$B$30,2,FALSE),"Выберите реакцию из списка"))</f>
        <v/>
      </c>
      <c r="H144" s="10" t="n"/>
    </row>
    <row r="145">
      <c r="A145" s="4" t="n">
        <v>141</v>
      </c>
      <c r="B145" s="10" t="n"/>
      <c r="C145" s="5" t="n"/>
      <c r="D145" s="10" t="n"/>
      <c r="E145" s="4">
        <f>IF(D145="","",IF(TODAY()&gt;D145,"Да","Нет"))</f>
        <v/>
      </c>
      <c r="F145" s="5" t="n"/>
      <c r="G145" s="4">
        <f>IF(F145="","",IFERROR(VLOOKUP(F145,Справочник!$A$17:$B$30,2,FALSE),"Выберите реакцию из списка"))</f>
        <v/>
      </c>
      <c r="H145" s="10" t="n"/>
    </row>
    <row r="146">
      <c r="A146" s="4" t="n">
        <v>142</v>
      </c>
      <c r="B146" s="10" t="n"/>
      <c r="C146" s="5" t="n"/>
      <c r="D146" s="10" t="n"/>
      <c r="E146" s="4">
        <f>IF(D146="","",IF(TODAY()&gt;D146,"Да","Нет"))</f>
        <v/>
      </c>
      <c r="F146" s="5" t="n"/>
      <c r="G146" s="4">
        <f>IF(F146="","",IFERROR(VLOOKUP(F146,Справочник!$A$17:$B$30,2,FALSE),"Выберите реакцию из списка"))</f>
        <v/>
      </c>
      <c r="H146" s="10" t="n"/>
    </row>
    <row r="147">
      <c r="A147" s="4" t="n">
        <v>143</v>
      </c>
      <c r="B147" s="10" t="n"/>
      <c r="C147" s="5" t="n"/>
      <c r="D147" s="10" t="n"/>
      <c r="E147" s="4">
        <f>IF(D147="","",IF(TODAY()&gt;D147,"Да","Нет"))</f>
        <v/>
      </c>
      <c r="F147" s="5" t="n"/>
      <c r="G147" s="4">
        <f>IF(F147="","",IFERROR(VLOOKUP(F147,Справочник!$A$17:$B$30,2,FALSE),"Выберите реакцию из списка"))</f>
        <v/>
      </c>
      <c r="H147" s="10" t="n"/>
    </row>
    <row r="148">
      <c r="A148" s="4" t="n">
        <v>144</v>
      </c>
      <c r="B148" s="10" t="n"/>
      <c r="C148" s="5" t="n"/>
      <c r="D148" s="10" t="n"/>
      <c r="E148" s="4">
        <f>IF(D148="","",IF(TODAY()&gt;D148,"Да","Нет"))</f>
        <v/>
      </c>
      <c r="F148" s="5" t="n"/>
      <c r="G148" s="4">
        <f>IF(F148="","",IFERROR(VLOOKUP(F148,Справочник!$A$17:$B$30,2,FALSE),"Выберите реакцию из списка"))</f>
        <v/>
      </c>
      <c r="H148" s="10" t="n"/>
    </row>
    <row r="149">
      <c r="A149" s="4" t="n">
        <v>145</v>
      </c>
      <c r="B149" s="10" t="n"/>
      <c r="C149" s="5" t="n"/>
      <c r="D149" s="10" t="n"/>
      <c r="E149" s="4">
        <f>IF(D149="","",IF(TODAY()&gt;D149,"Да","Нет"))</f>
        <v/>
      </c>
      <c r="F149" s="5" t="n"/>
      <c r="G149" s="4">
        <f>IF(F149="","",IFERROR(VLOOKUP(F149,Справочник!$A$17:$B$30,2,FALSE),"Выберите реакцию из списка"))</f>
        <v/>
      </c>
      <c r="H149" s="10" t="n"/>
    </row>
    <row r="150">
      <c r="A150" s="4" t="n">
        <v>146</v>
      </c>
      <c r="B150" s="10" t="n"/>
      <c r="C150" s="5" t="n"/>
      <c r="D150" s="10" t="n"/>
      <c r="E150" s="4">
        <f>IF(D150="","",IF(TODAY()&gt;D150,"Да","Нет"))</f>
        <v/>
      </c>
      <c r="F150" s="5" t="n"/>
      <c r="G150" s="4">
        <f>IF(F150="","",IFERROR(VLOOKUP(F150,Справочник!$A$17:$B$30,2,FALSE),"Выберите реакцию из списка"))</f>
        <v/>
      </c>
      <c r="H150" s="10" t="n"/>
    </row>
    <row r="151">
      <c r="A151" s="4" t="n">
        <v>147</v>
      </c>
      <c r="B151" s="10" t="n"/>
      <c r="C151" s="5" t="n"/>
      <c r="D151" s="10" t="n"/>
      <c r="E151" s="4">
        <f>IF(D151="","",IF(TODAY()&gt;D151,"Да","Нет"))</f>
        <v/>
      </c>
      <c r="F151" s="5" t="n"/>
      <c r="G151" s="4">
        <f>IF(F151="","",IFERROR(VLOOKUP(F151,Справочник!$A$17:$B$30,2,FALSE),"Выберите реакцию из списка"))</f>
        <v/>
      </c>
      <c r="H151" s="10" t="n"/>
    </row>
    <row r="152">
      <c r="A152" s="4" t="n">
        <v>148</v>
      </c>
      <c r="B152" s="10" t="n"/>
      <c r="C152" s="5" t="n"/>
      <c r="D152" s="10" t="n"/>
      <c r="E152" s="4">
        <f>IF(D152="","",IF(TODAY()&gt;D152,"Да","Нет"))</f>
        <v/>
      </c>
      <c r="F152" s="5" t="n"/>
      <c r="G152" s="4">
        <f>IF(F152="","",IFERROR(VLOOKUP(F152,Справочник!$A$17:$B$30,2,FALSE),"Выберите реакцию из списка"))</f>
        <v/>
      </c>
      <c r="H152" s="10" t="n"/>
    </row>
    <row r="153">
      <c r="A153" s="4" t="n">
        <v>149</v>
      </c>
      <c r="B153" s="10" t="n"/>
      <c r="C153" s="5" t="n"/>
      <c r="D153" s="10" t="n"/>
      <c r="E153" s="4">
        <f>IF(D153="","",IF(TODAY()&gt;D153,"Да","Нет"))</f>
        <v/>
      </c>
      <c r="F153" s="5" t="n"/>
      <c r="G153" s="4">
        <f>IF(F153="","",IFERROR(VLOOKUP(F153,Справочник!$A$17:$B$30,2,FALSE),"Выберите реакцию из списка"))</f>
        <v/>
      </c>
      <c r="H153" s="10" t="n"/>
    </row>
    <row r="154">
      <c r="A154" s="4" t="n">
        <v>150</v>
      </c>
      <c r="B154" s="10" t="n"/>
      <c r="C154" s="5" t="n"/>
      <c r="D154" s="10" t="n"/>
      <c r="E154" s="4">
        <f>IF(D154="","",IF(TODAY()&gt;D154,"Да","Нет"))</f>
        <v/>
      </c>
      <c r="F154" s="5" t="n"/>
      <c r="G154" s="4">
        <f>IF(F154="","",IFERROR(VLOOKUP(F154,Справочник!$A$17:$B$30,2,FALSE),"Выберите реакцию из списка"))</f>
        <v/>
      </c>
      <c r="H154" s="10" t="n"/>
    </row>
    <row r="155">
      <c r="A155" s="4" t="n">
        <v>151</v>
      </c>
      <c r="B155" s="10" t="n"/>
      <c r="C155" s="5" t="n"/>
      <c r="D155" s="10" t="n"/>
      <c r="E155" s="4">
        <f>IF(D155="","",IF(TODAY()&gt;D155,"Да","Нет"))</f>
        <v/>
      </c>
      <c r="F155" s="5" t="n"/>
      <c r="G155" s="4">
        <f>IF(F155="","",IFERROR(VLOOKUP(F155,Справочник!$A$17:$B$30,2,FALSE),"Выберите реакцию из списка"))</f>
        <v/>
      </c>
      <c r="H155" s="10" t="n"/>
    </row>
    <row r="156">
      <c r="A156" s="4" t="n">
        <v>152</v>
      </c>
      <c r="B156" s="10" t="n"/>
      <c r="C156" s="5" t="n"/>
      <c r="D156" s="10" t="n"/>
      <c r="E156" s="4">
        <f>IF(D156="","",IF(TODAY()&gt;D156,"Да","Нет"))</f>
        <v/>
      </c>
      <c r="F156" s="5" t="n"/>
      <c r="G156" s="4">
        <f>IF(F156="","",IFERROR(VLOOKUP(F156,Справочник!$A$17:$B$30,2,FALSE),"Выберите реакцию из списка"))</f>
        <v/>
      </c>
      <c r="H156" s="10" t="n"/>
    </row>
    <row r="157">
      <c r="A157" s="4" t="n">
        <v>153</v>
      </c>
      <c r="B157" s="10" t="n"/>
      <c r="C157" s="5" t="n"/>
      <c r="D157" s="10" t="n"/>
      <c r="E157" s="4">
        <f>IF(D157="","",IF(TODAY()&gt;D157,"Да","Нет"))</f>
        <v/>
      </c>
      <c r="F157" s="5" t="n"/>
      <c r="G157" s="4">
        <f>IF(F157="","",IFERROR(VLOOKUP(F157,Справочник!$A$17:$B$30,2,FALSE),"Выберите реакцию из списка"))</f>
        <v/>
      </c>
      <c r="H157" s="10" t="n"/>
    </row>
    <row r="158">
      <c r="A158" s="4" t="n">
        <v>154</v>
      </c>
      <c r="B158" s="10" t="n"/>
      <c r="C158" s="5" t="n"/>
      <c r="D158" s="10" t="n"/>
      <c r="E158" s="4">
        <f>IF(D158="","",IF(TODAY()&gt;D158,"Да","Нет"))</f>
        <v/>
      </c>
      <c r="F158" s="5" t="n"/>
      <c r="G158" s="4">
        <f>IF(F158="","",IFERROR(VLOOKUP(F158,Справочник!$A$17:$B$30,2,FALSE),"Выберите реакцию из списка"))</f>
        <v/>
      </c>
      <c r="H158" s="10" t="n"/>
    </row>
    <row r="159">
      <c r="A159" s="4" t="n">
        <v>155</v>
      </c>
      <c r="B159" s="10" t="n"/>
      <c r="C159" s="5" t="n"/>
      <c r="D159" s="10" t="n"/>
      <c r="E159" s="4">
        <f>IF(D159="","",IF(TODAY()&gt;D159,"Да","Нет"))</f>
        <v/>
      </c>
      <c r="F159" s="5" t="n"/>
      <c r="G159" s="4">
        <f>IF(F159="","",IFERROR(VLOOKUP(F159,Справочник!$A$17:$B$30,2,FALSE),"Выберите реакцию из списка"))</f>
        <v/>
      </c>
      <c r="H159" s="10" t="n"/>
    </row>
    <row r="160">
      <c r="A160" s="4" t="n">
        <v>156</v>
      </c>
      <c r="B160" s="10" t="n"/>
      <c r="C160" s="5" t="n"/>
      <c r="D160" s="10" t="n"/>
      <c r="E160" s="4">
        <f>IF(D160="","",IF(TODAY()&gt;D160,"Да","Нет"))</f>
        <v/>
      </c>
      <c r="F160" s="5" t="n"/>
      <c r="G160" s="4">
        <f>IF(F160="","",IFERROR(VLOOKUP(F160,Справочник!$A$17:$B$30,2,FALSE),"Выберите реакцию из списка"))</f>
        <v/>
      </c>
      <c r="H160" s="10" t="n"/>
    </row>
    <row r="161">
      <c r="A161" s="4" t="n">
        <v>157</v>
      </c>
      <c r="B161" s="10" t="n"/>
      <c r="C161" s="5" t="n"/>
      <c r="D161" s="10" t="n"/>
      <c r="E161" s="4">
        <f>IF(D161="","",IF(TODAY()&gt;D161,"Да","Нет"))</f>
        <v/>
      </c>
      <c r="F161" s="5" t="n"/>
      <c r="G161" s="4">
        <f>IF(F161="","",IFERROR(VLOOKUP(F161,Справочник!$A$17:$B$30,2,FALSE),"Выберите реакцию из списка"))</f>
        <v/>
      </c>
      <c r="H161" s="10" t="n"/>
    </row>
    <row r="162">
      <c r="A162" s="4" t="n">
        <v>158</v>
      </c>
      <c r="B162" s="10" t="n"/>
      <c r="C162" s="5" t="n"/>
      <c r="D162" s="10" t="n"/>
      <c r="E162" s="4">
        <f>IF(D162="","",IF(TODAY()&gt;D162,"Да","Нет"))</f>
        <v/>
      </c>
      <c r="F162" s="5" t="n"/>
      <c r="G162" s="4">
        <f>IF(F162="","",IFERROR(VLOOKUP(F162,Справочник!$A$17:$B$30,2,FALSE),"Выберите реакцию из списка"))</f>
        <v/>
      </c>
      <c r="H162" s="10" t="n"/>
    </row>
    <row r="163">
      <c r="A163" s="4" t="n">
        <v>159</v>
      </c>
      <c r="B163" s="10" t="n"/>
      <c r="C163" s="5" t="n"/>
      <c r="D163" s="10" t="n"/>
      <c r="E163" s="4">
        <f>IF(D163="","",IF(TODAY()&gt;D163,"Да","Нет"))</f>
        <v/>
      </c>
      <c r="F163" s="5" t="n"/>
      <c r="G163" s="4">
        <f>IF(F163="","",IFERROR(VLOOKUP(F163,Справочник!$A$17:$B$30,2,FALSE),"Выберите реакцию из списка"))</f>
        <v/>
      </c>
      <c r="H163" s="10" t="n"/>
    </row>
    <row r="164">
      <c r="A164" s="4" t="n">
        <v>160</v>
      </c>
      <c r="B164" s="10" t="n"/>
      <c r="C164" s="5" t="n"/>
      <c r="D164" s="10" t="n"/>
      <c r="E164" s="4">
        <f>IF(D164="","",IF(TODAY()&gt;D164,"Да","Нет"))</f>
        <v/>
      </c>
      <c r="F164" s="5" t="n"/>
      <c r="G164" s="4">
        <f>IF(F164="","",IFERROR(VLOOKUP(F164,Справочник!$A$17:$B$30,2,FALSE),"Выберите реакцию из списка"))</f>
        <v/>
      </c>
      <c r="H164" s="10" t="n"/>
    </row>
    <row r="165">
      <c r="A165" s="4" t="n">
        <v>161</v>
      </c>
      <c r="B165" s="10" t="n"/>
      <c r="C165" s="5" t="n"/>
      <c r="D165" s="10" t="n"/>
      <c r="E165" s="4">
        <f>IF(D165="","",IF(TODAY()&gt;D165,"Да","Нет"))</f>
        <v/>
      </c>
      <c r="F165" s="5" t="n"/>
      <c r="G165" s="4">
        <f>IF(F165="","",IFERROR(VLOOKUP(F165,Справочник!$A$17:$B$30,2,FALSE),"Выберите реакцию из списка"))</f>
        <v/>
      </c>
      <c r="H165" s="10" t="n"/>
    </row>
    <row r="166">
      <c r="A166" s="4" t="n">
        <v>162</v>
      </c>
      <c r="B166" s="10" t="n"/>
      <c r="C166" s="5" t="n"/>
      <c r="D166" s="10" t="n"/>
      <c r="E166" s="4">
        <f>IF(D166="","",IF(TODAY()&gt;D166,"Да","Нет"))</f>
        <v/>
      </c>
      <c r="F166" s="5" t="n"/>
      <c r="G166" s="4">
        <f>IF(F166="","",IFERROR(VLOOKUP(F166,Справочник!$A$17:$B$30,2,FALSE),"Выберите реакцию из списка"))</f>
        <v/>
      </c>
      <c r="H166" s="10" t="n"/>
    </row>
    <row r="167">
      <c r="A167" s="4" t="n">
        <v>163</v>
      </c>
      <c r="B167" s="10" t="n"/>
      <c r="C167" s="5" t="n"/>
      <c r="D167" s="10" t="n"/>
      <c r="E167" s="4">
        <f>IF(D167="","",IF(TODAY()&gt;D167,"Да","Нет"))</f>
        <v/>
      </c>
      <c r="F167" s="5" t="n"/>
      <c r="G167" s="4">
        <f>IF(F167="","",IFERROR(VLOOKUP(F167,Справочник!$A$17:$B$30,2,FALSE),"Выберите реакцию из списка"))</f>
        <v/>
      </c>
      <c r="H167" s="10" t="n"/>
    </row>
    <row r="168">
      <c r="A168" s="4" t="n">
        <v>164</v>
      </c>
      <c r="B168" s="10" t="n"/>
      <c r="C168" s="5" t="n"/>
      <c r="D168" s="10" t="n"/>
      <c r="E168" s="4">
        <f>IF(D168="","",IF(TODAY()&gt;D168,"Да","Нет"))</f>
        <v/>
      </c>
      <c r="F168" s="5" t="n"/>
      <c r="G168" s="4">
        <f>IF(F168="","",IFERROR(VLOOKUP(F168,Справочник!$A$17:$B$30,2,FALSE),"Выберите реакцию из списка"))</f>
        <v/>
      </c>
      <c r="H168" s="10" t="n"/>
    </row>
    <row r="169">
      <c r="A169" s="4" t="n">
        <v>165</v>
      </c>
      <c r="B169" s="10" t="n"/>
      <c r="C169" s="5" t="n"/>
      <c r="D169" s="10" t="n"/>
      <c r="E169" s="4">
        <f>IF(D169="","",IF(TODAY()&gt;D169,"Да","Нет"))</f>
        <v/>
      </c>
      <c r="F169" s="5" t="n"/>
      <c r="G169" s="4">
        <f>IF(F169="","",IFERROR(VLOOKUP(F169,Справочник!$A$17:$B$30,2,FALSE),"Выберите реакцию из списка"))</f>
        <v/>
      </c>
      <c r="H169" s="10" t="n"/>
    </row>
    <row r="170">
      <c r="A170" s="4" t="n">
        <v>166</v>
      </c>
      <c r="B170" s="10" t="n"/>
      <c r="C170" s="5" t="n"/>
      <c r="D170" s="10" t="n"/>
      <c r="E170" s="4">
        <f>IF(D170="","",IF(TODAY()&gt;D170,"Да","Нет"))</f>
        <v/>
      </c>
      <c r="F170" s="5" t="n"/>
      <c r="G170" s="4">
        <f>IF(F170="","",IFERROR(VLOOKUP(F170,Справочник!$A$17:$B$30,2,FALSE),"Выберите реакцию из списка"))</f>
        <v/>
      </c>
      <c r="H170" s="10" t="n"/>
    </row>
    <row r="171">
      <c r="A171" s="4" t="n">
        <v>167</v>
      </c>
      <c r="B171" s="10" t="n"/>
      <c r="C171" s="5" t="n"/>
      <c r="D171" s="10" t="n"/>
      <c r="E171" s="4">
        <f>IF(D171="","",IF(TODAY()&gt;D171,"Да","Нет"))</f>
        <v/>
      </c>
      <c r="F171" s="5" t="n"/>
      <c r="G171" s="4">
        <f>IF(F171="","",IFERROR(VLOOKUP(F171,Справочник!$A$17:$B$30,2,FALSE),"Выберите реакцию из списка"))</f>
        <v/>
      </c>
      <c r="H171" s="10" t="n"/>
    </row>
    <row r="172">
      <c r="A172" s="4" t="n">
        <v>168</v>
      </c>
      <c r="B172" s="10" t="n"/>
      <c r="C172" s="5" t="n"/>
      <c r="D172" s="10" t="n"/>
      <c r="E172" s="4">
        <f>IF(D172="","",IF(TODAY()&gt;D172,"Да","Нет"))</f>
        <v/>
      </c>
      <c r="F172" s="5" t="n"/>
      <c r="G172" s="4">
        <f>IF(F172="","",IFERROR(VLOOKUP(F172,Справочник!$A$17:$B$30,2,FALSE),"Выберите реакцию из списка"))</f>
        <v/>
      </c>
      <c r="H172" s="10" t="n"/>
    </row>
    <row r="173">
      <c r="A173" s="4" t="n">
        <v>169</v>
      </c>
      <c r="B173" s="10" t="n"/>
      <c r="C173" s="5" t="n"/>
      <c r="D173" s="10" t="n"/>
      <c r="E173" s="4">
        <f>IF(D173="","",IF(TODAY()&gt;D173,"Да","Нет"))</f>
        <v/>
      </c>
      <c r="F173" s="5" t="n"/>
      <c r="G173" s="4">
        <f>IF(F173="","",IFERROR(VLOOKUP(F173,Справочник!$A$17:$B$30,2,FALSE),"Выберите реакцию из списка"))</f>
        <v/>
      </c>
      <c r="H173" s="10" t="n"/>
    </row>
    <row r="174">
      <c r="A174" s="4" t="n">
        <v>170</v>
      </c>
      <c r="B174" s="10" t="n"/>
      <c r="C174" s="5" t="n"/>
      <c r="D174" s="10" t="n"/>
      <c r="E174" s="4">
        <f>IF(D174="","",IF(TODAY()&gt;D174,"Да","Нет"))</f>
        <v/>
      </c>
      <c r="F174" s="5" t="n"/>
      <c r="G174" s="4">
        <f>IF(F174="","",IFERROR(VLOOKUP(F174,Справочник!$A$17:$B$30,2,FALSE),"Выберите реакцию из списка"))</f>
        <v/>
      </c>
      <c r="H174" s="10" t="n"/>
    </row>
    <row r="175">
      <c r="A175" s="4" t="n">
        <v>171</v>
      </c>
      <c r="B175" s="10" t="n"/>
      <c r="C175" s="5" t="n"/>
      <c r="D175" s="10" t="n"/>
      <c r="E175" s="4">
        <f>IF(D175="","",IF(TODAY()&gt;D175,"Да","Нет"))</f>
        <v/>
      </c>
      <c r="F175" s="5" t="n"/>
      <c r="G175" s="4">
        <f>IF(F175="","",IFERROR(VLOOKUP(F175,Справочник!$A$17:$B$30,2,FALSE),"Выберите реакцию из списка"))</f>
        <v/>
      </c>
      <c r="H175" s="10" t="n"/>
    </row>
    <row r="176">
      <c r="A176" s="4" t="n">
        <v>172</v>
      </c>
      <c r="B176" s="10" t="n"/>
      <c r="C176" s="5" t="n"/>
      <c r="D176" s="10" t="n"/>
      <c r="E176" s="4">
        <f>IF(D176="","",IF(TODAY()&gt;D176,"Да","Нет"))</f>
        <v/>
      </c>
      <c r="F176" s="5" t="n"/>
      <c r="G176" s="4">
        <f>IF(F176="","",IFERROR(VLOOKUP(F176,Справочник!$A$17:$B$30,2,FALSE),"Выберите реакцию из списка"))</f>
        <v/>
      </c>
      <c r="H176" s="10" t="n"/>
    </row>
    <row r="177">
      <c r="A177" s="4" t="n">
        <v>173</v>
      </c>
      <c r="B177" s="10" t="n"/>
      <c r="C177" s="5" t="n"/>
      <c r="D177" s="10" t="n"/>
      <c r="E177" s="4">
        <f>IF(D177="","",IF(TODAY()&gt;D177,"Да","Нет"))</f>
        <v/>
      </c>
      <c r="F177" s="5" t="n"/>
      <c r="G177" s="4">
        <f>IF(F177="","",IFERROR(VLOOKUP(F177,Справочник!$A$17:$B$30,2,FALSE),"Выберите реакцию из списка"))</f>
        <v/>
      </c>
      <c r="H177" s="10" t="n"/>
    </row>
    <row r="178">
      <c r="A178" s="4" t="n">
        <v>174</v>
      </c>
      <c r="B178" s="10" t="n"/>
      <c r="C178" s="5" t="n"/>
      <c r="D178" s="10" t="n"/>
      <c r="E178" s="4">
        <f>IF(D178="","",IF(TODAY()&gt;D178,"Да","Нет"))</f>
        <v/>
      </c>
      <c r="F178" s="5" t="n"/>
      <c r="G178" s="4">
        <f>IF(F178="","",IFERROR(VLOOKUP(F178,Справочник!$A$17:$B$30,2,FALSE),"Выберите реакцию из списка"))</f>
        <v/>
      </c>
      <c r="H178" s="10" t="n"/>
    </row>
    <row r="179">
      <c r="A179" s="4" t="n">
        <v>175</v>
      </c>
      <c r="B179" s="10" t="n"/>
      <c r="C179" s="5" t="n"/>
      <c r="D179" s="10" t="n"/>
      <c r="E179" s="4">
        <f>IF(D179="","",IF(TODAY()&gt;D179,"Да","Нет"))</f>
        <v/>
      </c>
      <c r="F179" s="5" t="n"/>
      <c r="G179" s="4">
        <f>IF(F179="","",IFERROR(VLOOKUP(F179,Справочник!$A$17:$B$30,2,FALSE),"Выберите реакцию из списка"))</f>
        <v/>
      </c>
      <c r="H179" s="10" t="n"/>
    </row>
    <row r="180">
      <c r="A180" s="4" t="n">
        <v>176</v>
      </c>
      <c r="B180" s="10" t="n"/>
      <c r="C180" s="5" t="n"/>
      <c r="D180" s="10" t="n"/>
      <c r="E180" s="4">
        <f>IF(D180="","",IF(TODAY()&gt;D180,"Да","Нет"))</f>
        <v/>
      </c>
      <c r="F180" s="5" t="n"/>
      <c r="G180" s="4">
        <f>IF(F180="","",IFERROR(VLOOKUP(F180,Справочник!$A$17:$B$30,2,FALSE),"Выберите реакцию из списка"))</f>
        <v/>
      </c>
      <c r="H180" s="10" t="n"/>
    </row>
    <row r="181">
      <c r="A181" s="4" t="n">
        <v>177</v>
      </c>
      <c r="B181" s="10" t="n"/>
      <c r="C181" s="5" t="n"/>
      <c r="D181" s="10" t="n"/>
      <c r="E181" s="4">
        <f>IF(D181="","",IF(TODAY()&gt;D181,"Да","Нет"))</f>
        <v/>
      </c>
      <c r="F181" s="5" t="n"/>
      <c r="G181" s="4">
        <f>IF(F181="","",IFERROR(VLOOKUP(F181,Справочник!$A$17:$B$30,2,FALSE),"Выберите реакцию из списка"))</f>
        <v/>
      </c>
      <c r="H181" s="10" t="n"/>
    </row>
    <row r="182">
      <c r="A182" s="4" t="n">
        <v>178</v>
      </c>
      <c r="B182" s="10" t="n"/>
      <c r="C182" s="5" t="n"/>
      <c r="D182" s="10" t="n"/>
      <c r="E182" s="4">
        <f>IF(D182="","",IF(TODAY()&gt;D182,"Да","Нет"))</f>
        <v/>
      </c>
      <c r="F182" s="5" t="n"/>
      <c r="G182" s="4">
        <f>IF(F182="","",IFERROR(VLOOKUP(F182,Справочник!$A$17:$B$30,2,FALSE),"Выберите реакцию из списка"))</f>
        <v/>
      </c>
      <c r="H182" s="10" t="n"/>
    </row>
    <row r="183">
      <c r="A183" s="4" t="n">
        <v>179</v>
      </c>
      <c r="B183" s="10" t="n"/>
      <c r="C183" s="5" t="n"/>
      <c r="D183" s="10" t="n"/>
      <c r="E183" s="4">
        <f>IF(D183="","",IF(TODAY()&gt;D183,"Да","Нет"))</f>
        <v/>
      </c>
      <c r="F183" s="5" t="n"/>
      <c r="G183" s="4">
        <f>IF(F183="","",IFERROR(VLOOKUP(F183,Справочник!$A$17:$B$30,2,FALSE),"Выберите реакцию из списка"))</f>
        <v/>
      </c>
      <c r="H183" s="10" t="n"/>
    </row>
    <row r="184">
      <c r="A184" s="4" t="n">
        <v>180</v>
      </c>
      <c r="B184" s="10" t="n"/>
      <c r="C184" s="5" t="n"/>
      <c r="D184" s="10" t="n"/>
      <c r="E184" s="4">
        <f>IF(D184="","",IF(TODAY()&gt;D184,"Да","Нет"))</f>
        <v/>
      </c>
      <c r="F184" s="5" t="n"/>
      <c r="G184" s="4">
        <f>IF(F184="","",IFERROR(VLOOKUP(F184,Справочник!$A$17:$B$30,2,FALSE),"Выберите реакцию из списка"))</f>
        <v/>
      </c>
      <c r="H184" s="10" t="n"/>
    </row>
    <row r="185">
      <c r="A185" s="4" t="n">
        <v>181</v>
      </c>
      <c r="B185" s="10" t="n"/>
      <c r="C185" s="5" t="n"/>
      <c r="D185" s="10" t="n"/>
      <c r="E185" s="4">
        <f>IF(D185="","",IF(TODAY()&gt;D185,"Да","Нет"))</f>
        <v/>
      </c>
      <c r="F185" s="5" t="n"/>
      <c r="G185" s="4">
        <f>IF(F185="","",IFERROR(VLOOKUP(F185,Справочник!$A$17:$B$30,2,FALSE),"Выберите реакцию из списка"))</f>
        <v/>
      </c>
      <c r="H185" s="10" t="n"/>
    </row>
    <row r="186">
      <c r="A186" s="4" t="n">
        <v>182</v>
      </c>
      <c r="B186" s="10" t="n"/>
      <c r="C186" s="5" t="n"/>
      <c r="D186" s="10" t="n"/>
      <c r="E186" s="4">
        <f>IF(D186="","",IF(TODAY()&gt;D186,"Да","Нет"))</f>
        <v/>
      </c>
      <c r="F186" s="5" t="n"/>
      <c r="G186" s="4">
        <f>IF(F186="","",IFERROR(VLOOKUP(F186,Справочник!$A$17:$B$30,2,FALSE),"Выберите реакцию из списка"))</f>
        <v/>
      </c>
      <c r="H186" s="10" t="n"/>
    </row>
    <row r="187">
      <c r="A187" s="4" t="n">
        <v>183</v>
      </c>
      <c r="B187" s="10" t="n"/>
      <c r="C187" s="5" t="n"/>
      <c r="D187" s="10" t="n"/>
      <c r="E187" s="4">
        <f>IF(D187="","",IF(TODAY()&gt;D187,"Да","Нет"))</f>
        <v/>
      </c>
      <c r="F187" s="5" t="n"/>
      <c r="G187" s="4">
        <f>IF(F187="","",IFERROR(VLOOKUP(F187,Справочник!$A$17:$B$30,2,FALSE),"Выберите реакцию из списка"))</f>
        <v/>
      </c>
      <c r="H187" s="10" t="n"/>
    </row>
    <row r="188">
      <c r="A188" s="4" t="n">
        <v>184</v>
      </c>
      <c r="B188" s="10" t="n"/>
      <c r="C188" s="5" t="n"/>
      <c r="D188" s="10" t="n"/>
      <c r="E188" s="4">
        <f>IF(D188="","",IF(TODAY()&gt;D188,"Да","Нет"))</f>
        <v/>
      </c>
      <c r="F188" s="5" t="n"/>
      <c r="G188" s="4">
        <f>IF(F188="","",IFERROR(VLOOKUP(F188,Справочник!$A$17:$B$30,2,FALSE),"Выберите реакцию из списка"))</f>
        <v/>
      </c>
      <c r="H188" s="10" t="n"/>
    </row>
    <row r="189">
      <c r="A189" s="4" t="n">
        <v>185</v>
      </c>
      <c r="B189" s="10" t="n"/>
      <c r="C189" s="5" t="n"/>
      <c r="D189" s="10" t="n"/>
      <c r="E189" s="4">
        <f>IF(D189="","",IF(TODAY()&gt;D189,"Да","Нет"))</f>
        <v/>
      </c>
      <c r="F189" s="5" t="n"/>
      <c r="G189" s="4">
        <f>IF(F189="","",IFERROR(VLOOKUP(F189,Справочник!$A$17:$B$30,2,FALSE),"Выберите реакцию из списка"))</f>
        <v/>
      </c>
      <c r="H189" s="10" t="n"/>
    </row>
    <row r="190">
      <c r="A190" s="4" t="n">
        <v>186</v>
      </c>
      <c r="B190" s="10" t="n"/>
      <c r="C190" s="5" t="n"/>
      <c r="D190" s="10" t="n"/>
      <c r="E190" s="4">
        <f>IF(D190="","",IF(TODAY()&gt;D190,"Да","Нет"))</f>
        <v/>
      </c>
      <c r="F190" s="5" t="n"/>
      <c r="G190" s="4">
        <f>IF(F190="","",IFERROR(VLOOKUP(F190,Справочник!$A$17:$B$30,2,FALSE),"Выберите реакцию из списка"))</f>
        <v/>
      </c>
      <c r="H190" s="10" t="n"/>
    </row>
    <row r="191">
      <c r="A191" s="4" t="n">
        <v>187</v>
      </c>
      <c r="B191" s="10" t="n"/>
      <c r="C191" s="5" t="n"/>
      <c r="D191" s="10" t="n"/>
      <c r="E191" s="4">
        <f>IF(D191="","",IF(TODAY()&gt;D191,"Да","Нет"))</f>
        <v/>
      </c>
      <c r="F191" s="5" t="n"/>
      <c r="G191" s="4">
        <f>IF(F191="","",IFERROR(VLOOKUP(F191,Справочник!$A$17:$B$30,2,FALSE),"Выберите реакцию из списка"))</f>
        <v/>
      </c>
      <c r="H191" s="10" t="n"/>
    </row>
    <row r="192">
      <c r="A192" s="4" t="n">
        <v>188</v>
      </c>
      <c r="B192" s="10" t="n"/>
      <c r="C192" s="5" t="n"/>
      <c r="D192" s="10" t="n"/>
      <c r="E192" s="4">
        <f>IF(D192="","",IF(TODAY()&gt;D192,"Да","Нет"))</f>
        <v/>
      </c>
      <c r="F192" s="5" t="n"/>
      <c r="G192" s="4">
        <f>IF(F192="","",IFERROR(VLOOKUP(F192,Справочник!$A$17:$B$30,2,FALSE),"Выберите реакцию из списка"))</f>
        <v/>
      </c>
      <c r="H192" s="10" t="n"/>
    </row>
    <row r="193">
      <c r="A193" s="4" t="n">
        <v>189</v>
      </c>
      <c r="B193" s="10" t="n"/>
      <c r="C193" s="5" t="n"/>
      <c r="D193" s="10" t="n"/>
      <c r="E193" s="4">
        <f>IF(D193="","",IF(TODAY()&gt;D193,"Да","Нет"))</f>
        <v/>
      </c>
      <c r="F193" s="5" t="n"/>
      <c r="G193" s="4">
        <f>IF(F193="","",IFERROR(VLOOKUP(F193,Справочник!$A$17:$B$30,2,FALSE),"Выберите реакцию из списка"))</f>
        <v/>
      </c>
      <c r="H193" s="10" t="n"/>
    </row>
    <row r="194">
      <c r="A194" s="4" t="n">
        <v>190</v>
      </c>
      <c r="B194" s="10" t="n"/>
      <c r="C194" s="5" t="n"/>
      <c r="D194" s="10" t="n"/>
      <c r="E194" s="4">
        <f>IF(D194="","",IF(TODAY()&gt;D194,"Да","Нет"))</f>
        <v/>
      </c>
      <c r="F194" s="5" t="n"/>
      <c r="G194" s="4">
        <f>IF(F194="","",IFERROR(VLOOKUP(F194,Справочник!$A$17:$B$30,2,FALSE),"Выберите реакцию из списка"))</f>
        <v/>
      </c>
      <c r="H194" s="10" t="n"/>
    </row>
    <row r="195">
      <c r="A195" s="4" t="n">
        <v>191</v>
      </c>
      <c r="B195" s="10" t="n"/>
      <c r="C195" s="5" t="n"/>
      <c r="D195" s="10" t="n"/>
      <c r="E195" s="4">
        <f>IF(D195="","",IF(TODAY()&gt;D195,"Да","Нет"))</f>
        <v/>
      </c>
      <c r="F195" s="5" t="n"/>
      <c r="G195" s="4">
        <f>IF(F195="","",IFERROR(VLOOKUP(F195,Справочник!$A$17:$B$30,2,FALSE),"Выберите реакцию из списка"))</f>
        <v/>
      </c>
      <c r="H195" s="10" t="n"/>
    </row>
    <row r="196">
      <c r="A196" s="4" t="n">
        <v>192</v>
      </c>
      <c r="B196" s="10" t="n"/>
      <c r="C196" s="5" t="n"/>
      <c r="D196" s="10" t="n"/>
      <c r="E196" s="4">
        <f>IF(D196="","",IF(TODAY()&gt;D196,"Да","Нет"))</f>
        <v/>
      </c>
      <c r="F196" s="5" t="n"/>
      <c r="G196" s="4">
        <f>IF(F196="","",IFERROR(VLOOKUP(F196,Справочник!$A$17:$B$30,2,FALSE),"Выберите реакцию из списка"))</f>
        <v/>
      </c>
      <c r="H196" s="10" t="n"/>
    </row>
    <row r="197">
      <c r="A197" s="4" t="n">
        <v>193</v>
      </c>
      <c r="B197" s="10" t="n"/>
      <c r="C197" s="5" t="n"/>
      <c r="D197" s="10" t="n"/>
      <c r="E197" s="4">
        <f>IF(D197="","",IF(TODAY()&gt;D197,"Да","Нет"))</f>
        <v/>
      </c>
      <c r="F197" s="5" t="n"/>
      <c r="G197" s="4">
        <f>IF(F197="","",IFERROR(VLOOKUP(F197,Справочник!$A$17:$B$30,2,FALSE),"Выберите реакцию из списка"))</f>
        <v/>
      </c>
      <c r="H197" s="10" t="n"/>
    </row>
    <row r="198">
      <c r="A198" s="4" t="n">
        <v>194</v>
      </c>
      <c r="B198" s="10" t="n"/>
      <c r="C198" s="5" t="n"/>
      <c r="D198" s="10" t="n"/>
      <c r="E198" s="4">
        <f>IF(D198="","",IF(TODAY()&gt;D198,"Да","Нет"))</f>
        <v/>
      </c>
      <c r="F198" s="5" t="n"/>
      <c r="G198" s="4">
        <f>IF(F198="","",IFERROR(VLOOKUP(F198,Справочник!$A$17:$B$30,2,FALSE),"Выберите реакцию из списка"))</f>
        <v/>
      </c>
      <c r="H198" s="10" t="n"/>
    </row>
    <row r="199">
      <c r="A199" s="4" t="n">
        <v>195</v>
      </c>
      <c r="B199" s="10" t="n"/>
      <c r="C199" s="5" t="n"/>
      <c r="D199" s="10" t="n"/>
      <c r="E199" s="4">
        <f>IF(D199="","",IF(TODAY()&gt;D199,"Да","Нет"))</f>
        <v/>
      </c>
      <c r="F199" s="5" t="n"/>
      <c r="G199" s="4">
        <f>IF(F199="","",IFERROR(VLOOKUP(F199,Справочник!$A$17:$B$30,2,FALSE),"Выберите реакцию из списка"))</f>
        <v/>
      </c>
      <c r="H199" s="10" t="n"/>
    </row>
    <row r="200">
      <c r="A200" s="4" t="n">
        <v>196</v>
      </c>
      <c r="B200" s="10" t="n"/>
      <c r="C200" s="5" t="n"/>
      <c r="D200" s="10" t="n"/>
      <c r="E200" s="4">
        <f>IF(D200="","",IF(TODAY()&gt;D200,"Да","Нет"))</f>
        <v/>
      </c>
      <c r="F200" s="5" t="n"/>
      <c r="G200" s="4">
        <f>IF(F200="","",IFERROR(VLOOKUP(F200,Справочник!$A$17:$B$30,2,FALSE),"Выберите реакцию из списка"))</f>
        <v/>
      </c>
      <c r="H200" s="10" t="n"/>
    </row>
    <row r="201">
      <c r="A201" s="4" t="n">
        <v>197</v>
      </c>
      <c r="B201" s="10" t="n"/>
      <c r="C201" s="5" t="n"/>
      <c r="D201" s="10" t="n"/>
      <c r="E201" s="4">
        <f>IF(D201="","",IF(TODAY()&gt;D201,"Да","Нет"))</f>
        <v/>
      </c>
      <c r="F201" s="5" t="n"/>
      <c r="G201" s="4">
        <f>IF(F201="","",IFERROR(VLOOKUP(F201,Справочник!$A$17:$B$30,2,FALSE),"Выберите реакцию из списка"))</f>
        <v/>
      </c>
      <c r="H201" s="10" t="n"/>
    </row>
    <row r="202">
      <c r="A202" s="4" t="n">
        <v>198</v>
      </c>
      <c r="B202" s="10" t="n"/>
      <c r="C202" s="5" t="n"/>
      <c r="D202" s="10" t="n"/>
      <c r="E202" s="4">
        <f>IF(D202="","",IF(TODAY()&gt;D202,"Да","Нет"))</f>
        <v/>
      </c>
      <c r="F202" s="5" t="n"/>
      <c r="G202" s="4">
        <f>IF(F202="","",IFERROR(VLOOKUP(F202,Справочник!$A$17:$B$30,2,FALSE),"Выберите реакцию из списка"))</f>
        <v/>
      </c>
      <c r="H202" s="10" t="n"/>
    </row>
    <row r="203">
      <c r="A203" s="4" t="n">
        <v>199</v>
      </c>
      <c r="B203" s="10" t="n"/>
      <c r="C203" s="5" t="n"/>
      <c r="D203" s="10" t="n"/>
      <c r="E203" s="4">
        <f>IF(D203="","",IF(TODAY()&gt;D203,"Да","Нет"))</f>
        <v/>
      </c>
      <c r="F203" s="5" t="n"/>
      <c r="G203" s="4">
        <f>IF(F203="","",IFERROR(VLOOKUP(F203,Справочник!$A$17:$B$30,2,FALSE),"Выберите реакцию из списка"))</f>
        <v/>
      </c>
      <c r="H203" s="10" t="n"/>
    </row>
    <row r="204">
      <c r="A204" s="4" t="n">
        <v>200</v>
      </c>
      <c r="B204" s="10" t="n"/>
      <c r="C204" s="5" t="n"/>
      <c r="D204" s="10" t="n"/>
      <c r="E204" s="4">
        <f>IF(D204="","",IF(TODAY()&gt;D204,"Да","Нет"))</f>
        <v/>
      </c>
      <c r="F204" s="5" t="n"/>
      <c r="G204" s="4">
        <f>IF(F204="","",IFERROR(VLOOKUP(F204,Справочник!$A$17:$B$30,2,FALSE),"Выберите реакцию из списка"))</f>
        <v/>
      </c>
      <c r="H204" s="10" t="n"/>
    </row>
  </sheetData>
  <mergeCells count="2">
    <mergeCell ref="A2:H2"/>
    <mergeCell ref="A1:H1"/>
  </mergeCells>
  <dataValidations count="1">
    <dataValidation sqref="F5:F204" showDropDown="0" showInputMessage="0" showErrorMessage="0" allowBlank="1" type="list">
      <formula1>Справочник!$A$17:$A$30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90" customWidth="1" min="3" max="3"/>
  </cols>
  <sheetData>
    <row r="1">
      <c r="A1" s="3" t="inlineStr">
        <is>
          <t>Код</t>
        </is>
      </c>
      <c r="B1" s="3" t="inlineStr">
        <is>
          <t>Итог</t>
        </is>
      </c>
      <c r="C1" s="3" t="inlineStr">
        <is>
          <t>Следующий шаг</t>
        </is>
      </c>
    </row>
    <row r="2">
      <c r="A2" s="4" t="inlineStr">
        <is>
          <t>НЕ ЗАПОЛНЕНО</t>
        </is>
      </c>
      <c r="B2" s="4" t="inlineStr">
        <is>
          <t>Проверка не пройдена</t>
        </is>
      </c>
      <c r="C2" s="4" t="inlineStr">
        <is>
          <t>Проверка по желанию. Для итога ответьте на все вопросы; без неё выберите ситуацию в файле 01, таблица 1.</t>
        </is>
      </c>
    </row>
    <row r="3">
      <c r="A3" s="4" t="inlineStr">
        <is>
          <t>B3</t>
        </is>
      </c>
      <c r="B3" s="4" t="inlineStr">
        <is>
          <t>ГРАНИЦА B3: признаки банкротства</t>
        </is>
      </c>
      <c r="C3" s="4" t="inlineStr">
        <is>
          <t>Остановите маршрут S1 на текущем шаге, сохраните все документы и немедленно обратитесь к специалисту по банкротству. Не подавайте обычный иск до его оценки.</t>
        </is>
      </c>
    </row>
    <row r="4">
      <c r="A4" s="4" t="inlineStr">
        <is>
          <t>ПРОВЕРКА B3</t>
        </is>
      </c>
      <c r="B4" s="4" t="inlineStr">
        <is>
          <t>ПРОВЕРЬТЕ ЗАКАЗЧИКА</t>
        </is>
      </c>
      <c r="C4" s="4" t="inlineStr">
        <is>
          <t>Ответ «Не знаю» о банкротстве: проверьте картотеку арбитражных дел, Федресурс и ЕГРЮЛ (файл 03), затем ответьте «Да» или «Нет».</t>
        </is>
      </c>
    </row>
    <row r="5">
      <c r="A5" s="4" t="inlineStr">
        <is>
          <t>B4</t>
        </is>
      </c>
      <c r="B5" s="4" t="inlineStr">
        <is>
          <t>ГРАНИЦА B4: спор о принятых работах, односторонний акт, мотивированный отказ</t>
        </is>
      </c>
      <c r="C5" s="4" t="inlineStr">
        <is>
          <t>По оспоренным актам маршрут остановите: соберите материалы по описи (файл 10, раздел В) — договор, подписанные акты, переписку, возражения заказчика — и передайте специалисту. Акты, которые заказчик не оспаривает, ведите дальше по маршруту: в расчёт процентов и претензию переносите только их.</t>
        </is>
      </c>
    </row>
    <row r="6">
      <c r="A6" s="4" t="inlineStr">
        <is>
          <t>B2</t>
        </is>
      </c>
      <c r="B6" s="4" t="inlineStr">
        <is>
          <t>ГРАНИЦА B2: удержание, зачёт, неустойка, недостатки, встречное требование</t>
        </is>
      </c>
      <c r="C6" s="4" t="inlineStr">
        <is>
          <t>Внесите каждую операцию в реестр взаиморасчётов с типом «Удержание», «Зачёт» или «Неустойка заявлена». Бесспорную часть долга можно вести по S1 дальше; спорную часть с документами передайте специалисту до направления претензии.</t>
        </is>
      </c>
    </row>
    <row r="7">
      <c r="A7" s="4" t="inlineStr">
        <is>
          <t>B5</t>
        </is>
      </c>
      <c r="B7" s="4" t="inlineStr">
        <is>
          <t>ГРАНИЦА B5: допработы без соглашения</t>
        </is>
      </c>
      <c r="C7" s="4" t="inlineStr">
        <is>
          <t>Суммы по допработам, которые заказчик не подписал, не вносите в реестр взаиморасчётов как начисление по акту: эти работы не приняты. Если допработы вошли в подписанный акт, эта часть долга спорная: в расчёт процентов и претензию её без оценки специалиста не включайте. Бесспорную часть долга ведите по маршруту дальше. По допработам соберите договор, смету, переписку о поручении работ и акты и передайте специалисту по описи (файл 10, раздел В).</t>
        </is>
      </c>
    </row>
    <row r="8">
      <c r="A8" s="4" t="inlineStr">
        <is>
          <t>B1</t>
        </is>
      </c>
      <c r="B8" s="4" t="inlineStr">
        <is>
          <t>ГРАНИЦА B1: исполнительная документация</t>
        </is>
      </c>
      <c r="C8" s="4" t="inlineStr">
        <is>
          <t>Зафиксируйте в реестре передачи, какая документация требуется договором и что уже передано. Если без неё оплата по договору не наступает — сначала закройте передачу документации, затем пройдите проверку G перед шагом 6.</t>
        </is>
      </c>
    </row>
    <row r="9">
      <c r="A9" s="4" t="inlineStr">
        <is>
          <t>НЕ ПРИМЕНИМО</t>
        </is>
      </c>
      <c r="B9" s="4" t="inlineStr">
        <is>
          <t>НЕ ПРИМЕНИМО: работы не выполнены</t>
        </is>
      </c>
      <c r="C9" s="4" t="inlineStr">
        <is>
          <t>Система рассчитана на выполненные работы. Требовать оплату невыполненного нельзя.</t>
        </is>
      </c>
    </row>
    <row r="10">
      <c r="A10" s="4" t="inlineStr">
        <is>
          <t>НЕ ПРИНЯТЫ</t>
        </is>
      </c>
      <c r="B10" s="4" t="inlineStr">
        <is>
          <t>РАБОТЫ НЕ ПРИНЯТЫ: эта система не подходит</t>
        </is>
      </c>
      <c r="C10" s="4" t="inlineStr">
        <is>
          <t>Долг не фиксируйте и претензию не готовьте. Сначала добейтесь приёмки по договору: оформите акт, передайте его способом, который можно доказать, закройте замечания; если заказчик молчит — направьте запрос подписать акт или прислать мотивированный отказ. Когда акт подписан обеими сторонами и срок оплаты истёк, вернитесь к проверке G. Если заказчик направил мотивированный отказ или вы считаете работы принятыми по акту, подписанному только вами, — граница B4, файл 01, таблица 2.</t>
        </is>
      </c>
    </row>
    <row r="11">
      <c r="A11" s="4" t="inlineStr">
        <is>
          <t>РАНО-СРОК</t>
        </is>
      </c>
      <c r="B11" s="4" t="inlineStr">
        <is>
          <t>РАНО: срок оплаты не определён</t>
        </is>
      </c>
      <c r="C11" s="4" t="inlineStr">
        <is>
          <t>Определите срок оплаты по договору. Если договор его не устанавливает — дату начала просрочки согласуйте со специалистом: от неё зависит расчёт.</t>
        </is>
      </c>
    </row>
    <row r="12">
      <c r="A12" s="4" t="inlineStr">
        <is>
          <t>РАНО</t>
        </is>
      </c>
      <c r="B12" s="4" t="inlineStr">
        <is>
          <t>РАНО: срок оплаты не истёк</t>
        </is>
      </c>
      <c r="C12" s="4" t="inlineStr">
        <is>
          <t>Маршрут задолженности (шаги 6–12) начните не раньше следующего дня после срока.</t>
        </is>
      </c>
    </row>
    <row r="13">
      <c r="A13" s="4" t="inlineStr">
        <is>
          <t>СВЕРКА</t>
        </is>
      </c>
      <c r="B13" s="4" t="inlineStr">
        <is>
          <t>СИТУАЦИЯ Б, ШАГ 6: подтвердить сумму</t>
        </is>
      </c>
      <c r="C13" s="4" t="inlineStr">
        <is>
          <t>Заполните реестр взаиморасчётов (файл 04) и предложите заказчику акт сверки; его ответ отметьте на листе «Контроль ответа».</t>
        </is>
      </c>
    </row>
    <row r="14">
      <c r="A14" s="4" t="inlineStr">
        <is>
          <t>OK</t>
        </is>
      </c>
      <c r="B14" s="4" t="inlineStr">
        <is>
          <t>МОЖНО ИДТИ ПО S1</t>
        </is>
      </c>
      <c r="C14" s="4" t="inlineStr">
        <is>
          <t>Ситуация А: шаги 6–12. Зафиксируйте долг и дату начала просрочки, затем переговоры (файл 05).</t>
        </is>
      </c>
    </row>
    <row r="15">
      <c r="A15" s="4" t="n"/>
      <c r="B15" s="4" t="n"/>
      <c r="C15" s="4" t="n"/>
    </row>
    <row r="16">
      <c r="A16" s="3" t="inlineStr">
        <is>
          <t>Реакция заказчика</t>
        </is>
      </c>
      <c r="B16" s="3" t="inlineStr">
        <is>
          <t>Следующий шаг</t>
        </is>
      </c>
      <c r="C16" s="3" t="inlineStr"/>
    </row>
    <row r="17">
      <c r="A17" s="4" t="inlineStr">
        <is>
          <t>Оплатил полностью</t>
        </is>
      </c>
      <c r="B17" s="4" t="inlineStr">
        <is>
          <t>Внесите оплату в реестр взаиморасчётов (файл 04). Маршрут завершён.</t>
        </is>
      </c>
      <c r="C17" s="4" t="n"/>
    </row>
    <row r="18">
      <c r="A18" s="4" t="inlineStr">
        <is>
          <t>Оплатил частично</t>
        </is>
      </c>
      <c r="B18" s="4" t="inlineStr">
        <is>
          <t>Внесите оплату в реестр взаиморасчётов (файл 04) и в расчёт процентов (файл 08). По остатку — шаги 9–12.</t>
        </is>
      </c>
      <c r="C18" s="4" t="n"/>
    </row>
    <row r="19">
      <c r="A19" s="4" t="inlineStr">
        <is>
          <t>Обещал оплатить в названную дату</t>
        </is>
      </c>
      <c r="B19" s="4" t="inlineStr">
        <is>
          <t>Контролируйте дату. При срыве — сразу шаги 9–10, без повторного письма.</t>
        </is>
      </c>
      <c r="C19" s="4" t="n"/>
    </row>
    <row r="20">
      <c r="A20" s="4" t="inlineStr">
        <is>
          <t>Предложил график или перенос</t>
        </is>
      </c>
      <c r="B20" s="4" t="inlineStr">
        <is>
          <t>Перенос — только двусторонним соглашением (файл 05, раздел Б; шаг 7): гарантийное письмо соглашение не заменяет. Подписано — новую дату внесите в лист «Маршрут», платежи графика — сюда. Соглашения нет — срок не перенесён, маршрут не останавливайте: следующий шаг вашего пути.</t>
        </is>
      </c>
      <c r="C20" s="4" t="n"/>
    </row>
    <row r="21">
      <c r="A21" s="4" t="inlineStr">
        <is>
          <t>Прислал гарантийное письмо без соглашения</t>
        </is>
      </c>
      <c r="B21" s="4" t="inlineStr">
        <is>
          <t>Срок оплаты не перенесён: просрочка и проценты считаются от договорного срока. Письмо внесите в файл 04, «Реестр приложений», строка «Гарантийное письмо заказчика»; предложите соглашение (файл 05, раздел Б). Маршрут не останавливайте: следующий шаг вашего пути, а если дата из письма прошла без оплаты — сразу шаг 9.</t>
        </is>
      </c>
      <c r="C21" s="4" t="n"/>
    </row>
    <row r="22">
      <c r="A22" s="4" t="inlineStr">
        <is>
          <t>Не вышел на переговоры</t>
        </is>
      </c>
      <c r="B22" s="4" t="inlineStr">
        <is>
          <t>Переговоров не было — это не препятствие. Шаг 8: уведомление о просрочке (файл 06).</t>
        </is>
      </c>
      <c r="C22" s="4" t="n"/>
    </row>
    <row r="23">
      <c r="A23" s="4" t="inlineStr">
        <is>
          <t>Подписал акт сверки, но не оплатил</t>
        </is>
      </c>
      <c r="B23" s="4" t="inlineStr">
        <is>
          <t>Долг подтверждён заказчиком. Подписанный акт сверки внесите в файл 04, «Реестр приложений», строка «Акт сверки, подписанный Заказчиком», и идите дальше по пути: шаги 8–10.</t>
        </is>
      </c>
      <c r="C23" s="4" t="n"/>
    </row>
    <row r="24">
      <c r="A24" s="4" t="inlineStr">
        <is>
          <t>Молчание после срока</t>
        </is>
      </c>
      <c r="B24" s="4" t="inlineStr">
        <is>
          <t>Если это была претензия и срок ожидания истёк — шаг 12 (файл 10). Если уведомление — шаги 9–10.</t>
        </is>
      </c>
      <c r="C24" s="4" t="n"/>
    </row>
    <row r="25">
      <c r="A25" s="4" t="inlineStr">
        <is>
          <t>Отказ без мотивов</t>
        </is>
      </c>
      <c r="B25" s="4" t="inlineStr">
        <is>
          <t>Если претензия ещё не направлена — шаг 10; если направлена и срок ожидания истёк — шаг 12.</t>
        </is>
      </c>
      <c r="C25" s="4" t="n"/>
    </row>
    <row r="26">
      <c r="A26" s="4" t="inlineStr">
        <is>
          <t>Возражает по сумме или вернул акт сверки с расхождением</t>
        </is>
      </c>
      <c r="B26" s="4" t="inlineStr">
        <is>
          <t>Разведите расхождение по причине: удержание, зачёт, неустойка или встречное требование — граница B2; объём, качество или подпись — граница B4; работы вне договора и сметы — граница B5 (файл 01, таблица 2). Возражения внесите в файл 04, «Реестр приложений», строка «Возражения Заказчика». Акты, которые заказчик не оспаривает, ведите дальше по маршруту.</t>
        </is>
      </c>
      <c r="C26" s="4" t="n"/>
    </row>
    <row r="27">
      <c r="A27" s="4" t="inlineStr">
        <is>
          <t>Отказ с мотивами: объём, качество, подпись</t>
        </is>
      </c>
      <c r="B27" s="4" t="inlineStr">
        <is>
          <t>Граница B4 для оспоренных актов: профессиональная оценка, опись материалов — файл 10, раздел В. Акты, которые заказчик не оспаривает, ведите дальше по маршруту.</t>
        </is>
      </c>
      <c r="C27" s="4" t="n"/>
    </row>
    <row r="28">
      <c r="A28" s="4" t="inlineStr">
        <is>
          <t>Отказ: работы не предусмотрены договором</t>
        </is>
      </c>
      <c r="B28" s="4" t="inlineStr">
        <is>
          <t>Граница B5 для этой части: соберите договор, смету, переписку о поручении работ и акты и передайте специалисту по описи — файл 10, раздел В. Бесспорную часть долга ведите дальше по маршруту.</t>
        </is>
      </c>
      <c r="C28" s="4" t="n"/>
    </row>
    <row r="29">
      <c r="A29" s="4" t="inlineStr">
        <is>
          <t>Встречное требование, зачёт, удержание, неустойка</t>
        </is>
      </c>
      <c r="B29" s="4" t="inlineStr">
        <is>
          <t>Граница B2: спорную часть — специалисту; бесспорную — дальше по маршруту.</t>
        </is>
      </c>
      <c r="C29" s="4" t="n"/>
    </row>
    <row r="30">
      <c r="A30" s="4" t="inlineStr">
        <is>
          <t>Признаки банкротства</t>
        </is>
      </c>
      <c r="B30" s="4" t="inlineStr">
        <is>
          <t>Граница B3: остановите маршрут и немедленно обратитесь к специалисту по банкротству.</t>
        </is>
      </c>
      <c r="C30" s="4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