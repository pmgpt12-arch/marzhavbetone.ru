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ushlanovDM\Downloads\Excel_check_2026-10-05_1223\"/>
    </mc:Choice>
  </mc:AlternateContent>
  <xr:revisionPtr revIDLastSave="0" documentId="13_ncr:1_{04BBC9FD-E15F-482D-A562-D0F43A91BD4E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Расчёт требования" sheetId="1" r:id="rId1"/>
  </sheets>
  <definedNames>
    <definedName name="_xlnm.Print_Area" localSheetId="0">'Расчёт требования'!$A$1:$H$42</definedName>
  </definedNames>
  <calcPr calcId="191029"/>
</workbook>
</file>

<file path=xl/calcChain.xml><?xml version="1.0" encoding="utf-8"?>
<calcChain xmlns="http://schemas.openxmlformats.org/spreadsheetml/2006/main">
  <c r="G39" i="1" l="1"/>
  <c r="H31" i="1"/>
  <c r="G31" i="1" s="1"/>
  <c r="H30" i="1"/>
  <c r="G30" i="1" s="1"/>
  <c r="H29" i="1"/>
  <c r="G29" i="1"/>
  <c r="D29" i="1"/>
  <c r="H28" i="1"/>
  <c r="G28" i="1"/>
  <c r="D28" i="1"/>
  <c r="H27" i="1"/>
  <c r="G27" i="1" s="1"/>
  <c r="H22" i="1"/>
  <c r="G22" i="1"/>
  <c r="D22" i="1"/>
  <c r="H21" i="1"/>
  <c r="G21" i="1" s="1"/>
  <c r="H20" i="1"/>
  <c r="G20" i="1"/>
  <c r="H19" i="1"/>
  <c r="G19" i="1"/>
  <c r="D19" i="1"/>
  <c r="H18" i="1"/>
  <c r="G18" i="1"/>
  <c r="D18" i="1"/>
  <c r="H15" i="1"/>
  <c r="H40" i="1" s="1"/>
  <c r="H12" i="1"/>
  <c r="H39" i="1" s="1"/>
  <c r="H8" i="1"/>
  <c r="G37" i="1" s="1"/>
  <c r="H7" i="1"/>
  <c r="H38" i="1" s="1"/>
  <c r="G7" i="1"/>
  <c r="G36" i="1" s="1"/>
  <c r="G23" i="1" l="1"/>
  <c r="G41" i="1" s="1"/>
  <c r="G32" i="1"/>
  <c r="G42" i="1" s="1"/>
  <c r="G9" i="1"/>
  <c r="G38" i="1" s="1"/>
  <c r="D21" i="1"/>
  <c r="D27" i="1"/>
  <c r="D31" i="1"/>
  <c r="H32" i="1"/>
  <c r="H42" i="1" s="1"/>
  <c r="H37" i="1"/>
  <c r="H23" i="1"/>
  <c r="H41" i="1" s="1"/>
  <c r="G15" i="1"/>
  <c r="G40" i="1" s="1"/>
  <c r="D20" i="1"/>
  <c r="D30" i="1"/>
  <c r="H36" i="1"/>
</calcChain>
</file>

<file path=xl/sharedStrings.xml><?xml version="1.0" encoding="utf-8"?>
<sst xmlns="http://schemas.openxmlformats.org/spreadsheetml/2006/main" count="42" uniqueCount="33">
  <si>
    <t>РАСЧЁТ СУММ ТРЕБОВАНИЯ К ЗАКАЗЧИКУ</t>
  </si>
  <si>
    <t>Вводите данные только в жёлтые ячейки. Суммы — в рублях. Ставку в таблицах пеней и ст. 395 набирайте с клавиатуры: ячейка текстовая, 0,05 и 0,05% — это 0,05 % в день, 16 и 16% — 16 % годовых. Если в ячейке ставки число (вставка из другой таблицы, формула), знак % по нему не виден — строка не считается; наберите ставку заново с апострофом впереди: '0,05. Ставка пеней меньше 0,01 % в день и ключевая ставка меньше 1 % годовых не считаются. Процент штрафа в п. 2.2 — числом без знака %: 5 % — как 5. Даты — ДД.ММ.ГГГГ; первый и последний день периода входят в число дней. Период с другой базой или ставкой — отдельной строкой. Если в столбце «Проверка» есть сообщение, сумма по этой строке и итог раздела не считаются.</t>
  </si>
  <si>
    <t>1. НЕОПЛАЧЕННАЯ СУММА</t>
  </si>
  <si>
    <t>Сумма по КС-2 (по всем актам спора), руб.</t>
  </si>
  <si>
    <t>Фактически оплачено, руб.</t>
  </si>
  <si>
    <t>Неоплачено по КС-2, руб.</t>
  </si>
  <si>
    <t>из них удержание, срок возврата которого по договору ещё не наступил, руб. (если такого нет — оставьте пустым)</t>
  </si>
  <si>
    <t>Неоплачено без такого удержания, руб.</t>
  </si>
  <si>
    <t>2. НЕУСТОЙКА ПО ДОГОВОРУ — заполните тот вид, который записан в договоре</t>
  </si>
  <si>
    <t>2.1. Штраф в твёрдой сумме, руб.</t>
  </si>
  <si>
    <t>2.2. Штраф в процентах от суммы (разовый): сумма, от которой он считается, руб.</t>
  </si>
  <si>
    <t>процент штрафа, % (5 % вводится как 5)</t>
  </si>
  <si>
    <t>сумма штрафа, руб.</t>
  </si>
  <si>
    <t>2.3. Пени за каждый день просрочки: база × ставка в день / 100 × дни</t>
  </si>
  <si>
    <t>№</t>
  </si>
  <si>
    <t>Начало</t>
  </si>
  <si>
    <t>Окончание</t>
  </si>
  <si>
    <t>Дней</t>
  </si>
  <si>
    <t>База, руб.</t>
  </si>
  <si>
    <t>Ставка, % в день (0,05 или 0,05%)</t>
  </si>
  <si>
    <t>Сумма, руб.</t>
  </si>
  <si>
    <t>Проверка</t>
  </si>
  <si>
    <t>Итого пени, руб.</t>
  </si>
  <si>
    <t>3. ПРОЦЕНТЫ ПО СТ. 395 ГК РФ: база × ключевая ставка / 100 / 365 × дни</t>
  </si>
  <si>
    <t>Ключевая ставка, % годовых (16 или 16%)</t>
  </si>
  <si>
    <t>Итого проценты, руб.</t>
  </si>
  <si>
    <t>4. СВОДКА — суммы показаны раздельно</t>
  </si>
  <si>
    <t>Общая сумма этих строк не выводится: какие из них и от какой суммы включать в требование, определяется договором и законом. Перенесите в претензию только те строки, основание которых проверено.</t>
  </si>
  <si>
    <t>из них удержание, срок возврата которого по договору ещё не наступил, руб.</t>
  </si>
  <si>
    <t>Штраф в твёрдой сумме, руб.</t>
  </si>
  <si>
    <t>Штраф в процентах, руб.</t>
  </si>
  <si>
    <t>Пени, руб.</t>
  </si>
  <si>
    <t>Проценты по ст. 395 ГК РФ,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</si>
</sst>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##"/>
    <numFmt numFmtId="165" formatCode="dd\.mm\.yyyy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4" fontId="0" fillId="2" borderId="1" xfId="0" applyNumberFormat="1" applyFill="1" applyBorder="1"/>
    <xf numFmtId="4" fontId="3" fillId="0" borderId="1" xfId="0" applyNumberFormat="1" applyFont="1" applyBorder="1"/>
    <xf numFmtId="0" fontId="4" fillId="0" borderId="0" xfId="0" applyFont="1" applyAlignment="1">
      <alignment vertical="center" wrapText="1"/>
    </xf>
    <xf numFmtId="164" fontId="0" fillId="2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5" fontId="0" fillId="2" borderId="1" xfId="0" applyNumberFormat="1" applyFill="1" applyBorder="1"/>
    <xf numFmtId="49" fontId="0" fillId="2" borderId="1" xfId="0" applyNumberFormat="1" applyFill="1" applyBorder="1"/>
    <xf numFmtId="4" fontId="0" fillId="0" borderId="1" xfId="0" applyNumberFormat="1" applyBorder="1"/>
    <xf numFmtId="49" fontId="4" fillId="0" borderId="1" xfId="0" applyNumberFormat="1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2"/>
  <sheetViews>
    <sheetView tabSelected="1" workbookViewId="0">
      <selection activeCell="H13" sqref="H13"/>
    </sheetView>
  </sheetViews>
  <sheetFormatPr defaultRowHeight="14.4" x14ac:dyDescent="0.3"/>
  <cols>
    <col min="1" max="1" width="6" customWidth="1"/>
    <col min="2" max="3" width="12" customWidth="1"/>
    <col min="4" max="4" width="7" customWidth="1"/>
    <col min="5" max="5" width="15" customWidth="1"/>
    <col min="6" max="6" width="14" customWidth="1"/>
    <col min="7" max="7" width="16" customWidth="1"/>
    <col min="8" max="8" width="34" customWidth="1"/>
  </cols>
  <sheetData>
    <row r="1" spans="1:8" ht="17.399999999999999" x14ac:dyDescent="0.35">
      <c r="A1" s="14" t="s">
        <v>0</v>
      </c>
      <c r="B1" s="12"/>
      <c r="C1" s="12"/>
      <c r="D1" s="12"/>
      <c r="E1" s="12"/>
      <c r="F1" s="12"/>
      <c r="G1" s="12"/>
      <c r="H1" s="12"/>
    </row>
    <row r="2" spans="1:8" ht="95.4" customHeight="1" x14ac:dyDescent="0.3">
      <c r="A2" s="16" t="s">
        <v>1</v>
      </c>
      <c r="B2" s="17"/>
      <c r="C2" s="17"/>
      <c r="D2" s="17"/>
      <c r="E2" s="17"/>
      <c r="F2" s="17"/>
      <c r="G2" s="17"/>
      <c r="H2" s="17"/>
    </row>
    <row r="4" spans="1:8" x14ac:dyDescent="0.3">
      <c r="A4" s="13" t="s">
        <v>2</v>
      </c>
      <c r="B4" s="12"/>
      <c r="C4" s="12"/>
      <c r="D4" s="12"/>
      <c r="E4" s="12"/>
      <c r="F4" s="12"/>
      <c r="G4" s="12"/>
      <c r="H4" s="12"/>
    </row>
    <row r="5" spans="1:8" x14ac:dyDescent="0.3">
      <c r="A5" s="11" t="s">
        <v>3</v>
      </c>
      <c r="B5" s="12"/>
      <c r="C5" s="12"/>
      <c r="D5" s="12"/>
      <c r="E5" s="12"/>
      <c r="F5" s="12"/>
      <c r="G5" s="1"/>
    </row>
    <row r="6" spans="1:8" x14ac:dyDescent="0.3">
      <c r="A6" s="11" t="s">
        <v>4</v>
      </c>
      <c r="B6" s="12"/>
      <c r="C6" s="12"/>
      <c r="D6" s="12"/>
      <c r="E6" s="12"/>
      <c r="F6" s="12"/>
      <c r="G6" s="1"/>
    </row>
    <row r="7" spans="1:8" x14ac:dyDescent="0.3">
      <c r="A7" s="11" t="s">
        <v>5</v>
      </c>
      <c r="B7" s="12"/>
      <c r="C7" s="12"/>
      <c r="D7" s="12"/>
      <c r="E7" s="12"/>
      <c r="F7" s="12"/>
      <c r="G7" s="2" t="str">
        <f>IF(OR(H7&lt;&gt;"",G5=""),"",G5-G6)</f>
        <v/>
      </c>
      <c r="H7" s="3" t="str">
        <f>IF(AND(G5="",G6=""),"",IF(OR(G5="",G6=""),"Заполните обе суммы: по КС-2 и оплату",IF(OR(NOT(ISNUMBER(G5)),NOT(ISNUMBER(G6))),"Введите суммы числом",IF(OR(G5&lt;0,G6&lt;0),"Сумма меньше нуля — проверьте ввод",IF(G6&gt;G5,"Оплачено больше суммы по КС-2 — проверьте ввод","")))))</f>
        <v/>
      </c>
    </row>
    <row r="8" spans="1:8" x14ac:dyDescent="0.3">
      <c r="A8" s="11" t="s">
        <v>6</v>
      </c>
      <c r="B8" s="12"/>
      <c r="C8" s="12"/>
      <c r="D8" s="12"/>
      <c r="E8" s="12"/>
      <c r="F8" s="12"/>
      <c r="G8" s="1"/>
      <c r="H8" s="3" t="str">
        <f>IF(G8="","",IF(NOT(ISNUMBER(G8)),"Введите сумму числом",IF(G8&lt;0,"Сумма меньше нуля — проверьте ввод",IF(AND(ISNUMBER(G7),G8&gt;G7),"Удержание больше неоплаченной суммы — проверьте ввод",""))))</f>
        <v/>
      </c>
    </row>
    <row r="9" spans="1:8" x14ac:dyDescent="0.3">
      <c r="A9" s="11" t="s">
        <v>7</v>
      </c>
      <c r="B9" s="12"/>
      <c r="C9" s="12"/>
      <c r="D9" s="12"/>
      <c r="E9" s="12"/>
      <c r="F9" s="12"/>
      <c r="G9" s="2" t="str">
        <f>IF(OR(NOT(ISNUMBER(G7)),H8&lt;&gt;""),"",G7-IF(G8="",0,G8))</f>
        <v/>
      </c>
    </row>
    <row r="11" spans="1:8" x14ac:dyDescent="0.3">
      <c r="A11" s="13" t="s">
        <v>8</v>
      </c>
      <c r="B11" s="12"/>
      <c r="C11" s="12"/>
      <c r="D11" s="12"/>
      <c r="E11" s="12"/>
      <c r="F11" s="12"/>
      <c r="G11" s="12"/>
      <c r="H11" s="12"/>
    </row>
    <row r="12" spans="1:8" x14ac:dyDescent="0.3">
      <c r="A12" s="11" t="s">
        <v>9</v>
      </c>
      <c r="B12" s="12"/>
      <c r="C12" s="12"/>
      <c r="D12" s="12"/>
      <c r="E12" s="12"/>
      <c r="F12" s="12"/>
      <c r="G12" s="1"/>
      <c r="H12" s="3" t="str">
        <f>IF(G12="","",IF(NOT(ISNUMBER(G12)),"Введите сумму числом",IF(G12&lt;0,"Сумма меньше нуля — проверьте ввод","")))</f>
        <v/>
      </c>
    </row>
    <row r="13" spans="1:8" x14ac:dyDescent="0.3">
      <c r="A13" s="11" t="s">
        <v>10</v>
      </c>
      <c r="B13" s="12"/>
      <c r="C13" s="12"/>
      <c r="D13" s="12"/>
      <c r="E13" s="12"/>
      <c r="F13" s="12"/>
      <c r="G13" s="1"/>
    </row>
    <row r="14" spans="1:8" x14ac:dyDescent="0.3">
      <c r="A14" s="11" t="s">
        <v>11</v>
      </c>
      <c r="B14" s="12"/>
      <c r="C14" s="12"/>
      <c r="D14" s="12"/>
      <c r="E14" s="12"/>
      <c r="F14" s="12"/>
      <c r="G14" s="4"/>
    </row>
    <row r="15" spans="1:8" x14ac:dyDescent="0.3">
      <c r="A15" s="11" t="s">
        <v>12</v>
      </c>
      <c r="B15" s="12"/>
      <c r="C15" s="12"/>
      <c r="D15" s="12"/>
      <c r="E15" s="12"/>
      <c r="F15" s="12"/>
      <c r="G15" s="2" t="str">
        <f>IF(OR(H15&lt;&gt;"",G13=""),"",G13*G14/100)</f>
        <v/>
      </c>
      <c r="H15" s="3" t="str">
        <f>IF(AND(G13="",G14=""),"",IF(OR(G13="",G14=""),"Заполните сумму и процент штрафа",IF(OR(NOT(ISNUMBER(G13)),NOT(ISNUMBER(G14))),"Введите сумму и процент числом",IF(OR(G13&lt;0,G14&lt;0),"Сумма или процент меньше нуля — проверьте ввод",""))))</f>
        <v/>
      </c>
    </row>
    <row r="16" spans="1:8" x14ac:dyDescent="0.3">
      <c r="A16" s="13" t="s">
        <v>13</v>
      </c>
      <c r="B16" s="12"/>
      <c r="C16" s="12"/>
      <c r="D16" s="12"/>
      <c r="E16" s="12"/>
      <c r="F16" s="12"/>
      <c r="G16" s="12"/>
      <c r="H16" s="12"/>
    </row>
    <row r="17" spans="1:8" ht="43.2" x14ac:dyDescent="0.3">
      <c r="A17" s="5" t="s">
        <v>14</v>
      </c>
      <c r="B17" s="5" t="s">
        <v>15</v>
      </c>
      <c r="C17" s="5" t="s">
        <v>16</v>
      </c>
      <c r="D17" s="5" t="s">
        <v>17</v>
      </c>
      <c r="E17" s="5" t="s">
        <v>18</v>
      </c>
      <c r="F17" s="5" t="s">
        <v>19</v>
      </c>
      <c r="G17" s="5" t="s">
        <v>20</v>
      </c>
      <c r="H17" s="5" t="s">
        <v>21</v>
      </c>
    </row>
    <row r="18" spans="1:8" x14ac:dyDescent="0.3">
      <c r="A18" s="6">
        <v>1</v>
      </c>
      <c r="B18" s="7"/>
      <c r="C18" s="7"/>
      <c r="D18" s="6" t="str">
        <f>IF(OR(H18&lt;&gt;"",B18=""),"",C18-B18+1)</f>
        <v/>
      </c>
      <c r="E18" s="1"/>
      <c r="F18" s="8"/>
      <c r="G18" s="9" t="str">
        <f>IF(OR(H18&lt;&gt;"",B18=""),"",E18*_xlfn.NUMBERVALUE(SUBSTITUTE(SUBSTITUTE(SUBSTITUTE(SUBSTITUTE(F18," ",""),"%",""),"'",""),".",","),","," ")/100*D18)</f>
        <v/>
      </c>
      <c r="H18" s="10" t="str">
        <f>IF(AND(B18="",C18="",E18="",F18=""),"",IF(OR(B18="",C18="",E18="",F18=""),"Заполните все поля строки: начало, окончание, базу и ставку",IF(OR(NOT(ISNUMBER(B18)),NOT(ISNUMBER(C18)),NOT(ISNUMBER(E18))),"Даты и суммы вводятся числом, даты — ДД.ММ.ГГГГ",IF(ISNUMBER(F18),"Ставка вставлена числом — не видно, был ли знак %. Наберите её заново с апострофом впереди: '0,1 или '0,1%",IF(OR(NOT(ISTEXT(F18)),SUBSTITUTE(SUBSTITUTE(SUBSTITUTE(SUBSTITUTE(F18," ",""),"%",""),"'",""),".",",")="",ISERROR(_xlfn.NUMBERVALUE(SUBSTITUTE(SUBSTITUTE(SUBSTITUTE(SUBSTITUTE(F18," ",""),"%",""),"'",""),".",","),","," "))),"Ставка не распознана — наберите число, например 0,1 или 0,1%",IF(C18&lt;B18,"Окончание раньше начала — проверьте даты",IF(OR(E18&lt;0,_xlfn.NUMBERVALUE(SUBSTITUTE(SUBSTITUTE(SUBSTITUTE(SUBSTITUTE(F18," ",""),"%",""),"'",""),".",","),","," ")&lt;0),"База или ставка меньше нуля — проверьте ввод",IF(AND(_xlfn.NUMBERVALUE(SUBSTITUTE(SUBSTITUTE(SUBSTITUTE(SUBSTITUTE(F18," ",""),"%",""),"'",""),".",","),","," ")&gt;0,_xlfn.NUMBERVALUE(SUBSTITUTE(SUBSTITUTE(SUBSTITUTE(SUBSTITUTE(F18," ",""),"%",""),"'",""),".",","),","," ")&lt;0.01),"Ставка меньше 0,01 % в день — книга такую ставку не считает",""))))))))</f>
        <v/>
      </c>
    </row>
    <row r="19" spans="1:8" x14ac:dyDescent="0.3">
      <c r="A19" s="6">
        <v>2</v>
      </c>
      <c r="B19" s="7"/>
      <c r="C19" s="7"/>
      <c r="D19" s="6" t="str">
        <f>IF(OR(H19&lt;&gt;"",B19=""),"",C19-B19+1)</f>
        <v/>
      </c>
      <c r="E19" s="1"/>
      <c r="F19" s="8"/>
      <c r="G19" s="9" t="str">
        <f>IF(OR(H19&lt;&gt;"",B19=""),"",E19*_xlfn.NUMBERVALUE(SUBSTITUTE(SUBSTITUTE(SUBSTITUTE(SUBSTITUTE(F19," ",""),"%",""),"'",""),".",","),","," ")/100*D19)</f>
        <v/>
      </c>
      <c r="H19" s="10" t="str">
        <f>IF(AND(B19="",C19="",E19="",F19=""),"",IF(OR(B19="",C19="",E19="",F19=""),"Заполните все поля строки: начало, окончание, базу и ставку",IF(OR(NOT(ISNUMBER(B19)),NOT(ISNUMBER(C19)),NOT(ISNUMBER(E19))),"Даты и суммы вводятся числом, даты — ДД.ММ.ГГГГ",IF(ISNUMBER(F19),"Ставка вставлена числом — не видно, был ли знак %. Наберите её заново с апострофом впереди: '0,1 или '0,1%",IF(OR(NOT(ISTEXT(F19)),SUBSTITUTE(SUBSTITUTE(SUBSTITUTE(SUBSTITUTE(F19," ",""),"%",""),"'",""),".",",")="",ISERROR(_xlfn.NUMBERVALUE(SUBSTITUTE(SUBSTITUTE(SUBSTITUTE(SUBSTITUTE(F19," ",""),"%",""),"'",""),".",","),","," "))),"Ставка не распознана — наберите число, например 0,1 или 0,1%",IF(C19&lt;B19,"Окончание раньше начала — проверьте даты",IF(OR(E19&lt;0,_xlfn.NUMBERVALUE(SUBSTITUTE(SUBSTITUTE(SUBSTITUTE(SUBSTITUTE(F19," ",""),"%",""),"'",""),".",","),","," ")&lt;0),"База или ставка меньше нуля — проверьте ввод",IF(AND(_xlfn.NUMBERVALUE(SUBSTITUTE(SUBSTITUTE(SUBSTITUTE(SUBSTITUTE(F19," ",""),"%",""),"'",""),".",","),","," ")&gt;0,_xlfn.NUMBERVALUE(SUBSTITUTE(SUBSTITUTE(SUBSTITUTE(SUBSTITUTE(F19," ",""),"%",""),"'",""),".",","),","," ")&lt;0.01),"Ставка меньше 0,01 % в день — книга такую ставку не считает",""))))))))</f>
        <v/>
      </c>
    </row>
    <row r="20" spans="1:8" x14ac:dyDescent="0.3">
      <c r="A20" s="6">
        <v>3</v>
      </c>
      <c r="B20" s="7"/>
      <c r="C20" s="7"/>
      <c r="D20" s="6" t="str">
        <f>IF(OR(H20&lt;&gt;"",B20=""),"",C20-B20+1)</f>
        <v/>
      </c>
      <c r="E20" s="1"/>
      <c r="F20" s="8"/>
      <c r="G20" s="9" t="str">
        <f>IF(OR(H20&lt;&gt;"",B20=""),"",E20*_xlfn.NUMBERVALUE(SUBSTITUTE(SUBSTITUTE(SUBSTITUTE(SUBSTITUTE(F20," ",""),"%",""),"'",""),".",","),","," ")/100*D20)</f>
        <v/>
      </c>
      <c r="H20" s="10" t="str">
        <f>IF(AND(B20="",C20="",E20="",F20=""),"",IF(OR(B20="",C20="",E20="",F20=""),"Заполните все поля строки: начало, окончание, базу и ставку",IF(OR(NOT(ISNUMBER(B20)),NOT(ISNUMBER(C20)),NOT(ISNUMBER(E20))),"Даты и суммы вводятся числом, даты — ДД.ММ.ГГГГ",IF(ISNUMBER(F20),"Ставка вставлена числом — не видно, был ли знак %. Наберите её заново с апострофом впереди: '0,1 или '0,1%",IF(OR(NOT(ISTEXT(F20)),SUBSTITUTE(SUBSTITUTE(SUBSTITUTE(SUBSTITUTE(F20," ",""),"%",""),"'",""),".",",")="",ISERROR(_xlfn.NUMBERVALUE(SUBSTITUTE(SUBSTITUTE(SUBSTITUTE(SUBSTITUTE(F20," ",""),"%",""),"'",""),".",","),","," "))),"Ставка не распознана — наберите число, например 0,1 или 0,1%",IF(C20&lt;B20,"Окончание раньше начала — проверьте даты",IF(OR(E20&lt;0,_xlfn.NUMBERVALUE(SUBSTITUTE(SUBSTITUTE(SUBSTITUTE(SUBSTITUTE(F20," ",""),"%",""),"'",""),".",","),","," ")&lt;0),"База или ставка меньше нуля — проверьте ввод",IF(AND(_xlfn.NUMBERVALUE(SUBSTITUTE(SUBSTITUTE(SUBSTITUTE(SUBSTITUTE(F20," ",""),"%",""),"'",""),".",","),","," ")&gt;0,_xlfn.NUMBERVALUE(SUBSTITUTE(SUBSTITUTE(SUBSTITUTE(SUBSTITUTE(F20," ",""),"%",""),"'",""),".",","),","," ")&lt;0.01),"Ставка меньше 0,01 % в день — книга такую ставку не считает",""))))))))</f>
        <v/>
      </c>
    </row>
    <row r="21" spans="1:8" x14ac:dyDescent="0.3">
      <c r="A21" s="6">
        <v>4</v>
      </c>
      <c r="B21" s="7"/>
      <c r="C21" s="7"/>
      <c r="D21" s="6" t="str">
        <f>IF(OR(H21&lt;&gt;"",B21=""),"",C21-B21+1)</f>
        <v/>
      </c>
      <c r="E21" s="1"/>
      <c r="F21" s="8"/>
      <c r="G21" s="9" t="str">
        <f>IF(OR(H21&lt;&gt;"",B21=""),"",E21*_xlfn.NUMBERVALUE(SUBSTITUTE(SUBSTITUTE(SUBSTITUTE(SUBSTITUTE(F21," ",""),"%",""),"'",""),".",","),","," ")/100*D21)</f>
        <v/>
      </c>
      <c r="H21" s="10" t="str">
        <f>IF(AND(B21="",C21="",E21="",F21=""),"",IF(OR(B21="",C21="",E21="",F21=""),"Заполните все поля строки: начало, окончание, базу и ставку",IF(OR(NOT(ISNUMBER(B21)),NOT(ISNUMBER(C21)),NOT(ISNUMBER(E21))),"Даты и суммы вводятся числом, даты — ДД.ММ.ГГГГ",IF(ISNUMBER(F21),"Ставка вставлена числом — не видно, был ли знак %. Наберите её заново с апострофом впереди: '0,1 или '0,1%",IF(OR(NOT(ISTEXT(F21)),SUBSTITUTE(SUBSTITUTE(SUBSTITUTE(SUBSTITUTE(F21," ",""),"%",""),"'",""),".",",")="",ISERROR(_xlfn.NUMBERVALUE(SUBSTITUTE(SUBSTITUTE(SUBSTITUTE(SUBSTITUTE(F21," ",""),"%",""),"'",""),".",","),","," "))),"Ставка не распознана — наберите число, например 0,1 или 0,1%",IF(C21&lt;B21,"Окончание раньше начала — проверьте даты",IF(OR(E21&lt;0,_xlfn.NUMBERVALUE(SUBSTITUTE(SUBSTITUTE(SUBSTITUTE(SUBSTITUTE(F21," ",""),"%",""),"'",""),".",","),","," ")&lt;0),"База или ставка меньше нуля — проверьте ввод",IF(AND(_xlfn.NUMBERVALUE(SUBSTITUTE(SUBSTITUTE(SUBSTITUTE(SUBSTITUTE(F21," ",""),"%",""),"'",""),".",","),","," ")&gt;0,_xlfn.NUMBERVALUE(SUBSTITUTE(SUBSTITUTE(SUBSTITUTE(SUBSTITUTE(F21," ",""),"%",""),"'",""),".",","),","," ")&lt;0.01),"Ставка меньше 0,01 % в день — книга такую ставку не считает",""))))))))</f>
        <v/>
      </c>
    </row>
    <row r="22" spans="1:8" x14ac:dyDescent="0.3">
      <c r="A22" s="6">
        <v>5</v>
      </c>
      <c r="B22" s="7"/>
      <c r="C22" s="7"/>
      <c r="D22" s="6" t="str">
        <f>IF(OR(H22&lt;&gt;"",B22=""),"",C22-B22+1)</f>
        <v/>
      </c>
      <c r="E22" s="1"/>
      <c r="F22" s="8"/>
      <c r="G22" s="9" t="str">
        <f>IF(OR(H22&lt;&gt;"",B22=""),"",E22*_xlfn.NUMBERVALUE(SUBSTITUTE(SUBSTITUTE(SUBSTITUTE(SUBSTITUTE(F22," ",""),"%",""),"'",""),".",","),","," ")/100*D22)</f>
        <v/>
      </c>
      <c r="H22" s="10" t="str">
        <f>IF(AND(B22="",C22="",E22="",F22=""),"",IF(OR(B22="",C22="",E22="",F22=""),"Заполните все поля строки: начало, окончание, базу и ставку",IF(OR(NOT(ISNUMBER(B22)),NOT(ISNUMBER(C22)),NOT(ISNUMBER(E22))),"Даты и суммы вводятся числом, даты — ДД.ММ.ГГГГ",IF(ISNUMBER(F22),"Ставка вставлена числом — не видно, был ли знак %. Наберите её заново с апострофом впереди: '0,1 или '0,1%",IF(OR(NOT(ISTEXT(F22)),SUBSTITUTE(SUBSTITUTE(SUBSTITUTE(SUBSTITUTE(F22," ",""),"%",""),"'",""),".",",")="",ISERROR(_xlfn.NUMBERVALUE(SUBSTITUTE(SUBSTITUTE(SUBSTITUTE(SUBSTITUTE(F22," ",""),"%",""),"'",""),".",","),","," "))),"Ставка не распознана — наберите число, например 0,1 или 0,1%",IF(C22&lt;B22,"Окончание раньше начала — проверьте даты",IF(OR(E22&lt;0,_xlfn.NUMBERVALUE(SUBSTITUTE(SUBSTITUTE(SUBSTITUTE(SUBSTITUTE(F22," ",""),"%",""),"'",""),".",","),","," ")&lt;0),"База или ставка меньше нуля — проверьте ввод",IF(AND(_xlfn.NUMBERVALUE(SUBSTITUTE(SUBSTITUTE(SUBSTITUTE(SUBSTITUTE(F22," ",""),"%",""),"'",""),".",","),","," ")&gt;0,_xlfn.NUMBERVALUE(SUBSTITUTE(SUBSTITUTE(SUBSTITUTE(SUBSTITUTE(F22," ",""),"%",""),"'",""),".",","),","," ")&lt;0.01),"Ставка меньше 0,01 % в день — книга такую ставку не считает",""))))))))</f>
        <v/>
      </c>
    </row>
    <row r="23" spans="1:8" x14ac:dyDescent="0.3">
      <c r="A23" s="11" t="s">
        <v>22</v>
      </c>
      <c r="B23" s="12"/>
      <c r="C23" s="12"/>
      <c r="D23" s="12"/>
      <c r="E23" s="12"/>
      <c r="F23" s="12"/>
      <c r="G23" s="2">
        <f>IF(SUMPRODUCT(--(LEN(H18:H22)&gt;0))&gt;0,"",SUM(G18:G22))</f>
        <v>0</v>
      </c>
      <c r="H23" s="3" t="str">
        <f>IF(SUMPRODUCT(--(LEN(H18:H22)&gt;0))&gt;0,"Итог не считается: исправьте строки с сообщением","")</f>
        <v/>
      </c>
    </row>
    <row r="25" spans="1:8" x14ac:dyDescent="0.3">
      <c r="A25" s="13" t="s">
        <v>23</v>
      </c>
      <c r="B25" s="12"/>
      <c r="C25" s="12"/>
      <c r="D25" s="12"/>
      <c r="E25" s="12"/>
      <c r="F25" s="12"/>
      <c r="G25" s="12"/>
      <c r="H25" s="12"/>
    </row>
    <row r="26" spans="1:8" ht="57.6" x14ac:dyDescent="0.3">
      <c r="A26" s="5" t="s">
        <v>14</v>
      </c>
      <c r="B26" s="5" t="s">
        <v>15</v>
      </c>
      <c r="C26" s="5" t="s">
        <v>16</v>
      </c>
      <c r="D26" s="5" t="s">
        <v>17</v>
      </c>
      <c r="E26" s="5" t="s">
        <v>18</v>
      </c>
      <c r="F26" s="5" t="s">
        <v>24</v>
      </c>
      <c r="G26" s="5" t="s">
        <v>20</v>
      </c>
      <c r="H26" s="5" t="s">
        <v>21</v>
      </c>
    </row>
    <row r="27" spans="1:8" x14ac:dyDescent="0.3">
      <c r="A27" s="6">
        <v>1</v>
      </c>
      <c r="B27" s="7"/>
      <c r="C27" s="7"/>
      <c r="D27" s="6" t="str">
        <f>IF(OR(H27&lt;&gt;"",B27=""),"",C27-B27+1)</f>
        <v/>
      </c>
      <c r="E27" s="1"/>
      <c r="F27" s="8"/>
      <c r="G27" s="9" t="str">
        <f>IF(OR(H27&lt;&gt;"",B27=""),"",E27*_xlfn.NUMBERVALUE(SUBSTITUTE(SUBSTITUTE(SUBSTITUTE(SUBSTITUTE(F27," ",""),"%",""),"'",""),".",","),","," ")/100/365*D27)</f>
        <v/>
      </c>
      <c r="H27" s="10" t="str">
        <f>IF(AND(B27="",C27="",E27="",F27=""),"",IF(OR(B27="",C27="",E27="",F27=""),"Заполните все поля строки: начало, окончание, базу и ставку",IF(OR(NOT(ISNUMBER(B27)),NOT(ISNUMBER(C27)),NOT(ISNUMBER(E27))),"Даты и суммы вводятся числом, даты — ДД.ММ.ГГГГ",IF(ISNUMBER(F27),"Ставка вставлена числом — не видно, был ли знак %. Наберите её заново с апострофом впереди: '0,1 или '0,1%",IF(OR(NOT(ISTEXT(F27)),SUBSTITUTE(SUBSTITUTE(SUBSTITUTE(SUBSTITUTE(F27," ",""),"%",""),"'",""),".",",")="",ISERROR(_xlfn.NUMBERVALUE(SUBSTITUTE(SUBSTITUTE(SUBSTITUTE(SUBSTITUTE(F27," ",""),"%",""),"'",""),".",","),","," "))),"Ставка не распознана — наберите число, например 0,1 или 0,1%",IF(C27&lt;B27,"Окончание раньше начала — проверьте даты",IF(OR(E27&lt;0,_xlfn.NUMBERVALUE(SUBSTITUTE(SUBSTITUTE(SUBSTITUTE(SUBSTITUTE(F27," ",""),"%",""),"'",""),".",","),","," ")&lt;0),"База или ставка меньше нуля — проверьте ввод",IF(AND(_xlfn.NUMBERVALUE(SUBSTITUTE(SUBSTITUTE(SUBSTITUTE(SUBSTITUTE(F27," ",""),"%",""),"'",""),".",","),","," ")&gt;0,_xlfn.NUMBERVALUE(SUBSTITUTE(SUBSTITUTE(SUBSTITUTE(SUBSTITUTE(F27," ",""),"%",""),"'",""),".",","),","," ")&lt;1),"Ставка меньше 1 % годовых — книга такую ставку не считает",""))))))))</f>
        <v/>
      </c>
    </row>
    <row r="28" spans="1:8" x14ac:dyDescent="0.3">
      <c r="A28" s="6">
        <v>2</v>
      </c>
      <c r="B28" s="7"/>
      <c r="C28" s="7"/>
      <c r="D28" s="6" t="str">
        <f>IF(OR(H28&lt;&gt;"",B28=""),"",C28-B28+1)</f>
        <v/>
      </c>
      <c r="E28" s="1"/>
      <c r="F28" s="8"/>
      <c r="G28" s="9" t="str">
        <f>IF(OR(H28&lt;&gt;"",B28=""),"",E28*_xlfn.NUMBERVALUE(SUBSTITUTE(SUBSTITUTE(SUBSTITUTE(SUBSTITUTE(F28," ",""),"%",""),"'",""),".",","),","," ")/100/365*D28)</f>
        <v/>
      </c>
      <c r="H28" s="10" t="str">
        <f>IF(AND(B28="",C28="",E28="",F28=""),"",IF(OR(B28="",C28="",E28="",F28=""),"Заполните все поля строки: начало, окончание, базу и ставку",IF(OR(NOT(ISNUMBER(B28)),NOT(ISNUMBER(C28)),NOT(ISNUMBER(E28))),"Даты и суммы вводятся числом, даты — ДД.ММ.ГГГГ",IF(ISNUMBER(F28),"Ставка вставлена числом — не видно, был ли знак %. Наберите её заново с апострофом впереди: '0,1 или '0,1%",IF(OR(NOT(ISTEXT(F28)),SUBSTITUTE(SUBSTITUTE(SUBSTITUTE(SUBSTITUTE(F28," ",""),"%",""),"'",""),".",",")="",ISERROR(_xlfn.NUMBERVALUE(SUBSTITUTE(SUBSTITUTE(SUBSTITUTE(SUBSTITUTE(F28," ",""),"%",""),"'",""),".",","),","," "))),"Ставка не распознана — наберите число, например 0,1 или 0,1%",IF(C28&lt;B28,"Окончание раньше начала — проверьте даты",IF(OR(E28&lt;0,_xlfn.NUMBERVALUE(SUBSTITUTE(SUBSTITUTE(SUBSTITUTE(SUBSTITUTE(F28," ",""),"%",""),"'",""),".",","),","," ")&lt;0),"База или ставка меньше нуля — проверьте ввод",IF(AND(_xlfn.NUMBERVALUE(SUBSTITUTE(SUBSTITUTE(SUBSTITUTE(SUBSTITUTE(F28," ",""),"%",""),"'",""),".",","),","," ")&gt;0,_xlfn.NUMBERVALUE(SUBSTITUTE(SUBSTITUTE(SUBSTITUTE(SUBSTITUTE(F28," ",""),"%",""),"'",""),".",","),","," ")&lt;1),"Ставка меньше 1 % годовых — книга такую ставку не считает",""))))))))</f>
        <v/>
      </c>
    </row>
    <row r="29" spans="1:8" x14ac:dyDescent="0.3">
      <c r="A29" s="6">
        <v>3</v>
      </c>
      <c r="B29" s="7"/>
      <c r="C29" s="7"/>
      <c r="D29" s="6" t="str">
        <f>IF(OR(H29&lt;&gt;"",B29=""),"",C29-B29+1)</f>
        <v/>
      </c>
      <c r="E29" s="1"/>
      <c r="F29" s="8"/>
      <c r="G29" s="9" t="str">
        <f>IF(OR(H29&lt;&gt;"",B29=""),"",E29*_xlfn.NUMBERVALUE(SUBSTITUTE(SUBSTITUTE(SUBSTITUTE(SUBSTITUTE(F29," ",""),"%",""),"'",""),".",","),","," ")/100/365*D29)</f>
        <v/>
      </c>
      <c r="H29" s="10" t="str">
        <f>IF(AND(B29="",C29="",E29="",F29=""),"",IF(OR(B29="",C29="",E29="",F29=""),"Заполните все поля строки: начало, окончание, базу и ставку",IF(OR(NOT(ISNUMBER(B29)),NOT(ISNUMBER(C29)),NOT(ISNUMBER(E29))),"Даты и суммы вводятся числом, даты — ДД.ММ.ГГГГ",IF(ISNUMBER(F29),"Ставка вставлена числом — не видно, был ли знак %. Наберите её заново с апострофом впереди: '0,1 или '0,1%",IF(OR(NOT(ISTEXT(F29)),SUBSTITUTE(SUBSTITUTE(SUBSTITUTE(SUBSTITUTE(F29," ",""),"%",""),"'",""),".",",")="",ISERROR(_xlfn.NUMBERVALUE(SUBSTITUTE(SUBSTITUTE(SUBSTITUTE(SUBSTITUTE(F29," ",""),"%",""),"'",""),".",","),","," "))),"Ставка не распознана — наберите число, например 0,1 или 0,1%",IF(C29&lt;B29,"Окончание раньше начала — проверьте даты",IF(OR(E29&lt;0,_xlfn.NUMBERVALUE(SUBSTITUTE(SUBSTITUTE(SUBSTITUTE(SUBSTITUTE(F29," ",""),"%",""),"'",""),".",","),","," ")&lt;0),"База или ставка меньше нуля — проверьте ввод",IF(AND(_xlfn.NUMBERVALUE(SUBSTITUTE(SUBSTITUTE(SUBSTITUTE(SUBSTITUTE(F29," ",""),"%",""),"'",""),".",","),","," ")&gt;0,_xlfn.NUMBERVALUE(SUBSTITUTE(SUBSTITUTE(SUBSTITUTE(SUBSTITUTE(F29," ",""),"%",""),"'",""),".",","),","," ")&lt;1),"Ставка меньше 1 % годовых — книга такую ставку не считает",""))))))))</f>
        <v/>
      </c>
    </row>
    <row r="30" spans="1:8" x14ac:dyDescent="0.3">
      <c r="A30" s="6">
        <v>4</v>
      </c>
      <c r="B30" s="7"/>
      <c r="C30" s="7"/>
      <c r="D30" s="6" t="str">
        <f>IF(OR(H30&lt;&gt;"",B30=""),"",C30-B30+1)</f>
        <v/>
      </c>
      <c r="E30" s="1"/>
      <c r="F30" s="8"/>
      <c r="G30" s="9" t="str">
        <f>IF(OR(H30&lt;&gt;"",B30=""),"",E30*_xlfn.NUMBERVALUE(SUBSTITUTE(SUBSTITUTE(SUBSTITUTE(SUBSTITUTE(F30," ",""),"%",""),"'",""),".",","),","," ")/100/365*D30)</f>
        <v/>
      </c>
      <c r="H30" s="10" t="str">
        <f>IF(AND(B30="",C30="",E30="",F30=""),"",IF(OR(B30="",C30="",E30="",F30=""),"Заполните все поля строки: начало, окончание, базу и ставку",IF(OR(NOT(ISNUMBER(B30)),NOT(ISNUMBER(C30)),NOT(ISNUMBER(E30))),"Даты и суммы вводятся числом, даты — ДД.ММ.ГГГГ",IF(ISNUMBER(F30),"Ставка вставлена числом — не видно, был ли знак %. Наберите её заново с апострофом впереди: '0,1 или '0,1%",IF(OR(NOT(ISTEXT(F30)),SUBSTITUTE(SUBSTITUTE(SUBSTITUTE(SUBSTITUTE(F30," ",""),"%",""),"'",""),".",",")="",ISERROR(_xlfn.NUMBERVALUE(SUBSTITUTE(SUBSTITUTE(SUBSTITUTE(SUBSTITUTE(F30," ",""),"%",""),"'",""),".",","),","," "))),"Ставка не распознана — наберите число, например 0,1 или 0,1%",IF(C30&lt;B30,"Окончание раньше начала — проверьте даты",IF(OR(E30&lt;0,_xlfn.NUMBERVALUE(SUBSTITUTE(SUBSTITUTE(SUBSTITUTE(SUBSTITUTE(F30," ",""),"%",""),"'",""),".",","),","," ")&lt;0),"База или ставка меньше нуля — проверьте ввод",IF(AND(_xlfn.NUMBERVALUE(SUBSTITUTE(SUBSTITUTE(SUBSTITUTE(SUBSTITUTE(F30," ",""),"%",""),"'",""),".",","),","," ")&gt;0,_xlfn.NUMBERVALUE(SUBSTITUTE(SUBSTITUTE(SUBSTITUTE(SUBSTITUTE(F30," ",""),"%",""),"'",""),".",","),","," ")&lt;1),"Ставка меньше 1 % годовых — книга такую ставку не считает",""))))))))</f>
        <v/>
      </c>
    </row>
    <row r="31" spans="1:8" x14ac:dyDescent="0.3">
      <c r="A31" s="6">
        <v>5</v>
      </c>
      <c r="B31" s="7"/>
      <c r="C31" s="7"/>
      <c r="D31" s="6" t="str">
        <f>IF(OR(H31&lt;&gt;"",B31=""),"",C31-B31+1)</f>
        <v/>
      </c>
      <c r="E31" s="1"/>
      <c r="F31" s="8"/>
      <c r="G31" s="9" t="str">
        <f>IF(OR(H31&lt;&gt;"",B31=""),"",E31*_xlfn.NUMBERVALUE(SUBSTITUTE(SUBSTITUTE(SUBSTITUTE(SUBSTITUTE(F31," ",""),"%",""),"'",""),".",","),","," ")/100/365*D31)</f>
        <v/>
      </c>
      <c r="H31" s="10" t="str">
        <f>IF(AND(B31="",C31="",E31="",F31=""),"",IF(OR(B31="",C31="",E31="",F31=""),"Заполните все поля строки: начало, окончание, базу и ставку",IF(OR(NOT(ISNUMBER(B31)),NOT(ISNUMBER(C31)),NOT(ISNUMBER(E31))),"Даты и суммы вводятся числом, даты — ДД.ММ.ГГГГ",IF(ISNUMBER(F31),"Ставка вставлена числом — не видно, был ли знак %. Наберите её заново с апострофом впереди: '0,1 или '0,1%",IF(OR(NOT(ISTEXT(F31)),SUBSTITUTE(SUBSTITUTE(SUBSTITUTE(SUBSTITUTE(F31," ",""),"%",""),"'",""),".",",")="",ISERROR(_xlfn.NUMBERVALUE(SUBSTITUTE(SUBSTITUTE(SUBSTITUTE(SUBSTITUTE(F31," ",""),"%",""),"'",""),".",","),","," "))),"Ставка не распознана — наберите число, например 0,1 или 0,1%",IF(C31&lt;B31,"Окончание раньше начала — проверьте даты",IF(OR(E31&lt;0,_xlfn.NUMBERVALUE(SUBSTITUTE(SUBSTITUTE(SUBSTITUTE(SUBSTITUTE(F31," ",""),"%",""),"'",""),".",","),","," ")&lt;0),"База или ставка меньше нуля — проверьте ввод",IF(AND(_xlfn.NUMBERVALUE(SUBSTITUTE(SUBSTITUTE(SUBSTITUTE(SUBSTITUTE(F31," ",""),"%",""),"'",""),".",","),","," ")&gt;0,_xlfn.NUMBERVALUE(SUBSTITUTE(SUBSTITUTE(SUBSTITUTE(SUBSTITUTE(F31," ",""),"%",""),"'",""),".",","),","," ")&lt;1),"Ставка меньше 1 % годовых — книга такую ставку не считает",""))))))))</f>
        <v/>
      </c>
    </row>
    <row r="32" spans="1:8" x14ac:dyDescent="0.3">
      <c r="A32" s="11" t="s">
        <v>25</v>
      </c>
      <c r="B32" s="12"/>
      <c r="C32" s="12"/>
      <c r="D32" s="12"/>
      <c r="E32" s="12"/>
      <c r="F32" s="12"/>
      <c r="G32" s="2">
        <f>IF(SUMPRODUCT(--(LEN(H27:H31)&gt;0))&gt;0,"",SUM(G27:G31))</f>
        <v>0</v>
      </c>
      <c r="H32" s="3" t="str">
        <f>IF(SUMPRODUCT(--(LEN(H27:H31)&gt;0))&gt;0,"Итог не считается: исправьте строки с сообщением","")</f>
        <v/>
      </c>
    </row>
    <row r="34" spans="1:8" x14ac:dyDescent="0.3">
      <c r="A34" s="13" t="s">
        <v>26</v>
      </c>
      <c r="B34" s="12"/>
      <c r="C34" s="12"/>
      <c r="D34" s="12"/>
      <c r="E34" s="12"/>
      <c r="F34" s="12"/>
      <c r="G34" s="12"/>
      <c r="H34" s="12"/>
    </row>
    <row r="35" spans="1:8" ht="31.95" customHeight="1" x14ac:dyDescent="0.3">
      <c r="A35" s="15" t="s">
        <v>27</v>
      </c>
      <c r="B35" s="12"/>
      <c r="C35" s="12"/>
      <c r="D35" s="12"/>
      <c r="E35" s="12"/>
      <c r="F35" s="12"/>
      <c r="G35" s="12"/>
      <c r="H35" s="12"/>
    </row>
    <row r="36" spans="1:8" x14ac:dyDescent="0.3">
      <c r="A36" s="11" t="s">
        <v>5</v>
      </c>
      <c r="B36" s="12"/>
      <c r="C36" s="12"/>
      <c r="D36" s="12"/>
      <c r="E36" s="12"/>
      <c r="F36" s="12"/>
      <c r="G36" s="2" t="str">
        <f>IF(ISNUMBER(G7),G7,"")</f>
        <v/>
      </c>
      <c r="H36" s="3" t="str">
        <f>IF(H7&lt;&gt;"","Ошибка ввода — см. раздел 1","")</f>
        <v/>
      </c>
    </row>
    <row r="37" spans="1:8" x14ac:dyDescent="0.3">
      <c r="A37" s="11" t="s">
        <v>28</v>
      </c>
      <c r="B37" s="12"/>
      <c r="C37" s="12"/>
      <c r="D37" s="12"/>
      <c r="E37" s="12"/>
      <c r="F37" s="12"/>
      <c r="G37" s="2" t="str">
        <f>IF(AND(ISNUMBER(G7),H8=""),IF(G8="",0,G8),"")</f>
        <v/>
      </c>
      <c r="H37" s="3" t="str">
        <f>IF(OR(H7&lt;&gt;"",H8&lt;&gt;""),"Ошибка ввода — см. раздел 1","")</f>
        <v/>
      </c>
    </row>
    <row r="38" spans="1:8" x14ac:dyDescent="0.3">
      <c r="A38" s="11" t="s">
        <v>7</v>
      </c>
      <c r="B38" s="12"/>
      <c r="C38" s="12"/>
      <c r="D38" s="12"/>
      <c r="E38" s="12"/>
      <c r="F38" s="12"/>
      <c r="G38" s="2" t="str">
        <f>IF(ISNUMBER(G9),G9,"")</f>
        <v/>
      </c>
      <c r="H38" s="3" t="str">
        <f>IF(OR(H7&lt;&gt;"",H8&lt;&gt;""),"Ошибка ввода — см. раздел 1","")</f>
        <v/>
      </c>
    </row>
    <row r="39" spans="1:8" x14ac:dyDescent="0.3">
      <c r="A39" s="11" t="s">
        <v>29</v>
      </c>
      <c r="B39" s="12"/>
      <c r="C39" s="12"/>
      <c r="D39" s="12"/>
      <c r="E39" s="12"/>
      <c r="F39" s="12"/>
      <c r="G39" s="2" t="str">
        <f>IF(OR(G12="",H12&lt;&gt;""),"",G12)</f>
        <v/>
      </c>
      <c r="H39" s="3" t="str">
        <f>IF(H12&lt;&gt;"","Ошибка ввода — см. раздел 2","")</f>
        <v/>
      </c>
    </row>
    <row r="40" spans="1:8" x14ac:dyDescent="0.3">
      <c r="A40" s="11" t="s">
        <v>30</v>
      </c>
      <c r="B40" s="12"/>
      <c r="C40" s="12"/>
      <c r="D40" s="12"/>
      <c r="E40" s="12"/>
      <c r="F40" s="12"/>
      <c r="G40" s="2" t="str">
        <f>IF(ISNUMBER(G15),G15,"")</f>
        <v/>
      </c>
      <c r="H40" s="3" t="str">
        <f>IF(H15&lt;&gt;"","Ошибка ввода — см. раздел 2","")</f>
        <v/>
      </c>
    </row>
    <row r="41" spans="1:8" x14ac:dyDescent="0.3">
      <c r="A41" s="11" t="s">
        <v>31</v>
      </c>
      <c r="B41" s="12"/>
      <c r="C41" s="12"/>
      <c r="D41" s="12"/>
      <c r="E41" s="12"/>
      <c r="F41" s="12"/>
      <c r="G41" s="2">
        <f>IF(ISNUMBER(G23),G23,"")</f>
        <v>0</v>
      </c>
      <c r="H41" s="3" t="str">
        <f>IF(H23&lt;&gt;"","Ошибка ввода — см. раздел 2","")</f>
        <v/>
      </c>
    </row>
    <row r="42" spans="1:8" x14ac:dyDescent="0.3">
      <c r="A42" s="11" t="s">
        <v>32</v>
      </c>
      <c r="B42" s="12"/>
      <c r="C42" s="12"/>
      <c r="D42" s="12"/>
      <c r="E42" s="12"/>
      <c r="F42" s="12"/>
      <c r="G42" s="2">
        <f>IF(ISNUMBER(G32),G32,"")</f>
        <v>0</v>
      </c>
      <c r="H42" s="3" t="str">
        <f>IF(H32&lt;&gt;"","Ошибка ввода — см. раздел 3","")</f>
        <v/>
      </c>
    </row>
  </sheetData>
  <mergeCells count="26">
    <mergeCell ref="A42:F42"/>
    <mergeCell ref="A14:F14"/>
    <mergeCell ref="A25:H25"/>
    <mergeCell ref="A5:F5"/>
    <mergeCell ref="A16:H16"/>
    <mergeCell ref="A23:F23"/>
    <mergeCell ref="A32:F32"/>
    <mergeCell ref="A8:F8"/>
    <mergeCell ref="A38:F38"/>
    <mergeCell ref="A13:F13"/>
    <mergeCell ref="A9:F9"/>
    <mergeCell ref="A40:F40"/>
    <mergeCell ref="A39:F39"/>
    <mergeCell ref="A15:F15"/>
    <mergeCell ref="A35:H35"/>
    <mergeCell ref="A36:F36"/>
    <mergeCell ref="A41:F41"/>
    <mergeCell ref="A37:F37"/>
    <mergeCell ref="A11:H11"/>
    <mergeCell ref="A12:F12"/>
    <mergeCell ref="A1:H1"/>
    <mergeCell ref="A2:H2"/>
    <mergeCell ref="A4:H4"/>
    <mergeCell ref="A6:F6"/>
    <mergeCell ref="A7:F7"/>
    <mergeCell ref="A34:H34"/>
  </mergeCells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Расчёт требования</vt:lpstr>
      <vt:lpstr>'Расчёт требования'!Область_печати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Бушланов Денис Михайлович</cp:lastModifiedBy>
  <dcterms:created xsi:type="dcterms:W3CDTF">2026-09-28T00:00:00Z</dcterms:created>
  <dcterms:modified xsi:type="dcterms:W3CDTF">2026-10-05T06:03:16Z</dcterms:modified>
</cp:coreProperties>
</file>